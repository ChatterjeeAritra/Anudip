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itr\Downloads\"/>
    </mc:Choice>
  </mc:AlternateContent>
  <xr:revisionPtr revIDLastSave="0" documentId="13_ncr:1_{70C93A54-7CAF-4614-921D-F0B24F5A03F5}" xr6:coauthVersionLast="47" xr6:coauthVersionMax="47" xr10:uidLastSave="{00000000-0000-0000-0000-000000000000}"/>
  <bookViews>
    <workbookView xWindow="-96" yWindow="0" windowWidth="11712" windowHeight="12336" activeTab="2" xr2:uid="{B275022F-1C1C-4C40-87FB-494BA723265E}"/>
  </bookViews>
  <sheets>
    <sheet name="Formulas" sheetId="1" r:id="rId1"/>
    <sheet name="Vlookup" sheetId="10" r:id="rId2"/>
    <sheet name="Hloookup" sheetId="11" r:id="rId3"/>
    <sheet name="Sheet4" sheetId="4" r:id="rId4"/>
    <sheet name="Fillter" sheetId="6" r:id="rId5"/>
    <sheet name="Sheet5" sheetId="8" r:id="rId6"/>
    <sheet name="conditional formatting" sheetId="9" r:id="rId7"/>
    <sheet name="Sort" sheetId="5" r:id="rId8"/>
    <sheet name="Fill" sheetId="2" r:id="rId9"/>
  </sheets>
  <definedNames>
    <definedName name="_xlnm._FilterDatabase" localSheetId="4" hidden="1">Fillter!$A$1:$U$501</definedName>
    <definedName name="_xlnm.Criteria" localSheetId="4">Fillter!$X$1:$X$2</definedName>
    <definedName name="_xlnm.Extract" localSheetId="4">Fillter!$AF$83:$AZ$83</definedName>
    <definedName name="_xlnm.Extract" localSheetId="5">Sheet5!$A$1:$U$1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5" i="11" l="1"/>
  <c r="SG21" i="11"/>
  <c r="SF21" i="11"/>
  <c r="SE21" i="11"/>
  <c r="SD21" i="11"/>
  <c r="SC21" i="11"/>
  <c r="SB21" i="11"/>
  <c r="SA21" i="11"/>
  <c r="RZ21" i="11"/>
  <c r="RY21" i="11"/>
  <c r="RX21" i="11"/>
  <c r="RW21" i="11"/>
  <c r="RV21" i="11"/>
  <c r="RU21" i="11"/>
  <c r="RT21" i="11"/>
  <c r="RS21" i="11"/>
  <c r="RR21" i="11"/>
  <c r="RQ21" i="11"/>
  <c r="RP21" i="11"/>
  <c r="RO21" i="11"/>
  <c r="RN21" i="11"/>
  <c r="RM21" i="11"/>
  <c r="RL21" i="11"/>
  <c r="RK21" i="11"/>
  <c r="RJ21" i="11"/>
  <c r="RI21" i="11"/>
  <c r="RH21" i="11"/>
  <c r="RG21" i="11"/>
  <c r="RF21" i="11"/>
  <c r="RE21" i="11"/>
  <c r="RD21" i="11"/>
  <c r="RC21" i="11"/>
  <c r="RB21" i="11"/>
  <c r="RA21" i="11"/>
  <c r="QZ21" i="11"/>
  <c r="QY21" i="11"/>
  <c r="QX21" i="11"/>
  <c r="QW21" i="11"/>
  <c r="QV21" i="11"/>
  <c r="QU21" i="11"/>
  <c r="QT21" i="11"/>
  <c r="QS21" i="11"/>
  <c r="QR21" i="11"/>
  <c r="QQ21" i="11"/>
  <c r="QP21" i="11"/>
  <c r="QO21" i="11"/>
  <c r="QN21" i="11"/>
  <c r="QM21" i="11"/>
  <c r="QL21" i="11"/>
  <c r="QK21" i="11"/>
  <c r="QJ21" i="11"/>
  <c r="QI21" i="11"/>
  <c r="QH21" i="11"/>
  <c r="QG21" i="11"/>
  <c r="QF21" i="11"/>
  <c r="QE21" i="11"/>
  <c r="QD21" i="11"/>
  <c r="QC21" i="11"/>
  <c r="QB21" i="11"/>
  <c r="QA21" i="11"/>
  <c r="PZ21" i="11"/>
  <c r="PY21" i="11"/>
  <c r="PX21" i="11"/>
  <c r="PW21" i="11"/>
  <c r="PV21" i="11"/>
  <c r="PU21" i="11"/>
  <c r="PT21" i="11"/>
  <c r="PS21" i="11"/>
  <c r="PR21" i="11"/>
  <c r="PQ21" i="11"/>
  <c r="PP21" i="11"/>
  <c r="PO21" i="11"/>
  <c r="PN21" i="11"/>
  <c r="PM21" i="11"/>
  <c r="PL21" i="11"/>
  <c r="PK21" i="11"/>
  <c r="PJ21" i="11"/>
  <c r="PI21" i="11"/>
  <c r="PH21" i="11"/>
  <c r="PG21" i="11"/>
  <c r="PF21" i="11"/>
  <c r="PE21" i="11"/>
  <c r="PD21" i="11"/>
  <c r="PC21" i="11"/>
  <c r="PB21" i="11"/>
  <c r="PA21" i="11"/>
  <c r="OZ21" i="11"/>
  <c r="OY21" i="11"/>
  <c r="OX21" i="11"/>
  <c r="OW21" i="11"/>
  <c r="OV21" i="11"/>
  <c r="OU21" i="11"/>
  <c r="OT21" i="11"/>
  <c r="OS21" i="11"/>
  <c r="OR21" i="11"/>
  <c r="OQ21" i="11"/>
  <c r="OP21" i="11"/>
  <c r="OO21" i="11"/>
  <c r="ON21" i="11"/>
  <c r="OM21" i="11"/>
  <c r="OL21" i="11"/>
  <c r="OK21" i="11"/>
  <c r="OJ21" i="11"/>
  <c r="OI21" i="11"/>
  <c r="OH21" i="11"/>
  <c r="OG21" i="11"/>
  <c r="OF21" i="11"/>
  <c r="OE21" i="11"/>
  <c r="OD21" i="11"/>
  <c r="OC21" i="11"/>
  <c r="OB21" i="11"/>
  <c r="OA21" i="11"/>
  <c r="NZ21" i="11"/>
  <c r="NY21" i="11"/>
  <c r="NX21" i="11"/>
  <c r="NW21" i="11"/>
  <c r="NV21" i="11"/>
  <c r="NU21" i="11"/>
  <c r="NT21" i="11"/>
  <c r="NS21" i="11"/>
  <c r="NR21" i="11"/>
  <c r="NQ21" i="11"/>
  <c r="NP21" i="11"/>
  <c r="NO21" i="11"/>
  <c r="NN21" i="11"/>
  <c r="NM21" i="11"/>
  <c r="NL21" i="11"/>
  <c r="NK21" i="11"/>
  <c r="NJ21" i="11"/>
  <c r="NI21" i="11"/>
  <c r="NH21" i="11"/>
  <c r="NG21" i="11"/>
  <c r="NF21" i="11"/>
  <c r="NE21" i="11"/>
  <c r="ND21" i="11"/>
  <c r="NC21" i="11"/>
  <c r="NB21" i="11"/>
  <c r="NA21" i="11"/>
  <c r="MZ21" i="11"/>
  <c r="MY21" i="11"/>
  <c r="MX21" i="11"/>
  <c r="MW21" i="11"/>
  <c r="MV21" i="11"/>
  <c r="MU21" i="11"/>
  <c r="MT21" i="11"/>
  <c r="MS21" i="11"/>
  <c r="MR21" i="11"/>
  <c r="MQ21" i="11"/>
  <c r="MP21" i="11"/>
  <c r="MO21" i="11"/>
  <c r="MN21" i="11"/>
  <c r="MM21" i="11"/>
  <c r="ML21" i="11"/>
  <c r="MK21" i="11"/>
  <c r="MJ21" i="11"/>
  <c r="MI21" i="11"/>
  <c r="MH21" i="11"/>
  <c r="MG21" i="11"/>
  <c r="MF21" i="11"/>
  <c r="ME21" i="11"/>
  <c r="MD21" i="11"/>
  <c r="MC21" i="11"/>
  <c r="MB21" i="11"/>
  <c r="MA21" i="11"/>
  <c r="LZ21" i="11"/>
  <c r="LY21" i="11"/>
  <c r="LX21" i="11"/>
  <c r="LW21" i="11"/>
  <c r="LV21" i="11"/>
  <c r="LU21" i="11"/>
  <c r="LT21" i="11"/>
  <c r="LS21" i="11"/>
  <c r="LR21" i="11"/>
  <c r="LQ21" i="11"/>
  <c r="LP21" i="11"/>
  <c r="LO21" i="11"/>
  <c r="LN21" i="11"/>
  <c r="LM21" i="11"/>
  <c r="LL21" i="11"/>
  <c r="LK21" i="11"/>
  <c r="LJ21" i="11"/>
  <c r="LI21" i="11"/>
  <c r="LH21" i="11"/>
  <c r="LG21" i="11"/>
  <c r="LF21" i="11"/>
  <c r="LE21" i="11"/>
  <c r="LD21" i="11"/>
  <c r="LC21" i="11"/>
  <c r="LB21" i="11"/>
  <c r="LA21" i="11"/>
  <c r="KZ21" i="11"/>
  <c r="KY21" i="11"/>
  <c r="KX21" i="11"/>
  <c r="KW21" i="11"/>
  <c r="KV21" i="11"/>
  <c r="KU21" i="11"/>
  <c r="KT21" i="11"/>
  <c r="KS21" i="11"/>
  <c r="KR21" i="11"/>
  <c r="KQ21" i="11"/>
  <c r="KP21" i="11"/>
  <c r="KO21" i="11"/>
  <c r="KN21" i="11"/>
  <c r="KM21" i="11"/>
  <c r="KL21" i="11"/>
  <c r="KK21" i="11"/>
  <c r="KJ21" i="11"/>
  <c r="KI21" i="11"/>
  <c r="KH21" i="11"/>
  <c r="KG21" i="11"/>
  <c r="KF21" i="11"/>
  <c r="KE21" i="11"/>
  <c r="KD21" i="11"/>
  <c r="KC21" i="11"/>
  <c r="KB21" i="11"/>
  <c r="KA21" i="11"/>
  <c r="JZ21" i="11"/>
  <c r="JY21" i="11"/>
  <c r="JX21" i="11"/>
  <c r="JW21" i="11"/>
  <c r="JV21" i="11"/>
  <c r="JU21" i="11"/>
  <c r="JT21" i="11"/>
  <c r="JS21" i="11"/>
  <c r="JR21" i="11"/>
  <c r="JQ21" i="11"/>
  <c r="JP21" i="11"/>
  <c r="JO21" i="11"/>
  <c r="JN21" i="11"/>
  <c r="JM21" i="11"/>
  <c r="JL21" i="11"/>
  <c r="JK21" i="11"/>
  <c r="JJ21" i="11"/>
  <c r="JI21" i="11"/>
  <c r="JH21" i="11"/>
  <c r="JG21" i="11"/>
  <c r="JF21" i="11"/>
  <c r="JE21" i="11"/>
  <c r="JD21" i="11"/>
  <c r="JC21" i="11"/>
  <c r="JB21" i="11"/>
  <c r="JA21" i="11"/>
  <c r="IZ21" i="11"/>
  <c r="IY21" i="11"/>
  <c r="IX21" i="11"/>
  <c r="IW21" i="11"/>
  <c r="IV21" i="11"/>
  <c r="IU21" i="11"/>
  <c r="IT21" i="11"/>
  <c r="IS21" i="11"/>
  <c r="IR21" i="11"/>
  <c r="IQ21" i="11"/>
  <c r="IP21" i="11"/>
  <c r="IO21" i="11"/>
  <c r="IN21" i="11"/>
  <c r="IM21" i="11"/>
  <c r="IL21" i="11"/>
  <c r="IK21" i="11"/>
  <c r="IJ21" i="11"/>
  <c r="II21" i="11"/>
  <c r="IH21" i="11"/>
  <c r="IG21" i="11"/>
  <c r="IF21" i="11"/>
  <c r="IE21" i="11"/>
  <c r="ID21" i="11"/>
  <c r="IC21" i="11"/>
  <c r="IB21" i="11"/>
  <c r="IA21" i="11"/>
  <c r="HZ21" i="11"/>
  <c r="HY21" i="11"/>
  <c r="HX21" i="11"/>
  <c r="HW21" i="11"/>
  <c r="HV21" i="11"/>
  <c r="HU21" i="11"/>
  <c r="HT21" i="11"/>
  <c r="HS21" i="11"/>
  <c r="HR21" i="11"/>
  <c r="HQ21" i="11"/>
  <c r="HP21" i="11"/>
  <c r="HO21" i="11"/>
  <c r="HN21" i="11"/>
  <c r="HM21" i="11"/>
  <c r="HL21" i="11"/>
  <c r="HK21" i="11"/>
  <c r="HJ21" i="11"/>
  <c r="HI21" i="11"/>
  <c r="HH21" i="11"/>
  <c r="HG21" i="11"/>
  <c r="HF21" i="11"/>
  <c r="HE21" i="11"/>
  <c r="HD21" i="11"/>
  <c r="HC21" i="11"/>
  <c r="HB21" i="11"/>
  <c r="HA21" i="11"/>
  <c r="GZ21" i="11"/>
  <c r="GY21" i="11"/>
  <c r="GX21" i="11"/>
  <c r="GW21" i="11"/>
  <c r="GV21" i="11"/>
  <c r="GU21" i="11"/>
  <c r="GT21" i="11"/>
  <c r="GS21" i="11"/>
  <c r="GR21" i="11"/>
  <c r="GQ21" i="11"/>
  <c r="GP21" i="11"/>
  <c r="GO21" i="11"/>
  <c r="GN21" i="11"/>
  <c r="GM21" i="11"/>
  <c r="GL21" i="11"/>
  <c r="GK21" i="11"/>
  <c r="GJ21" i="11"/>
  <c r="GI21" i="11"/>
  <c r="GH21" i="11"/>
  <c r="GG21" i="11"/>
  <c r="GF21" i="11"/>
  <c r="GE21" i="11"/>
  <c r="GD21" i="11"/>
  <c r="GC21" i="11"/>
  <c r="GB21" i="11"/>
  <c r="GA21" i="11"/>
  <c r="FZ21" i="11"/>
  <c r="FY21" i="11"/>
  <c r="FX21" i="11"/>
  <c r="FW21" i="11"/>
  <c r="FV21" i="11"/>
  <c r="FU21" i="11"/>
  <c r="FT21" i="11"/>
  <c r="FS21" i="11"/>
  <c r="FR21" i="11"/>
  <c r="FQ21" i="11"/>
  <c r="FP21" i="11"/>
  <c r="FO21" i="11"/>
  <c r="FN21" i="11"/>
  <c r="FM21" i="11"/>
  <c r="FL21" i="11"/>
  <c r="FK21" i="11"/>
  <c r="FJ21" i="11"/>
  <c r="FI21" i="11"/>
  <c r="FH21" i="11"/>
  <c r="FG21" i="11"/>
  <c r="FF21" i="11"/>
  <c r="FE21" i="11"/>
  <c r="FD21" i="11"/>
  <c r="FC21" i="11"/>
  <c r="FB21" i="11"/>
  <c r="FA21" i="11"/>
  <c r="EZ21" i="11"/>
  <c r="EY21" i="11"/>
  <c r="EX21" i="11"/>
  <c r="EW21" i="11"/>
  <c r="EV21" i="11"/>
  <c r="EU21" i="11"/>
  <c r="ET21" i="11"/>
  <c r="ES21" i="11"/>
  <c r="ER21" i="11"/>
  <c r="EQ21" i="11"/>
  <c r="EP21" i="11"/>
  <c r="EO21" i="11"/>
  <c r="EN21" i="11"/>
  <c r="EM21" i="11"/>
  <c r="EL21" i="11"/>
  <c r="EK21" i="11"/>
  <c r="EJ21" i="11"/>
  <c r="EI21" i="11"/>
  <c r="EH21" i="11"/>
  <c r="EG21" i="11"/>
  <c r="EF21" i="11"/>
  <c r="EE21" i="11"/>
  <c r="ED21" i="11"/>
  <c r="EC21" i="11"/>
  <c r="EB21" i="11"/>
  <c r="EA21" i="11"/>
  <c r="DZ21" i="11"/>
  <c r="DY21" i="11"/>
  <c r="DX21" i="11"/>
  <c r="DW21" i="11"/>
  <c r="DV21" i="11"/>
  <c r="DU21" i="11"/>
  <c r="DT21" i="11"/>
  <c r="DS21" i="11"/>
  <c r="DR21" i="11"/>
  <c r="DQ21" i="11"/>
  <c r="DP21" i="11"/>
  <c r="DO21" i="11"/>
  <c r="DN21" i="11"/>
  <c r="DM21" i="11"/>
  <c r="DL21" i="11"/>
  <c r="DK21" i="11"/>
  <c r="DJ21" i="11"/>
  <c r="DI21" i="11"/>
  <c r="DH21" i="11"/>
  <c r="DG21" i="11"/>
  <c r="DF21" i="11"/>
  <c r="DE21" i="11"/>
  <c r="DD21" i="11"/>
  <c r="DC21" i="11"/>
  <c r="DB21" i="11"/>
  <c r="DA21" i="11"/>
  <c r="CZ21" i="11"/>
  <c r="CY21" i="11"/>
  <c r="CX21" i="11"/>
  <c r="CW21" i="11"/>
  <c r="CV21" i="11"/>
  <c r="CU21" i="11"/>
  <c r="CT21" i="11"/>
  <c r="CS21" i="11"/>
  <c r="CR21" i="11"/>
  <c r="CQ21" i="11"/>
  <c r="CP21" i="11"/>
  <c r="CO21" i="11"/>
  <c r="CN21" i="11"/>
  <c r="CM21" i="11"/>
  <c r="CL21" i="11"/>
  <c r="CK21" i="11"/>
  <c r="CJ21" i="11"/>
  <c r="CI21" i="11"/>
  <c r="CH21" i="11"/>
  <c r="CG21" i="11"/>
  <c r="CF21" i="11"/>
  <c r="CE21" i="11"/>
  <c r="CD21" i="11"/>
  <c r="CC21" i="11"/>
  <c r="CB21" i="11"/>
  <c r="CA21" i="11"/>
  <c r="BZ21" i="11"/>
  <c r="BY21" i="11"/>
  <c r="BX21" i="11"/>
  <c r="BW21" i="11"/>
  <c r="BV21" i="11"/>
  <c r="BU21" i="11"/>
  <c r="BT21" i="11"/>
  <c r="BS21" i="11"/>
  <c r="BR21" i="11"/>
  <c r="BQ21" i="11"/>
  <c r="BP21" i="11"/>
  <c r="BO21" i="11"/>
  <c r="BN21" i="11"/>
  <c r="BM21" i="11"/>
  <c r="BL21" i="11"/>
  <c r="BK21" i="11"/>
  <c r="BJ21" i="11"/>
  <c r="BI21" i="11"/>
  <c r="BH21" i="11"/>
  <c r="BG21" i="11"/>
  <c r="BF21" i="11"/>
  <c r="BE21" i="11"/>
  <c r="BD21" i="11"/>
  <c r="BC21" i="11"/>
  <c r="BB21" i="11"/>
  <c r="BA21" i="11"/>
  <c r="AZ21" i="11"/>
  <c r="AY21" i="11"/>
  <c r="AX21" i="11"/>
  <c r="AW21" i="11"/>
  <c r="AV21" i="11"/>
  <c r="AU21" i="11"/>
  <c r="AT21" i="11"/>
  <c r="AS21" i="11"/>
  <c r="AR21" i="11"/>
  <c r="AQ21" i="11"/>
  <c r="AP21" i="11"/>
  <c r="AO21" i="11"/>
  <c r="AN21" i="11"/>
  <c r="AM21" i="11"/>
  <c r="AL21" i="11"/>
  <c r="AK21" i="11"/>
  <c r="AJ21" i="11"/>
  <c r="AI21" i="11"/>
  <c r="AH21" i="11"/>
  <c r="AG21" i="11"/>
  <c r="AF21" i="11"/>
  <c r="AE21" i="11"/>
  <c r="AD21" i="11"/>
  <c r="AC21" i="11"/>
  <c r="AB21" i="11"/>
  <c r="AA21" i="11"/>
  <c r="Z21" i="11"/>
  <c r="Y21" i="11"/>
  <c r="X21" i="11"/>
  <c r="W21" i="11"/>
  <c r="V21" i="11"/>
  <c r="U21" i="11"/>
  <c r="T21" i="11"/>
  <c r="S21" i="11"/>
  <c r="R21" i="11"/>
  <c r="Q21" i="11"/>
  <c r="P21" i="11"/>
  <c r="O21" i="11"/>
  <c r="N21" i="11"/>
  <c r="M21" i="11"/>
  <c r="L21" i="11"/>
  <c r="K21" i="11"/>
  <c r="J21" i="11"/>
  <c r="I21" i="11"/>
  <c r="H21" i="11"/>
  <c r="G21" i="11"/>
  <c r="F21" i="11"/>
  <c r="E21" i="11"/>
  <c r="D21" i="11"/>
  <c r="C21" i="11"/>
  <c r="B21" i="11"/>
  <c r="SG20" i="11" a="1"/>
  <c r="SG20" i="11" s="1"/>
  <c r="SF20" i="11" a="1"/>
  <c r="SF20" i="11" s="1"/>
  <c r="SE20" i="11" a="1"/>
  <c r="SE20" i="11" s="1"/>
  <c r="SD20" i="11" a="1"/>
  <c r="SD20" i="11" s="1"/>
  <c r="SC20" i="11" a="1"/>
  <c r="SC20" i="11" s="1"/>
  <c r="SB20" i="11"/>
  <c r="SB20" i="11" a="1"/>
  <c r="SA20" i="11" a="1"/>
  <c r="SA20" i="11" s="1"/>
  <c r="RZ20" i="11" a="1"/>
  <c r="RZ20" i="11" s="1"/>
  <c r="RY20" i="11" a="1"/>
  <c r="RY20" i="11" s="1"/>
  <c r="RX20" i="11" a="1"/>
  <c r="RX20" i="11" s="1"/>
  <c r="RW20" i="11" a="1"/>
  <c r="RW20" i="11" s="1"/>
  <c r="RV20" i="11"/>
  <c r="RV20" i="11" a="1"/>
  <c r="RU20" i="11" a="1"/>
  <c r="RU20" i="11" s="1"/>
  <c r="RT20" i="11" a="1"/>
  <c r="RT20" i="11" s="1"/>
  <c r="RS20" i="11" a="1"/>
  <c r="RS20" i="11" s="1"/>
  <c r="RR20" i="11" a="1"/>
  <c r="RR20" i="11" s="1"/>
  <c r="RQ20" i="11" a="1"/>
  <c r="RQ20" i="11" s="1"/>
  <c r="RP20" i="11"/>
  <c r="RP20" i="11" a="1"/>
  <c r="RO20" i="11" a="1"/>
  <c r="RO20" i="11" s="1"/>
  <c r="RN20" i="11" a="1"/>
  <c r="RN20" i="11" s="1"/>
  <c r="RM20" i="11" a="1"/>
  <c r="RM20" i="11" s="1"/>
  <c r="RL20" i="11" a="1"/>
  <c r="RL20" i="11" s="1"/>
  <c r="RK20" i="11" a="1"/>
  <c r="RK20" i="11" s="1"/>
  <c r="RJ20" i="11"/>
  <c r="RJ20" i="11" a="1"/>
  <c r="RI20" i="11" a="1"/>
  <c r="RI20" i="11" s="1"/>
  <c r="RH20" i="11" a="1"/>
  <c r="RH20" i="11" s="1"/>
  <c r="RG20" i="11" a="1"/>
  <c r="RG20" i="11" s="1"/>
  <c r="RF20" i="11" a="1"/>
  <c r="RF20" i="11" s="1"/>
  <c r="RE20" i="11" a="1"/>
  <c r="RE20" i="11" s="1"/>
  <c r="RD20" i="11"/>
  <c r="RD20" i="11" a="1"/>
  <c r="RC20" i="11" a="1"/>
  <c r="RC20" i="11" s="1"/>
  <c r="RB20" i="11" a="1"/>
  <c r="RB20" i="11" s="1"/>
  <c r="RA20" i="11" a="1"/>
  <c r="RA20" i="11" s="1"/>
  <c r="QZ20" i="11" a="1"/>
  <c r="QZ20" i="11" s="1"/>
  <c r="QY20" i="11" a="1"/>
  <c r="QY20" i="11" s="1"/>
  <c r="QX20" i="11"/>
  <c r="QX20" i="11" a="1"/>
  <c r="QW20" i="11" a="1"/>
  <c r="QW20" i="11" s="1"/>
  <c r="QV20" i="11" a="1"/>
  <c r="QV20" i="11" s="1"/>
  <c r="QU20" i="11" a="1"/>
  <c r="QU20" i="11" s="1"/>
  <c r="QT20" i="11" a="1"/>
  <c r="QT20" i="11" s="1"/>
  <c r="QS20" i="11" a="1"/>
  <c r="QS20" i="11" s="1"/>
  <c r="QR20" i="11"/>
  <c r="QR20" i="11" a="1"/>
  <c r="QQ20" i="11" a="1"/>
  <c r="QQ20" i="11" s="1"/>
  <c r="QP20" i="11" a="1"/>
  <c r="QP20" i="11" s="1"/>
  <c r="QO20" i="11" a="1"/>
  <c r="QO20" i="11" s="1"/>
  <c r="QN20" i="11" a="1"/>
  <c r="QN20" i="11" s="1"/>
  <c r="QM20" i="11" a="1"/>
  <c r="QM20" i="11" s="1"/>
  <c r="QL20" i="11"/>
  <c r="QL20" i="11" a="1"/>
  <c r="QK20" i="11" a="1"/>
  <c r="QK20" i="11" s="1"/>
  <c r="QJ20" i="11" a="1"/>
  <c r="QJ20" i="11" s="1"/>
  <c r="QI20" i="11" a="1"/>
  <c r="QI20" i="11" s="1"/>
  <c r="QH20" i="11" a="1"/>
  <c r="QH20" i="11" s="1"/>
  <c r="QG20" i="11" a="1"/>
  <c r="QG20" i="11" s="1"/>
  <c r="QF20" i="11"/>
  <c r="QF20" i="11" a="1"/>
  <c r="QE20" i="11" a="1"/>
  <c r="QE20" i="11" s="1"/>
  <c r="QD20" i="11" a="1"/>
  <c r="QD20" i="11" s="1"/>
  <c r="QC20" i="11" a="1"/>
  <c r="QC20" i="11" s="1"/>
  <c r="QB20" i="11" a="1"/>
  <c r="QB20" i="11" s="1"/>
  <c r="QA20" i="11" a="1"/>
  <c r="QA20" i="11" s="1"/>
  <c r="PZ20" i="11"/>
  <c r="PZ20" i="11" a="1"/>
  <c r="PY20" i="11" a="1"/>
  <c r="PY20" i="11" s="1"/>
  <c r="PX20" i="11" a="1"/>
  <c r="PX20" i="11" s="1"/>
  <c r="PW20" i="11" a="1"/>
  <c r="PW20" i="11" s="1"/>
  <c r="PV20" i="11" a="1"/>
  <c r="PV20" i="11" s="1"/>
  <c r="PU20" i="11" a="1"/>
  <c r="PU20" i="11" s="1"/>
  <c r="PT20" i="11"/>
  <c r="PT20" i="11" a="1"/>
  <c r="PS20" i="11" a="1"/>
  <c r="PS20" i="11" s="1"/>
  <c r="PR20" i="11" a="1"/>
  <c r="PR20" i="11" s="1"/>
  <c r="PQ20" i="11" a="1"/>
  <c r="PQ20" i="11" s="1"/>
  <c r="PP20" i="11" a="1"/>
  <c r="PP20" i="11" s="1"/>
  <c r="PO20" i="11" a="1"/>
  <c r="PO20" i="11" s="1"/>
  <c r="PN20" i="11"/>
  <c r="PN20" i="11" a="1"/>
  <c r="PM20" i="11" a="1"/>
  <c r="PM20" i="11" s="1"/>
  <c r="PL20" i="11" a="1"/>
  <c r="PL20" i="11" s="1"/>
  <c r="PK20" i="11" a="1"/>
  <c r="PK20" i="11" s="1"/>
  <c r="PJ20" i="11" a="1"/>
  <c r="PJ20" i="11" s="1"/>
  <c r="PI20" i="11" a="1"/>
  <c r="PI20" i="11" s="1"/>
  <c r="PH20" i="11"/>
  <c r="PH20" i="11" a="1"/>
  <c r="PG20" i="11" a="1"/>
  <c r="PG20" i="11" s="1"/>
  <c r="PF20" i="11" a="1"/>
  <c r="PF20" i="11" s="1"/>
  <c r="PE20" i="11" a="1"/>
  <c r="PE20" i="11" s="1"/>
  <c r="PD20" i="11" a="1"/>
  <c r="PD20" i="11" s="1"/>
  <c r="PC20" i="11" a="1"/>
  <c r="PC20" i="11" s="1"/>
  <c r="PB20" i="11"/>
  <c r="PB20" i="11" a="1"/>
  <c r="PA20" i="11" a="1"/>
  <c r="PA20" i="11" s="1"/>
  <c r="OZ20" i="11" a="1"/>
  <c r="OZ20" i="11" s="1"/>
  <c r="OY20" i="11" a="1"/>
  <c r="OY20" i="11" s="1"/>
  <c r="OX20" i="11" a="1"/>
  <c r="OX20" i="11" s="1"/>
  <c r="OW20" i="11" a="1"/>
  <c r="OW20" i="11" s="1"/>
  <c r="OV20" i="11"/>
  <c r="OV20" i="11" a="1"/>
  <c r="OU20" i="11" a="1"/>
  <c r="OU20" i="11" s="1"/>
  <c r="OT20" i="11" a="1"/>
  <c r="OT20" i="11" s="1"/>
  <c r="OS20" i="11" a="1"/>
  <c r="OS20" i="11" s="1"/>
  <c r="OR20" i="11" a="1"/>
  <c r="OR20" i="11" s="1"/>
  <c r="OQ20" i="11" a="1"/>
  <c r="OQ20" i="11" s="1"/>
  <c r="OP20" i="11"/>
  <c r="OP20" i="11" a="1"/>
  <c r="OO20" i="11" a="1"/>
  <c r="OO20" i="11" s="1"/>
  <c r="ON20" i="11" a="1"/>
  <c r="ON20" i="11" s="1"/>
  <c r="OM20" i="11" a="1"/>
  <c r="OM20" i="11" s="1"/>
  <c r="OL20" i="11" a="1"/>
  <c r="OL20" i="11" s="1"/>
  <c r="OK20" i="11" a="1"/>
  <c r="OK20" i="11" s="1"/>
  <c r="OJ20" i="11"/>
  <c r="OJ20" i="11" a="1"/>
  <c r="OI20" i="11" a="1"/>
  <c r="OI20" i="11" s="1"/>
  <c r="OH20" i="11" a="1"/>
  <c r="OH20" i="11" s="1"/>
  <c r="OG20" i="11" a="1"/>
  <c r="OG20" i="11" s="1"/>
  <c r="OF20" i="11" a="1"/>
  <c r="OF20" i="11" s="1"/>
  <c r="OE20" i="11" a="1"/>
  <c r="OE20" i="11" s="1"/>
  <c r="OD20" i="11"/>
  <c r="OD20" i="11" a="1"/>
  <c r="OC20" i="11" a="1"/>
  <c r="OC20" i="11" s="1"/>
  <c r="OB20" i="11" a="1"/>
  <c r="OB20" i="11" s="1"/>
  <c r="OA20" i="11" a="1"/>
  <c r="OA20" i="11" s="1"/>
  <c r="NZ20" i="11" a="1"/>
  <c r="NZ20" i="11" s="1"/>
  <c r="NY20" i="11" a="1"/>
  <c r="NY20" i="11" s="1"/>
  <c r="NX20" i="11"/>
  <c r="NX20" i="11" a="1"/>
  <c r="NW20" i="11" a="1"/>
  <c r="NW20" i="11" s="1"/>
  <c r="NV20" i="11" a="1"/>
  <c r="NV20" i="11" s="1"/>
  <c r="NU20" i="11" a="1"/>
  <c r="NU20" i="11" s="1"/>
  <c r="NT20" i="11" a="1"/>
  <c r="NT20" i="11" s="1"/>
  <c r="NS20" i="11" a="1"/>
  <c r="NS20" i="11" s="1"/>
  <c r="NR20" i="11"/>
  <c r="NR20" i="11" a="1"/>
  <c r="NQ20" i="11" a="1"/>
  <c r="NQ20" i="11" s="1"/>
  <c r="NP20" i="11" a="1"/>
  <c r="NP20" i="11" s="1"/>
  <c r="NO20" i="11" a="1"/>
  <c r="NO20" i="11" s="1"/>
  <c r="NN20" i="11" a="1"/>
  <c r="NN20" i="11" s="1"/>
  <c r="NM20" i="11" a="1"/>
  <c r="NM20" i="11" s="1"/>
  <c r="NL20" i="11"/>
  <c r="NL20" i="11" a="1"/>
  <c r="NK20" i="11" a="1"/>
  <c r="NK20" i="11" s="1"/>
  <c r="NJ20" i="11" a="1"/>
  <c r="NJ20" i="11" s="1"/>
  <c r="NI20" i="11" a="1"/>
  <c r="NI20" i="11" s="1"/>
  <c r="NH20" i="11" a="1"/>
  <c r="NH20" i="11" s="1"/>
  <c r="NG20" i="11" a="1"/>
  <c r="NG20" i="11" s="1"/>
  <c r="NF20" i="11"/>
  <c r="NF20" i="11" a="1"/>
  <c r="NE20" i="11" a="1"/>
  <c r="NE20" i="11" s="1"/>
  <c r="ND20" i="11" a="1"/>
  <c r="ND20" i="11" s="1"/>
  <c r="NC20" i="11" a="1"/>
  <c r="NC20" i="11" s="1"/>
  <c r="NB20" i="11" a="1"/>
  <c r="NB20" i="11" s="1"/>
  <c r="NA20" i="11" a="1"/>
  <c r="NA20" i="11" s="1"/>
  <c r="MZ20" i="11"/>
  <c r="MZ20" i="11" a="1"/>
  <c r="MY20" i="11" a="1"/>
  <c r="MY20" i="11" s="1"/>
  <c r="MX20" i="11" a="1"/>
  <c r="MX20" i="11" s="1"/>
  <c r="MW20" i="11" a="1"/>
  <c r="MW20" i="11" s="1"/>
  <c r="MV20" i="11" a="1"/>
  <c r="MV20" i="11" s="1"/>
  <c r="MU20" i="11" a="1"/>
  <c r="MU20" i="11" s="1"/>
  <c r="MT20" i="11"/>
  <c r="MT20" i="11" a="1"/>
  <c r="MS20" i="11" a="1"/>
  <c r="MS20" i="11" s="1"/>
  <c r="MR20" i="11" a="1"/>
  <c r="MR20" i="11" s="1"/>
  <c r="MQ20" i="11" a="1"/>
  <c r="MQ20" i="11" s="1"/>
  <c r="MP20" i="11" a="1"/>
  <c r="MP20" i="11" s="1"/>
  <c r="MO20" i="11" a="1"/>
  <c r="MO20" i="11" s="1"/>
  <c r="MN20" i="11"/>
  <c r="MN20" i="11" a="1"/>
  <c r="MM20" i="11" a="1"/>
  <c r="MM20" i="11" s="1"/>
  <c r="ML20" i="11" a="1"/>
  <c r="ML20" i="11" s="1"/>
  <c r="MK20" i="11" a="1"/>
  <c r="MK20" i="11" s="1"/>
  <c r="MJ20" i="11" a="1"/>
  <c r="MJ20" i="11" s="1"/>
  <c r="MI20" i="11" a="1"/>
  <c r="MI20" i="11" s="1"/>
  <c r="MH20" i="11"/>
  <c r="MH20" i="11" a="1"/>
  <c r="MG20" i="11" a="1"/>
  <c r="MG20" i="11" s="1"/>
  <c r="MF20" i="11" a="1"/>
  <c r="MF20" i="11" s="1"/>
  <c r="ME20" i="11" a="1"/>
  <c r="ME20" i="11" s="1"/>
  <c r="MD20" i="11" a="1"/>
  <c r="MD20" i="11" s="1"/>
  <c r="MC20" i="11" a="1"/>
  <c r="MC20" i="11" s="1"/>
  <c r="MB20" i="11"/>
  <c r="MB20" i="11" a="1"/>
  <c r="MA20" i="11" a="1"/>
  <c r="MA20" i="11" s="1"/>
  <c r="LZ20" i="11" a="1"/>
  <c r="LZ20" i="11" s="1"/>
  <c r="LY20" i="11" a="1"/>
  <c r="LY20" i="11" s="1"/>
  <c r="LX20" i="11" a="1"/>
  <c r="LX20" i="11" s="1"/>
  <c r="LW20" i="11" a="1"/>
  <c r="LW20" i="11" s="1"/>
  <c r="LV20" i="11"/>
  <c r="LV20" i="11" a="1"/>
  <c r="LU20" i="11" a="1"/>
  <c r="LU20" i="11" s="1"/>
  <c r="LT20" i="11" a="1"/>
  <c r="LT20" i="11" s="1"/>
  <c r="LS20" i="11" a="1"/>
  <c r="LS20" i="11" s="1"/>
  <c r="LR20" i="11" a="1"/>
  <c r="LR20" i="11" s="1"/>
  <c r="LQ20" i="11" a="1"/>
  <c r="LQ20" i="11" s="1"/>
  <c r="LP20" i="11"/>
  <c r="LP20" i="11" a="1"/>
  <c r="LO20" i="11" a="1"/>
  <c r="LO20" i="11" s="1"/>
  <c r="LN20" i="11" a="1"/>
  <c r="LN20" i="11" s="1"/>
  <c r="LM20" i="11" a="1"/>
  <c r="LM20" i="11" s="1"/>
  <c r="LL20" i="11" a="1"/>
  <c r="LL20" i="11" s="1"/>
  <c r="LK20" i="11" a="1"/>
  <c r="LK20" i="11" s="1"/>
  <c r="LJ20" i="11"/>
  <c r="LJ20" i="11" a="1"/>
  <c r="LI20" i="11" a="1"/>
  <c r="LI20" i="11" s="1"/>
  <c r="LH20" i="11" a="1"/>
  <c r="LH20" i="11" s="1"/>
  <c r="LG20" i="11" a="1"/>
  <c r="LG20" i="11" s="1"/>
  <c r="LF20" i="11" a="1"/>
  <c r="LF20" i="11" s="1"/>
  <c r="LE20" i="11" a="1"/>
  <c r="LE20" i="11" s="1"/>
  <c r="LD20" i="11"/>
  <c r="LD20" i="11" a="1"/>
  <c r="LC20" i="11" a="1"/>
  <c r="LC20" i="11" s="1"/>
  <c r="LB20" i="11" a="1"/>
  <c r="LB20" i="11" s="1"/>
  <c r="LA20" i="11" a="1"/>
  <c r="LA20" i="11" s="1"/>
  <c r="KZ20" i="11" a="1"/>
  <c r="KZ20" i="11" s="1"/>
  <c r="KY20" i="11" a="1"/>
  <c r="KY20" i="11" s="1"/>
  <c r="KX20" i="11"/>
  <c r="KX20" i="11" a="1"/>
  <c r="KW20" i="11" a="1"/>
  <c r="KW20" i="11" s="1"/>
  <c r="KV20" i="11" a="1"/>
  <c r="KV20" i="11" s="1"/>
  <c r="KU20" i="11" a="1"/>
  <c r="KU20" i="11" s="1"/>
  <c r="KT20" i="11" a="1"/>
  <c r="KT20" i="11" s="1"/>
  <c r="KS20" i="11" a="1"/>
  <c r="KS20" i="11" s="1"/>
  <c r="KR20" i="11"/>
  <c r="KR20" i="11" a="1"/>
  <c r="KQ20" i="11" a="1"/>
  <c r="KQ20" i="11" s="1"/>
  <c r="KP20" i="11" a="1"/>
  <c r="KP20" i="11" s="1"/>
  <c r="KO20" i="11" a="1"/>
  <c r="KO20" i="11" s="1"/>
  <c r="KN20" i="11" a="1"/>
  <c r="KN20" i="11" s="1"/>
  <c r="KM20" i="11" a="1"/>
  <c r="KM20" i="11" s="1"/>
  <c r="KL20" i="11"/>
  <c r="KL20" i="11" a="1"/>
  <c r="KK20" i="11" a="1"/>
  <c r="KK20" i="11" s="1"/>
  <c r="KJ20" i="11" a="1"/>
  <c r="KJ20" i="11" s="1"/>
  <c r="KI20" i="11" a="1"/>
  <c r="KI20" i="11" s="1"/>
  <c r="KH20" i="11" a="1"/>
  <c r="KH20" i="11" s="1"/>
  <c r="KG20" i="11" a="1"/>
  <c r="KG20" i="11" s="1"/>
  <c r="KF20" i="11"/>
  <c r="KF20" i="11" a="1"/>
  <c r="KE20" i="11" a="1"/>
  <c r="KE20" i="11" s="1"/>
  <c r="KD20" i="11" a="1"/>
  <c r="KD20" i="11" s="1"/>
  <c r="KC20" i="11" a="1"/>
  <c r="KC20" i="11" s="1"/>
  <c r="KB20" i="11" a="1"/>
  <c r="KB20" i="11" s="1"/>
  <c r="KA20" i="11" a="1"/>
  <c r="KA20" i="11" s="1"/>
  <c r="JZ20" i="11"/>
  <c r="JZ20" i="11" a="1"/>
  <c r="JY20" i="11" a="1"/>
  <c r="JY20" i="11" s="1"/>
  <c r="JX20" i="11" a="1"/>
  <c r="JX20" i="11" s="1"/>
  <c r="JW20" i="11" a="1"/>
  <c r="JW20" i="11" s="1"/>
  <c r="JV20" i="11" a="1"/>
  <c r="JV20" i="11" s="1"/>
  <c r="JU20" i="11" a="1"/>
  <c r="JU20" i="11" s="1"/>
  <c r="JT20" i="11" a="1"/>
  <c r="JT20" i="11" s="1"/>
  <c r="JS20" i="11" a="1"/>
  <c r="JS20" i="11" s="1"/>
  <c r="JR20" i="11" a="1"/>
  <c r="JR20" i="11" s="1"/>
  <c r="JQ20" i="11" a="1"/>
  <c r="JQ20" i="11" s="1"/>
  <c r="JP20" i="11" a="1"/>
  <c r="JP20" i="11" s="1"/>
  <c r="JO20" i="11" a="1"/>
  <c r="JO20" i="11" s="1"/>
  <c r="JN20" i="11" a="1"/>
  <c r="JN20" i="11" s="1"/>
  <c r="JM20" i="11" a="1"/>
  <c r="JM20" i="11" s="1"/>
  <c r="JL20" i="11" a="1"/>
  <c r="JL20" i="11" s="1"/>
  <c r="JK20" i="11" a="1"/>
  <c r="JK20" i="11" s="1"/>
  <c r="JJ20" i="11" a="1"/>
  <c r="JJ20" i="11" s="1"/>
  <c r="JI20" i="11" a="1"/>
  <c r="JI20" i="11" s="1"/>
  <c r="JH20" i="11"/>
  <c r="JH20" i="11" a="1"/>
  <c r="JG20" i="11" a="1"/>
  <c r="JG20" i="11" s="1"/>
  <c r="JF20" i="11" a="1"/>
  <c r="JF20" i="11" s="1"/>
  <c r="JE20" i="11" a="1"/>
  <c r="JE20" i="11" s="1"/>
  <c r="JD20" i="11" a="1"/>
  <c r="JD20" i="11" s="1"/>
  <c r="JC20" i="11" a="1"/>
  <c r="JC20" i="11" s="1"/>
  <c r="JB20" i="11" a="1"/>
  <c r="JB20" i="11" s="1"/>
  <c r="JA20" i="11" a="1"/>
  <c r="JA20" i="11" s="1"/>
  <c r="IZ20" i="11" a="1"/>
  <c r="IZ20" i="11" s="1"/>
  <c r="IY20" i="11" a="1"/>
  <c r="IY20" i="11" s="1"/>
  <c r="IX20" i="11" a="1"/>
  <c r="IX20" i="11" s="1"/>
  <c r="IW20" i="11" a="1"/>
  <c r="IW20" i="11" s="1"/>
  <c r="IV20" i="11" a="1"/>
  <c r="IV20" i="11" s="1"/>
  <c r="IU20" i="11" a="1"/>
  <c r="IU20" i="11" s="1"/>
  <c r="IT20" i="11" a="1"/>
  <c r="IT20" i="11" s="1"/>
  <c r="IS20" i="11" a="1"/>
  <c r="IS20" i="11" s="1"/>
  <c r="IR20" i="11" a="1"/>
  <c r="IR20" i="11" s="1"/>
  <c r="IQ20" i="11" a="1"/>
  <c r="IQ20" i="11" s="1"/>
  <c r="IP20" i="11"/>
  <c r="IP20" i="11" a="1"/>
  <c r="IO20" i="11" a="1"/>
  <c r="IO20" i="11" s="1"/>
  <c r="IN20" i="11" a="1"/>
  <c r="IN20" i="11" s="1"/>
  <c r="IM20" i="11" a="1"/>
  <c r="IM20" i="11" s="1"/>
  <c r="IL20" i="11" a="1"/>
  <c r="IL20" i="11" s="1"/>
  <c r="IK20" i="11" a="1"/>
  <c r="IK20" i="11" s="1"/>
  <c r="IJ20" i="11" a="1"/>
  <c r="IJ20" i="11" s="1"/>
  <c r="II20" i="11" a="1"/>
  <c r="II20" i="11" s="1"/>
  <c r="IH20" i="11" a="1"/>
  <c r="IH20" i="11" s="1"/>
  <c r="IG20" i="11" a="1"/>
  <c r="IG20" i="11" s="1"/>
  <c r="IF20" i="11" a="1"/>
  <c r="IF20" i="11" s="1"/>
  <c r="IE20" i="11" a="1"/>
  <c r="IE20" i="11" s="1"/>
  <c r="ID20" i="11" a="1"/>
  <c r="ID20" i="11" s="1"/>
  <c r="IC20" i="11" a="1"/>
  <c r="IC20" i="11" s="1"/>
  <c r="IB20" i="11" a="1"/>
  <c r="IB20" i="11" s="1"/>
  <c r="IA20" i="11" a="1"/>
  <c r="IA20" i="11" s="1"/>
  <c r="HZ20" i="11" a="1"/>
  <c r="HZ20" i="11" s="1"/>
  <c r="HY20" i="11" a="1"/>
  <c r="HY20" i="11" s="1"/>
  <c r="HX20" i="11"/>
  <c r="HX20" i="11" a="1"/>
  <c r="HW20" i="11" a="1"/>
  <c r="HW20" i="11" s="1"/>
  <c r="HV20" i="11" a="1"/>
  <c r="HV20" i="11" s="1"/>
  <c r="HU20" i="11" a="1"/>
  <c r="HU20" i="11" s="1"/>
  <c r="HT20" i="11" a="1"/>
  <c r="HT20" i="11" s="1"/>
  <c r="HS20" i="11" a="1"/>
  <c r="HS20" i="11" s="1"/>
  <c r="HR20" i="11" a="1"/>
  <c r="HR20" i="11" s="1"/>
  <c r="HQ20" i="11" a="1"/>
  <c r="HQ20" i="11" s="1"/>
  <c r="HP20" i="11" a="1"/>
  <c r="HP20" i="11" s="1"/>
  <c r="HO20" i="11" a="1"/>
  <c r="HO20" i="11" s="1"/>
  <c r="HN20" i="11" a="1"/>
  <c r="HN20" i="11" s="1"/>
  <c r="HM20" i="11" a="1"/>
  <c r="HM20" i="11" s="1"/>
  <c r="HL20" i="11" a="1"/>
  <c r="HL20" i="11" s="1"/>
  <c r="HK20" i="11" a="1"/>
  <c r="HK20" i="11" s="1"/>
  <c r="HJ20" i="11" a="1"/>
  <c r="HJ20" i="11" s="1"/>
  <c r="HI20" i="11" a="1"/>
  <c r="HI20" i="11" s="1"/>
  <c r="HH20" i="11" a="1"/>
  <c r="HH20" i="11" s="1"/>
  <c r="HG20" i="11" a="1"/>
  <c r="HG20" i="11" s="1"/>
  <c r="HF20" i="11"/>
  <c r="HF20" i="11" a="1"/>
  <c r="HE20" i="11" a="1"/>
  <c r="HE20" i="11" s="1"/>
  <c r="HD20" i="11" a="1"/>
  <c r="HD20" i="11" s="1"/>
  <c r="HC20" i="11" a="1"/>
  <c r="HC20" i="11" s="1"/>
  <c r="HB20" i="11" a="1"/>
  <c r="HB20" i="11" s="1"/>
  <c r="HA20" i="11" a="1"/>
  <c r="HA20" i="11" s="1"/>
  <c r="GZ20" i="11" a="1"/>
  <c r="GZ20" i="11" s="1"/>
  <c r="GY20" i="11" a="1"/>
  <c r="GY20" i="11" s="1"/>
  <c r="GX20" i="11" a="1"/>
  <c r="GX20" i="11" s="1"/>
  <c r="GW20" i="11" a="1"/>
  <c r="GW20" i="11" s="1"/>
  <c r="GV20" i="11" a="1"/>
  <c r="GV20" i="11" s="1"/>
  <c r="GU20" i="11" a="1"/>
  <c r="GU20" i="11" s="1"/>
  <c r="GT20" i="11" a="1"/>
  <c r="GT20" i="11" s="1"/>
  <c r="GS20" i="11" a="1"/>
  <c r="GS20" i="11" s="1"/>
  <c r="GR20" i="11" a="1"/>
  <c r="GR20" i="11" s="1"/>
  <c r="GQ20" i="11" a="1"/>
  <c r="GQ20" i="11" s="1"/>
  <c r="GP20" i="11" a="1"/>
  <c r="GP20" i="11" s="1"/>
  <c r="GO20" i="11" a="1"/>
  <c r="GO20" i="11" s="1"/>
  <c r="GN20" i="11"/>
  <c r="GN20" i="11" a="1"/>
  <c r="GM20" i="11" a="1"/>
  <c r="GM20" i="11" s="1"/>
  <c r="GL20" i="11" a="1"/>
  <c r="GL20" i="11" s="1"/>
  <c r="GK20" i="11" a="1"/>
  <c r="GK20" i="11" s="1"/>
  <c r="GJ20" i="11" a="1"/>
  <c r="GJ20" i="11" s="1"/>
  <c r="GI20" i="11" a="1"/>
  <c r="GI20" i="11" s="1"/>
  <c r="GH20" i="11" a="1"/>
  <c r="GH20" i="11" s="1"/>
  <c r="GG20" i="11" a="1"/>
  <c r="GG20" i="11" s="1"/>
  <c r="GF20" i="11" a="1"/>
  <c r="GF20" i="11" s="1"/>
  <c r="GE20" i="11" a="1"/>
  <c r="GE20" i="11" s="1"/>
  <c r="GD20" i="11" a="1"/>
  <c r="GD20" i="11" s="1"/>
  <c r="GC20" i="11" a="1"/>
  <c r="GC20" i="11" s="1"/>
  <c r="GB20" i="11" a="1"/>
  <c r="GB20" i="11" s="1"/>
  <c r="GA20" i="11" a="1"/>
  <c r="GA20" i="11" s="1"/>
  <c r="FZ20" i="11" a="1"/>
  <c r="FZ20" i="11" s="1"/>
  <c r="FY20" i="11" a="1"/>
  <c r="FY20" i="11" s="1"/>
  <c r="FX20" i="11" a="1"/>
  <c r="FX20" i="11" s="1"/>
  <c r="FW20" i="11" a="1"/>
  <c r="FW20" i="11" s="1"/>
  <c r="FV20" i="11"/>
  <c r="FV20" i="11" a="1"/>
  <c r="FU20" i="11" a="1"/>
  <c r="FU20" i="11" s="1"/>
  <c r="FT20" i="11" a="1"/>
  <c r="FT20" i="11" s="1"/>
  <c r="FS20" i="11" a="1"/>
  <c r="FS20" i="11" s="1"/>
  <c r="FR20" i="11" a="1"/>
  <c r="FR20" i="11" s="1"/>
  <c r="FQ20" i="11" a="1"/>
  <c r="FQ20" i="11" s="1"/>
  <c r="FP20" i="11" a="1"/>
  <c r="FP20" i="11" s="1"/>
  <c r="FO20" i="11" a="1"/>
  <c r="FO20" i="11" s="1"/>
  <c r="FN20" i="11" a="1"/>
  <c r="FN20" i="11" s="1"/>
  <c r="FM20" i="11" a="1"/>
  <c r="FM20" i="11" s="1"/>
  <c r="FL20" i="11" a="1"/>
  <c r="FL20" i="11" s="1"/>
  <c r="FK20" i="11" a="1"/>
  <c r="FK20" i="11" s="1"/>
  <c r="FJ20" i="11" a="1"/>
  <c r="FJ20" i="11" s="1"/>
  <c r="FI20" i="11" a="1"/>
  <c r="FI20" i="11" s="1"/>
  <c r="FH20" i="11" a="1"/>
  <c r="FH20" i="11" s="1"/>
  <c r="FG20" i="11" a="1"/>
  <c r="FG20" i="11" s="1"/>
  <c r="FF20" i="11" a="1"/>
  <c r="FF20" i="11" s="1"/>
  <c r="FE20" i="11" a="1"/>
  <c r="FE20" i="11" s="1"/>
  <c r="FD20" i="11"/>
  <c r="FD20" i="11" a="1"/>
  <c r="FC20" i="11" a="1"/>
  <c r="FC20" i="11" s="1"/>
  <c r="FB20" i="11" a="1"/>
  <c r="FB20" i="11" s="1"/>
  <c r="FA20" i="11" a="1"/>
  <c r="FA20" i="11" s="1"/>
  <c r="EZ20" i="11" a="1"/>
  <c r="EZ20" i="11" s="1"/>
  <c r="EY20" i="11" a="1"/>
  <c r="EY20" i="11" s="1"/>
  <c r="EX20" i="11" a="1"/>
  <c r="EX20" i="11" s="1"/>
  <c r="EW20" i="11" a="1"/>
  <c r="EW20" i="11" s="1"/>
  <c r="EV20" i="11" a="1"/>
  <c r="EV20" i="11" s="1"/>
  <c r="EU20" i="11" a="1"/>
  <c r="EU20" i="11" s="1"/>
  <c r="ET20" i="11" a="1"/>
  <c r="ET20" i="11" s="1"/>
  <c r="ES20" i="11" a="1"/>
  <c r="ES20" i="11" s="1"/>
  <c r="ER20" i="11" a="1"/>
  <c r="ER20" i="11" s="1"/>
  <c r="EQ20" i="11" a="1"/>
  <c r="EQ20" i="11" s="1"/>
  <c r="EP20" i="11" a="1"/>
  <c r="EP20" i="11" s="1"/>
  <c r="EO20" i="11" a="1"/>
  <c r="EO20" i="11" s="1"/>
  <c r="EN20" i="11" a="1"/>
  <c r="EN20" i="11" s="1"/>
  <c r="EM20" i="11" a="1"/>
  <c r="EM20" i="11" s="1"/>
  <c r="EL20" i="11"/>
  <c r="EL20" i="11" a="1"/>
  <c r="EK20" i="11" a="1"/>
  <c r="EK20" i="11" s="1"/>
  <c r="EJ20" i="11" a="1"/>
  <c r="EJ20" i="11" s="1"/>
  <c r="EI20" i="11" a="1"/>
  <c r="EI20" i="11" s="1"/>
  <c r="EH20" i="11" a="1"/>
  <c r="EH20" i="11" s="1"/>
  <c r="EG20" i="11" a="1"/>
  <c r="EG20" i="11" s="1"/>
  <c r="EF20" i="11" a="1"/>
  <c r="EF20" i="11" s="1"/>
  <c r="EE20" i="11" a="1"/>
  <c r="EE20" i="11" s="1"/>
  <c r="ED20" i="11" a="1"/>
  <c r="ED20" i="11" s="1"/>
  <c r="EC20" i="11" a="1"/>
  <c r="EC20" i="11" s="1"/>
  <c r="EB20" i="11" a="1"/>
  <c r="EB20" i="11" s="1"/>
  <c r="EA20" i="11" a="1"/>
  <c r="EA20" i="11" s="1"/>
  <c r="DZ20" i="11" a="1"/>
  <c r="DZ20" i="11" s="1"/>
  <c r="DY20" i="11" a="1"/>
  <c r="DY20" i="11" s="1"/>
  <c r="DX20" i="11" a="1"/>
  <c r="DX20" i="11" s="1"/>
  <c r="DW20" i="11" a="1"/>
  <c r="DW20" i="11" s="1"/>
  <c r="DV20" i="11" a="1"/>
  <c r="DV20" i="11" s="1"/>
  <c r="DU20" i="11" a="1"/>
  <c r="DU20" i="11" s="1"/>
  <c r="DT20" i="11"/>
  <c r="DT20" i="11" a="1"/>
  <c r="DS20" i="11" a="1"/>
  <c r="DS20" i="11" s="1"/>
  <c r="DR20" i="11" a="1"/>
  <c r="DR20" i="11" s="1"/>
  <c r="DQ20" i="11" a="1"/>
  <c r="DQ20" i="11" s="1"/>
  <c r="DP20" i="11" a="1"/>
  <c r="DP20" i="11" s="1"/>
  <c r="DO20" i="11" a="1"/>
  <c r="DO20" i="11" s="1"/>
  <c r="DN20" i="11" a="1"/>
  <c r="DN20" i="11" s="1"/>
  <c r="DM20" i="11" a="1"/>
  <c r="DM20" i="11" s="1"/>
  <c r="DL20" i="11" a="1"/>
  <c r="DL20" i="11" s="1"/>
  <c r="DK20" i="11" a="1"/>
  <c r="DK20" i="11" s="1"/>
  <c r="DJ20" i="11" a="1"/>
  <c r="DJ20" i="11" s="1"/>
  <c r="DI20" i="11" a="1"/>
  <c r="DI20" i="11" s="1"/>
  <c r="DH20" i="11" a="1"/>
  <c r="DH20" i="11" s="1"/>
  <c r="DG20" i="11" a="1"/>
  <c r="DG20" i="11" s="1"/>
  <c r="DF20" i="11" a="1"/>
  <c r="DF20" i="11" s="1"/>
  <c r="DE20" i="11" a="1"/>
  <c r="DE20" i="11" s="1"/>
  <c r="DD20" i="11" a="1"/>
  <c r="DD20" i="11" s="1"/>
  <c r="DC20" i="11" a="1"/>
  <c r="DC20" i="11" s="1"/>
  <c r="DB20" i="11"/>
  <c r="DB20" i="11" a="1"/>
  <c r="DA20" i="11" a="1"/>
  <c r="DA20" i="11" s="1"/>
  <c r="CZ20" i="11" a="1"/>
  <c r="CZ20" i="11" s="1"/>
  <c r="CY20" i="11" a="1"/>
  <c r="CY20" i="11" s="1"/>
  <c r="CX20" i="11" a="1"/>
  <c r="CX20" i="11" s="1"/>
  <c r="CW20" i="11" a="1"/>
  <c r="CW20" i="11" s="1"/>
  <c r="CV20" i="11" a="1"/>
  <c r="CV20" i="11" s="1"/>
  <c r="CU20" i="11" a="1"/>
  <c r="CU20" i="11" s="1"/>
  <c r="CT20" i="11" a="1"/>
  <c r="CT20" i="11" s="1"/>
  <c r="CS20" i="11" a="1"/>
  <c r="CS20" i="11" s="1"/>
  <c r="CR20" i="11" a="1"/>
  <c r="CR20" i="11" s="1"/>
  <c r="CQ20" i="11" a="1"/>
  <c r="CQ20" i="11" s="1"/>
  <c r="CP20" i="11" a="1"/>
  <c r="CP20" i="11" s="1"/>
  <c r="CO20" i="11" a="1"/>
  <c r="CO20" i="11" s="1"/>
  <c r="CN20" i="11" a="1"/>
  <c r="CN20" i="11" s="1"/>
  <c r="CM20" i="11" a="1"/>
  <c r="CM20" i="11" s="1"/>
  <c r="CL20" i="11" a="1"/>
  <c r="CL20" i="11" s="1"/>
  <c r="CK20" i="11" a="1"/>
  <c r="CK20" i="11" s="1"/>
  <c r="CJ20" i="11"/>
  <c r="CJ20" i="11" a="1"/>
  <c r="CI20" i="11" a="1"/>
  <c r="CI20" i="11" s="1"/>
  <c r="CH20" i="11" a="1"/>
  <c r="CH20" i="11" s="1"/>
  <c r="CG20" i="11" a="1"/>
  <c r="CG20" i="11" s="1"/>
  <c r="CF20" i="11" a="1"/>
  <c r="CF20" i="11" s="1"/>
  <c r="CE20" i="11" a="1"/>
  <c r="CE20" i="11" s="1"/>
  <c r="CD20" i="11" a="1"/>
  <c r="CD20" i="11" s="1"/>
  <c r="CC20" i="11" a="1"/>
  <c r="CC20" i="11" s="1"/>
  <c r="CB20" i="11" a="1"/>
  <c r="CB20" i="11" s="1"/>
  <c r="CA20" i="11" a="1"/>
  <c r="CA20" i="11" s="1"/>
  <c r="BZ20" i="11" a="1"/>
  <c r="BZ20" i="11" s="1"/>
  <c r="BY20" i="11" a="1"/>
  <c r="BY20" i="11" s="1"/>
  <c r="BX20" i="11" a="1"/>
  <c r="BX20" i="11" s="1"/>
  <c r="BW20" i="11" a="1"/>
  <c r="BW20" i="11" s="1"/>
  <c r="BV20" i="11" a="1"/>
  <c r="BV20" i="11" s="1"/>
  <c r="BU20" i="11" a="1"/>
  <c r="BU20" i="11" s="1"/>
  <c r="BT20" i="11" a="1"/>
  <c r="BT20" i="11" s="1"/>
  <c r="BS20" i="11" a="1"/>
  <c r="BS20" i="11" s="1"/>
  <c r="BR20" i="11"/>
  <c r="BR20" i="11" a="1"/>
  <c r="BQ20" i="11" a="1"/>
  <c r="BQ20" i="11" s="1"/>
  <c r="BP20" i="11" a="1"/>
  <c r="BP20" i="11" s="1"/>
  <c r="BO20" i="11" a="1"/>
  <c r="BO20" i="11" s="1"/>
  <c r="BN20" i="11" a="1"/>
  <c r="BN20" i="11" s="1"/>
  <c r="BM20" i="11" a="1"/>
  <c r="BM20" i="11" s="1"/>
  <c r="BL20" i="11" a="1"/>
  <c r="BL20" i="11" s="1"/>
  <c r="BK20" i="11" a="1"/>
  <c r="BK20" i="11" s="1"/>
  <c r="BJ20" i="11" a="1"/>
  <c r="BJ20" i="11" s="1"/>
  <c r="BI20" i="11" a="1"/>
  <c r="BI20" i="11" s="1"/>
  <c r="BH20" i="11" a="1"/>
  <c r="BH20" i="11" s="1"/>
  <c r="BG20" i="11" a="1"/>
  <c r="BG20" i="11" s="1"/>
  <c r="BF20" i="11" a="1"/>
  <c r="BF20" i="11" s="1"/>
  <c r="BE20" i="11" a="1"/>
  <c r="BE20" i="11" s="1"/>
  <c r="BD20" i="11" a="1"/>
  <c r="BD20" i="11" s="1"/>
  <c r="BC20" i="11" a="1"/>
  <c r="BC20" i="11" s="1"/>
  <c r="BB20" i="11" a="1"/>
  <c r="BB20" i="11" s="1"/>
  <c r="BA20" i="11" a="1"/>
  <c r="BA20" i="11" s="1"/>
  <c r="AZ20" i="11"/>
  <c r="AZ20" i="11" a="1"/>
  <c r="AY20" i="11" a="1"/>
  <c r="AY20" i="11" s="1"/>
  <c r="AX20" i="11" a="1"/>
  <c r="AX20" i="11" s="1"/>
  <c r="AW20" i="11" a="1"/>
  <c r="AW20" i="11" s="1"/>
  <c r="AV20" i="11" a="1"/>
  <c r="AV20" i="11" s="1"/>
  <c r="AU20" i="11" a="1"/>
  <c r="AU20" i="11" s="1"/>
  <c r="AT20" i="11" a="1"/>
  <c r="AT20" i="11" s="1"/>
  <c r="AS20" i="11" a="1"/>
  <c r="AS20" i="11" s="1"/>
  <c r="AR20" i="11" a="1"/>
  <c r="AR20" i="11" s="1"/>
  <c r="AQ20" i="11" a="1"/>
  <c r="AQ20" i="11" s="1"/>
  <c r="AP20" i="11" a="1"/>
  <c r="AP20" i="11" s="1"/>
  <c r="AO20" i="11" a="1"/>
  <c r="AO20" i="11" s="1"/>
  <c r="AN20" i="11" a="1"/>
  <c r="AN20" i="11" s="1"/>
  <c r="AM20" i="11" a="1"/>
  <c r="AM20" i="11" s="1"/>
  <c r="AL20" i="11" a="1"/>
  <c r="AL20" i="11" s="1"/>
  <c r="AK20" i="11" a="1"/>
  <c r="AK20" i="11" s="1"/>
  <c r="AJ20" i="11" a="1"/>
  <c r="AJ20" i="11" s="1"/>
  <c r="AI20" i="11" a="1"/>
  <c r="AI20" i="11" s="1"/>
  <c r="AH20" i="11"/>
  <c r="AH20" i="11" a="1"/>
  <c r="AG20" i="11" a="1"/>
  <c r="AG20" i="11" s="1"/>
  <c r="AF20" i="11" a="1"/>
  <c r="AF20" i="11" s="1"/>
  <c r="AE20" i="11" a="1"/>
  <c r="AE20" i="11" s="1"/>
  <c r="AD20" i="11" a="1"/>
  <c r="AD20" i="11" s="1"/>
  <c r="AC20" i="11" a="1"/>
  <c r="AC20" i="11" s="1"/>
  <c r="AB20" i="11" a="1"/>
  <c r="AB20" i="11" s="1"/>
  <c r="AA20" i="11" a="1"/>
  <c r="AA20" i="11" s="1"/>
  <c r="Z20" i="11" a="1"/>
  <c r="Z20" i="11" s="1"/>
  <c r="Y20" i="11" a="1"/>
  <c r="Y20" i="11" s="1"/>
  <c r="X20" i="11" a="1"/>
  <c r="X20" i="11" s="1"/>
  <c r="W20" i="11" a="1"/>
  <c r="W20" i="11" s="1"/>
  <c r="V20" i="11" a="1"/>
  <c r="V20" i="11" s="1"/>
  <c r="U20" i="11" a="1"/>
  <c r="U20" i="11" s="1"/>
  <c r="T20" i="11" a="1"/>
  <c r="T20" i="11" s="1"/>
  <c r="S20" i="11" a="1"/>
  <c r="S20" i="11" s="1"/>
  <c r="R20" i="11" a="1"/>
  <c r="R20" i="11" s="1"/>
  <c r="Q20" i="11" a="1"/>
  <c r="Q20" i="11" s="1"/>
  <c r="P20" i="11"/>
  <c r="P20" i="11" a="1"/>
  <c r="O20" i="11" a="1"/>
  <c r="O20" i="11" s="1"/>
  <c r="N20" i="11" a="1"/>
  <c r="N20" i="11" s="1"/>
  <c r="M20" i="11" a="1"/>
  <c r="M20" i="11" s="1"/>
  <c r="L20" i="11" a="1"/>
  <c r="L20" i="11" s="1"/>
  <c r="K20" i="11" a="1"/>
  <c r="K20" i="11" s="1"/>
  <c r="J20" i="11" a="1"/>
  <c r="J20" i="11" s="1"/>
  <c r="I20" i="11" a="1"/>
  <c r="I20" i="11" s="1"/>
  <c r="H20" i="11" a="1"/>
  <c r="H20" i="11" s="1"/>
  <c r="G20" i="11" a="1"/>
  <c r="G20" i="11" s="1"/>
  <c r="F20" i="11" a="1"/>
  <c r="F20" i="11" s="1"/>
  <c r="E20" i="11" a="1"/>
  <c r="E20" i="11" s="1"/>
  <c r="D20" i="11" a="1"/>
  <c r="D20" i="11" s="1"/>
  <c r="C20" i="11" a="1"/>
  <c r="C20" i="11" s="1"/>
  <c r="B20" i="11" a="1"/>
  <c r="B20" i="11" s="1"/>
  <c r="SG19" i="11"/>
  <c r="SF19" i="11"/>
  <c r="SE19" i="11"/>
  <c r="SD19" i="11"/>
  <c r="SC19" i="11"/>
  <c r="SB19" i="11"/>
  <c r="SA19" i="11"/>
  <c r="RZ19" i="11"/>
  <c r="RY19" i="11"/>
  <c r="RX19" i="11"/>
  <c r="RW19" i="11"/>
  <c r="RV19" i="11"/>
  <c r="RU19" i="11"/>
  <c r="RT19" i="11"/>
  <c r="RS19" i="11"/>
  <c r="RR19" i="11"/>
  <c r="RQ19" i="11"/>
  <c r="RP19" i="11"/>
  <c r="RO19" i="11"/>
  <c r="RN19" i="11"/>
  <c r="RM19" i="11"/>
  <c r="RL19" i="11"/>
  <c r="RK19" i="11"/>
  <c r="RJ19" i="11"/>
  <c r="RI19" i="11"/>
  <c r="RH19" i="11"/>
  <c r="RG19" i="11"/>
  <c r="RF19" i="11"/>
  <c r="RE19" i="11"/>
  <c r="RD19" i="11"/>
  <c r="RC19" i="11"/>
  <c r="RB19" i="11"/>
  <c r="RA19" i="11"/>
  <c r="QZ19" i="11"/>
  <c r="QY19" i="11"/>
  <c r="QX19" i="11"/>
  <c r="QW19" i="11"/>
  <c r="QV19" i="11"/>
  <c r="QU19" i="11"/>
  <c r="QT19" i="11"/>
  <c r="QS19" i="11"/>
  <c r="QR19" i="11"/>
  <c r="QQ19" i="11"/>
  <c r="QP19" i="11"/>
  <c r="QO19" i="11"/>
  <c r="QN19" i="11"/>
  <c r="QM19" i="11"/>
  <c r="QL19" i="11"/>
  <c r="QK19" i="11"/>
  <c r="QJ19" i="11"/>
  <c r="QI19" i="11"/>
  <c r="QH19" i="11"/>
  <c r="QG19" i="11"/>
  <c r="QF19" i="11"/>
  <c r="QE19" i="11"/>
  <c r="QD19" i="11"/>
  <c r="QC19" i="11"/>
  <c r="QB19" i="11"/>
  <c r="QA19" i="11"/>
  <c r="PZ19" i="11"/>
  <c r="PY19" i="11"/>
  <c r="PX19" i="11"/>
  <c r="PW19" i="11"/>
  <c r="PV19" i="11"/>
  <c r="PU19" i="11"/>
  <c r="PT19" i="11"/>
  <c r="PS19" i="11"/>
  <c r="PR19" i="11"/>
  <c r="PQ19" i="11"/>
  <c r="PP19" i="11"/>
  <c r="PO19" i="11"/>
  <c r="PN19" i="11"/>
  <c r="PM19" i="11"/>
  <c r="PL19" i="11"/>
  <c r="PK19" i="11"/>
  <c r="PJ19" i="11"/>
  <c r="PI19" i="11"/>
  <c r="PH19" i="11"/>
  <c r="PG19" i="11"/>
  <c r="PF19" i="11"/>
  <c r="PE19" i="11"/>
  <c r="PD19" i="11"/>
  <c r="PC19" i="11"/>
  <c r="PB19" i="11"/>
  <c r="PA19" i="11"/>
  <c r="OZ19" i="11"/>
  <c r="OY19" i="11"/>
  <c r="OX19" i="11"/>
  <c r="OW19" i="11"/>
  <c r="OV19" i="11"/>
  <c r="OU19" i="11"/>
  <c r="OT19" i="11"/>
  <c r="OS19" i="11"/>
  <c r="OR19" i="11"/>
  <c r="OQ19" i="11"/>
  <c r="OP19" i="11"/>
  <c r="OO19" i="11"/>
  <c r="ON19" i="11"/>
  <c r="OM19" i="11"/>
  <c r="OL19" i="11"/>
  <c r="OK19" i="11"/>
  <c r="OJ19" i="11"/>
  <c r="OI19" i="11"/>
  <c r="OH19" i="11"/>
  <c r="OG19" i="11"/>
  <c r="OF19" i="11"/>
  <c r="OE19" i="11"/>
  <c r="OD19" i="11"/>
  <c r="OC19" i="11"/>
  <c r="OB19" i="11"/>
  <c r="OA19" i="11"/>
  <c r="NZ19" i="11"/>
  <c r="NY19" i="11"/>
  <c r="NX19" i="11"/>
  <c r="NW19" i="11"/>
  <c r="NV19" i="11"/>
  <c r="NU19" i="11"/>
  <c r="NT19" i="11"/>
  <c r="NS19" i="11"/>
  <c r="NR19" i="11"/>
  <c r="NQ19" i="11"/>
  <c r="NP19" i="11"/>
  <c r="NO19" i="11"/>
  <c r="NN19" i="11"/>
  <c r="NM19" i="11"/>
  <c r="NL19" i="11"/>
  <c r="NK19" i="11"/>
  <c r="NJ19" i="11"/>
  <c r="NI19" i="11"/>
  <c r="NH19" i="11"/>
  <c r="NG19" i="11"/>
  <c r="NF19" i="11"/>
  <c r="NE19" i="11"/>
  <c r="ND19" i="11"/>
  <c r="NC19" i="11"/>
  <c r="NB19" i="11"/>
  <c r="NA19" i="11"/>
  <c r="MZ19" i="11"/>
  <c r="MY19" i="11"/>
  <c r="MX19" i="11"/>
  <c r="MW19" i="11"/>
  <c r="MV19" i="11"/>
  <c r="MU19" i="11"/>
  <c r="MT19" i="11"/>
  <c r="MS19" i="11"/>
  <c r="MR19" i="11"/>
  <c r="MQ19" i="11"/>
  <c r="MP19" i="11"/>
  <c r="MO19" i="11"/>
  <c r="MN19" i="11"/>
  <c r="MM19" i="11"/>
  <c r="ML19" i="11"/>
  <c r="MK19" i="11"/>
  <c r="MJ19" i="11"/>
  <c r="MI19" i="11"/>
  <c r="MH19" i="11"/>
  <c r="MG19" i="11"/>
  <c r="MF19" i="11"/>
  <c r="ME19" i="11"/>
  <c r="MD19" i="11"/>
  <c r="MC19" i="11"/>
  <c r="MB19" i="11"/>
  <c r="MA19" i="11"/>
  <c r="LZ19" i="11"/>
  <c r="LY19" i="11"/>
  <c r="LX19" i="11"/>
  <c r="LW19" i="11"/>
  <c r="LV19" i="11"/>
  <c r="LU19" i="11"/>
  <c r="LT19" i="11"/>
  <c r="LS19" i="11"/>
  <c r="LR19" i="11"/>
  <c r="LQ19" i="11"/>
  <c r="LP19" i="11"/>
  <c r="LO19" i="11"/>
  <c r="LN19" i="11"/>
  <c r="LM19" i="11"/>
  <c r="LL19" i="11"/>
  <c r="LK19" i="11"/>
  <c r="LJ19" i="11"/>
  <c r="LI19" i="11"/>
  <c r="LH19" i="11"/>
  <c r="LG19" i="11"/>
  <c r="LF19" i="11"/>
  <c r="LE19" i="11"/>
  <c r="LD19" i="11"/>
  <c r="LC19" i="11"/>
  <c r="LB19" i="11"/>
  <c r="LA19" i="11"/>
  <c r="KZ19" i="11"/>
  <c r="KY19" i="11"/>
  <c r="KX19" i="11"/>
  <c r="KW19" i="11"/>
  <c r="KV19" i="11"/>
  <c r="KU19" i="11"/>
  <c r="KT19" i="11"/>
  <c r="KS19" i="11"/>
  <c r="KR19" i="11"/>
  <c r="KQ19" i="11"/>
  <c r="KP19" i="11"/>
  <c r="KO19" i="11"/>
  <c r="KN19" i="11"/>
  <c r="KM19" i="11"/>
  <c r="KL19" i="11"/>
  <c r="KK19" i="11"/>
  <c r="KJ19" i="11"/>
  <c r="KI19" i="11"/>
  <c r="KH19" i="11"/>
  <c r="KG19" i="11"/>
  <c r="KF19" i="11"/>
  <c r="KE19" i="11"/>
  <c r="KD19" i="11"/>
  <c r="KC19" i="11"/>
  <c r="KB19" i="11"/>
  <c r="KA19" i="11"/>
  <c r="JZ19" i="11"/>
  <c r="JY19" i="11"/>
  <c r="JX19" i="11"/>
  <c r="JW19" i="11"/>
  <c r="JV19" i="11"/>
  <c r="JU19" i="11"/>
  <c r="JT19" i="11"/>
  <c r="JS19" i="11"/>
  <c r="JR19" i="11"/>
  <c r="JQ19" i="11"/>
  <c r="JP19" i="11"/>
  <c r="JO19" i="11"/>
  <c r="JN19" i="11"/>
  <c r="JM19" i="11"/>
  <c r="JL19" i="11"/>
  <c r="JK19" i="11"/>
  <c r="JJ19" i="11"/>
  <c r="JI19" i="11"/>
  <c r="JH19" i="11"/>
  <c r="JG19" i="11"/>
  <c r="JF19" i="11"/>
  <c r="JE19" i="11"/>
  <c r="JD19" i="11"/>
  <c r="JC19" i="11"/>
  <c r="JB19" i="11"/>
  <c r="JA19" i="11"/>
  <c r="IZ19" i="11"/>
  <c r="IY19" i="11"/>
  <c r="IX19" i="11"/>
  <c r="IW19" i="11"/>
  <c r="IV19" i="11"/>
  <c r="IU19" i="11"/>
  <c r="IT19" i="11"/>
  <c r="IS19" i="11"/>
  <c r="IR19" i="11"/>
  <c r="IQ19" i="11"/>
  <c r="IP19" i="11"/>
  <c r="IO19" i="11"/>
  <c r="IN19" i="11"/>
  <c r="IM19" i="11"/>
  <c r="IL19" i="11"/>
  <c r="IK19" i="11"/>
  <c r="IJ19" i="11"/>
  <c r="II19" i="11"/>
  <c r="IH19" i="11"/>
  <c r="IG19" i="11"/>
  <c r="IF19" i="11"/>
  <c r="IE19" i="11"/>
  <c r="ID19" i="11"/>
  <c r="IC19" i="11"/>
  <c r="IB19" i="11"/>
  <c r="IA19" i="11"/>
  <c r="HZ19" i="11"/>
  <c r="HY19" i="11"/>
  <c r="HX19" i="11"/>
  <c r="HW19" i="11"/>
  <c r="HV19" i="11"/>
  <c r="HU19" i="11"/>
  <c r="HT19" i="11"/>
  <c r="HS19" i="11"/>
  <c r="HR19" i="11"/>
  <c r="HQ19" i="11"/>
  <c r="HP19" i="11"/>
  <c r="HO19" i="11"/>
  <c r="HN19" i="11"/>
  <c r="HM19" i="11"/>
  <c r="HL19" i="11"/>
  <c r="HK19" i="11"/>
  <c r="HJ19" i="11"/>
  <c r="HI19" i="11"/>
  <c r="HH19" i="11"/>
  <c r="HG19" i="11"/>
  <c r="HF19" i="11"/>
  <c r="HE19" i="11"/>
  <c r="HD19" i="11"/>
  <c r="HC19" i="11"/>
  <c r="HB19" i="11"/>
  <c r="HA19" i="11"/>
  <c r="GZ19" i="11"/>
  <c r="GY19" i="11"/>
  <c r="GX19" i="11"/>
  <c r="GW19" i="11"/>
  <c r="GV19" i="11"/>
  <c r="GU19" i="11"/>
  <c r="GT19" i="11"/>
  <c r="GS19" i="11"/>
  <c r="GR19" i="11"/>
  <c r="GQ19" i="11"/>
  <c r="GP19" i="11"/>
  <c r="GO19" i="11"/>
  <c r="GN19" i="11"/>
  <c r="GM19" i="11"/>
  <c r="GL19" i="11"/>
  <c r="GK19" i="11"/>
  <c r="GJ19" i="11"/>
  <c r="GI19" i="11"/>
  <c r="GH19" i="11"/>
  <c r="GG19" i="11"/>
  <c r="GF19" i="11"/>
  <c r="GE19" i="11"/>
  <c r="GD19" i="11"/>
  <c r="GC19" i="11"/>
  <c r="GB19" i="11"/>
  <c r="GA19" i="11"/>
  <c r="FZ19" i="11"/>
  <c r="FY19" i="11"/>
  <c r="FX19" i="11"/>
  <c r="FW19" i="11"/>
  <c r="FV19" i="11"/>
  <c r="FU19" i="11"/>
  <c r="FT19" i="11"/>
  <c r="FS19" i="11"/>
  <c r="FR19" i="11"/>
  <c r="FQ19" i="11"/>
  <c r="FP19" i="11"/>
  <c r="FO19" i="11"/>
  <c r="FN19" i="11"/>
  <c r="FM19" i="11"/>
  <c r="FL19" i="11"/>
  <c r="FK19" i="11"/>
  <c r="FJ19" i="11"/>
  <c r="FI19" i="11"/>
  <c r="FH19" i="11"/>
  <c r="FG19" i="11"/>
  <c r="FF19" i="11"/>
  <c r="FE19" i="11"/>
  <c r="FD19" i="11"/>
  <c r="FC19" i="11"/>
  <c r="FB19" i="11"/>
  <c r="FA19" i="11"/>
  <c r="EZ19" i="11"/>
  <c r="EY19" i="11"/>
  <c r="EX19" i="11"/>
  <c r="EW19" i="11"/>
  <c r="EV19" i="11"/>
  <c r="EU19" i="11"/>
  <c r="ET19" i="11"/>
  <c r="ES19" i="11"/>
  <c r="ER19" i="11"/>
  <c r="EQ19" i="11"/>
  <c r="EP19" i="11"/>
  <c r="EO19" i="11"/>
  <c r="EN19" i="11"/>
  <c r="EM19" i="11"/>
  <c r="EL19" i="11"/>
  <c r="EK19" i="11"/>
  <c r="EJ19" i="11"/>
  <c r="EI19" i="11"/>
  <c r="EH19" i="11"/>
  <c r="EG19" i="11"/>
  <c r="EF19" i="11"/>
  <c r="EE19" i="11"/>
  <c r="ED19" i="11"/>
  <c r="EC19" i="11"/>
  <c r="EB19" i="11"/>
  <c r="EA19" i="11"/>
  <c r="DZ19" i="11"/>
  <c r="DY19" i="11"/>
  <c r="DX19" i="11"/>
  <c r="DW19" i="11"/>
  <c r="DV19" i="11"/>
  <c r="DU19" i="11"/>
  <c r="DT19" i="11"/>
  <c r="DS19" i="11"/>
  <c r="DR19" i="11"/>
  <c r="DQ19" i="11"/>
  <c r="DP19" i="11"/>
  <c r="DO19" i="11"/>
  <c r="DN19" i="11"/>
  <c r="DM19" i="11"/>
  <c r="DL19" i="11"/>
  <c r="DK19" i="11"/>
  <c r="DJ19" i="11"/>
  <c r="DI19" i="11"/>
  <c r="DH19" i="11"/>
  <c r="DG19" i="11"/>
  <c r="DF19" i="11"/>
  <c r="DE19" i="11"/>
  <c r="DD19" i="11"/>
  <c r="DC19" i="11"/>
  <c r="DB19" i="11"/>
  <c r="DA19" i="11"/>
  <c r="CZ19" i="11"/>
  <c r="CY19" i="11"/>
  <c r="CX19" i="11"/>
  <c r="CW19" i="11"/>
  <c r="CV19" i="11"/>
  <c r="CU19" i="11"/>
  <c r="CT19" i="11"/>
  <c r="CS19" i="11"/>
  <c r="CR19" i="11"/>
  <c r="CQ19" i="11"/>
  <c r="CP19" i="11"/>
  <c r="CO19" i="11"/>
  <c r="CN19" i="11"/>
  <c r="CM19" i="11"/>
  <c r="CL19" i="11"/>
  <c r="CK19" i="11"/>
  <c r="CJ19" i="11"/>
  <c r="CI19" i="11"/>
  <c r="CH19" i="11"/>
  <c r="CG19" i="11"/>
  <c r="CF19" i="11"/>
  <c r="CE19" i="11"/>
  <c r="CD19" i="11"/>
  <c r="CC19" i="11"/>
  <c r="CB19" i="11"/>
  <c r="CA19" i="11"/>
  <c r="BZ19" i="11"/>
  <c r="BY19" i="11"/>
  <c r="BX19" i="11"/>
  <c r="BW19" i="11"/>
  <c r="BV19" i="11"/>
  <c r="BU19" i="11"/>
  <c r="BT19" i="11"/>
  <c r="BS19" i="11"/>
  <c r="BR19" i="11"/>
  <c r="BQ19" i="11"/>
  <c r="BP19" i="11"/>
  <c r="BO19" i="11"/>
  <c r="BN19" i="11"/>
  <c r="BM19" i="11"/>
  <c r="BL19" i="11"/>
  <c r="BK19" i="11"/>
  <c r="BJ19" i="11"/>
  <c r="BI19" i="11"/>
  <c r="BH19" i="11"/>
  <c r="BG19" i="11"/>
  <c r="BF19" i="11"/>
  <c r="BE19" i="11"/>
  <c r="BD19" i="11"/>
  <c r="BC19" i="11"/>
  <c r="BB19" i="11"/>
  <c r="BA19" i="11"/>
  <c r="AZ19" i="11"/>
  <c r="AY19" i="11"/>
  <c r="AX19" i="11"/>
  <c r="AW19" i="11"/>
  <c r="AV19" i="11"/>
  <c r="AU19" i="11"/>
  <c r="AT19" i="11"/>
  <c r="AS19" i="11"/>
  <c r="AR19" i="11"/>
  <c r="AQ19" i="11"/>
  <c r="AP19" i="11"/>
  <c r="AO19" i="11"/>
  <c r="AN19" i="11"/>
  <c r="AM19" i="11"/>
  <c r="AL19" i="11"/>
  <c r="AK19" i="11"/>
  <c r="AJ19" i="11"/>
  <c r="AI19" i="11"/>
  <c r="AH19" i="11"/>
  <c r="AG19" i="11"/>
  <c r="AF19" i="11"/>
  <c r="AE19" i="11"/>
  <c r="AD19" i="11"/>
  <c r="AC19" i="11"/>
  <c r="AB19" i="11"/>
  <c r="AA19" i="11"/>
  <c r="Z19" i="11"/>
  <c r="Y19" i="11"/>
  <c r="X19" i="11"/>
  <c r="W19" i="11"/>
  <c r="V19" i="11"/>
  <c r="U19" i="11"/>
  <c r="T19" i="11"/>
  <c r="S19" i="11"/>
  <c r="R19" i="11"/>
  <c r="Q19" i="11"/>
  <c r="P19" i="11"/>
  <c r="O19" i="11"/>
  <c r="N19" i="11"/>
  <c r="M19" i="11"/>
  <c r="L19" i="11"/>
  <c r="K19" i="11"/>
  <c r="J19" i="11"/>
  <c r="I19" i="11"/>
  <c r="H19" i="11"/>
  <c r="G19" i="11"/>
  <c r="F19" i="11"/>
  <c r="E19" i="11"/>
  <c r="D19" i="11"/>
  <c r="C19" i="11"/>
  <c r="B19" i="11"/>
  <c r="RX18" i="11"/>
  <c r="RW18" i="11"/>
  <c r="RL18" i="11"/>
  <c r="RK18" i="11"/>
  <c r="RJ18" i="11"/>
  <c r="RE18" i="11"/>
  <c r="QZ18" i="11"/>
  <c r="QY18" i="11"/>
  <c r="QX18" i="11"/>
  <c r="QS18" i="11"/>
  <c r="QN18" i="11"/>
  <c r="QM18" i="11"/>
  <c r="QL18" i="11"/>
  <c r="QG18" i="11"/>
  <c r="QB18" i="11"/>
  <c r="QA18" i="11"/>
  <c r="PZ18" i="11"/>
  <c r="PU18" i="11"/>
  <c r="PP18" i="11"/>
  <c r="PO18" i="11"/>
  <c r="PN18" i="11"/>
  <c r="PI18" i="11"/>
  <c r="PD18" i="11"/>
  <c r="PC18" i="11"/>
  <c r="PB18" i="11"/>
  <c r="OW18" i="11"/>
  <c r="OR18" i="11"/>
  <c r="OQ18" i="11"/>
  <c r="OP18" i="11"/>
  <c r="OK18" i="11"/>
  <c r="OF18" i="11"/>
  <c r="OE18" i="11"/>
  <c r="OD18" i="11"/>
  <c r="NY18" i="11"/>
  <c r="NT18" i="11"/>
  <c r="NS18" i="11"/>
  <c r="NR18" i="11"/>
  <c r="NM18" i="11"/>
  <c r="NH18" i="11"/>
  <c r="NG18" i="11"/>
  <c r="NF18" i="11"/>
  <c r="NA18" i="11"/>
  <c r="MV18" i="11"/>
  <c r="MU18" i="11"/>
  <c r="MT18" i="11"/>
  <c r="MO18" i="11"/>
  <c r="MJ18" i="11"/>
  <c r="MI18" i="11"/>
  <c r="MH18" i="11"/>
  <c r="MC18" i="11"/>
  <c r="LX18" i="11"/>
  <c r="LW18" i="11"/>
  <c r="LV18" i="11"/>
  <c r="LQ18" i="11"/>
  <c r="LL18" i="11"/>
  <c r="LK18" i="11"/>
  <c r="LJ18" i="11"/>
  <c r="LE18" i="11"/>
  <c r="KZ18" i="11"/>
  <c r="KY18" i="11"/>
  <c r="KX18" i="11"/>
  <c r="KS18" i="11"/>
  <c r="KN18" i="11"/>
  <c r="KM18" i="11"/>
  <c r="KL18" i="11"/>
  <c r="KG18" i="11"/>
  <c r="KB18" i="11"/>
  <c r="KA18" i="11"/>
  <c r="JZ18" i="11"/>
  <c r="JU18" i="11"/>
  <c r="JP18" i="11"/>
  <c r="JO18" i="11"/>
  <c r="JN18" i="11"/>
  <c r="JI18" i="11"/>
  <c r="JD18" i="11"/>
  <c r="JC18" i="11"/>
  <c r="JB18" i="11"/>
  <c r="IW18" i="11"/>
  <c r="IR18" i="11"/>
  <c r="IQ18" i="11"/>
  <c r="IP18" i="11"/>
  <c r="IK18" i="11"/>
  <c r="IF18" i="11"/>
  <c r="IE18" i="11"/>
  <c r="ID18" i="11"/>
  <c r="HY18" i="11"/>
  <c r="HT18" i="11"/>
  <c r="HS18" i="11"/>
  <c r="HR18" i="11"/>
  <c r="HM18" i="11"/>
  <c r="HH18" i="11"/>
  <c r="HG18" i="11"/>
  <c r="HF18" i="11"/>
  <c r="HA18" i="11"/>
  <c r="GV18" i="11"/>
  <c r="GU18" i="11"/>
  <c r="GT18" i="11"/>
  <c r="GO18" i="11"/>
  <c r="GJ18" i="11"/>
  <c r="GI18" i="11"/>
  <c r="GH18" i="11"/>
  <c r="GC18" i="11"/>
  <c r="FX18" i="11"/>
  <c r="FW18" i="11"/>
  <c r="FV18" i="11"/>
  <c r="FQ18" i="11"/>
  <c r="FL18" i="11"/>
  <c r="FK18" i="11"/>
  <c r="FJ18" i="11"/>
  <c r="FE18" i="11"/>
  <c r="EZ18" i="11"/>
  <c r="EY18" i="11"/>
  <c r="EX18" i="11"/>
  <c r="ES18" i="11"/>
  <c r="EN18" i="11"/>
  <c r="EM18" i="11"/>
  <c r="EL18" i="11"/>
  <c r="EG18" i="11"/>
  <c r="EB18" i="11"/>
  <c r="EA18" i="11"/>
  <c r="DZ18" i="11"/>
  <c r="DU18" i="11"/>
  <c r="DP18" i="11"/>
  <c r="DO18" i="11"/>
  <c r="DN18" i="11"/>
  <c r="DI18" i="11"/>
  <c r="DD18" i="11"/>
  <c r="DC18" i="11"/>
  <c r="DB18" i="11"/>
  <c r="CW18" i="11"/>
  <c r="CR18" i="11"/>
  <c r="CQ18" i="11"/>
  <c r="CP18" i="11"/>
  <c r="CK18" i="11"/>
  <c r="CF18" i="11"/>
  <c r="CE18" i="11"/>
  <c r="CD18" i="11"/>
  <c r="BY18" i="11"/>
  <c r="BT18" i="11"/>
  <c r="BS18" i="11"/>
  <c r="BR18" i="11"/>
  <c r="BM18" i="11"/>
  <c r="BH18" i="11"/>
  <c r="BG18" i="11"/>
  <c r="BF18" i="11"/>
  <c r="BA18" i="11"/>
  <c r="AV18" i="11"/>
  <c r="AU18" i="11"/>
  <c r="AT18" i="11"/>
  <c r="AO18" i="11"/>
  <c r="AJ18" i="11"/>
  <c r="AI18" i="11"/>
  <c r="AH18" i="11"/>
  <c r="AC18" i="11"/>
  <c r="X18" i="11"/>
  <c r="W18" i="11"/>
  <c r="V18" i="11"/>
  <c r="Q18" i="11"/>
  <c r="L18" i="11"/>
  <c r="K18" i="11"/>
  <c r="J18" i="11"/>
  <c r="E18" i="11"/>
  <c r="SG17" i="11"/>
  <c r="SF17" i="11"/>
  <c r="SE17" i="11"/>
  <c r="SD17" i="11"/>
  <c r="SC17" i="11"/>
  <c r="SB17" i="11"/>
  <c r="SA17" i="11"/>
  <c r="RZ17" i="11"/>
  <c r="RY17" i="11"/>
  <c r="RX17" i="11"/>
  <c r="RW17" i="11"/>
  <c r="RV17" i="11"/>
  <c r="RU17" i="11"/>
  <c r="RT17" i="11"/>
  <c r="RS17" i="11"/>
  <c r="RS18" i="11" s="1"/>
  <c r="RR17" i="11"/>
  <c r="RR18" i="11" s="1"/>
  <c r="RQ17" i="11"/>
  <c r="RP17" i="11"/>
  <c r="RO17" i="11"/>
  <c r="RN17" i="11"/>
  <c r="RM17" i="11"/>
  <c r="RL17" i="11"/>
  <c r="RK17" i="11"/>
  <c r="RJ17" i="11"/>
  <c r="RI17" i="11"/>
  <c r="RH17" i="11"/>
  <c r="RG17" i="11"/>
  <c r="RF17" i="11"/>
  <c r="RF18" i="11" s="1"/>
  <c r="RE17" i="11"/>
  <c r="RD17" i="11"/>
  <c r="RC17" i="11"/>
  <c r="RB17" i="11"/>
  <c r="RA17" i="11"/>
  <c r="QZ17" i="11"/>
  <c r="QY17" i="11"/>
  <c r="QX17" i="11"/>
  <c r="QW17" i="11"/>
  <c r="QV17" i="11"/>
  <c r="QU17" i="11"/>
  <c r="QT17" i="11"/>
  <c r="QT18" i="11" s="1"/>
  <c r="QS17" i="11"/>
  <c r="QR17" i="11"/>
  <c r="QQ17" i="11"/>
  <c r="QP17" i="11"/>
  <c r="QO17" i="11"/>
  <c r="QN17" i="11"/>
  <c r="QM17" i="11"/>
  <c r="QL17" i="11"/>
  <c r="QK17" i="11"/>
  <c r="QJ17" i="11"/>
  <c r="QI17" i="11"/>
  <c r="QH17" i="11"/>
  <c r="QH18" i="11" s="1"/>
  <c r="QG17" i="11"/>
  <c r="QF17" i="11"/>
  <c r="QE17" i="11"/>
  <c r="QD17" i="11"/>
  <c r="QC17" i="11"/>
  <c r="QB17" i="11"/>
  <c r="QA17" i="11"/>
  <c r="PZ17" i="11"/>
  <c r="PY17" i="11"/>
  <c r="PX17" i="11"/>
  <c r="PW17" i="11"/>
  <c r="PV17" i="11"/>
  <c r="PV18" i="11" s="1"/>
  <c r="PU17" i="11"/>
  <c r="PT17" i="11"/>
  <c r="PS17" i="11"/>
  <c r="PR17" i="11"/>
  <c r="PQ17" i="11"/>
  <c r="PP17" i="11"/>
  <c r="PO17" i="11"/>
  <c r="PN17" i="11"/>
  <c r="PM17" i="11"/>
  <c r="PL17" i="11"/>
  <c r="PK17" i="11"/>
  <c r="PJ17" i="11"/>
  <c r="PJ18" i="11" s="1"/>
  <c r="PI17" i="11"/>
  <c r="PH17" i="11"/>
  <c r="PG17" i="11"/>
  <c r="PF17" i="11"/>
  <c r="PE17" i="11"/>
  <c r="PD17" i="11"/>
  <c r="PC17" i="11"/>
  <c r="PB17" i="11"/>
  <c r="PA17" i="11"/>
  <c r="OZ17" i="11"/>
  <c r="OY17" i="11"/>
  <c r="OX17" i="11"/>
  <c r="OX18" i="11" s="1"/>
  <c r="OW17" i="11"/>
  <c r="OV17" i="11"/>
  <c r="OU17" i="11"/>
  <c r="OT17" i="11"/>
  <c r="OS17" i="11"/>
  <c r="OR17" i="11"/>
  <c r="OQ17" i="11"/>
  <c r="OP17" i="11"/>
  <c r="OO17" i="11"/>
  <c r="ON17" i="11"/>
  <c r="OM17" i="11"/>
  <c r="OL17" i="11"/>
  <c r="OL18" i="11" s="1"/>
  <c r="OK17" i="11"/>
  <c r="OJ17" i="11"/>
  <c r="OI17" i="11"/>
  <c r="OH17" i="11"/>
  <c r="OG17" i="11"/>
  <c r="OF17" i="11"/>
  <c r="OE17" i="11"/>
  <c r="OD17" i="11"/>
  <c r="OC17" i="11"/>
  <c r="OB17" i="11"/>
  <c r="OA17" i="11"/>
  <c r="NZ17" i="11"/>
  <c r="NZ18" i="11" s="1"/>
  <c r="NY17" i="11"/>
  <c r="NX17" i="11"/>
  <c r="NW17" i="11"/>
  <c r="NV17" i="11"/>
  <c r="NU17" i="11"/>
  <c r="NT17" i="11"/>
  <c r="NS17" i="11"/>
  <c r="NR17" i="11"/>
  <c r="NQ17" i="11"/>
  <c r="NP17" i="11"/>
  <c r="NO17" i="11"/>
  <c r="NN17" i="11"/>
  <c r="NN18" i="11" s="1"/>
  <c r="NM17" i="11"/>
  <c r="NL17" i="11"/>
  <c r="NK17" i="11"/>
  <c r="NJ17" i="11"/>
  <c r="NI17" i="11"/>
  <c r="NH17" i="11"/>
  <c r="NG17" i="11"/>
  <c r="NF17" i="11"/>
  <c r="NE17" i="11"/>
  <c r="ND17" i="11"/>
  <c r="NC17" i="11"/>
  <c r="NB17" i="11"/>
  <c r="NB18" i="11" s="1"/>
  <c r="NA17" i="11"/>
  <c r="MZ17" i="11"/>
  <c r="MY17" i="11"/>
  <c r="MX17" i="11"/>
  <c r="MW17" i="11"/>
  <c r="MV17" i="11"/>
  <c r="MU17" i="11"/>
  <c r="MT17" i="11"/>
  <c r="MS17" i="11"/>
  <c r="MR17" i="11"/>
  <c r="MQ17" i="11"/>
  <c r="MP17" i="11"/>
  <c r="MP18" i="11" s="1"/>
  <c r="MO17" i="11"/>
  <c r="MN17" i="11"/>
  <c r="MM17" i="11"/>
  <c r="ML17" i="11"/>
  <c r="MK17" i="11"/>
  <c r="MJ17" i="11"/>
  <c r="MI17" i="11"/>
  <c r="MH17" i="11"/>
  <c r="MG17" i="11"/>
  <c r="MF17" i="11"/>
  <c r="ME17" i="11"/>
  <c r="MD17" i="11"/>
  <c r="MD18" i="11" s="1"/>
  <c r="MC17" i="11"/>
  <c r="MB17" i="11"/>
  <c r="MA17" i="11"/>
  <c r="LZ17" i="11"/>
  <c r="LY17" i="11"/>
  <c r="LX17" i="11"/>
  <c r="LW17" i="11"/>
  <c r="LV17" i="11"/>
  <c r="LU17" i="11"/>
  <c r="LT17" i="11"/>
  <c r="LS17" i="11"/>
  <c r="LR17" i="11"/>
  <c r="LR18" i="11" s="1"/>
  <c r="LQ17" i="11"/>
  <c r="LP17" i="11"/>
  <c r="LO17" i="11"/>
  <c r="LN17" i="11"/>
  <c r="LM17" i="11"/>
  <c r="LL17" i="11"/>
  <c r="LK17" i="11"/>
  <c r="LJ17" i="11"/>
  <c r="LI17" i="11"/>
  <c r="LH17" i="11"/>
  <c r="LG17" i="11"/>
  <c r="LF17" i="11"/>
  <c r="LF18" i="11" s="1"/>
  <c r="LE17" i="11"/>
  <c r="LD17" i="11"/>
  <c r="LC17" i="11"/>
  <c r="LB17" i="11"/>
  <c r="LA17" i="11"/>
  <c r="KZ17" i="11"/>
  <c r="KY17" i="11"/>
  <c r="KX17" i="11"/>
  <c r="KW17" i="11"/>
  <c r="KV17" i="11"/>
  <c r="KU17" i="11"/>
  <c r="KT17" i="11"/>
  <c r="KT18" i="11" s="1"/>
  <c r="KS17" i="11"/>
  <c r="KR17" i="11"/>
  <c r="KQ17" i="11"/>
  <c r="KP17" i="11"/>
  <c r="KO17" i="11"/>
  <c r="KN17" i="11"/>
  <c r="KM17" i="11"/>
  <c r="KL17" i="11"/>
  <c r="KK17" i="11"/>
  <c r="KJ17" i="11"/>
  <c r="KI17" i="11"/>
  <c r="KH17" i="11"/>
  <c r="KH18" i="11" s="1"/>
  <c r="KG17" i="11"/>
  <c r="KF17" i="11"/>
  <c r="KE17" i="11"/>
  <c r="KD17" i="11"/>
  <c r="KC17" i="11"/>
  <c r="KB17" i="11"/>
  <c r="KA17" i="11"/>
  <c r="JZ17" i="11"/>
  <c r="JY17" i="11"/>
  <c r="JX17" i="11"/>
  <c r="JW17" i="11"/>
  <c r="JV17" i="11"/>
  <c r="JV18" i="11" s="1"/>
  <c r="JU17" i="11"/>
  <c r="JT17" i="11"/>
  <c r="JS17" i="11"/>
  <c r="JR17" i="11"/>
  <c r="JQ17" i="11"/>
  <c r="JP17" i="11"/>
  <c r="JO17" i="11"/>
  <c r="JN17" i="11"/>
  <c r="JM17" i="11"/>
  <c r="JL17" i="11"/>
  <c r="JK17" i="11"/>
  <c r="JJ17" i="11"/>
  <c r="JJ18" i="11" s="1"/>
  <c r="JI17" i="11"/>
  <c r="JH17" i="11"/>
  <c r="JG17" i="11"/>
  <c r="JF17" i="11"/>
  <c r="JE17" i="11"/>
  <c r="JD17" i="11"/>
  <c r="JC17" i="11"/>
  <c r="JB17" i="11"/>
  <c r="JA17" i="11"/>
  <c r="IZ17" i="11"/>
  <c r="IY17" i="11"/>
  <c r="IX17" i="11"/>
  <c r="IX18" i="11" s="1"/>
  <c r="IW17" i="11"/>
  <c r="IV17" i="11"/>
  <c r="IU17" i="11"/>
  <c r="IT17" i="11"/>
  <c r="IS17" i="11"/>
  <c r="IR17" i="11"/>
  <c r="IQ17" i="11"/>
  <c r="IP17" i="11"/>
  <c r="IO17" i="11"/>
  <c r="IN17" i="11"/>
  <c r="IM17" i="11"/>
  <c r="IL17" i="11"/>
  <c r="IL18" i="11" s="1"/>
  <c r="IK17" i="11"/>
  <c r="IJ17" i="11"/>
  <c r="II17" i="11"/>
  <c r="IH17" i="11"/>
  <c r="IG17" i="11"/>
  <c r="IF17" i="11"/>
  <c r="IE17" i="11"/>
  <c r="ID17" i="11"/>
  <c r="IC17" i="11"/>
  <c r="IB17" i="11"/>
  <c r="IA17" i="11"/>
  <c r="HZ17" i="11"/>
  <c r="HZ18" i="11" s="1"/>
  <c r="HY17" i="11"/>
  <c r="HX17" i="11"/>
  <c r="HW17" i="11"/>
  <c r="HV17" i="11"/>
  <c r="HU17" i="11"/>
  <c r="HT17" i="11"/>
  <c r="HS17" i="11"/>
  <c r="HR17" i="11"/>
  <c r="HQ17" i="11"/>
  <c r="HP17" i="11"/>
  <c r="HO17" i="11"/>
  <c r="HN17" i="11"/>
  <c r="HN18" i="11" s="1"/>
  <c r="HM17" i="11"/>
  <c r="HL17" i="11"/>
  <c r="HK17" i="11"/>
  <c r="HJ17" i="11"/>
  <c r="HI17" i="11"/>
  <c r="HH17" i="11"/>
  <c r="HG17" i="11"/>
  <c r="HF17" i="11"/>
  <c r="HE17" i="11"/>
  <c r="HD17" i="11"/>
  <c r="HC17" i="11"/>
  <c r="HB17" i="11"/>
  <c r="HB18" i="11" s="1"/>
  <c r="HA17" i="11"/>
  <c r="GZ17" i="11"/>
  <c r="GY17" i="11"/>
  <c r="GX17" i="11"/>
  <c r="GW17" i="11"/>
  <c r="GV17" i="11"/>
  <c r="GU17" i="11"/>
  <c r="GT17" i="11"/>
  <c r="GS17" i="11"/>
  <c r="GR17" i="11"/>
  <c r="GQ17" i="11"/>
  <c r="GP17" i="11"/>
  <c r="GP18" i="11" s="1"/>
  <c r="GO17" i="11"/>
  <c r="GN17" i="11"/>
  <c r="GM17" i="11"/>
  <c r="GL17" i="11"/>
  <c r="GK17" i="11"/>
  <c r="GJ17" i="11"/>
  <c r="GI17" i="11"/>
  <c r="GH17" i="11"/>
  <c r="GG17" i="11"/>
  <c r="GF17" i="11"/>
  <c r="GE17" i="11"/>
  <c r="GD17" i="11"/>
  <c r="GD18" i="11" s="1"/>
  <c r="GC17" i="11"/>
  <c r="GB17" i="11"/>
  <c r="GA17" i="11"/>
  <c r="FZ17" i="11"/>
  <c r="FY17" i="11"/>
  <c r="FX17" i="11"/>
  <c r="FW17" i="11"/>
  <c r="FV17" i="11"/>
  <c r="FU17" i="11"/>
  <c r="FT17" i="11"/>
  <c r="FS17" i="11"/>
  <c r="FR17" i="11"/>
  <c r="FR18" i="11" s="1"/>
  <c r="FQ17" i="11"/>
  <c r="FP17" i="11"/>
  <c r="FO17" i="11"/>
  <c r="FN17" i="11"/>
  <c r="FM17" i="11"/>
  <c r="FL17" i="11"/>
  <c r="FK17" i="11"/>
  <c r="FJ17" i="11"/>
  <c r="FI17" i="11"/>
  <c r="FH17" i="11"/>
  <c r="FG17" i="11"/>
  <c r="FF17" i="11"/>
  <c r="FF18" i="11" s="1"/>
  <c r="FE17" i="11"/>
  <c r="FD17" i="11"/>
  <c r="FC17" i="11"/>
  <c r="FB17" i="11"/>
  <c r="FA17" i="11"/>
  <c r="EZ17" i="11"/>
  <c r="EY17" i="11"/>
  <c r="EX17" i="11"/>
  <c r="EW17" i="11"/>
  <c r="EV17" i="11"/>
  <c r="EU17" i="11"/>
  <c r="ET17" i="11"/>
  <c r="ET18" i="11" s="1"/>
  <c r="ES17" i="11"/>
  <c r="ER17" i="11"/>
  <c r="EQ17" i="11"/>
  <c r="EP17" i="11"/>
  <c r="EO17" i="11"/>
  <c r="EN17" i="11"/>
  <c r="EM17" i="11"/>
  <c r="EL17" i="11"/>
  <c r="EK17" i="11"/>
  <c r="EJ17" i="11"/>
  <c r="EI17" i="11"/>
  <c r="EH17" i="11"/>
  <c r="EH18" i="11" s="1"/>
  <c r="EG17" i="11"/>
  <c r="EF17" i="11"/>
  <c r="EE17" i="11"/>
  <c r="ED17" i="11"/>
  <c r="EC17" i="11"/>
  <c r="EB17" i="11"/>
  <c r="EA17" i="11"/>
  <c r="DZ17" i="11"/>
  <c r="DY17" i="11"/>
  <c r="DX17" i="11"/>
  <c r="DW17" i="11"/>
  <c r="DV17" i="11"/>
  <c r="DV18" i="11" s="1"/>
  <c r="DU17" i="11"/>
  <c r="DT17" i="11"/>
  <c r="DS17" i="11"/>
  <c r="DR17" i="11"/>
  <c r="DQ17" i="11"/>
  <c r="DP17" i="11"/>
  <c r="DO17" i="11"/>
  <c r="DN17" i="11"/>
  <c r="DM17" i="11"/>
  <c r="DL17" i="11"/>
  <c r="DK17" i="11"/>
  <c r="DJ17" i="11"/>
  <c r="DJ18" i="11" s="1"/>
  <c r="DI17" i="11"/>
  <c r="DH17" i="11"/>
  <c r="DG17" i="11"/>
  <c r="DF17" i="11"/>
  <c r="DE17" i="11"/>
  <c r="DD17" i="11"/>
  <c r="DC17" i="11"/>
  <c r="DB17" i="11"/>
  <c r="DA17" i="11"/>
  <c r="CZ17" i="11"/>
  <c r="CY17" i="11"/>
  <c r="CX17" i="11"/>
  <c r="CX18" i="11" s="1"/>
  <c r="CW17" i="11"/>
  <c r="CV17" i="11"/>
  <c r="CU17" i="11"/>
  <c r="CT17" i="11"/>
  <c r="CS17" i="11"/>
  <c r="CR17" i="11"/>
  <c r="CQ17" i="11"/>
  <c r="CP17" i="11"/>
  <c r="CO17" i="11"/>
  <c r="CN17" i="11"/>
  <c r="CM17" i="11"/>
  <c r="CL17" i="11"/>
  <c r="CL18" i="11" s="1"/>
  <c r="CK17" i="11"/>
  <c r="CJ17" i="11"/>
  <c r="CI17" i="11"/>
  <c r="CH17" i="11"/>
  <c r="CG17" i="11"/>
  <c r="CF17" i="11"/>
  <c r="CE17" i="11"/>
  <c r="CD17" i="11"/>
  <c r="CC17" i="11"/>
  <c r="CB17" i="11"/>
  <c r="CA17" i="11"/>
  <c r="BZ17" i="11"/>
  <c r="BZ18" i="11" s="1"/>
  <c r="BY17" i="11"/>
  <c r="BX17" i="11"/>
  <c r="BW17" i="11"/>
  <c r="BV17" i="11"/>
  <c r="BU17" i="11"/>
  <c r="BT17" i="11"/>
  <c r="BS17" i="11"/>
  <c r="BR17" i="11"/>
  <c r="BQ17" i="11"/>
  <c r="BP17" i="11"/>
  <c r="BO17" i="11"/>
  <c r="BN17" i="11"/>
  <c r="BN18" i="11" s="1"/>
  <c r="BM17" i="11"/>
  <c r="BL17" i="11"/>
  <c r="BK17" i="11"/>
  <c r="BJ17" i="11"/>
  <c r="BI17" i="11"/>
  <c r="BH17" i="11"/>
  <c r="BG17" i="11"/>
  <c r="BF17" i="11"/>
  <c r="BE17" i="11"/>
  <c r="BD17" i="11"/>
  <c r="BC17" i="11"/>
  <c r="BB17" i="11"/>
  <c r="BB18" i="11" s="1"/>
  <c r="BA17" i="11"/>
  <c r="AZ17" i="11"/>
  <c r="AY17" i="11"/>
  <c r="AX17" i="11"/>
  <c r="AW17" i="11"/>
  <c r="AV17" i="11"/>
  <c r="AU17" i="11"/>
  <c r="AT17" i="11"/>
  <c r="AS17" i="11"/>
  <c r="AR17" i="11"/>
  <c r="AQ17" i="11"/>
  <c r="AP17" i="11"/>
  <c r="AP18" i="11" s="1"/>
  <c r="AO17" i="11"/>
  <c r="AN17" i="11"/>
  <c r="AM17" i="11"/>
  <c r="AL17" i="11"/>
  <c r="AK17" i="11"/>
  <c r="AJ17" i="11"/>
  <c r="AI17" i="11"/>
  <c r="AH17" i="11"/>
  <c r="AG17" i="11"/>
  <c r="AF17" i="11"/>
  <c r="AE17" i="11"/>
  <c r="AD17" i="11"/>
  <c r="AD18" i="11" s="1"/>
  <c r="AC17" i="11"/>
  <c r="AB17" i="11"/>
  <c r="AA17" i="11"/>
  <c r="Z17" i="11"/>
  <c r="Y17" i="11"/>
  <c r="X17" i="11"/>
  <c r="W17" i="11"/>
  <c r="V17" i="11"/>
  <c r="U17" i="11"/>
  <c r="T17" i="11"/>
  <c r="S17" i="11"/>
  <c r="R17" i="11"/>
  <c r="R18" i="11" s="1"/>
  <c r="Q17" i="11"/>
  <c r="P17" i="11"/>
  <c r="O17" i="11"/>
  <c r="N17" i="11"/>
  <c r="M17" i="11"/>
  <c r="L17" i="11"/>
  <c r="K17" i="11"/>
  <c r="J17" i="11"/>
  <c r="I17" i="11"/>
  <c r="H17" i="11"/>
  <c r="G17" i="11"/>
  <c r="F17" i="11"/>
  <c r="F18" i="11" s="1"/>
  <c r="E17" i="11"/>
  <c r="D17" i="11"/>
  <c r="C17" i="11"/>
  <c r="B17" i="11"/>
  <c r="SG16" i="11"/>
  <c r="SG18" i="11" s="1"/>
  <c r="SF16" i="11"/>
  <c r="SF18" i="11" s="1"/>
  <c r="SE16" i="11"/>
  <c r="SE18" i="11" s="1"/>
  <c r="SD16" i="11"/>
  <c r="SD18" i="11" s="1"/>
  <c r="SC16" i="11"/>
  <c r="SC18" i="11" s="1"/>
  <c r="SB16" i="11"/>
  <c r="SB18" i="11" s="1"/>
  <c r="SA16" i="11"/>
  <c r="SA18" i="11" s="1"/>
  <c r="RZ16" i="11"/>
  <c r="RZ18" i="11" s="1"/>
  <c r="RY16" i="11"/>
  <c r="RX16" i="11"/>
  <c r="RW16" i="11"/>
  <c r="RV16" i="11"/>
  <c r="RV18" i="11" s="1"/>
  <c r="RU16" i="11"/>
  <c r="RU18" i="11" s="1"/>
  <c r="RT16" i="11"/>
  <c r="RT18" i="11" s="1"/>
  <c r="RS16" i="11"/>
  <c r="RR16" i="11"/>
  <c r="RQ16" i="11"/>
  <c r="RQ18" i="11" s="1"/>
  <c r="RP16" i="11"/>
  <c r="RP18" i="11" s="1"/>
  <c r="RO16" i="11"/>
  <c r="RO18" i="11" s="1"/>
  <c r="RN16" i="11"/>
  <c r="RN18" i="11" s="1"/>
  <c r="RM16" i="11"/>
  <c r="RM18" i="11" s="1"/>
  <c r="RL16" i="11"/>
  <c r="RK16" i="11"/>
  <c r="RJ16" i="11"/>
  <c r="RI16" i="11"/>
  <c r="RI18" i="11" s="1"/>
  <c r="RH16" i="11"/>
  <c r="RH18" i="11" s="1"/>
  <c r="RG16" i="11"/>
  <c r="RG18" i="11" s="1"/>
  <c r="RF16" i="11"/>
  <c r="RE16" i="11"/>
  <c r="RD16" i="11"/>
  <c r="RD18" i="11" s="1"/>
  <c r="RC16" i="11"/>
  <c r="RC18" i="11" s="1"/>
  <c r="RB16" i="11"/>
  <c r="RB18" i="11" s="1"/>
  <c r="RA16" i="11"/>
  <c r="RA18" i="11" s="1"/>
  <c r="QZ16" i="11"/>
  <c r="QY16" i="11"/>
  <c r="QX16" i="11"/>
  <c r="QW16" i="11"/>
  <c r="QW18" i="11" s="1"/>
  <c r="QV16" i="11"/>
  <c r="QV18" i="11" s="1"/>
  <c r="QU16" i="11"/>
  <c r="QU18" i="11" s="1"/>
  <c r="QT16" i="11"/>
  <c r="QS16" i="11"/>
  <c r="QR16" i="11"/>
  <c r="QR18" i="11" s="1"/>
  <c r="QQ16" i="11"/>
  <c r="QQ18" i="11" s="1"/>
  <c r="QP16" i="11"/>
  <c r="QP18" i="11" s="1"/>
  <c r="QO16" i="11"/>
  <c r="QO18" i="11" s="1"/>
  <c r="QN16" i="11"/>
  <c r="QM16" i="11"/>
  <c r="QL16" i="11"/>
  <c r="QK16" i="11"/>
  <c r="QK18" i="11" s="1"/>
  <c r="QJ16" i="11"/>
  <c r="QJ18" i="11" s="1"/>
  <c r="QI16" i="11"/>
  <c r="QI18" i="11" s="1"/>
  <c r="QH16" i="11"/>
  <c r="QG16" i="11"/>
  <c r="QF16" i="11"/>
  <c r="QF18" i="11" s="1"/>
  <c r="QE16" i="11"/>
  <c r="QE18" i="11" s="1"/>
  <c r="QD16" i="11"/>
  <c r="QD18" i="11" s="1"/>
  <c r="QC16" i="11"/>
  <c r="QC18" i="11" s="1"/>
  <c r="QB16" i="11"/>
  <c r="QA16" i="11"/>
  <c r="PZ16" i="11"/>
  <c r="PY16" i="11"/>
  <c r="PY18" i="11" s="1"/>
  <c r="PX16" i="11"/>
  <c r="PX18" i="11" s="1"/>
  <c r="PW16" i="11"/>
  <c r="PW18" i="11" s="1"/>
  <c r="PV16" i="11"/>
  <c r="PU16" i="11"/>
  <c r="PT16" i="11"/>
  <c r="PT18" i="11" s="1"/>
  <c r="PS16" i="11"/>
  <c r="PS18" i="11" s="1"/>
  <c r="PR16" i="11"/>
  <c r="PR18" i="11" s="1"/>
  <c r="PQ16" i="11"/>
  <c r="PQ18" i="11" s="1"/>
  <c r="PP16" i="11"/>
  <c r="PO16" i="11"/>
  <c r="PN16" i="11"/>
  <c r="PM16" i="11"/>
  <c r="PM18" i="11" s="1"/>
  <c r="PL16" i="11"/>
  <c r="PL18" i="11" s="1"/>
  <c r="PK16" i="11"/>
  <c r="PK18" i="11" s="1"/>
  <c r="PJ16" i="11"/>
  <c r="PI16" i="11"/>
  <c r="PH16" i="11"/>
  <c r="PH18" i="11" s="1"/>
  <c r="PG16" i="11"/>
  <c r="PG18" i="11" s="1"/>
  <c r="PF16" i="11"/>
  <c r="PF18" i="11" s="1"/>
  <c r="PE16" i="11"/>
  <c r="PE18" i="11" s="1"/>
  <c r="PD16" i="11"/>
  <c r="PC16" i="11"/>
  <c r="PB16" i="11"/>
  <c r="PA16" i="11"/>
  <c r="PA18" i="11" s="1"/>
  <c r="OZ16" i="11"/>
  <c r="OZ18" i="11" s="1"/>
  <c r="OY16" i="11"/>
  <c r="OY18" i="11" s="1"/>
  <c r="OX16" i="11"/>
  <c r="OW16" i="11"/>
  <c r="OV16" i="11"/>
  <c r="OV18" i="11" s="1"/>
  <c r="OU16" i="11"/>
  <c r="OU18" i="11" s="1"/>
  <c r="OT16" i="11"/>
  <c r="OT18" i="11" s="1"/>
  <c r="OS16" i="11"/>
  <c r="OS18" i="11" s="1"/>
  <c r="OR16" i="11"/>
  <c r="OQ16" i="11"/>
  <c r="OP16" i="11"/>
  <c r="OO16" i="11"/>
  <c r="OO18" i="11" s="1"/>
  <c r="ON16" i="11"/>
  <c r="ON18" i="11" s="1"/>
  <c r="OM16" i="11"/>
  <c r="OM18" i="11" s="1"/>
  <c r="OL16" i="11"/>
  <c r="OK16" i="11"/>
  <c r="OJ16" i="11"/>
  <c r="OJ18" i="11" s="1"/>
  <c r="OI16" i="11"/>
  <c r="OI18" i="11" s="1"/>
  <c r="OH16" i="11"/>
  <c r="OH18" i="11" s="1"/>
  <c r="OG16" i="11"/>
  <c r="OG18" i="11" s="1"/>
  <c r="OF16" i="11"/>
  <c r="OE16" i="11"/>
  <c r="OD16" i="11"/>
  <c r="OC16" i="11"/>
  <c r="OC18" i="11" s="1"/>
  <c r="OB16" i="11"/>
  <c r="OB18" i="11" s="1"/>
  <c r="OA16" i="11"/>
  <c r="OA18" i="11" s="1"/>
  <c r="NZ16" i="11"/>
  <c r="NY16" i="11"/>
  <c r="NX16" i="11"/>
  <c r="NX18" i="11" s="1"/>
  <c r="NW16" i="11"/>
  <c r="NW18" i="11" s="1"/>
  <c r="NV16" i="11"/>
  <c r="NV18" i="11" s="1"/>
  <c r="NU16" i="11"/>
  <c r="NU18" i="11" s="1"/>
  <c r="NT16" i="11"/>
  <c r="NS16" i="11"/>
  <c r="NR16" i="11"/>
  <c r="NQ16" i="11"/>
  <c r="NQ18" i="11" s="1"/>
  <c r="NP16" i="11"/>
  <c r="NP18" i="11" s="1"/>
  <c r="NO16" i="11"/>
  <c r="NO18" i="11" s="1"/>
  <c r="NN16" i="11"/>
  <c r="NM16" i="11"/>
  <c r="NL16" i="11"/>
  <c r="NL18" i="11" s="1"/>
  <c r="NK16" i="11"/>
  <c r="NK18" i="11" s="1"/>
  <c r="NJ16" i="11"/>
  <c r="NJ18" i="11" s="1"/>
  <c r="NI16" i="11"/>
  <c r="NI18" i="11" s="1"/>
  <c r="NH16" i="11"/>
  <c r="NG16" i="11"/>
  <c r="NF16" i="11"/>
  <c r="NE16" i="11"/>
  <c r="NE18" i="11" s="1"/>
  <c r="ND16" i="11"/>
  <c r="ND18" i="11" s="1"/>
  <c r="NC16" i="11"/>
  <c r="NC18" i="11" s="1"/>
  <c r="NB16" i="11"/>
  <c r="NA16" i="11"/>
  <c r="MZ16" i="11"/>
  <c r="MZ18" i="11" s="1"/>
  <c r="MY16" i="11"/>
  <c r="MY18" i="11" s="1"/>
  <c r="MX16" i="11"/>
  <c r="MX18" i="11" s="1"/>
  <c r="MW16" i="11"/>
  <c r="MW18" i="11" s="1"/>
  <c r="MV16" i="11"/>
  <c r="MU16" i="11"/>
  <c r="MT16" i="11"/>
  <c r="MS16" i="11"/>
  <c r="MS18" i="11" s="1"/>
  <c r="MR16" i="11"/>
  <c r="MR18" i="11" s="1"/>
  <c r="MQ16" i="11"/>
  <c r="MQ18" i="11" s="1"/>
  <c r="MP16" i="11"/>
  <c r="MO16" i="11"/>
  <c r="MN16" i="11"/>
  <c r="MN18" i="11" s="1"/>
  <c r="MM16" i="11"/>
  <c r="MM18" i="11" s="1"/>
  <c r="ML16" i="11"/>
  <c r="ML18" i="11" s="1"/>
  <c r="MK16" i="11"/>
  <c r="MK18" i="11" s="1"/>
  <c r="MJ16" i="11"/>
  <c r="MI16" i="11"/>
  <c r="MH16" i="11"/>
  <c r="MG16" i="11"/>
  <c r="MG18" i="11" s="1"/>
  <c r="MF16" i="11"/>
  <c r="MF18" i="11" s="1"/>
  <c r="ME16" i="11"/>
  <c r="ME18" i="11" s="1"/>
  <c r="MD16" i="11"/>
  <c r="MC16" i="11"/>
  <c r="MB16" i="11"/>
  <c r="MB18" i="11" s="1"/>
  <c r="MA16" i="11"/>
  <c r="MA18" i="11" s="1"/>
  <c r="LZ16" i="11"/>
  <c r="LZ18" i="11" s="1"/>
  <c r="LY16" i="11"/>
  <c r="LY18" i="11" s="1"/>
  <c r="LX16" i="11"/>
  <c r="LW16" i="11"/>
  <c r="LV16" i="11"/>
  <c r="LU16" i="11"/>
  <c r="LU18" i="11" s="1"/>
  <c r="LT16" i="11"/>
  <c r="LT18" i="11" s="1"/>
  <c r="LS16" i="11"/>
  <c r="LS18" i="11" s="1"/>
  <c r="LR16" i="11"/>
  <c r="LQ16" i="11"/>
  <c r="LP16" i="11"/>
  <c r="LP18" i="11" s="1"/>
  <c r="LO16" i="11"/>
  <c r="LO18" i="11" s="1"/>
  <c r="LN16" i="11"/>
  <c r="LN18" i="11" s="1"/>
  <c r="LM16" i="11"/>
  <c r="LM18" i="11" s="1"/>
  <c r="LL16" i="11"/>
  <c r="LK16" i="11"/>
  <c r="LJ16" i="11"/>
  <c r="LI16" i="11"/>
  <c r="LI18" i="11" s="1"/>
  <c r="LH16" i="11"/>
  <c r="LH18" i="11" s="1"/>
  <c r="LG16" i="11"/>
  <c r="LG18" i="11" s="1"/>
  <c r="LF16" i="11"/>
  <c r="LE16" i="11"/>
  <c r="LD16" i="11"/>
  <c r="LD18" i="11" s="1"/>
  <c r="LC16" i="11"/>
  <c r="LC18" i="11" s="1"/>
  <c r="LB16" i="11"/>
  <c r="LB18" i="11" s="1"/>
  <c r="LA16" i="11"/>
  <c r="LA18" i="11" s="1"/>
  <c r="KZ16" i="11"/>
  <c r="KY16" i="11"/>
  <c r="KX16" i="11"/>
  <c r="KW16" i="11"/>
  <c r="KW18" i="11" s="1"/>
  <c r="KV16" i="11"/>
  <c r="KV18" i="11" s="1"/>
  <c r="KU16" i="11"/>
  <c r="KU18" i="11" s="1"/>
  <c r="KT16" i="11"/>
  <c r="KS16" i="11"/>
  <c r="KR16" i="11"/>
  <c r="KR18" i="11" s="1"/>
  <c r="KQ16" i="11"/>
  <c r="KQ18" i="11" s="1"/>
  <c r="KP16" i="11"/>
  <c r="KP18" i="11" s="1"/>
  <c r="KO16" i="11"/>
  <c r="KO18" i="11" s="1"/>
  <c r="KN16" i="11"/>
  <c r="KM16" i="11"/>
  <c r="KL16" i="11"/>
  <c r="KK16" i="11"/>
  <c r="KK18" i="11" s="1"/>
  <c r="KJ16" i="11"/>
  <c r="KJ18" i="11" s="1"/>
  <c r="KI16" i="11"/>
  <c r="KI18" i="11" s="1"/>
  <c r="KH16" i="11"/>
  <c r="KG16" i="11"/>
  <c r="KF16" i="11"/>
  <c r="KF18" i="11" s="1"/>
  <c r="KE16" i="11"/>
  <c r="KE18" i="11" s="1"/>
  <c r="KD16" i="11"/>
  <c r="KD18" i="11" s="1"/>
  <c r="KC16" i="11"/>
  <c r="KC18" i="11" s="1"/>
  <c r="KB16" i="11"/>
  <c r="KA16" i="11"/>
  <c r="JZ16" i="11"/>
  <c r="JY16" i="11"/>
  <c r="JY18" i="11" s="1"/>
  <c r="JX16" i="11"/>
  <c r="JX18" i="11" s="1"/>
  <c r="JW16" i="11"/>
  <c r="JW18" i="11" s="1"/>
  <c r="JV16" i="11"/>
  <c r="JU16" i="11"/>
  <c r="JT16" i="11"/>
  <c r="JT18" i="11" s="1"/>
  <c r="JS16" i="11"/>
  <c r="JS18" i="11" s="1"/>
  <c r="JR16" i="11"/>
  <c r="JR18" i="11" s="1"/>
  <c r="JQ16" i="11"/>
  <c r="JQ18" i="11" s="1"/>
  <c r="JP16" i="11"/>
  <c r="JO16" i="11"/>
  <c r="JN16" i="11"/>
  <c r="JM16" i="11"/>
  <c r="JM18" i="11" s="1"/>
  <c r="JL16" i="11"/>
  <c r="JL18" i="11" s="1"/>
  <c r="JK16" i="11"/>
  <c r="JK18" i="11" s="1"/>
  <c r="JJ16" i="11"/>
  <c r="JI16" i="11"/>
  <c r="JH16" i="11"/>
  <c r="JH18" i="11" s="1"/>
  <c r="JG16" i="11"/>
  <c r="JG18" i="11" s="1"/>
  <c r="JF16" i="11"/>
  <c r="JF18" i="11" s="1"/>
  <c r="JE16" i="11"/>
  <c r="JE18" i="11" s="1"/>
  <c r="JD16" i="11"/>
  <c r="JC16" i="11"/>
  <c r="JB16" i="11"/>
  <c r="JA16" i="11"/>
  <c r="JA18" i="11" s="1"/>
  <c r="IZ16" i="11"/>
  <c r="IZ18" i="11" s="1"/>
  <c r="IY16" i="11"/>
  <c r="IY18" i="11" s="1"/>
  <c r="IX16" i="11"/>
  <c r="IW16" i="11"/>
  <c r="IV16" i="11"/>
  <c r="IV18" i="11" s="1"/>
  <c r="IU16" i="11"/>
  <c r="IU18" i="11" s="1"/>
  <c r="IT16" i="11"/>
  <c r="IT18" i="11" s="1"/>
  <c r="IS16" i="11"/>
  <c r="IS18" i="11" s="1"/>
  <c r="IR16" i="11"/>
  <c r="IQ16" i="11"/>
  <c r="IP16" i="11"/>
  <c r="IO16" i="11"/>
  <c r="IO18" i="11" s="1"/>
  <c r="IN16" i="11"/>
  <c r="IN18" i="11" s="1"/>
  <c r="IM16" i="11"/>
  <c r="IM18" i="11" s="1"/>
  <c r="IL16" i="11"/>
  <c r="IK16" i="11"/>
  <c r="IJ16" i="11"/>
  <c r="IJ18" i="11" s="1"/>
  <c r="II16" i="11"/>
  <c r="II18" i="11" s="1"/>
  <c r="IH16" i="11"/>
  <c r="IH18" i="11" s="1"/>
  <c r="IG16" i="11"/>
  <c r="IG18" i="11" s="1"/>
  <c r="IF16" i="11"/>
  <c r="IE16" i="11"/>
  <c r="ID16" i="11"/>
  <c r="IC16" i="11"/>
  <c r="IC18" i="11" s="1"/>
  <c r="IB16" i="11"/>
  <c r="IB18" i="11" s="1"/>
  <c r="IA16" i="11"/>
  <c r="IA18" i="11" s="1"/>
  <c r="HZ16" i="11"/>
  <c r="HY16" i="11"/>
  <c r="HX16" i="11"/>
  <c r="HX18" i="11" s="1"/>
  <c r="HW16" i="11"/>
  <c r="HW18" i="11" s="1"/>
  <c r="HV16" i="11"/>
  <c r="HV18" i="11" s="1"/>
  <c r="HU16" i="11"/>
  <c r="HU18" i="11" s="1"/>
  <c r="HT16" i="11"/>
  <c r="HS16" i="11"/>
  <c r="HR16" i="11"/>
  <c r="HQ16" i="11"/>
  <c r="HQ18" i="11" s="1"/>
  <c r="HP16" i="11"/>
  <c r="HP18" i="11" s="1"/>
  <c r="HO16" i="11"/>
  <c r="HO18" i="11" s="1"/>
  <c r="HN16" i="11"/>
  <c r="HM16" i="11"/>
  <c r="HL16" i="11"/>
  <c r="HL18" i="11" s="1"/>
  <c r="HK16" i="11"/>
  <c r="HK18" i="11" s="1"/>
  <c r="HJ16" i="11"/>
  <c r="HJ18" i="11" s="1"/>
  <c r="HI16" i="11"/>
  <c r="HI18" i="11" s="1"/>
  <c r="HH16" i="11"/>
  <c r="HG16" i="11"/>
  <c r="HF16" i="11"/>
  <c r="HE16" i="11"/>
  <c r="HE18" i="11" s="1"/>
  <c r="HD16" i="11"/>
  <c r="HD18" i="11" s="1"/>
  <c r="HC16" i="11"/>
  <c r="HC18" i="11" s="1"/>
  <c r="HB16" i="11"/>
  <c r="HA16" i="11"/>
  <c r="GZ16" i="11"/>
  <c r="GZ18" i="11" s="1"/>
  <c r="GY16" i="11"/>
  <c r="GY18" i="11" s="1"/>
  <c r="GX16" i="11"/>
  <c r="GX18" i="11" s="1"/>
  <c r="GW16" i="11"/>
  <c r="GW18" i="11" s="1"/>
  <c r="GV16" i="11"/>
  <c r="GU16" i="11"/>
  <c r="GT16" i="11"/>
  <c r="GS16" i="11"/>
  <c r="GS18" i="11" s="1"/>
  <c r="GR16" i="11"/>
  <c r="GR18" i="11" s="1"/>
  <c r="GQ16" i="11"/>
  <c r="GQ18" i="11" s="1"/>
  <c r="GP16" i="11"/>
  <c r="GO16" i="11"/>
  <c r="GN16" i="11"/>
  <c r="GN18" i="11" s="1"/>
  <c r="GM16" i="11"/>
  <c r="GM18" i="11" s="1"/>
  <c r="GL16" i="11"/>
  <c r="GL18" i="11" s="1"/>
  <c r="GK16" i="11"/>
  <c r="GK18" i="11" s="1"/>
  <c r="GJ16" i="11"/>
  <c r="GI16" i="11"/>
  <c r="GH16" i="11"/>
  <c r="GG16" i="11"/>
  <c r="GG18" i="11" s="1"/>
  <c r="GF16" i="11"/>
  <c r="GF18" i="11" s="1"/>
  <c r="GE16" i="11"/>
  <c r="GE18" i="11" s="1"/>
  <c r="GD16" i="11"/>
  <c r="GC16" i="11"/>
  <c r="GB16" i="11"/>
  <c r="GB18" i="11" s="1"/>
  <c r="GA16" i="11"/>
  <c r="GA18" i="11" s="1"/>
  <c r="FZ16" i="11"/>
  <c r="FZ18" i="11" s="1"/>
  <c r="FY16" i="11"/>
  <c r="FY18" i="11" s="1"/>
  <c r="FX16" i="11"/>
  <c r="FW16" i="11"/>
  <c r="FV16" i="11"/>
  <c r="FU16" i="11"/>
  <c r="FU18" i="11" s="1"/>
  <c r="FT16" i="11"/>
  <c r="FT18" i="11" s="1"/>
  <c r="FS16" i="11"/>
  <c r="FS18" i="11" s="1"/>
  <c r="FR16" i="11"/>
  <c r="FQ16" i="11"/>
  <c r="FP16" i="11"/>
  <c r="FP18" i="11" s="1"/>
  <c r="FO16" i="11"/>
  <c r="FO18" i="11" s="1"/>
  <c r="FN16" i="11"/>
  <c r="FN18" i="11" s="1"/>
  <c r="FM16" i="11"/>
  <c r="FM18" i="11" s="1"/>
  <c r="FL16" i="11"/>
  <c r="FK16" i="11"/>
  <c r="FJ16" i="11"/>
  <c r="FI16" i="11"/>
  <c r="FI18" i="11" s="1"/>
  <c r="FH16" i="11"/>
  <c r="FH18" i="11" s="1"/>
  <c r="FG16" i="11"/>
  <c r="FG18" i="11" s="1"/>
  <c r="FF16" i="11"/>
  <c r="FE16" i="11"/>
  <c r="FD16" i="11"/>
  <c r="FD18" i="11" s="1"/>
  <c r="FC16" i="11"/>
  <c r="FC18" i="11" s="1"/>
  <c r="FB16" i="11"/>
  <c r="FB18" i="11" s="1"/>
  <c r="FA16" i="11"/>
  <c r="FA18" i="11" s="1"/>
  <c r="EZ16" i="11"/>
  <c r="EY16" i="11"/>
  <c r="EX16" i="11"/>
  <c r="EW16" i="11"/>
  <c r="EW18" i="11" s="1"/>
  <c r="EV16" i="11"/>
  <c r="EV18" i="11" s="1"/>
  <c r="EU16" i="11"/>
  <c r="EU18" i="11" s="1"/>
  <c r="ET16" i="11"/>
  <c r="ES16" i="11"/>
  <c r="ER16" i="11"/>
  <c r="ER18" i="11" s="1"/>
  <c r="EQ16" i="11"/>
  <c r="EQ18" i="11" s="1"/>
  <c r="EP16" i="11"/>
  <c r="EP18" i="11" s="1"/>
  <c r="EO16" i="11"/>
  <c r="EO18" i="11" s="1"/>
  <c r="EN16" i="11"/>
  <c r="EM16" i="11"/>
  <c r="EL16" i="11"/>
  <c r="EK16" i="11"/>
  <c r="EK18" i="11" s="1"/>
  <c r="EJ16" i="11"/>
  <c r="EJ18" i="11" s="1"/>
  <c r="EI16" i="11"/>
  <c r="EI18" i="11" s="1"/>
  <c r="EH16" i="11"/>
  <c r="EG16" i="11"/>
  <c r="EF16" i="11"/>
  <c r="EF18" i="11" s="1"/>
  <c r="EE16" i="11"/>
  <c r="EE18" i="11" s="1"/>
  <c r="ED16" i="11"/>
  <c r="ED18" i="11" s="1"/>
  <c r="EC16" i="11"/>
  <c r="EC18" i="11" s="1"/>
  <c r="EB16" i="11"/>
  <c r="EA16" i="11"/>
  <c r="DZ16" i="11"/>
  <c r="DY16" i="11"/>
  <c r="DY18" i="11" s="1"/>
  <c r="DX16" i="11"/>
  <c r="DX18" i="11" s="1"/>
  <c r="DW16" i="11"/>
  <c r="DW18" i="11" s="1"/>
  <c r="DV16" i="11"/>
  <c r="DU16" i="11"/>
  <c r="DT16" i="11"/>
  <c r="DT18" i="11" s="1"/>
  <c r="DS16" i="11"/>
  <c r="DS18" i="11" s="1"/>
  <c r="DR16" i="11"/>
  <c r="DR18" i="11" s="1"/>
  <c r="DQ16" i="11"/>
  <c r="DQ18" i="11" s="1"/>
  <c r="DP16" i="11"/>
  <c r="DO16" i="11"/>
  <c r="DN16" i="11"/>
  <c r="DM16" i="11"/>
  <c r="DM18" i="11" s="1"/>
  <c r="DL16" i="11"/>
  <c r="DL18" i="11" s="1"/>
  <c r="DK16" i="11"/>
  <c r="DK18" i="11" s="1"/>
  <c r="DJ16" i="11"/>
  <c r="DI16" i="11"/>
  <c r="DH16" i="11"/>
  <c r="DH18" i="11" s="1"/>
  <c r="DG16" i="11"/>
  <c r="DG18" i="11" s="1"/>
  <c r="DF16" i="11"/>
  <c r="DF18" i="11" s="1"/>
  <c r="DE16" i="11"/>
  <c r="DE18" i="11" s="1"/>
  <c r="DD16" i="11"/>
  <c r="DC16" i="11"/>
  <c r="DB16" i="11"/>
  <c r="DA16" i="11"/>
  <c r="DA18" i="11" s="1"/>
  <c r="CZ16" i="11"/>
  <c r="CZ18" i="11" s="1"/>
  <c r="CY16" i="11"/>
  <c r="CY18" i="11" s="1"/>
  <c r="CX16" i="11"/>
  <c r="CW16" i="11"/>
  <c r="CV16" i="11"/>
  <c r="CV18" i="11" s="1"/>
  <c r="CU16" i="11"/>
  <c r="CU18" i="11" s="1"/>
  <c r="CT16" i="11"/>
  <c r="CT18" i="11" s="1"/>
  <c r="CS16" i="11"/>
  <c r="CS18" i="11" s="1"/>
  <c r="CR16" i="11"/>
  <c r="CQ16" i="11"/>
  <c r="CP16" i="11"/>
  <c r="CO16" i="11"/>
  <c r="CO18" i="11" s="1"/>
  <c r="CN16" i="11"/>
  <c r="CN18" i="11" s="1"/>
  <c r="CM16" i="11"/>
  <c r="CM18" i="11" s="1"/>
  <c r="CL16" i="11"/>
  <c r="CK16" i="11"/>
  <c r="CJ16" i="11"/>
  <c r="CJ18" i="11" s="1"/>
  <c r="CI16" i="11"/>
  <c r="CI18" i="11" s="1"/>
  <c r="CH16" i="11"/>
  <c r="CH18" i="11" s="1"/>
  <c r="CG16" i="11"/>
  <c r="CG18" i="11" s="1"/>
  <c r="CF16" i="11"/>
  <c r="CE16" i="11"/>
  <c r="CD16" i="11"/>
  <c r="CC16" i="11"/>
  <c r="CC18" i="11" s="1"/>
  <c r="CB16" i="11"/>
  <c r="CB18" i="11" s="1"/>
  <c r="CA16" i="11"/>
  <c r="CA18" i="11" s="1"/>
  <c r="BZ16" i="11"/>
  <c r="BY16" i="11"/>
  <c r="BX16" i="11"/>
  <c r="BX18" i="11" s="1"/>
  <c r="BW16" i="11"/>
  <c r="BW18" i="11" s="1"/>
  <c r="BV16" i="11"/>
  <c r="BV18" i="11" s="1"/>
  <c r="BU16" i="11"/>
  <c r="BU18" i="11" s="1"/>
  <c r="BT16" i="11"/>
  <c r="BS16" i="11"/>
  <c r="BR16" i="11"/>
  <c r="BQ16" i="11"/>
  <c r="BQ18" i="11" s="1"/>
  <c r="BP16" i="11"/>
  <c r="BP18" i="11" s="1"/>
  <c r="BO16" i="11"/>
  <c r="BO18" i="11" s="1"/>
  <c r="BN16" i="11"/>
  <c r="BM16" i="11"/>
  <c r="BL16" i="11"/>
  <c r="BL18" i="11" s="1"/>
  <c r="BK16" i="11"/>
  <c r="BK18" i="11" s="1"/>
  <c r="BJ16" i="11"/>
  <c r="BJ18" i="11" s="1"/>
  <c r="BI16" i="11"/>
  <c r="BI18" i="11" s="1"/>
  <c r="BH16" i="11"/>
  <c r="BG16" i="11"/>
  <c r="BF16" i="11"/>
  <c r="BE16" i="11"/>
  <c r="BE18" i="11" s="1"/>
  <c r="BD16" i="11"/>
  <c r="BD18" i="11" s="1"/>
  <c r="BC16" i="11"/>
  <c r="BC18" i="11" s="1"/>
  <c r="BB16" i="11"/>
  <c r="BA16" i="11"/>
  <c r="AZ16" i="11"/>
  <c r="AZ18" i="11" s="1"/>
  <c r="AY16" i="11"/>
  <c r="AY18" i="11" s="1"/>
  <c r="AX16" i="11"/>
  <c r="AX18" i="11" s="1"/>
  <c r="AW16" i="11"/>
  <c r="AW18" i="11" s="1"/>
  <c r="AV16" i="11"/>
  <c r="AU16" i="11"/>
  <c r="AT16" i="11"/>
  <c r="AS16" i="11"/>
  <c r="AS18" i="11" s="1"/>
  <c r="AR16" i="11"/>
  <c r="AR18" i="11" s="1"/>
  <c r="AQ16" i="11"/>
  <c r="AQ18" i="11" s="1"/>
  <c r="AP16" i="11"/>
  <c r="AO16" i="11"/>
  <c r="AN16" i="11"/>
  <c r="AN18" i="11" s="1"/>
  <c r="AM16" i="11"/>
  <c r="AM18" i="11" s="1"/>
  <c r="AL16" i="11"/>
  <c r="AL18" i="11" s="1"/>
  <c r="AK16" i="11"/>
  <c r="AK18" i="11" s="1"/>
  <c r="AJ16" i="11"/>
  <c r="AI16" i="11"/>
  <c r="AH16" i="11"/>
  <c r="AG16" i="11"/>
  <c r="AG18" i="11" s="1"/>
  <c r="AF16" i="11"/>
  <c r="AF18" i="11" s="1"/>
  <c r="AE16" i="11"/>
  <c r="AE18" i="11" s="1"/>
  <c r="AD16" i="11"/>
  <c r="AC16" i="11"/>
  <c r="AB16" i="11"/>
  <c r="AB18" i="11" s="1"/>
  <c r="AA16" i="11"/>
  <c r="AA18" i="11" s="1"/>
  <c r="Z16" i="11"/>
  <c r="Z18" i="11" s="1"/>
  <c r="Y16" i="11"/>
  <c r="Y18" i="11" s="1"/>
  <c r="X16" i="11"/>
  <c r="W16" i="11"/>
  <c r="V16" i="11"/>
  <c r="U16" i="11"/>
  <c r="U18" i="11" s="1"/>
  <c r="T16" i="11"/>
  <c r="T18" i="11" s="1"/>
  <c r="S16" i="11"/>
  <c r="S18" i="11" s="1"/>
  <c r="R16" i="11"/>
  <c r="Q16" i="11"/>
  <c r="P16" i="11"/>
  <c r="P18" i="11" s="1"/>
  <c r="O16" i="11"/>
  <c r="O18" i="11" s="1"/>
  <c r="N16" i="11"/>
  <c r="N18" i="11" s="1"/>
  <c r="M16" i="11"/>
  <c r="M18" i="11" s="1"/>
  <c r="L16" i="11"/>
  <c r="K16" i="11"/>
  <c r="J16" i="11"/>
  <c r="I16" i="11"/>
  <c r="I18" i="11" s="1"/>
  <c r="H16" i="11"/>
  <c r="H18" i="11" s="1"/>
  <c r="G16" i="11"/>
  <c r="G18" i="11" s="1"/>
  <c r="F16" i="11"/>
  <c r="E16" i="11"/>
  <c r="D16" i="11"/>
  <c r="D18" i="11" s="1"/>
  <c r="C16" i="11"/>
  <c r="C18" i="11" s="1"/>
  <c r="B16" i="11"/>
  <c r="B18" i="11" s="1"/>
  <c r="AD3" i="10" a="1"/>
  <c r="AD3" i="10" s="1"/>
  <c r="X6" i="10"/>
  <c r="X3" i="10"/>
  <c r="U501" i="10"/>
  <c r="T501" i="10" a="1"/>
  <c r="T501" i="10" s="1"/>
  <c r="S501" i="10"/>
  <c r="Q501" i="10"/>
  <c r="P501" i="10"/>
  <c r="R501" i="10" s="1"/>
  <c r="U500" i="10"/>
  <c r="T500" i="10" a="1"/>
  <c r="T500" i="10" s="1"/>
  <c r="S500" i="10"/>
  <c r="Q500" i="10"/>
  <c r="P500" i="10"/>
  <c r="R500" i="10" s="1"/>
  <c r="U499" i="10"/>
  <c r="T499" i="10" a="1"/>
  <c r="T499" i="10" s="1"/>
  <c r="S499" i="10"/>
  <c r="R499" i="10"/>
  <c r="Q499" i="10"/>
  <c r="P499" i="10"/>
  <c r="U498" i="10"/>
  <c r="T498" i="10" a="1"/>
  <c r="T498" i="10" s="1"/>
  <c r="S498" i="10"/>
  <c r="Q498" i="10"/>
  <c r="P498" i="10"/>
  <c r="R498" i="10" s="1"/>
  <c r="U497" i="10"/>
  <c r="T497" i="10" a="1"/>
  <c r="T497" i="10" s="1"/>
  <c r="S497" i="10"/>
  <c r="Q497" i="10"/>
  <c r="P497" i="10"/>
  <c r="R497" i="10" s="1"/>
  <c r="U496" i="10"/>
  <c r="T496" i="10" a="1"/>
  <c r="T496" i="10" s="1"/>
  <c r="S496" i="10"/>
  <c r="Q496" i="10"/>
  <c r="R496" i="10" s="1"/>
  <c r="P496" i="10"/>
  <c r="U495" i="10"/>
  <c r="T495" i="10" a="1"/>
  <c r="T495" i="10" s="1"/>
  <c r="S495" i="10"/>
  <c r="Q495" i="10"/>
  <c r="R495" i="10" s="1"/>
  <c r="P495" i="10"/>
  <c r="U494" i="10"/>
  <c r="T494" i="10"/>
  <c r="T494" i="10" a="1"/>
  <c r="S494" i="10"/>
  <c r="Q494" i="10"/>
  <c r="R494" i="10" s="1"/>
  <c r="P494" i="10"/>
  <c r="U493" i="10"/>
  <c r="T493" i="10" a="1"/>
  <c r="T493" i="10" s="1"/>
  <c r="S493" i="10"/>
  <c r="Q493" i="10"/>
  <c r="P493" i="10"/>
  <c r="R493" i="10" s="1"/>
  <c r="U492" i="10"/>
  <c r="T492" i="10" a="1"/>
  <c r="T492" i="10" s="1"/>
  <c r="S492" i="10"/>
  <c r="Q492" i="10"/>
  <c r="P492" i="10"/>
  <c r="R492" i="10" s="1"/>
  <c r="U491" i="10"/>
  <c r="T491" i="10" a="1"/>
  <c r="T491" i="10" s="1"/>
  <c r="S491" i="10"/>
  <c r="Q491" i="10"/>
  <c r="P491" i="10"/>
  <c r="R491" i="10" s="1"/>
  <c r="U490" i="10"/>
  <c r="T490" i="10"/>
  <c r="T490" i="10" a="1"/>
  <c r="S490" i="10"/>
  <c r="Q490" i="10"/>
  <c r="R490" i="10" s="1"/>
  <c r="P490" i="10"/>
  <c r="U489" i="10"/>
  <c r="T489" i="10" a="1"/>
  <c r="T489" i="10" s="1"/>
  <c r="S489" i="10"/>
  <c r="Q489" i="10"/>
  <c r="R489" i="10" s="1"/>
  <c r="P489" i="10"/>
  <c r="U488" i="10"/>
  <c r="T488" i="10"/>
  <c r="T488" i="10" a="1"/>
  <c r="S488" i="10"/>
  <c r="Q488" i="10"/>
  <c r="P488" i="10"/>
  <c r="R488" i="10" s="1"/>
  <c r="U487" i="10"/>
  <c r="T487" i="10" a="1"/>
  <c r="T487" i="10" s="1"/>
  <c r="S487" i="10"/>
  <c r="Q487" i="10"/>
  <c r="P487" i="10"/>
  <c r="R487" i="10" s="1"/>
  <c r="U486" i="10"/>
  <c r="T486" i="10"/>
  <c r="T486" i="10" a="1"/>
  <c r="S486" i="10"/>
  <c r="Q486" i="10"/>
  <c r="R486" i="10" s="1"/>
  <c r="P486" i="10"/>
  <c r="U485" i="10"/>
  <c r="T485" i="10"/>
  <c r="T485" i="10" a="1"/>
  <c r="S485" i="10"/>
  <c r="Q485" i="10"/>
  <c r="P485" i="10"/>
  <c r="R485" i="10" s="1"/>
  <c r="U484" i="10"/>
  <c r="T484" i="10"/>
  <c r="T484" i="10" a="1"/>
  <c r="S484" i="10"/>
  <c r="Q484" i="10"/>
  <c r="P484" i="10"/>
  <c r="R484" i="10" s="1"/>
  <c r="U483" i="10"/>
  <c r="T483" i="10" a="1"/>
  <c r="T483" i="10" s="1"/>
  <c r="S483" i="10"/>
  <c r="Q483" i="10"/>
  <c r="P483" i="10"/>
  <c r="R483" i="10" s="1"/>
  <c r="U482" i="10"/>
  <c r="T482" i="10"/>
  <c r="T482" i="10" a="1"/>
  <c r="S482" i="10"/>
  <c r="R482" i="10"/>
  <c r="Q482" i="10"/>
  <c r="P482" i="10"/>
  <c r="U481" i="10"/>
  <c r="T481" i="10" a="1"/>
  <c r="T481" i="10" s="1"/>
  <c r="S481" i="10"/>
  <c r="R481" i="10"/>
  <c r="Q481" i="10"/>
  <c r="P481" i="10"/>
  <c r="U480" i="10"/>
  <c r="T480" i="10" a="1"/>
  <c r="T480" i="10" s="1"/>
  <c r="S480" i="10"/>
  <c r="Q480" i="10"/>
  <c r="P480" i="10"/>
  <c r="R480" i="10" s="1"/>
  <c r="U479" i="10"/>
  <c r="T479" i="10" a="1"/>
  <c r="T479" i="10" s="1"/>
  <c r="S479" i="10"/>
  <c r="Q479" i="10"/>
  <c r="P479" i="10"/>
  <c r="R479" i="10" s="1"/>
  <c r="U478" i="10"/>
  <c r="T478" i="10"/>
  <c r="T478" i="10" a="1"/>
  <c r="S478" i="10"/>
  <c r="Q478" i="10"/>
  <c r="P478" i="10"/>
  <c r="R478" i="10" s="1"/>
  <c r="U477" i="10"/>
  <c r="T477" i="10" a="1"/>
  <c r="T477" i="10" s="1"/>
  <c r="S477" i="10"/>
  <c r="Q477" i="10"/>
  <c r="R477" i="10" s="1"/>
  <c r="P477" i="10"/>
  <c r="U476" i="10"/>
  <c r="T476" i="10"/>
  <c r="T476" i="10" a="1"/>
  <c r="S476" i="10"/>
  <c r="Q476" i="10"/>
  <c r="R476" i="10" s="1"/>
  <c r="P476" i="10"/>
  <c r="U475" i="10"/>
  <c r="T475" i="10" a="1"/>
  <c r="T475" i="10" s="1"/>
  <c r="S475" i="10"/>
  <c r="Q475" i="10"/>
  <c r="P475" i="10"/>
  <c r="R475" i="10" s="1"/>
  <c r="U474" i="10"/>
  <c r="T474" i="10"/>
  <c r="T474" i="10" a="1"/>
  <c r="S474" i="10"/>
  <c r="Q474" i="10"/>
  <c r="R474" i="10" s="1"/>
  <c r="P474" i="10"/>
  <c r="U473" i="10"/>
  <c r="T473" i="10"/>
  <c r="T473" i="10" a="1"/>
  <c r="S473" i="10"/>
  <c r="Q473" i="10"/>
  <c r="P473" i="10"/>
  <c r="R473" i="10" s="1"/>
  <c r="U472" i="10"/>
  <c r="T472" i="10"/>
  <c r="T472" i="10" a="1"/>
  <c r="S472" i="10"/>
  <c r="Q472" i="10"/>
  <c r="P472" i="10"/>
  <c r="R472" i="10" s="1"/>
  <c r="U471" i="10"/>
  <c r="T471" i="10" a="1"/>
  <c r="T471" i="10" s="1"/>
  <c r="S471" i="10"/>
  <c r="Q471" i="10"/>
  <c r="P471" i="10"/>
  <c r="R471" i="10" s="1"/>
  <c r="U470" i="10"/>
  <c r="T470" i="10"/>
  <c r="T470" i="10" a="1"/>
  <c r="S470" i="10"/>
  <c r="R470" i="10"/>
  <c r="Q470" i="10"/>
  <c r="P470" i="10"/>
  <c r="U469" i="10"/>
  <c r="T469" i="10" a="1"/>
  <c r="T469" i="10" s="1"/>
  <c r="S469" i="10"/>
  <c r="R469" i="10"/>
  <c r="Q469" i="10"/>
  <c r="P469" i="10"/>
  <c r="U468" i="10"/>
  <c r="T468" i="10" a="1"/>
  <c r="T468" i="10" s="1"/>
  <c r="S468" i="10"/>
  <c r="Q468" i="10"/>
  <c r="P468" i="10"/>
  <c r="R468" i="10" s="1"/>
  <c r="U467" i="10"/>
  <c r="T467" i="10" a="1"/>
  <c r="T467" i="10" s="1"/>
  <c r="S467" i="10"/>
  <c r="Q467" i="10"/>
  <c r="P467" i="10"/>
  <c r="R467" i="10" s="1"/>
  <c r="U466" i="10"/>
  <c r="T466" i="10" a="1"/>
  <c r="T466" i="10" s="1"/>
  <c r="S466" i="10"/>
  <c r="Q466" i="10"/>
  <c r="R466" i="10" s="1"/>
  <c r="P466" i="10"/>
  <c r="U465" i="10"/>
  <c r="T465" i="10" a="1"/>
  <c r="T465" i="10" s="1"/>
  <c r="S465" i="10"/>
  <c r="Q465" i="10"/>
  <c r="R465" i="10" s="1"/>
  <c r="P465" i="10"/>
  <c r="U464" i="10"/>
  <c r="T464" i="10" a="1"/>
  <c r="T464" i="10" s="1"/>
  <c r="S464" i="10"/>
  <c r="Q464" i="10"/>
  <c r="P464" i="10"/>
  <c r="R464" i="10" s="1"/>
  <c r="U463" i="10"/>
  <c r="T463" i="10" a="1"/>
  <c r="T463" i="10" s="1"/>
  <c r="S463" i="10"/>
  <c r="Q463" i="10"/>
  <c r="P463" i="10"/>
  <c r="R463" i="10" s="1"/>
  <c r="U462" i="10"/>
  <c r="T462" i="10"/>
  <c r="T462" i="10" a="1"/>
  <c r="S462" i="10"/>
  <c r="Q462" i="10"/>
  <c r="R462" i="10" s="1"/>
  <c r="P462" i="10"/>
  <c r="U461" i="10"/>
  <c r="T461" i="10"/>
  <c r="T461" i="10" a="1"/>
  <c r="S461" i="10"/>
  <c r="Q461" i="10"/>
  <c r="P461" i="10"/>
  <c r="R461" i="10" s="1"/>
  <c r="U460" i="10"/>
  <c r="T460" i="10"/>
  <c r="T460" i="10" a="1"/>
  <c r="S460" i="10"/>
  <c r="Q460" i="10"/>
  <c r="P460" i="10"/>
  <c r="R460" i="10" s="1"/>
  <c r="U459" i="10"/>
  <c r="T459" i="10" a="1"/>
  <c r="T459" i="10" s="1"/>
  <c r="S459" i="10"/>
  <c r="Q459" i="10"/>
  <c r="P459" i="10"/>
  <c r="R459" i="10" s="1"/>
  <c r="U458" i="10"/>
  <c r="T458" i="10"/>
  <c r="T458" i="10" a="1"/>
  <c r="S458" i="10"/>
  <c r="R458" i="10"/>
  <c r="Q458" i="10"/>
  <c r="P458" i="10"/>
  <c r="U457" i="10"/>
  <c r="T457" i="10" a="1"/>
  <c r="T457" i="10" s="1"/>
  <c r="S457" i="10"/>
  <c r="R457" i="10"/>
  <c r="Q457" i="10"/>
  <c r="P457" i="10"/>
  <c r="U456" i="10"/>
  <c r="T456" i="10" a="1"/>
  <c r="T456" i="10" s="1"/>
  <c r="S456" i="10"/>
  <c r="Q456" i="10"/>
  <c r="P456" i="10"/>
  <c r="R456" i="10" s="1"/>
  <c r="U455" i="10"/>
  <c r="T455" i="10" a="1"/>
  <c r="T455" i="10" s="1"/>
  <c r="S455" i="10"/>
  <c r="Q455" i="10"/>
  <c r="P455" i="10"/>
  <c r="R455" i="10" s="1"/>
  <c r="U454" i="10"/>
  <c r="T454" i="10" a="1"/>
  <c r="T454" i="10" s="1"/>
  <c r="S454" i="10"/>
  <c r="Q454" i="10"/>
  <c r="R454" i="10" s="1"/>
  <c r="P454" i="10"/>
  <c r="U453" i="10"/>
  <c r="T453" i="10" a="1"/>
  <c r="T453" i="10" s="1"/>
  <c r="S453" i="10"/>
  <c r="Q453" i="10"/>
  <c r="R453" i="10" s="1"/>
  <c r="P453" i="10"/>
  <c r="U452" i="10"/>
  <c r="T452" i="10" a="1"/>
  <c r="T452" i="10" s="1"/>
  <c r="S452" i="10"/>
  <c r="Q452" i="10"/>
  <c r="P452" i="10"/>
  <c r="R452" i="10" s="1"/>
  <c r="U451" i="10"/>
  <c r="T451" i="10" a="1"/>
  <c r="T451" i="10" s="1"/>
  <c r="S451" i="10"/>
  <c r="Q451" i="10"/>
  <c r="P451" i="10"/>
  <c r="R451" i="10" s="1"/>
  <c r="U450" i="10"/>
  <c r="T450" i="10"/>
  <c r="T450" i="10" a="1"/>
  <c r="S450" i="10"/>
  <c r="Q450" i="10"/>
  <c r="R450" i="10" s="1"/>
  <c r="P450" i="10"/>
  <c r="U449" i="10"/>
  <c r="T449" i="10"/>
  <c r="T449" i="10" a="1"/>
  <c r="S449" i="10"/>
  <c r="Q449" i="10"/>
  <c r="P449" i="10"/>
  <c r="R449" i="10" s="1"/>
  <c r="U448" i="10"/>
  <c r="T448" i="10"/>
  <c r="T448" i="10" a="1"/>
  <c r="S448" i="10"/>
  <c r="Q448" i="10"/>
  <c r="P448" i="10"/>
  <c r="R448" i="10" s="1"/>
  <c r="U447" i="10"/>
  <c r="T447" i="10" a="1"/>
  <c r="T447" i="10" s="1"/>
  <c r="S447" i="10"/>
  <c r="Q447" i="10"/>
  <c r="P447" i="10"/>
  <c r="R447" i="10" s="1"/>
  <c r="U446" i="10"/>
  <c r="T446" i="10"/>
  <c r="T446" i="10" a="1"/>
  <c r="S446" i="10"/>
  <c r="R446" i="10"/>
  <c r="Q446" i="10"/>
  <c r="P446" i="10"/>
  <c r="U445" i="10"/>
  <c r="T445" i="10" a="1"/>
  <c r="T445" i="10" s="1"/>
  <c r="S445" i="10"/>
  <c r="R445" i="10"/>
  <c r="Q445" i="10"/>
  <c r="P445" i="10"/>
  <c r="U444" i="10"/>
  <c r="T444" i="10" a="1"/>
  <c r="T444" i="10" s="1"/>
  <c r="S444" i="10"/>
  <c r="Q444" i="10"/>
  <c r="P444" i="10"/>
  <c r="R444" i="10" s="1"/>
  <c r="U443" i="10"/>
  <c r="T443" i="10" a="1"/>
  <c r="T443" i="10" s="1"/>
  <c r="S443" i="10"/>
  <c r="Q443" i="10"/>
  <c r="P443" i="10"/>
  <c r="R443" i="10" s="1"/>
  <c r="U442" i="10"/>
  <c r="T442" i="10" a="1"/>
  <c r="T442" i="10" s="1"/>
  <c r="S442" i="10"/>
  <c r="Q442" i="10"/>
  <c r="R442" i="10" s="1"/>
  <c r="P442" i="10"/>
  <c r="U441" i="10"/>
  <c r="T441" i="10" a="1"/>
  <c r="T441" i="10" s="1"/>
  <c r="S441" i="10"/>
  <c r="Q441" i="10"/>
  <c r="R441" i="10" s="1"/>
  <c r="P441" i="10"/>
  <c r="U440" i="10"/>
  <c r="T440" i="10" a="1"/>
  <c r="T440" i="10" s="1"/>
  <c r="S440" i="10"/>
  <c r="Q440" i="10"/>
  <c r="P440" i="10"/>
  <c r="R440" i="10" s="1"/>
  <c r="U439" i="10"/>
  <c r="T439" i="10" a="1"/>
  <c r="T439" i="10" s="1"/>
  <c r="S439" i="10"/>
  <c r="Q439" i="10"/>
  <c r="P439" i="10"/>
  <c r="R439" i="10" s="1"/>
  <c r="U438" i="10"/>
  <c r="T438" i="10"/>
  <c r="T438" i="10" a="1"/>
  <c r="S438" i="10"/>
  <c r="Q438" i="10"/>
  <c r="R438" i="10" s="1"/>
  <c r="P438" i="10"/>
  <c r="U437" i="10"/>
  <c r="T437" i="10"/>
  <c r="T437" i="10" a="1"/>
  <c r="S437" i="10"/>
  <c r="Q437" i="10"/>
  <c r="P437" i="10"/>
  <c r="R437" i="10" s="1"/>
  <c r="U436" i="10"/>
  <c r="T436" i="10"/>
  <c r="T436" i="10" a="1"/>
  <c r="S436" i="10"/>
  <c r="Q436" i="10"/>
  <c r="P436" i="10"/>
  <c r="R436" i="10" s="1"/>
  <c r="U435" i="10"/>
  <c r="T435" i="10" a="1"/>
  <c r="T435" i="10" s="1"/>
  <c r="S435" i="10"/>
  <c r="Q435" i="10"/>
  <c r="P435" i="10"/>
  <c r="R435" i="10" s="1"/>
  <c r="U434" i="10"/>
  <c r="T434" i="10"/>
  <c r="T434" i="10" a="1"/>
  <c r="S434" i="10"/>
  <c r="R434" i="10"/>
  <c r="Q434" i="10"/>
  <c r="P434" i="10"/>
  <c r="U433" i="10"/>
  <c r="T433" i="10" a="1"/>
  <c r="T433" i="10" s="1"/>
  <c r="S433" i="10"/>
  <c r="R433" i="10"/>
  <c r="Q433" i="10"/>
  <c r="P433" i="10"/>
  <c r="U432" i="10"/>
  <c r="T432" i="10" a="1"/>
  <c r="T432" i="10" s="1"/>
  <c r="S432" i="10"/>
  <c r="Q432" i="10"/>
  <c r="P432" i="10"/>
  <c r="R432" i="10" s="1"/>
  <c r="U431" i="10"/>
  <c r="T431" i="10" a="1"/>
  <c r="T431" i="10" s="1"/>
  <c r="S431" i="10"/>
  <c r="Q431" i="10"/>
  <c r="P431" i="10"/>
  <c r="R431" i="10" s="1"/>
  <c r="U430" i="10"/>
  <c r="T430" i="10" a="1"/>
  <c r="T430" i="10" s="1"/>
  <c r="S430" i="10"/>
  <c r="Q430" i="10"/>
  <c r="R430" i="10" s="1"/>
  <c r="P430" i="10"/>
  <c r="U429" i="10"/>
  <c r="T429" i="10" a="1"/>
  <c r="T429" i="10" s="1"/>
  <c r="S429" i="10"/>
  <c r="Q429" i="10"/>
  <c r="R429" i="10" s="1"/>
  <c r="P429" i="10"/>
  <c r="U428" i="10"/>
  <c r="T428" i="10" a="1"/>
  <c r="T428" i="10" s="1"/>
  <c r="S428" i="10"/>
  <c r="Q428" i="10"/>
  <c r="P428" i="10"/>
  <c r="R428" i="10" s="1"/>
  <c r="U427" i="10"/>
  <c r="T427" i="10" a="1"/>
  <c r="T427" i="10" s="1"/>
  <c r="S427" i="10"/>
  <c r="Q427" i="10"/>
  <c r="P427" i="10"/>
  <c r="R427" i="10" s="1"/>
  <c r="U426" i="10"/>
  <c r="T426" i="10"/>
  <c r="T426" i="10" a="1"/>
  <c r="S426" i="10"/>
  <c r="Q426" i="10"/>
  <c r="R426" i="10" s="1"/>
  <c r="P426" i="10"/>
  <c r="U425" i="10"/>
  <c r="T425" i="10"/>
  <c r="T425" i="10" a="1"/>
  <c r="S425" i="10"/>
  <c r="Q425" i="10"/>
  <c r="P425" i="10"/>
  <c r="R425" i="10" s="1"/>
  <c r="U424" i="10"/>
  <c r="T424" i="10"/>
  <c r="T424" i="10" a="1"/>
  <c r="S424" i="10"/>
  <c r="Q424" i="10"/>
  <c r="P424" i="10"/>
  <c r="R424" i="10" s="1"/>
  <c r="U423" i="10"/>
  <c r="T423" i="10" a="1"/>
  <c r="T423" i="10" s="1"/>
  <c r="S423" i="10"/>
  <c r="Q423" i="10"/>
  <c r="P423" i="10"/>
  <c r="R423" i="10" s="1"/>
  <c r="U422" i="10"/>
  <c r="T422" i="10"/>
  <c r="T422" i="10" a="1"/>
  <c r="S422" i="10"/>
  <c r="R422" i="10"/>
  <c r="Q422" i="10"/>
  <c r="P422" i="10"/>
  <c r="U421" i="10"/>
  <c r="T421" i="10" a="1"/>
  <c r="T421" i="10" s="1"/>
  <c r="S421" i="10"/>
  <c r="R421" i="10"/>
  <c r="Q421" i="10"/>
  <c r="P421" i="10"/>
  <c r="U420" i="10"/>
  <c r="T420" i="10" a="1"/>
  <c r="T420" i="10" s="1"/>
  <c r="S420" i="10"/>
  <c r="Q420" i="10"/>
  <c r="P420" i="10"/>
  <c r="R420" i="10" s="1"/>
  <c r="U419" i="10"/>
  <c r="T419" i="10" a="1"/>
  <c r="T419" i="10" s="1"/>
  <c r="S419" i="10"/>
  <c r="Q419" i="10"/>
  <c r="P419" i="10"/>
  <c r="R419" i="10" s="1"/>
  <c r="U418" i="10"/>
  <c r="T418" i="10" a="1"/>
  <c r="T418" i="10" s="1"/>
  <c r="S418" i="10"/>
  <c r="Q418" i="10"/>
  <c r="R418" i="10" s="1"/>
  <c r="P418" i="10"/>
  <c r="U417" i="10"/>
  <c r="T417" i="10" a="1"/>
  <c r="T417" i="10" s="1"/>
  <c r="S417" i="10"/>
  <c r="Q417" i="10"/>
  <c r="R417" i="10" s="1"/>
  <c r="P417" i="10"/>
  <c r="U416" i="10"/>
  <c r="T416" i="10" a="1"/>
  <c r="T416" i="10" s="1"/>
  <c r="S416" i="10"/>
  <c r="Q416" i="10"/>
  <c r="P416" i="10"/>
  <c r="R416" i="10" s="1"/>
  <c r="U415" i="10"/>
  <c r="T415" i="10" a="1"/>
  <c r="T415" i="10" s="1"/>
  <c r="S415" i="10"/>
  <c r="Q415" i="10"/>
  <c r="P415" i="10"/>
  <c r="R415" i="10" s="1"/>
  <c r="U414" i="10"/>
  <c r="T414" i="10"/>
  <c r="T414" i="10" a="1"/>
  <c r="S414" i="10"/>
  <c r="Q414" i="10"/>
  <c r="R414" i="10" s="1"/>
  <c r="P414" i="10"/>
  <c r="U413" i="10"/>
  <c r="T413" i="10"/>
  <c r="T413" i="10" a="1"/>
  <c r="S413" i="10"/>
  <c r="Q413" i="10"/>
  <c r="P413" i="10"/>
  <c r="R413" i="10" s="1"/>
  <c r="U412" i="10"/>
  <c r="T412" i="10"/>
  <c r="T412" i="10" a="1"/>
  <c r="S412" i="10"/>
  <c r="Q412" i="10"/>
  <c r="P412" i="10"/>
  <c r="R412" i="10" s="1"/>
  <c r="U411" i="10"/>
  <c r="T411" i="10" a="1"/>
  <c r="T411" i="10" s="1"/>
  <c r="S411" i="10"/>
  <c r="Q411" i="10"/>
  <c r="P411" i="10"/>
  <c r="R411" i="10" s="1"/>
  <c r="U410" i="10"/>
  <c r="T410" i="10"/>
  <c r="T410" i="10" a="1"/>
  <c r="S410" i="10"/>
  <c r="R410" i="10"/>
  <c r="Q410" i="10"/>
  <c r="P410" i="10"/>
  <c r="U409" i="10"/>
  <c r="T409" i="10" a="1"/>
  <c r="T409" i="10" s="1"/>
  <c r="S409" i="10"/>
  <c r="R409" i="10"/>
  <c r="Q409" i="10"/>
  <c r="P409" i="10"/>
  <c r="U408" i="10"/>
  <c r="T408" i="10" a="1"/>
  <c r="T408" i="10" s="1"/>
  <c r="S408" i="10"/>
  <c r="Q408" i="10"/>
  <c r="P408" i="10"/>
  <c r="R408" i="10" s="1"/>
  <c r="U407" i="10"/>
  <c r="T407" i="10" a="1"/>
  <c r="T407" i="10" s="1"/>
  <c r="S407" i="10"/>
  <c r="Q407" i="10"/>
  <c r="P407" i="10"/>
  <c r="R407" i="10" s="1"/>
  <c r="U406" i="10"/>
  <c r="T406" i="10" a="1"/>
  <c r="T406" i="10" s="1"/>
  <c r="S406" i="10"/>
  <c r="Q406" i="10"/>
  <c r="R406" i="10" s="1"/>
  <c r="P406" i="10"/>
  <c r="U405" i="10"/>
  <c r="T405" i="10" a="1"/>
  <c r="T405" i="10" s="1"/>
  <c r="S405" i="10"/>
  <c r="Q405" i="10"/>
  <c r="R405" i="10" s="1"/>
  <c r="P405" i="10"/>
  <c r="U404" i="10"/>
  <c r="T404" i="10" a="1"/>
  <c r="T404" i="10" s="1"/>
  <c r="S404" i="10"/>
  <c r="Q404" i="10"/>
  <c r="P404" i="10"/>
  <c r="R404" i="10" s="1"/>
  <c r="U403" i="10"/>
  <c r="T403" i="10" a="1"/>
  <c r="T403" i="10" s="1"/>
  <c r="S403" i="10"/>
  <c r="Q403" i="10"/>
  <c r="P403" i="10"/>
  <c r="R403" i="10" s="1"/>
  <c r="U402" i="10"/>
  <c r="T402" i="10"/>
  <c r="T402" i="10" a="1"/>
  <c r="S402" i="10"/>
  <c r="Q402" i="10"/>
  <c r="R402" i="10" s="1"/>
  <c r="P402" i="10"/>
  <c r="U401" i="10"/>
  <c r="T401" i="10"/>
  <c r="T401" i="10" a="1"/>
  <c r="S401" i="10"/>
  <c r="Q401" i="10"/>
  <c r="P401" i="10"/>
  <c r="R401" i="10" s="1"/>
  <c r="U400" i="10"/>
  <c r="T400" i="10"/>
  <c r="T400" i="10" a="1"/>
  <c r="S400" i="10"/>
  <c r="Q400" i="10"/>
  <c r="P400" i="10"/>
  <c r="R400" i="10" s="1"/>
  <c r="U399" i="10"/>
  <c r="T399" i="10" a="1"/>
  <c r="T399" i="10" s="1"/>
  <c r="S399" i="10"/>
  <c r="Q399" i="10"/>
  <c r="P399" i="10"/>
  <c r="R399" i="10" s="1"/>
  <c r="U398" i="10"/>
  <c r="T398" i="10"/>
  <c r="T398" i="10" a="1"/>
  <c r="S398" i="10"/>
  <c r="R398" i="10"/>
  <c r="Q398" i="10"/>
  <c r="P398" i="10"/>
  <c r="U397" i="10"/>
  <c r="T397" i="10" a="1"/>
  <c r="T397" i="10" s="1"/>
  <c r="S397" i="10"/>
  <c r="R397" i="10"/>
  <c r="Q397" i="10"/>
  <c r="P397" i="10"/>
  <c r="U396" i="10"/>
  <c r="T396" i="10" a="1"/>
  <c r="T396" i="10" s="1"/>
  <c r="S396" i="10"/>
  <c r="Q396" i="10"/>
  <c r="P396" i="10"/>
  <c r="R396" i="10" s="1"/>
  <c r="U395" i="10"/>
  <c r="T395" i="10" a="1"/>
  <c r="T395" i="10" s="1"/>
  <c r="S395" i="10"/>
  <c r="Q395" i="10"/>
  <c r="P395" i="10"/>
  <c r="R395" i="10" s="1"/>
  <c r="U394" i="10"/>
  <c r="T394" i="10" a="1"/>
  <c r="T394" i="10" s="1"/>
  <c r="S394" i="10"/>
  <c r="Q394" i="10"/>
  <c r="R394" i="10" s="1"/>
  <c r="P394" i="10"/>
  <c r="U393" i="10"/>
  <c r="T393" i="10" a="1"/>
  <c r="T393" i="10" s="1"/>
  <c r="S393" i="10"/>
  <c r="Q393" i="10"/>
  <c r="R393" i="10" s="1"/>
  <c r="P393" i="10"/>
  <c r="U392" i="10"/>
  <c r="T392" i="10" a="1"/>
  <c r="T392" i="10" s="1"/>
  <c r="S392" i="10"/>
  <c r="Q392" i="10"/>
  <c r="P392" i="10"/>
  <c r="R392" i="10" s="1"/>
  <c r="U391" i="10"/>
  <c r="T391" i="10" a="1"/>
  <c r="T391" i="10" s="1"/>
  <c r="S391" i="10"/>
  <c r="Q391" i="10"/>
  <c r="P391" i="10"/>
  <c r="R391" i="10" s="1"/>
  <c r="U390" i="10"/>
  <c r="T390" i="10"/>
  <c r="T390" i="10" a="1"/>
  <c r="S390" i="10"/>
  <c r="Q390" i="10"/>
  <c r="R390" i="10" s="1"/>
  <c r="P390" i="10"/>
  <c r="U389" i="10"/>
  <c r="T389" i="10"/>
  <c r="T389" i="10" a="1"/>
  <c r="S389" i="10"/>
  <c r="Q389" i="10"/>
  <c r="P389" i="10"/>
  <c r="R389" i="10" s="1"/>
  <c r="U388" i="10"/>
  <c r="T388" i="10"/>
  <c r="T388" i="10" a="1"/>
  <c r="S388" i="10"/>
  <c r="Q388" i="10"/>
  <c r="P388" i="10"/>
  <c r="R388" i="10" s="1"/>
  <c r="U387" i="10"/>
  <c r="T387" i="10" a="1"/>
  <c r="T387" i="10" s="1"/>
  <c r="S387" i="10"/>
  <c r="Q387" i="10"/>
  <c r="P387" i="10"/>
  <c r="R387" i="10" s="1"/>
  <c r="U386" i="10"/>
  <c r="T386" i="10"/>
  <c r="T386" i="10" a="1"/>
  <c r="S386" i="10"/>
  <c r="R386" i="10"/>
  <c r="Q386" i="10"/>
  <c r="P386" i="10"/>
  <c r="U385" i="10"/>
  <c r="T385" i="10" a="1"/>
  <c r="T385" i="10" s="1"/>
  <c r="S385" i="10"/>
  <c r="R385" i="10"/>
  <c r="Q385" i="10"/>
  <c r="P385" i="10"/>
  <c r="U384" i="10"/>
  <c r="T384" i="10" a="1"/>
  <c r="T384" i="10" s="1"/>
  <c r="S384" i="10"/>
  <c r="Q384" i="10"/>
  <c r="P384" i="10"/>
  <c r="R384" i="10" s="1"/>
  <c r="U383" i="10"/>
  <c r="T383" i="10" a="1"/>
  <c r="T383" i="10" s="1"/>
  <c r="S383" i="10"/>
  <c r="Q383" i="10"/>
  <c r="P383" i="10"/>
  <c r="R383" i="10" s="1"/>
  <c r="U382" i="10"/>
  <c r="T382" i="10" a="1"/>
  <c r="T382" i="10" s="1"/>
  <c r="S382" i="10"/>
  <c r="Q382" i="10"/>
  <c r="R382" i="10" s="1"/>
  <c r="P382" i="10"/>
  <c r="U381" i="10"/>
  <c r="T381" i="10" a="1"/>
  <c r="T381" i="10" s="1"/>
  <c r="S381" i="10"/>
  <c r="Q381" i="10"/>
  <c r="R381" i="10" s="1"/>
  <c r="P381" i="10"/>
  <c r="U380" i="10"/>
  <c r="T380" i="10" a="1"/>
  <c r="T380" i="10" s="1"/>
  <c r="S380" i="10"/>
  <c r="Q380" i="10"/>
  <c r="P380" i="10"/>
  <c r="R380" i="10" s="1"/>
  <c r="U379" i="10"/>
  <c r="T379" i="10" a="1"/>
  <c r="T379" i="10" s="1"/>
  <c r="S379" i="10"/>
  <c r="Q379" i="10"/>
  <c r="P379" i="10"/>
  <c r="R379" i="10" s="1"/>
  <c r="U378" i="10"/>
  <c r="T378" i="10"/>
  <c r="T378" i="10" a="1"/>
  <c r="S378" i="10"/>
  <c r="Q378" i="10"/>
  <c r="R378" i="10" s="1"/>
  <c r="P378" i="10"/>
  <c r="U377" i="10"/>
  <c r="T377" i="10"/>
  <c r="T377" i="10" a="1"/>
  <c r="S377" i="10"/>
  <c r="Q377" i="10"/>
  <c r="P377" i="10"/>
  <c r="R377" i="10" s="1"/>
  <c r="U376" i="10"/>
  <c r="T376" i="10"/>
  <c r="T376" i="10" a="1"/>
  <c r="S376" i="10"/>
  <c r="Q376" i="10"/>
  <c r="P376" i="10"/>
  <c r="R376" i="10" s="1"/>
  <c r="U375" i="10"/>
  <c r="T375" i="10" a="1"/>
  <c r="T375" i="10" s="1"/>
  <c r="S375" i="10"/>
  <c r="Q375" i="10"/>
  <c r="P375" i="10"/>
  <c r="R375" i="10" s="1"/>
  <c r="U374" i="10"/>
  <c r="T374" i="10"/>
  <c r="T374" i="10" a="1"/>
  <c r="S374" i="10"/>
  <c r="R374" i="10"/>
  <c r="Q374" i="10"/>
  <c r="P374" i="10"/>
  <c r="U373" i="10"/>
  <c r="T373" i="10" a="1"/>
  <c r="T373" i="10" s="1"/>
  <c r="S373" i="10"/>
  <c r="R373" i="10"/>
  <c r="Q373" i="10"/>
  <c r="P373" i="10"/>
  <c r="U372" i="10"/>
  <c r="T372" i="10" a="1"/>
  <c r="T372" i="10" s="1"/>
  <c r="S372" i="10"/>
  <c r="Q372" i="10"/>
  <c r="P372" i="10"/>
  <c r="R372" i="10" s="1"/>
  <c r="U371" i="10"/>
  <c r="T371" i="10" a="1"/>
  <c r="T371" i="10" s="1"/>
  <c r="S371" i="10"/>
  <c r="Q371" i="10"/>
  <c r="P371" i="10"/>
  <c r="R371" i="10" s="1"/>
  <c r="U370" i="10"/>
  <c r="T370" i="10" a="1"/>
  <c r="T370" i="10" s="1"/>
  <c r="S370" i="10"/>
  <c r="Q370" i="10"/>
  <c r="R370" i="10" s="1"/>
  <c r="P370" i="10"/>
  <c r="U369" i="10"/>
  <c r="T369" i="10" a="1"/>
  <c r="T369" i="10" s="1"/>
  <c r="S369" i="10"/>
  <c r="Q369" i="10"/>
  <c r="R369" i="10" s="1"/>
  <c r="P369" i="10"/>
  <c r="U368" i="10"/>
  <c r="T368" i="10" a="1"/>
  <c r="T368" i="10" s="1"/>
  <c r="S368" i="10"/>
  <c r="Q368" i="10"/>
  <c r="P368" i="10"/>
  <c r="R368" i="10" s="1"/>
  <c r="U367" i="10"/>
  <c r="T367" i="10" a="1"/>
  <c r="T367" i="10" s="1"/>
  <c r="S367" i="10"/>
  <c r="Q367" i="10"/>
  <c r="P367" i="10"/>
  <c r="R367" i="10" s="1"/>
  <c r="U366" i="10"/>
  <c r="T366" i="10"/>
  <c r="T366" i="10" a="1"/>
  <c r="S366" i="10"/>
  <c r="Q366" i="10"/>
  <c r="R366" i="10" s="1"/>
  <c r="P366" i="10"/>
  <c r="U365" i="10"/>
  <c r="T365" i="10"/>
  <c r="T365" i="10" a="1"/>
  <c r="S365" i="10"/>
  <c r="Q365" i="10"/>
  <c r="P365" i="10"/>
  <c r="R365" i="10" s="1"/>
  <c r="U364" i="10"/>
  <c r="T364" i="10"/>
  <c r="T364" i="10" a="1"/>
  <c r="S364" i="10"/>
  <c r="Q364" i="10"/>
  <c r="P364" i="10"/>
  <c r="R364" i="10" s="1"/>
  <c r="U363" i="10"/>
  <c r="T363" i="10" a="1"/>
  <c r="T363" i="10" s="1"/>
  <c r="S363" i="10"/>
  <c r="Q363" i="10"/>
  <c r="P363" i="10"/>
  <c r="R363" i="10" s="1"/>
  <c r="U362" i="10"/>
  <c r="T362" i="10"/>
  <c r="T362" i="10" a="1"/>
  <c r="S362" i="10"/>
  <c r="R362" i="10"/>
  <c r="Q362" i="10"/>
  <c r="P362" i="10"/>
  <c r="U361" i="10"/>
  <c r="T361" i="10" a="1"/>
  <c r="T361" i="10" s="1"/>
  <c r="S361" i="10"/>
  <c r="R361" i="10"/>
  <c r="Q361" i="10"/>
  <c r="P361" i="10"/>
  <c r="U360" i="10"/>
  <c r="T360" i="10" a="1"/>
  <c r="T360" i="10" s="1"/>
  <c r="S360" i="10"/>
  <c r="Q360" i="10"/>
  <c r="P360" i="10"/>
  <c r="R360" i="10" s="1"/>
  <c r="U359" i="10"/>
  <c r="T359" i="10" a="1"/>
  <c r="T359" i="10" s="1"/>
  <c r="S359" i="10"/>
  <c r="Q359" i="10"/>
  <c r="P359" i="10"/>
  <c r="R359" i="10" s="1"/>
  <c r="U358" i="10"/>
  <c r="T358" i="10" a="1"/>
  <c r="T358" i="10" s="1"/>
  <c r="S358" i="10"/>
  <c r="Q358" i="10"/>
  <c r="R358" i="10" s="1"/>
  <c r="P358" i="10"/>
  <c r="U357" i="10"/>
  <c r="T357" i="10" a="1"/>
  <c r="T357" i="10" s="1"/>
  <c r="S357" i="10"/>
  <c r="Q357" i="10"/>
  <c r="R357" i="10" s="1"/>
  <c r="P357" i="10"/>
  <c r="U356" i="10"/>
  <c r="T356" i="10" a="1"/>
  <c r="T356" i="10" s="1"/>
  <c r="S356" i="10"/>
  <c r="Q356" i="10"/>
  <c r="P356" i="10"/>
  <c r="R356" i="10" s="1"/>
  <c r="U355" i="10"/>
  <c r="T355" i="10" a="1"/>
  <c r="T355" i="10" s="1"/>
  <c r="S355" i="10"/>
  <c r="Q355" i="10"/>
  <c r="P355" i="10"/>
  <c r="R355" i="10" s="1"/>
  <c r="U354" i="10"/>
  <c r="T354" i="10"/>
  <c r="T354" i="10" a="1"/>
  <c r="S354" i="10"/>
  <c r="Q354" i="10"/>
  <c r="R354" i="10" s="1"/>
  <c r="P354" i="10"/>
  <c r="U353" i="10"/>
  <c r="T353" i="10"/>
  <c r="T353" i="10" a="1"/>
  <c r="S353" i="10"/>
  <c r="Q353" i="10"/>
  <c r="P353" i="10"/>
  <c r="R353" i="10" s="1"/>
  <c r="U352" i="10"/>
  <c r="T352" i="10"/>
  <c r="T352" i="10" a="1"/>
  <c r="S352" i="10"/>
  <c r="Q352" i="10"/>
  <c r="P352" i="10"/>
  <c r="R352" i="10" s="1"/>
  <c r="U351" i="10"/>
  <c r="T351" i="10" a="1"/>
  <c r="T351" i="10" s="1"/>
  <c r="S351" i="10"/>
  <c r="Q351" i="10"/>
  <c r="P351" i="10"/>
  <c r="R351" i="10" s="1"/>
  <c r="U350" i="10"/>
  <c r="T350" i="10"/>
  <c r="T350" i="10" a="1"/>
  <c r="S350" i="10"/>
  <c r="R350" i="10"/>
  <c r="Q350" i="10"/>
  <c r="P350" i="10"/>
  <c r="U349" i="10"/>
  <c r="T349" i="10" a="1"/>
  <c r="T349" i="10" s="1"/>
  <c r="S349" i="10"/>
  <c r="R349" i="10"/>
  <c r="Q349" i="10"/>
  <c r="P349" i="10"/>
  <c r="U348" i="10"/>
  <c r="T348" i="10" a="1"/>
  <c r="T348" i="10" s="1"/>
  <c r="S348" i="10"/>
  <c r="Q348" i="10"/>
  <c r="P348" i="10"/>
  <c r="R348" i="10" s="1"/>
  <c r="U347" i="10"/>
  <c r="T347" i="10" a="1"/>
  <c r="T347" i="10" s="1"/>
  <c r="S347" i="10"/>
  <c r="Q347" i="10"/>
  <c r="P347" i="10"/>
  <c r="R347" i="10" s="1"/>
  <c r="U346" i="10"/>
  <c r="T346" i="10" a="1"/>
  <c r="T346" i="10" s="1"/>
  <c r="S346" i="10"/>
  <c r="Q346" i="10"/>
  <c r="R346" i="10" s="1"/>
  <c r="P346" i="10"/>
  <c r="U345" i="10"/>
  <c r="T345" i="10" a="1"/>
  <c r="T345" i="10" s="1"/>
  <c r="S345" i="10"/>
  <c r="Q345" i="10"/>
  <c r="R345" i="10" s="1"/>
  <c r="P345" i="10"/>
  <c r="U344" i="10"/>
  <c r="T344" i="10" a="1"/>
  <c r="T344" i="10" s="1"/>
  <c r="S344" i="10"/>
  <c r="Q344" i="10"/>
  <c r="P344" i="10"/>
  <c r="R344" i="10" s="1"/>
  <c r="U343" i="10"/>
  <c r="T343" i="10" a="1"/>
  <c r="T343" i="10" s="1"/>
  <c r="S343" i="10"/>
  <c r="Q343" i="10"/>
  <c r="P343" i="10"/>
  <c r="R343" i="10" s="1"/>
  <c r="U342" i="10"/>
  <c r="T342" i="10"/>
  <c r="T342" i="10" a="1"/>
  <c r="S342" i="10"/>
  <c r="Q342" i="10"/>
  <c r="R342" i="10" s="1"/>
  <c r="P342" i="10"/>
  <c r="U341" i="10"/>
  <c r="T341" i="10"/>
  <c r="T341" i="10" a="1"/>
  <c r="S341" i="10"/>
  <c r="Q341" i="10"/>
  <c r="P341" i="10"/>
  <c r="R341" i="10" s="1"/>
  <c r="U340" i="10"/>
  <c r="T340" i="10"/>
  <c r="T340" i="10" a="1"/>
  <c r="S340" i="10"/>
  <c r="Q340" i="10"/>
  <c r="P340" i="10"/>
  <c r="R340" i="10" s="1"/>
  <c r="U339" i="10"/>
  <c r="T339" i="10" a="1"/>
  <c r="T339" i="10" s="1"/>
  <c r="S339" i="10"/>
  <c r="Q339" i="10"/>
  <c r="P339" i="10"/>
  <c r="R339" i="10" s="1"/>
  <c r="U338" i="10"/>
  <c r="T338" i="10"/>
  <c r="T338" i="10" a="1"/>
  <c r="S338" i="10"/>
  <c r="R338" i="10"/>
  <c r="Q338" i="10"/>
  <c r="P338" i="10"/>
  <c r="U337" i="10"/>
  <c r="T337" i="10" a="1"/>
  <c r="T337" i="10" s="1"/>
  <c r="S337" i="10"/>
  <c r="R337" i="10"/>
  <c r="Q337" i="10"/>
  <c r="P337" i="10"/>
  <c r="U336" i="10"/>
  <c r="T336" i="10" a="1"/>
  <c r="T336" i="10" s="1"/>
  <c r="S336" i="10"/>
  <c r="Q336" i="10"/>
  <c r="P336" i="10"/>
  <c r="R336" i="10" s="1"/>
  <c r="U335" i="10"/>
  <c r="T335" i="10" a="1"/>
  <c r="T335" i="10" s="1"/>
  <c r="S335" i="10"/>
  <c r="Q335" i="10"/>
  <c r="P335" i="10"/>
  <c r="R335" i="10" s="1"/>
  <c r="U334" i="10"/>
  <c r="T334" i="10" a="1"/>
  <c r="T334" i="10" s="1"/>
  <c r="S334" i="10"/>
  <c r="Q334" i="10"/>
  <c r="R334" i="10" s="1"/>
  <c r="P334" i="10"/>
  <c r="U333" i="10"/>
  <c r="T333" i="10" a="1"/>
  <c r="T333" i="10" s="1"/>
  <c r="S333" i="10"/>
  <c r="Q333" i="10"/>
  <c r="R333" i="10" s="1"/>
  <c r="P333" i="10"/>
  <c r="U332" i="10"/>
  <c r="T332" i="10" a="1"/>
  <c r="T332" i="10" s="1"/>
  <c r="S332" i="10"/>
  <c r="Q332" i="10"/>
  <c r="P332" i="10"/>
  <c r="R332" i="10" s="1"/>
  <c r="U331" i="10"/>
  <c r="T331" i="10" a="1"/>
  <c r="T331" i="10" s="1"/>
  <c r="S331" i="10"/>
  <c r="Q331" i="10"/>
  <c r="P331" i="10"/>
  <c r="R331" i="10" s="1"/>
  <c r="U330" i="10"/>
  <c r="T330" i="10"/>
  <c r="T330" i="10" a="1"/>
  <c r="S330" i="10"/>
  <c r="Q330" i="10"/>
  <c r="R330" i="10" s="1"/>
  <c r="P330" i="10"/>
  <c r="U329" i="10"/>
  <c r="T329" i="10"/>
  <c r="T329" i="10" a="1"/>
  <c r="S329" i="10"/>
  <c r="Q329" i="10"/>
  <c r="P329" i="10"/>
  <c r="R329" i="10" s="1"/>
  <c r="U328" i="10"/>
  <c r="T328" i="10"/>
  <c r="T328" i="10" a="1"/>
  <c r="S328" i="10"/>
  <c r="Q328" i="10"/>
  <c r="P328" i="10"/>
  <c r="R328" i="10" s="1"/>
  <c r="U327" i="10"/>
  <c r="T327" i="10" a="1"/>
  <c r="T327" i="10" s="1"/>
  <c r="S327" i="10"/>
  <c r="Q327" i="10"/>
  <c r="P327" i="10"/>
  <c r="R327" i="10" s="1"/>
  <c r="U326" i="10"/>
  <c r="T326" i="10"/>
  <c r="T326" i="10" a="1"/>
  <c r="S326" i="10"/>
  <c r="R326" i="10"/>
  <c r="Q326" i="10"/>
  <c r="P326" i="10"/>
  <c r="U325" i="10"/>
  <c r="T325" i="10" a="1"/>
  <c r="T325" i="10" s="1"/>
  <c r="S325" i="10"/>
  <c r="R325" i="10"/>
  <c r="Q325" i="10"/>
  <c r="P325" i="10"/>
  <c r="U324" i="10"/>
  <c r="T324" i="10" a="1"/>
  <c r="T324" i="10" s="1"/>
  <c r="S324" i="10"/>
  <c r="Q324" i="10"/>
  <c r="P324" i="10"/>
  <c r="R324" i="10" s="1"/>
  <c r="U323" i="10"/>
  <c r="T323" i="10" a="1"/>
  <c r="T323" i="10" s="1"/>
  <c r="S323" i="10"/>
  <c r="Q323" i="10"/>
  <c r="P323" i="10"/>
  <c r="R323" i="10" s="1"/>
  <c r="U322" i="10"/>
  <c r="T322" i="10" a="1"/>
  <c r="T322" i="10" s="1"/>
  <c r="S322" i="10"/>
  <c r="R322" i="10"/>
  <c r="Q322" i="10"/>
  <c r="P322" i="10"/>
  <c r="U321" i="10"/>
  <c r="T321" i="10" a="1"/>
  <c r="T321" i="10" s="1"/>
  <c r="S321" i="10"/>
  <c r="Q321" i="10"/>
  <c r="R321" i="10" s="1"/>
  <c r="P321" i="10"/>
  <c r="U320" i="10"/>
  <c r="T320" i="10" a="1"/>
  <c r="T320" i="10" s="1"/>
  <c r="S320" i="10"/>
  <c r="Q320" i="10"/>
  <c r="P320" i="10"/>
  <c r="R320" i="10" s="1"/>
  <c r="U319" i="10"/>
  <c r="T319" i="10" a="1"/>
  <c r="T319" i="10" s="1"/>
  <c r="S319" i="10"/>
  <c r="Q319" i="10"/>
  <c r="P319" i="10"/>
  <c r="R319" i="10" s="1"/>
  <c r="U318" i="10"/>
  <c r="T318" i="10"/>
  <c r="T318" i="10" a="1"/>
  <c r="S318" i="10"/>
  <c r="Q318" i="10"/>
  <c r="R318" i="10" s="1"/>
  <c r="P318" i="10"/>
  <c r="U317" i="10"/>
  <c r="T317" i="10"/>
  <c r="T317" i="10" a="1"/>
  <c r="S317" i="10"/>
  <c r="Q317" i="10"/>
  <c r="P317" i="10"/>
  <c r="R317" i="10" s="1"/>
  <c r="U316" i="10"/>
  <c r="T316" i="10"/>
  <c r="T316" i="10" a="1"/>
  <c r="S316" i="10"/>
  <c r="Q316" i="10"/>
  <c r="P316" i="10"/>
  <c r="R316" i="10" s="1"/>
  <c r="U315" i="10"/>
  <c r="T315" i="10" a="1"/>
  <c r="T315" i="10" s="1"/>
  <c r="S315" i="10"/>
  <c r="Q315" i="10"/>
  <c r="P315" i="10"/>
  <c r="R315" i="10" s="1"/>
  <c r="U314" i="10"/>
  <c r="T314" i="10"/>
  <c r="T314" i="10" a="1"/>
  <c r="S314" i="10"/>
  <c r="R314" i="10"/>
  <c r="Q314" i="10"/>
  <c r="P314" i="10"/>
  <c r="U313" i="10"/>
  <c r="T313" i="10"/>
  <c r="T313" i="10" a="1"/>
  <c r="S313" i="10"/>
  <c r="R313" i="10"/>
  <c r="Q313" i="10"/>
  <c r="P313" i="10"/>
  <c r="U312" i="10"/>
  <c r="T312" i="10" a="1"/>
  <c r="T312" i="10" s="1"/>
  <c r="S312" i="10"/>
  <c r="Q312" i="10"/>
  <c r="P312" i="10"/>
  <c r="R312" i="10" s="1"/>
  <c r="U311" i="10"/>
  <c r="T311" i="10" a="1"/>
  <c r="T311" i="10" s="1"/>
  <c r="S311" i="10"/>
  <c r="Q311" i="10"/>
  <c r="P311" i="10"/>
  <c r="R311" i="10" s="1"/>
  <c r="U310" i="10"/>
  <c r="T310" i="10" a="1"/>
  <c r="T310" i="10" s="1"/>
  <c r="S310" i="10"/>
  <c r="R310" i="10"/>
  <c r="Q310" i="10"/>
  <c r="P310" i="10"/>
  <c r="U309" i="10"/>
  <c r="T309" i="10" a="1"/>
  <c r="T309" i="10" s="1"/>
  <c r="S309" i="10"/>
  <c r="Q309" i="10"/>
  <c r="R309" i="10" s="1"/>
  <c r="P309" i="10"/>
  <c r="U308" i="10"/>
  <c r="T308" i="10" a="1"/>
  <c r="T308" i="10" s="1"/>
  <c r="S308" i="10"/>
  <c r="Q308" i="10"/>
  <c r="P308" i="10"/>
  <c r="R308" i="10" s="1"/>
  <c r="U307" i="10"/>
  <c r="T307" i="10" a="1"/>
  <c r="T307" i="10" s="1"/>
  <c r="S307" i="10"/>
  <c r="Q307" i="10"/>
  <c r="P307" i="10"/>
  <c r="R307" i="10" s="1"/>
  <c r="U306" i="10"/>
  <c r="T306" i="10"/>
  <c r="T306" i="10" a="1"/>
  <c r="S306" i="10"/>
  <c r="Q306" i="10"/>
  <c r="R306" i="10" s="1"/>
  <c r="P306" i="10"/>
  <c r="U305" i="10"/>
  <c r="T305" i="10"/>
  <c r="T305" i="10" a="1"/>
  <c r="S305" i="10"/>
  <c r="Q305" i="10"/>
  <c r="P305" i="10"/>
  <c r="R305" i="10" s="1"/>
  <c r="U304" i="10"/>
  <c r="T304" i="10"/>
  <c r="T304" i="10" a="1"/>
  <c r="S304" i="10"/>
  <c r="Q304" i="10"/>
  <c r="P304" i="10"/>
  <c r="R304" i="10" s="1"/>
  <c r="U303" i="10"/>
  <c r="T303" i="10" a="1"/>
  <c r="T303" i="10" s="1"/>
  <c r="S303" i="10"/>
  <c r="Q303" i="10"/>
  <c r="P303" i="10"/>
  <c r="R303" i="10" s="1"/>
  <c r="U302" i="10"/>
  <c r="T302" i="10"/>
  <c r="T302" i="10" a="1"/>
  <c r="S302" i="10"/>
  <c r="R302" i="10"/>
  <c r="Q302" i="10"/>
  <c r="P302" i="10"/>
  <c r="U301" i="10"/>
  <c r="T301" i="10"/>
  <c r="T301" i="10" a="1"/>
  <c r="S301" i="10"/>
  <c r="R301" i="10"/>
  <c r="Q301" i="10"/>
  <c r="P301" i="10"/>
  <c r="U300" i="10"/>
  <c r="T300" i="10" a="1"/>
  <c r="T300" i="10" s="1"/>
  <c r="S300" i="10"/>
  <c r="Q300" i="10"/>
  <c r="P300" i="10"/>
  <c r="R300" i="10" s="1"/>
  <c r="U299" i="10"/>
  <c r="T299" i="10" a="1"/>
  <c r="T299" i="10" s="1"/>
  <c r="S299" i="10"/>
  <c r="Q299" i="10"/>
  <c r="P299" i="10"/>
  <c r="R299" i="10" s="1"/>
  <c r="U298" i="10"/>
  <c r="T298" i="10" a="1"/>
  <c r="T298" i="10" s="1"/>
  <c r="S298" i="10"/>
  <c r="R298" i="10"/>
  <c r="Q298" i="10"/>
  <c r="P298" i="10"/>
  <c r="U297" i="10"/>
  <c r="T297" i="10" a="1"/>
  <c r="T297" i="10" s="1"/>
  <c r="S297" i="10"/>
  <c r="Q297" i="10"/>
  <c r="R297" i="10" s="1"/>
  <c r="P297" i="10"/>
  <c r="U296" i="10"/>
  <c r="T296" i="10" a="1"/>
  <c r="T296" i="10" s="1"/>
  <c r="S296" i="10"/>
  <c r="Q296" i="10"/>
  <c r="P296" i="10"/>
  <c r="R296" i="10" s="1"/>
  <c r="U295" i="10"/>
  <c r="T295" i="10" a="1"/>
  <c r="T295" i="10" s="1"/>
  <c r="S295" i="10"/>
  <c r="Q295" i="10"/>
  <c r="P295" i="10"/>
  <c r="R295" i="10" s="1"/>
  <c r="U294" i="10"/>
  <c r="T294" i="10"/>
  <c r="T294" i="10" a="1"/>
  <c r="S294" i="10"/>
  <c r="Q294" i="10"/>
  <c r="R294" i="10" s="1"/>
  <c r="P294" i="10"/>
  <c r="U293" i="10"/>
  <c r="T293" i="10"/>
  <c r="T293" i="10" a="1"/>
  <c r="S293" i="10"/>
  <c r="Q293" i="10"/>
  <c r="P293" i="10"/>
  <c r="R293" i="10" s="1"/>
  <c r="U292" i="10"/>
  <c r="T292" i="10"/>
  <c r="T292" i="10" a="1"/>
  <c r="S292" i="10"/>
  <c r="Q292" i="10"/>
  <c r="P292" i="10"/>
  <c r="R292" i="10" s="1"/>
  <c r="U291" i="10"/>
  <c r="T291" i="10" a="1"/>
  <c r="T291" i="10" s="1"/>
  <c r="S291" i="10"/>
  <c r="Q291" i="10"/>
  <c r="P291" i="10"/>
  <c r="R291" i="10" s="1"/>
  <c r="U290" i="10"/>
  <c r="T290" i="10"/>
  <c r="T290" i="10" a="1"/>
  <c r="S290" i="10"/>
  <c r="R290" i="10"/>
  <c r="Q290" i="10"/>
  <c r="P290" i="10"/>
  <c r="U289" i="10"/>
  <c r="T289" i="10"/>
  <c r="T289" i="10" a="1"/>
  <c r="S289" i="10"/>
  <c r="R289" i="10"/>
  <c r="Q289" i="10"/>
  <c r="P289" i="10"/>
  <c r="U288" i="10"/>
  <c r="T288" i="10" a="1"/>
  <c r="T288" i="10" s="1"/>
  <c r="S288" i="10"/>
  <c r="Q288" i="10"/>
  <c r="P288" i="10"/>
  <c r="R288" i="10" s="1"/>
  <c r="U287" i="10"/>
  <c r="T287" i="10" a="1"/>
  <c r="T287" i="10" s="1"/>
  <c r="S287" i="10"/>
  <c r="Q287" i="10"/>
  <c r="P287" i="10"/>
  <c r="R287" i="10" s="1"/>
  <c r="U286" i="10"/>
  <c r="T286" i="10" a="1"/>
  <c r="T286" i="10" s="1"/>
  <c r="S286" i="10"/>
  <c r="R286" i="10"/>
  <c r="Q286" i="10"/>
  <c r="P286" i="10"/>
  <c r="U285" i="10"/>
  <c r="T285" i="10" a="1"/>
  <c r="T285" i="10" s="1"/>
  <c r="S285" i="10"/>
  <c r="Q285" i="10"/>
  <c r="R285" i="10" s="1"/>
  <c r="P285" i="10"/>
  <c r="U284" i="10"/>
  <c r="T284" i="10" a="1"/>
  <c r="T284" i="10" s="1"/>
  <c r="S284" i="10"/>
  <c r="Q284" i="10"/>
  <c r="R284" i="10" s="1"/>
  <c r="P284" i="10"/>
  <c r="U283" i="10"/>
  <c r="T283" i="10" a="1"/>
  <c r="T283" i="10" s="1"/>
  <c r="S283" i="10"/>
  <c r="Q283" i="10"/>
  <c r="P283" i="10"/>
  <c r="R283" i="10" s="1"/>
  <c r="U282" i="10"/>
  <c r="T282" i="10"/>
  <c r="T282" i="10" a="1"/>
  <c r="S282" i="10"/>
  <c r="Q282" i="10"/>
  <c r="R282" i="10" s="1"/>
  <c r="P282" i="10"/>
  <c r="U281" i="10"/>
  <c r="T281" i="10"/>
  <c r="T281" i="10" a="1"/>
  <c r="S281" i="10"/>
  <c r="Q281" i="10"/>
  <c r="P281" i="10"/>
  <c r="R281" i="10" s="1"/>
  <c r="U280" i="10"/>
  <c r="T280" i="10"/>
  <c r="T280" i="10" a="1"/>
  <c r="S280" i="10"/>
  <c r="Q280" i="10"/>
  <c r="P280" i="10"/>
  <c r="R280" i="10" s="1"/>
  <c r="U279" i="10"/>
  <c r="T279" i="10" a="1"/>
  <c r="T279" i="10" s="1"/>
  <c r="S279" i="10"/>
  <c r="Q279" i="10"/>
  <c r="P279" i="10"/>
  <c r="R279" i="10" s="1"/>
  <c r="U278" i="10"/>
  <c r="T278" i="10"/>
  <c r="T278" i="10" a="1"/>
  <c r="S278" i="10"/>
  <c r="R278" i="10"/>
  <c r="Q278" i="10"/>
  <c r="P278" i="10"/>
  <c r="U277" i="10"/>
  <c r="T277" i="10"/>
  <c r="T277" i="10" a="1"/>
  <c r="S277" i="10"/>
  <c r="R277" i="10"/>
  <c r="Q277" i="10"/>
  <c r="P277" i="10"/>
  <c r="U276" i="10"/>
  <c r="T276" i="10" a="1"/>
  <c r="T276" i="10" s="1"/>
  <c r="S276" i="10"/>
  <c r="Q276" i="10"/>
  <c r="P276" i="10"/>
  <c r="R276" i="10" s="1"/>
  <c r="U275" i="10"/>
  <c r="T275" i="10" a="1"/>
  <c r="T275" i="10" s="1"/>
  <c r="S275" i="10"/>
  <c r="Q275" i="10"/>
  <c r="P275" i="10"/>
  <c r="R275" i="10" s="1"/>
  <c r="U274" i="10"/>
  <c r="T274" i="10" a="1"/>
  <c r="T274" i="10" s="1"/>
  <c r="S274" i="10"/>
  <c r="R274" i="10"/>
  <c r="Q274" i="10"/>
  <c r="P274" i="10"/>
  <c r="U273" i="10"/>
  <c r="T273" i="10" a="1"/>
  <c r="T273" i="10" s="1"/>
  <c r="S273" i="10"/>
  <c r="Q273" i="10"/>
  <c r="R273" i="10" s="1"/>
  <c r="P273" i="10"/>
  <c r="U272" i="10"/>
  <c r="T272" i="10" a="1"/>
  <c r="T272" i="10" s="1"/>
  <c r="S272" i="10"/>
  <c r="Q272" i="10"/>
  <c r="P272" i="10"/>
  <c r="R272" i="10" s="1"/>
  <c r="U271" i="10"/>
  <c r="T271" i="10" a="1"/>
  <c r="T271" i="10" s="1"/>
  <c r="S271" i="10"/>
  <c r="Q271" i="10"/>
  <c r="P271" i="10"/>
  <c r="R271" i="10" s="1"/>
  <c r="U270" i="10"/>
  <c r="T270" i="10"/>
  <c r="T270" i="10" a="1"/>
  <c r="S270" i="10"/>
  <c r="Q270" i="10"/>
  <c r="R270" i="10" s="1"/>
  <c r="P270" i="10"/>
  <c r="U269" i="10"/>
  <c r="T269" i="10"/>
  <c r="T269" i="10" a="1"/>
  <c r="S269" i="10"/>
  <c r="Q269" i="10"/>
  <c r="P269" i="10"/>
  <c r="R269" i="10" s="1"/>
  <c r="U268" i="10"/>
  <c r="T268" i="10"/>
  <c r="T268" i="10" a="1"/>
  <c r="S268" i="10"/>
  <c r="Q268" i="10"/>
  <c r="P268" i="10"/>
  <c r="R268" i="10" s="1"/>
  <c r="U267" i="10"/>
  <c r="T267" i="10" a="1"/>
  <c r="T267" i="10" s="1"/>
  <c r="S267" i="10"/>
  <c r="Q267" i="10"/>
  <c r="P267" i="10"/>
  <c r="R267" i="10" s="1"/>
  <c r="U266" i="10"/>
  <c r="T266" i="10"/>
  <c r="T266" i="10" a="1"/>
  <c r="S266" i="10"/>
  <c r="R266" i="10"/>
  <c r="Q266" i="10"/>
  <c r="P266" i="10"/>
  <c r="U265" i="10"/>
  <c r="T265" i="10"/>
  <c r="T265" i="10" a="1"/>
  <c r="S265" i="10"/>
  <c r="R265" i="10"/>
  <c r="Q265" i="10"/>
  <c r="P265" i="10"/>
  <c r="U264" i="10"/>
  <c r="T264" i="10" a="1"/>
  <c r="T264" i="10" s="1"/>
  <c r="S264" i="10"/>
  <c r="Q264" i="10"/>
  <c r="P264" i="10"/>
  <c r="R264" i="10" s="1"/>
  <c r="U263" i="10"/>
  <c r="T263" i="10" a="1"/>
  <c r="T263" i="10" s="1"/>
  <c r="S263" i="10"/>
  <c r="Q263" i="10"/>
  <c r="P263" i="10"/>
  <c r="R263" i="10" s="1"/>
  <c r="U262" i="10"/>
  <c r="T262" i="10" a="1"/>
  <c r="T262" i="10" s="1"/>
  <c r="S262" i="10"/>
  <c r="R262" i="10"/>
  <c r="Q262" i="10"/>
  <c r="P262" i="10"/>
  <c r="U261" i="10"/>
  <c r="T261" i="10" a="1"/>
  <c r="T261" i="10" s="1"/>
  <c r="S261" i="10"/>
  <c r="Q261" i="10"/>
  <c r="R261" i="10" s="1"/>
  <c r="P261" i="10"/>
  <c r="U260" i="10"/>
  <c r="T260" i="10" a="1"/>
  <c r="T260" i="10" s="1"/>
  <c r="S260" i="10"/>
  <c r="Q260" i="10"/>
  <c r="P260" i="10"/>
  <c r="R260" i="10" s="1"/>
  <c r="U259" i="10"/>
  <c r="T259" i="10" a="1"/>
  <c r="T259" i="10" s="1"/>
  <c r="S259" i="10"/>
  <c r="Q259" i="10"/>
  <c r="P259" i="10"/>
  <c r="R259" i="10" s="1"/>
  <c r="U258" i="10"/>
  <c r="T258" i="10"/>
  <c r="T258" i="10" a="1"/>
  <c r="S258" i="10"/>
  <c r="Q258" i="10"/>
  <c r="R258" i="10" s="1"/>
  <c r="P258" i="10"/>
  <c r="U257" i="10"/>
  <c r="T257" i="10"/>
  <c r="T257" i="10" a="1"/>
  <c r="S257" i="10"/>
  <c r="Q257" i="10"/>
  <c r="P257" i="10"/>
  <c r="R257" i="10" s="1"/>
  <c r="U256" i="10"/>
  <c r="T256" i="10"/>
  <c r="T256" i="10" a="1"/>
  <c r="S256" i="10"/>
  <c r="Q256" i="10"/>
  <c r="P256" i="10"/>
  <c r="R256" i="10" s="1"/>
  <c r="U255" i="10"/>
  <c r="T255" i="10" a="1"/>
  <c r="T255" i="10" s="1"/>
  <c r="S255" i="10"/>
  <c r="Q255" i="10"/>
  <c r="P255" i="10"/>
  <c r="R255" i="10" s="1"/>
  <c r="U254" i="10"/>
  <c r="T254" i="10"/>
  <c r="T254" i="10" a="1"/>
  <c r="S254" i="10"/>
  <c r="R254" i="10"/>
  <c r="Q254" i="10"/>
  <c r="P254" i="10"/>
  <c r="U253" i="10"/>
  <c r="T253" i="10"/>
  <c r="T253" i="10" a="1"/>
  <c r="S253" i="10"/>
  <c r="R253" i="10"/>
  <c r="Q253" i="10"/>
  <c r="P253" i="10"/>
  <c r="U252" i="10"/>
  <c r="T252" i="10" a="1"/>
  <c r="T252" i="10" s="1"/>
  <c r="S252" i="10"/>
  <c r="Q252" i="10"/>
  <c r="P252" i="10"/>
  <c r="R252" i="10" s="1"/>
  <c r="U251" i="10"/>
  <c r="T251" i="10" a="1"/>
  <c r="T251" i="10" s="1"/>
  <c r="S251" i="10"/>
  <c r="Q251" i="10"/>
  <c r="P251" i="10"/>
  <c r="R251" i="10" s="1"/>
  <c r="U250" i="10"/>
  <c r="T250" i="10" a="1"/>
  <c r="T250" i="10" s="1"/>
  <c r="S250" i="10"/>
  <c r="R250" i="10"/>
  <c r="Q250" i="10"/>
  <c r="P250" i="10"/>
  <c r="U249" i="10"/>
  <c r="T249" i="10" a="1"/>
  <c r="T249" i="10" s="1"/>
  <c r="S249" i="10"/>
  <c r="Q249" i="10"/>
  <c r="R249" i="10" s="1"/>
  <c r="P249" i="10"/>
  <c r="U248" i="10"/>
  <c r="T248" i="10" a="1"/>
  <c r="T248" i="10" s="1"/>
  <c r="S248" i="10"/>
  <c r="Q248" i="10"/>
  <c r="P248" i="10"/>
  <c r="R248" i="10" s="1"/>
  <c r="U247" i="10"/>
  <c r="T247" i="10" a="1"/>
  <c r="T247" i="10" s="1"/>
  <c r="S247" i="10"/>
  <c r="Q247" i="10"/>
  <c r="P247" i="10"/>
  <c r="R247" i="10" s="1"/>
  <c r="U246" i="10"/>
  <c r="T246" i="10"/>
  <c r="T246" i="10" a="1"/>
  <c r="S246" i="10"/>
  <c r="Q246" i="10"/>
  <c r="R246" i="10" s="1"/>
  <c r="P246" i="10"/>
  <c r="U245" i="10"/>
  <c r="T245" i="10"/>
  <c r="T245" i="10" a="1"/>
  <c r="S245" i="10"/>
  <c r="Q245" i="10"/>
  <c r="P245" i="10"/>
  <c r="R245" i="10" s="1"/>
  <c r="U244" i="10"/>
  <c r="T244" i="10"/>
  <c r="T244" i="10" a="1"/>
  <c r="S244" i="10"/>
  <c r="Q244" i="10"/>
  <c r="P244" i="10"/>
  <c r="R244" i="10" s="1"/>
  <c r="U243" i="10"/>
  <c r="T243" i="10" a="1"/>
  <c r="T243" i="10" s="1"/>
  <c r="S243" i="10"/>
  <c r="Q243" i="10"/>
  <c r="P243" i="10"/>
  <c r="R243" i="10" s="1"/>
  <c r="U242" i="10"/>
  <c r="T242" i="10"/>
  <c r="T242" i="10" a="1"/>
  <c r="S242" i="10"/>
  <c r="R242" i="10"/>
  <c r="Q242" i="10"/>
  <c r="P242" i="10"/>
  <c r="U241" i="10"/>
  <c r="T241" i="10"/>
  <c r="T241" i="10" a="1"/>
  <c r="S241" i="10"/>
  <c r="R241" i="10"/>
  <c r="Q241" i="10"/>
  <c r="P241" i="10"/>
  <c r="U240" i="10"/>
  <c r="T240" i="10" a="1"/>
  <c r="T240" i="10" s="1"/>
  <c r="S240" i="10"/>
  <c r="Q240" i="10"/>
  <c r="P240" i="10"/>
  <c r="R240" i="10" s="1"/>
  <c r="U239" i="10"/>
  <c r="T239" i="10" a="1"/>
  <c r="T239" i="10" s="1"/>
  <c r="S239" i="10"/>
  <c r="Q239" i="10"/>
  <c r="P239" i="10"/>
  <c r="R239" i="10" s="1"/>
  <c r="U238" i="10"/>
  <c r="T238" i="10" a="1"/>
  <c r="T238" i="10" s="1"/>
  <c r="S238" i="10"/>
  <c r="R238" i="10"/>
  <c r="Q238" i="10"/>
  <c r="P238" i="10"/>
  <c r="U237" i="10"/>
  <c r="T237" i="10" a="1"/>
  <c r="T237" i="10" s="1"/>
  <c r="S237" i="10"/>
  <c r="Q237" i="10"/>
  <c r="R237" i="10" s="1"/>
  <c r="P237" i="10"/>
  <c r="U236" i="10"/>
  <c r="T236" i="10" a="1"/>
  <c r="T236" i="10" s="1"/>
  <c r="S236" i="10"/>
  <c r="Q236" i="10"/>
  <c r="R236" i="10" s="1"/>
  <c r="P236" i="10"/>
  <c r="U235" i="10"/>
  <c r="T235" i="10" a="1"/>
  <c r="T235" i="10" s="1"/>
  <c r="S235" i="10"/>
  <c r="Q235" i="10"/>
  <c r="P235" i="10"/>
  <c r="R235" i="10" s="1"/>
  <c r="U234" i="10"/>
  <c r="T234" i="10"/>
  <c r="T234" i="10" a="1"/>
  <c r="S234" i="10"/>
  <c r="Q234" i="10"/>
  <c r="R234" i="10" s="1"/>
  <c r="P234" i="10"/>
  <c r="U233" i="10"/>
  <c r="T233" i="10"/>
  <c r="T233" i="10" a="1"/>
  <c r="S233" i="10"/>
  <c r="Q233" i="10"/>
  <c r="P233" i="10"/>
  <c r="R233" i="10" s="1"/>
  <c r="U232" i="10"/>
  <c r="T232" i="10"/>
  <c r="T232" i="10" a="1"/>
  <c r="S232" i="10"/>
  <c r="Q232" i="10"/>
  <c r="P232" i="10"/>
  <c r="R232" i="10" s="1"/>
  <c r="U231" i="10"/>
  <c r="T231" i="10" a="1"/>
  <c r="T231" i="10" s="1"/>
  <c r="S231" i="10"/>
  <c r="Q231" i="10"/>
  <c r="P231" i="10"/>
  <c r="R231" i="10" s="1"/>
  <c r="U230" i="10"/>
  <c r="T230" i="10"/>
  <c r="T230" i="10" a="1"/>
  <c r="S230" i="10"/>
  <c r="R230" i="10"/>
  <c r="Q230" i="10"/>
  <c r="P230" i="10"/>
  <c r="U229" i="10"/>
  <c r="T229" i="10"/>
  <c r="T229" i="10" a="1"/>
  <c r="S229" i="10"/>
  <c r="R229" i="10"/>
  <c r="Q229" i="10"/>
  <c r="P229" i="10"/>
  <c r="U228" i="10"/>
  <c r="T228" i="10" a="1"/>
  <c r="T228" i="10" s="1"/>
  <c r="S228" i="10"/>
  <c r="Q228" i="10"/>
  <c r="P228" i="10"/>
  <c r="R228" i="10" s="1"/>
  <c r="U227" i="10"/>
  <c r="T227" i="10" a="1"/>
  <c r="T227" i="10" s="1"/>
  <c r="S227" i="10"/>
  <c r="Q227" i="10"/>
  <c r="P227" i="10"/>
  <c r="R227" i="10" s="1"/>
  <c r="U226" i="10"/>
  <c r="T226" i="10" a="1"/>
  <c r="T226" i="10" s="1"/>
  <c r="S226" i="10"/>
  <c r="R226" i="10"/>
  <c r="Q226" i="10"/>
  <c r="P226" i="10"/>
  <c r="U225" i="10"/>
  <c r="T225" i="10"/>
  <c r="T225" i="10" a="1"/>
  <c r="S225" i="10"/>
  <c r="Q225" i="10"/>
  <c r="R225" i="10" s="1"/>
  <c r="P225" i="10"/>
  <c r="U224" i="10"/>
  <c r="T224" i="10" a="1"/>
  <c r="T224" i="10" s="1"/>
  <c r="S224" i="10"/>
  <c r="Q224" i="10"/>
  <c r="P224" i="10"/>
  <c r="R224" i="10" s="1"/>
  <c r="U223" i="10"/>
  <c r="T223" i="10" a="1"/>
  <c r="T223" i="10" s="1"/>
  <c r="S223" i="10"/>
  <c r="Q223" i="10"/>
  <c r="P223" i="10"/>
  <c r="R223" i="10" s="1"/>
  <c r="U222" i="10"/>
  <c r="T222" i="10"/>
  <c r="T222" i="10" a="1"/>
  <c r="S222" i="10"/>
  <c r="Q222" i="10"/>
  <c r="R222" i="10" s="1"/>
  <c r="P222" i="10"/>
  <c r="U221" i="10"/>
  <c r="T221" i="10"/>
  <c r="T221" i="10" a="1"/>
  <c r="S221" i="10"/>
  <c r="Q221" i="10"/>
  <c r="P221" i="10"/>
  <c r="R221" i="10" s="1"/>
  <c r="U220" i="10"/>
  <c r="T220" i="10"/>
  <c r="T220" i="10" a="1"/>
  <c r="S220" i="10"/>
  <c r="Q220" i="10"/>
  <c r="P220" i="10"/>
  <c r="R220" i="10" s="1"/>
  <c r="U219" i="10"/>
  <c r="T219" i="10" a="1"/>
  <c r="T219" i="10" s="1"/>
  <c r="S219" i="10"/>
  <c r="Q219" i="10"/>
  <c r="P219" i="10"/>
  <c r="R219" i="10" s="1"/>
  <c r="U218" i="10"/>
  <c r="T218" i="10"/>
  <c r="T218" i="10" a="1"/>
  <c r="S218" i="10"/>
  <c r="R218" i="10"/>
  <c r="Q218" i="10"/>
  <c r="P218" i="10"/>
  <c r="U217" i="10"/>
  <c r="T217" i="10"/>
  <c r="T217" i="10" a="1"/>
  <c r="S217" i="10"/>
  <c r="R217" i="10"/>
  <c r="Q217" i="10"/>
  <c r="P217" i="10"/>
  <c r="U216" i="10"/>
  <c r="T216" i="10" a="1"/>
  <c r="T216" i="10" s="1"/>
  <c r="S216" i="10"/>
  <c r="Q216" i="10"/>
  <c r="P216" i="10"/>
  <c r="R216" i="10" s="1"/>
  <c r="U215" i="10"/>
  <c r="T215" i="10" a="1"/>
  <c r="T215" i="10" s="1"/>
  <c r="S215" i="10"/>
  <c r="Q215" i="10"/>
  <c r="P215" i="10"/>
  <c r="R215" i="10" s="1"/>
  <c r="U214" i="10"/>
  <c r="T214" i="10" a="1"/>
  <c r="T214" i="10" s="1"/>
  <c r="S214" i="10"/>
  <c r="R214" i="10"/>
  <c r="Q214" i="10"/>
  <c r="P214" i="10"/>
  <c r="U213" i="10"/>
  <c r="T213" i="10" a="1"/>
  <c r="T213" i="10" s="1"/>
  <c r="S213" i="10"/>
  <c r="Q213" i="10"/>
  <c r="R213" i="10" s="1"/>
  <c r="P213" i="10"/>
  <c r="U212" i="10"/>
  <c r="T212" i="10" a="1"/>
  <c r="T212" i="10" s="1"/>
  <c r="S212" i="10"/>
  <c r="Q212" i="10"/>
  <c r="P212" i="10"/>
  <c r="R212" i="10" s="1"/>
  <c r="U211" i="10"/>
  <c r="T211" i="10" a="1"/>
  <c r="T211" i="10" s="1"/>
  <c r="S211" i="10"/>
  <c r="Q211" i="10"/>
  <c r="P211" i="10"/>
  <c r="R211" i="10" s="1"/>
  <c r="U210" i="10"/>
  <c r="T210" i="10"/>
  <c r="T210" i="10" a="1"/>
  <c r="S210" i="10"/>
  <c r="Q210" i="10"/>
  <c r="R210" i="10" s="1"/>
  <c r="P210" i="10"/>
  <c r="U209" i="10"/>
  <c r="T209" i="10"/>
  <c r="T209" i="10" a="1"/>
  <c r="S209" i="10"/>
  <c r="Q209" i="10"/>
  <c r="P209" i="10"/>
  <c r="R209" i="10" s="1"/>
  <c r="U208" i="10"/>
  <c r="T208" i="10"/>
  <c r="T208" i="10" a="1"/>
  <c r="S208" i="10"/>
  <c r="Q208" i="10"/>
  <c r="P208" i="10"/>
  <c r="R208" i="10" s="1"/>
  <c r="U207" i="10"/>
  <c r="T207" i="10" a="1"/>
  <c r="T207" i="10" s="1"/>
  <c r="S207" i="10"/>
  <c r="Q207" i="10"/>
  <c r="P207" i="10"/>
  <c r="R207" i="10" s="1"/>
  <c r="U206" i="10"/>
  <c r="T206" i="10"/>
  <c r="T206" i="10" a="1"/>
  <c r="S206" i="10"/>
  <c r="R206" i="10"/>
  <c r="Q206" i="10"/>
  <c r="P206" i="10"/>
  <c r="U205" i="10"/>
  <c r="T205" i="10"/>
  <c r="T205" i="10" a="1"/>
  <c r="S205" i="10"/>
  <c r="R205" i="10"/>
  <c r="Q205" i="10"/>
  <c r="P205" i="10"/>
  <c r="U204" i="10"/>
  <c r="T204" i="10" a="1"/>
  <c r="T204" i="10" s="1"/>
  <c r="S204" i="10"/>
  <c r="Q204" i="10"/>
  <c r="P204" i="10"/>
  <c r="R204" i="10" s="1"/>
  <c r="U203" i="10"/>
  <c r="T203" i="10" a="1"/>
  <c r="T203" i="10" s="1"/>
  <c r="S203" i="10"/>
  <c r="Q203" i="10"/>
  <c r="P203" i="10"/>
  <c r="R203" i="10" s="1"/>
  <c r="U202" i="10"/>
  <c r="T202" i="10" a="1"/>
  <c r="T202" i="10" s="1"/>
  <c r="S202" i="10"/>
  <c r="R202" i="10"/>
  <c r="Q202" i="10"/>
  <c r="P202" i="10"/>
  <c r="U201" i="10"/>
  <c r="T201" i="10" a="1"/>
  <c r="T201" i="10" s="1"/>
  <c r="S201" i="10"/>
  <c r="Q201" i="10"/>
  <c r="R201" i="10" s="1"/>
  <c r="P201" i="10"/>
  <c r="U200" i="10"/>
  <c r="T200" i="10" a="1"/>
  <c r="T200" i="10" s="1"/>
  <c r="S200" i="10"/>
  <c r="Q200" i="10"/>
  <c r="P200" i="10"/>
  <c r="R200" i="10" s="1"/>
  <c r="U199" i="10"/>
  <c r="T199" i="10" a="1"/>
  <c r="T199" i="10" s="1"/>
  <c r="S199" i="10"/>
  <c r="Q199" i="10"/>
  <c r="P199" i="10"/>
  <c r="R199" i="10" s="1"/>
  <c r="U198" i="10"/>
  <c r="T198" i="10"/>
  <c r="T198" i="10" a="1"/>
  <c r="S198" i="10"/>
  <c r="Q198" i="10"/>
  <c r="R198" i="10" s="1"/>
  <c r="P198" i="10"/>
  <c r="U197" i="10"/>
  <c r="T197" i="10"/>
  <c r="T197" i="10" a="1"/>
  <c r="S197" i="10"/>
  <c r="Q197" i="10"/>
  <c r="P197" i="10"/>
  <c r="R197" i="10" s="1"/>
  <c r="U196" i="10"/>
  <c r="T196" i="10"/>
  <c r="T196" i="10" a="1"/>
  <c r="S196" i="10"/>
  <c r="Q196" i="10"/>
  <c r="P196" i="10"/>
  <c r="R196" i="10" s="1"/>
  <c r="U195" i="10"/>
  <c r="T195" i="10" a="1"/>
  <c r="T195" i="10" s="1"/>
  <c r="S195" i="10"/>
  <c r="Q195" i="10"/>
  <c r="P195" i="10"/>
  <c r="R195" i="10" s="1"/>
  <c r="U194" i="10"/>
  <c r="T194" i="10"/>
  <c r="T194" i="10" a="1"/>
  <c r="S194" i="10"/>
  <c r="R194" i="10"/>
  <c r="Q194" i="10"/>
  <c r="P194" i="10"/>
  <c r="U193" i="10"/>
  <c r="T193" i="10"/>
  <c r="T193" i="10" a="1"/>
  <c r="S193" i="10"/>
  <c r="R193" i="10"/>
  <c r="Q193" i="10"/>
  <c r="P193" i="10"/>
  <c r="U192" i="10"/>
  <c r="T192" i="10" a="1"/>
  <c r="T192" i="10" s="1"/>
  <c r="S192" i="10"/>
  <c r="Q192" i="10"/>
  <c r="P192" i="10"/>
  <c r="R192" i="10" s="1"/>
  <c r="U191" i="10"/>
  <c r="T191" i="10" a="1"/>
  <c r="T191" i="10" s="1"/>
  <c r="S191" i="10"/>
  <c r="Q191" i="10"/>
  <c r="P191" i="10"/>
  <c r="R191" i="10" s="1"/>
  <c r="U190" i="10"/>
  <c r="T190" i="10" a="1"/>
  <c r="T190" i="10" s="1"/>
  <c r="S190" i="10"/>
  <c r="R190" i="10"/>
  <c r="Q190" i="10"/>
  <c r="P190" i="10"/>
  <c r="U189" i="10"/>
  <c r="T189" i="10"/>
  <c r="T189" i="10" a="1"/>
  <c r="S189" i="10"/>
  <c r="Q189" i="10"/>
  <c r="R189" i="10" s="1"/>
  <c r="P189" i="10"/>
  <c r="U188" i="10"/>
  <c r="T188" i="10" a="1"/>
  <c r="T188" i="10" s="1"/>
  <c r="S188" i="10"/>
  <c r="Q188" i="10"/>
  <c r="P188" i="10"/>
  <c r="R188" i="10" s="1"/>
  <c r="U187" i="10"/>
  <c r="T187" i="10" a="1"/>
  <c r="T187" i="10" s="1"/>
  <c r="S187" i="10"/>
  <c r="Q187" i="10"/>
  <c r="P187" i="10"/>
  <c r="R187" i="10" s="1"/>
  <c r="U186" i="10"/>
  <c r="T186" i="10"/>
  <c r="T186" i="10" a="1"/>
  <c r="S186" i="10"/>
  <c r="R186" i="10"/>
  <c r="Q186" i="10"/>
  <c r="P186" i="10"/>
  <c r="U185" i="10"/>
  <c r="T185" i="10"/>
  <c r="T185" i="10" a="1"/>
  <c r="S185" i="10"/>
  <c r="Q185" i="10"/>
  <c r="P185" i="10"/>
  <c r="R185" i="10" s="1"/>
  <c r="U184" i="10"/>
  <c r="T184" i="10"/>
  <c r="T184" i="10" a="1"/>
  <c r="S184" i="10"/>
  <c r="Q184" i="10"/>
  <c r="P184" i="10"/>
  <c r="R184" i="10" s="1"/>
  <c r="U183" i="10"/>
  <c r="T183" i="10" a="1"/>
  <c r="T183" i="10" s="1"/>
  <c r="S183" i="10"/>
  <c r="Q183" i="10"/>
  <c r="P183" i="10"/>
  <c r="R183" i="10" s="1"/>
  <c r="U182" i="10"/>
  <c r="T182" i="10"/>
  <c r="T182" i="10" a="1"/>
  <c r="S182" i="10"/>
  <c r="R182" i="10"/>
  <c r="Q182" i="10"/>
  <c r="P182" i="10"/>
  <c r="U181" i="10"/>
  <c r="T181" i="10"/>
  <c r="T181" i="10" a="1"/>
  <c r="S181" i="10"/>
  <c r="R181" i="10"/>
  <c r="Q181" i="10"/>
  <c r="P181" i="10"/>
  <c r="U180" i="10"/>
  <c r="T180" i="10" a="1"/>
  <c r="T180" i="10" s="1"/>
  <c r="S180" i="10"/>
  <c r="Q180" i="10"/>
  <c r="P180" i="10"/>
  <c r="R180" i="10" s="1"/>
  <c r="U179" i="10"/>
  <c r="T179" i="10" a="1"/>
  <c r="T179" i="10" s="1"/>
  <c r="S179" i="10"/>
  <c r="Q179" i="10"/>
  <c r="P179" i="10"/>
  <c r="R179" i="10" s="1"/>
  <c r="U178" i="10"/>
  <c r="T178" i="10" a="1"/>
  <c r="T178" i="10" s="1"/>
  <c r="S178" i="10"/>
  <c r="R178" i="10"/>
  <c r="Q178" i="10"/>
  <c r="P178" i="10"/>
  <c r="U177" i="10"/>
  <c r="T177" i="10"/>
  <c r="T177" i="10" a="1"/>
  <c r="S177" i="10"/>
  <c r="Q177" i="10"/>
  <c r="R177" i="10" s="1"/>
  <c r="P177" i="10"/>
  <c r="U176" i="10"/>
  <c r="T176" i="10" a="1"/>
  <c r="T176" i="10" s="1"/>
  <c r="S176" i="10"/>
  <c r="Q176" i="10"/>
  <c r="P176" i="10"/>
  <c r="R176" i="10" s="1"/>
  <c r="U175" i="10"/>
  <c r="T175" i="10" a="1"/>
  <c r="T175" i="10" s="1"/>
  <c r="S175" i="10"/>
  <c r="Q175" i="10"/>
  <c r="P175" i="10"/>
  <c r="R175" i="10" s="1"/>
  <c r="U174" i="10"/>
  <c r="T174" i="10"/>
  <c r="T174" i="10" a="1"/>
  <c r="S174" i="10"/>
  <c r="R174" i="10"/>
  <c r="Q174" i="10"/>
  <c r="P174" i="10"/>
  <c r="U173" i="10"/>
  <c r="T173" i="10"/>
  <c r="T173" i="10" a="1"/>
  <c r="S173" i="10"/>
  <c r="Q173" i="10"/>
  <c r="P173" i="10"/>
  <c r="R173" i="10" s="1"/>
  <c r="U172" i="10"/>
  <c r="T172" i="10"/>
  <c r="T172" i="10" a="1"/>
  <c r="S172" i="10"/>
  <c r="Q172" i="10"/>
  <c r="P172" i="10"/>
  <c r="R172" i="10" s="1"/>
  <c r="U171" i="10"/>
  <c r="T171" i="10" a="1"/>
  <c r="T171" i="10" s="1"/>
  <c r="S171" i="10"/>
  <c r="Q171" i="10"/>
  <c r="P171" i="10"/>
  <c r="R171" i="10" s="1"/>
  <c r="U170" i="10"/>
  <c r="T170" i="10"/>
  <c r="T170" i="10" a="1"/>
  <c r="S170" i="10"/>
  <c r="R170" i="10"/>
  <c r="Q170" i="10"/>
  <c r="P170" i="10"/>
  <c r="U169" i="10"/>
  <c r="T169" i="10"/>
  <c r="T169" i="10" a="1"/>
  <c r="S169" i="10"/>
  <c r="R169" i="10"/>
  <c r="Q169" i="10"/>
  <c r="P169" i="10"/>
  <c r="U168" i="10"/>
  <c r="T168" i="10" a="1"/>
  <c r="T168" i="10" s="1"/>
  <c r="S168" i="10"/>
  <c r="Q168" i="10"/>
  <c r="P168" i="10"/>
  <c r="R168" i="10" s="1"/>
  <c r="U167" i="10"/>
  <c r="T167" i="10" a="1"/>
  <c r="T167" i="10" s="1"/>
  <c r="S167" i="10"/>
  <c r="Q167" i="10"/>
  <c r="P167" i="10"/>
  <c r="R167" i="10" s="1"/>
  <c r="U166" i="10"/>
  <c r="T166" i="10" a="1"/>
  <c r="T166" i="10" s="1"/>
  <c r="S166" i="10"/>
  <c r="R166" i="10"/>
  <c r="Q166" i="10"/>
  <c r="P166" i="10"/>
  <c r="U165" i="10"/>
  <c r="T165" i="10"/>
  <c r="T165" i="10" a="1"/>
  <c r="S165" i="10"/>
  <c r="Q165" i="10"/>
  <c r="R165" i="10" s="1"/>
  <c r="P165" i="10"/>
  <c r="U164" i="10"/>
  <c r="T164" i="10" a="1"/>
  <c r="T164" i="10" s="1"/>
  <c r="S164" i="10"/>
  <c r="Q164" i="10"/>
  <c r="P164" i="10"/>
  <c r="R164" i="10" s="1"/>
  <c r="U163" i="10"/>
  <c r="T163" i="10" a="1"/>
  <c r="T163" i="10" s="1"/>
  <c r="S163" i="10"/>
  <c r="Q163" i="10"/>
  <c r="P163" i="10"/>
  <c r="R163" i="10" s="1"/>
  <c r="U162" i="10"/>
  <c r="T162" i="10"/>
  <c r="T162" i="10" a="1"/>
  <c r="S162" i="10"/>
  <c r="R162" i="10"/>
  <c r="Q162" i="10"/>
  <c r="P162" i="10"/>
  <c r="U161" i="10"/>
  <c r="T161" i="10"/>
  <c r="T161" i="10" a="1"/>
  <c r="S161" i="10"/>
  <c r="Q161" i="10"/>
  <c r="P161" i="10"/>
  <c r="R161" i="10" s="1"/>
  <c r="U160" i="10"/>
  <c r="T160" i="10"/>
  <c r="T160" i="10" a="1"/>
  <c r="S160" i="10"/>
  <c r="Q160" i="10"/>
  <c r="P160" i="10"/>
  <c r="R160" i="10" s="1"/>
  <c r="U159" i="10"/>
  <c r="T159" i="10" a="1"/>
  <c r="T159" i="10" s="1"/>
  <c r="S159" i="10"/>
  <c r="Q159" i="10"/>
  <c r="P159" i="10"/>
  <c r="R159" i="10" s="1"/>
  <c r="U158" i="10"/>
  <c r="T158" i="10"/>
  <c r="T158" i="10" a="1"/>
  <c r="S158" i="10"/>
  <c r="R158" i="10"/>
  <c r="Q158" i="10"/>
  <c r="P158" i="10"/>
  <c r="U157" i="10"/>
  <c r="T157" i="10"/>
  <c r="T157" i="10" a="1"/>
  <c r="S157" i="10"/>
  <c r="R157" i="10"/>
  <c r="Q157" i="10"/>
  <c r="P157" i="10"/>
  <c r="U156" i="10"/>
  <c r="T156" i="10" a="1"/>
  <c r="T156" i="10" s="1"/>
  <c r="S156" i="10"/>
  <c r="Q156" i="10"/>
  <c r="P156" i="10"/>
  <c r="R156" i="10" s="1"/>
  <c r="U155" i="10"/>
  <c r="T155" i="10" a="1"/>
  <c r="T155" i="10" s="1"/>
  <c r="S155" i="10"/>
  <c r="Q155" i="10"/>
  <c r="P155" i="10"/>
  <c r="R155" i="10" s="1"/>
  <c r="U154" i="10"/>
  <c r="T154" i="10" a="1"/>
  <c r="T154" i="10" s="1"/>
  <c r="S154" i="10"/>
  <c r="R154" i="10"/>
  <c r="Q154" i="10"/>
  <c r="P154" i="10"/>
  <c r="U153" i="10"/>
  <c r="T153" i="10"/>
  <c r="T153" i="10" a="1"/>
  <c r="S153" i="10"/>
  <c r="Q153" i="10"/>
  <c r="R153" i="10" s="1"/>
  <c r="P153" i="10"/>
  <c r="U152" i="10"/>
  <c r="T152" i="10" a="1"/>
  <c r="T152" i="10" s="1"/>
  <c r="S152" i="10"/>
  <c r="Q152" i="10"/>
  <c r="P152" i="10"/>
  <c r="R152" i="10" s="1"/>
  <c r="U151" i="10"/>
  <c r="T151" i="10" a="1"/>
  <c r="T151" i="10" s="1"/>
  <c r="S151" i="10"/>
  <c r="Q151" i="10"/>
  <c r="P151" i="10"/>
  <c r="R151" i="10" s="1"/>
  <c r="U150" i="10"/>
  <c r="T150" i="10"/>
  <c r="T150" i="10" a="1"/>
  <c r="S150" i="10"/>
  <c r="R150" i="10"/>
  <c r="Q150" i="10"/>
  <c r="P150" i="10"/>
  <c r="U149" i="10"/>
  <c r="T149" i="10"/>
  <c r="T149" i="10" a="1"/>
  <c r="S149" i="10"/>
  <c r="Q149" i="10"/>
  <c r="P149" i="10"/>
  <c r="R149" i="10" s="1"/>
  <c r="U148" i="10"/>
  <c r="T148" i="10"/>
  <c r="T148" i="10" a="1"/>
  <c r="S148" i="10"/>
  <c r="Q148" i="10"/>
  <c r="P148" i="10"/>
  <c r="R148" i="10" s="1"/>
  <c r="U147" i="10"/>
  <c r="T147" i="10" a="1"/>
  <c r="T147" i="10" s="1"/>
  <c r="S147" i="10"/>
  <c r="Q147" i="10"/>
  <c r="P147" i="10"/>
  <c r="R147" i="10" s="1"/>
  <c r="U146" i="10"/>
  <c r="T146" i="10"/>
  <c r="T146" i="10" a="1"/>
  <c r="S146" i="10"/>
  <c r="R146" i="10"/>
  <c r="Q146" i="10"/>
  <c r="P146" i="10"/>
  <c r="U145" i="10"/>
  <c r="T145" i="10"/>
  <c r="T145" i="10" a="1"/>
  <c r="S145" i="10"/>
  <c r="R145" i="10"/>
  <c r="Q145" i="10"/>
  <c r="P145" i="10"/>
  <c r="U144" i="10"/>
  <c r="T144" i="10" a="1"/>
  <c r="T144" i="10" s="1"/>
  <c r="S144" i="10"/>
  <c r="Q144" i="10"/>
  <c r="P144" i="10"/>
  <c r="R144" i="10" s="1"/>
  <c r="U143" i="10"/>
  <c r="T143" i="10" a="1"/>
  <c r="T143" i="10" s="1"/>
  <c r="S143" i="10"/>
  <c r="Q143" i="10"/>
  <c r="P143" i="10"/>
  <c r="R143" i="10" s="1"/>
  <c r="U142" i="10"/>
  <c r="T142" i="10" a="1"/>
  <c r="T142" i="10" s="1"/>
  <c r="S142" i="10"/>
  <c r="R142" i="10"/>
  <c r="Q142" i="10"/>
  <c r="P142" i="10"/>
  <c r="U141" i="10"/>
  <c r="T141" i="10"/>
  <c r="T141" i="10" a="1"/>
  <c r="S141" i="10"/>
  <c r="Q141" i="10"/>
  <c r="R141" i="10" s="1"/>
  <c r="P141" i="10"/>
  <c r="U140" i="10"/>
  <c r="T140" i="10" a="1"/>
  <c r="T140" i="10" s="1"/>
  <c r="S140" i="10"/>
  <c r="Q140" i="10"/>
  <c r="P140" i="10"/>
  <c r="R140" i="10" s="1"/>
  <c r="U139" i="10"/>
  <c r="T139" i="10" a="1"/>
  <c r="T139" i="10" s="1"/>
  <c r="S139" i="10"/>
  <c r="Q139" i="10"/>
  <c r="P139" i="10"/>
  <c r="R139" i="10" s="1"/>
  <c r="U138" i="10"/>
  <c r="T138" i="10"/>
  <c r="T138" i="10" a="1"/>
  <c r="S138" i="10"/>
  <c r="R138" i="10"/>
  <c r="Q138" i="10"/>
  <c r="P138" i="10"/>
  <c r="U137" i="10"/>
  <c r="T137" i="10"/>
  <c r="T137" i="10" a="1"/>
  <c r="S137" i="10"/>
  <c r="Q137" i="10"/>
  <c r="P137" i="10"/>
  <c r="R137" i="10" s="1"/>
  <c r="U136" i="10"/>
  <c r="T136" i="10"/>
  <c r="T136" i="10" a="1"/>
  <c r="S136" i="10"/>
  <c r="Q136" i="10"/>
  <c r="P136" i="10"/>
  <c r="R136" i="10" s="1"/>
  <c r="U135" i="10"/>
  <c r="T135" i="10" a="1"/>
  <c r="T135" i="10" s="1"/>
  <c r="S135" i="10"/>
  <c r="Q135" i="10"/>
  <c r="P135" i="10"/>
  <c r="R135" i="10" s="1"/>
  <c r="U134" i="10"/>
  <c r="T134" i="10"/>
  <c r="T134" i="10" a="1"/>
  <c r="S134" i="10"/>
  <c r="R134" i="10"/>
  <c r="Q134" i="10"/>
  <c r="P134" i="10"/>
  <c r="U133" i="10"/>
  <c r="T133" i="10"/>
  <c r="T133" i="10" a="1"/>
  <c r="S133" i="10"/>
  <c r="R133" i="10"/>
  <c r="Q133" i="10"/>
  <c r="P133" i="10"/>
  <c r="U132" i="10"/>
  <c r="T132" i="10" a="1"/>
  <c r="T132" i="10" s="1"/>
  <c r="S132" i="10"/>
  <c r="Q132" i="10"/>
  <c r="P132" i="10"/>
  <c r="R132" i="10" s="1"/>
  <c r="U131" i="10"/>
  <c r="T131" i="10" a="1"/>
  <c r="T131" i="10" s="1"/>
  <c r="S131" i="10"/>
  <c r="Q131" i="10"/>
  <c r="P131" i="10"/>
  <c r="R131" i="10" s="1"/>
  <c r="U130" i="10"/>
  <c r="T130" i="10" a="1"/>
  <c r="T130" i="10" s="1"/>
  <c r="S130" i="10"/>
  <c r="R130" i="10"/>
  <c r="Q130" i="10"/>
  <c r="P130" i="10"/>
  <c r="U129" i="10"/>
  <c r="T129" i="10"/>
  <c r="T129" i="10" a="1"/>
  <c r="S129" i="10"/>
  <c r="Q129" i="10"/>
  <c r="R129" i="10" s="1"/>
  <c r="P129" i="10"/>
  <c r="U128" i="10"/>
  <c r="T128" i="10" a="1"/>
  <c r="T128" i="10" s="1"/>
  <c r="S128" i="10"/>
  <c r="Q128" i="10"/>
  <c r="P128" i="10"/>
  <c r="R128" i="10" s="1"/>
  <c r="U127" i="10"/>
  <c r="T127" i="10" a="1"/>
  <c r="T127" i="10" s="1"/>
  <c r="S127" i="10"/>
  <c r="Q127" i="10"/>
  <c r="P127" i="10"/>
  <c r="R127" i="10" s="1"/>
  <c r="U126" i="10"/>
  <c r="T126" i="10"/>
  <c r="T126" i="10" a="1"/>
  <c r="S126" i="10"/>
  <c r="R126" i="10"/>
  <c r="Q126" i="10"/>
  <c r="P126" i="10"/>
  <c r="U125" i="10"/>
  <c r="T125" i="10"/>
  <c r="T125" i="10" a="1"/>
  <c r="S125" i="10"/>
  <c r="Q125" i="10"/>
  <c r="P125" i="10"/>
  <c r="R125" i="10" s="1"/>
  <c r="U124" i="10"/>
  <c r="T124" i="10"/>
  <c r="T124" i="10" a="1"/>
  <c r="S124" i="10"/>
  <c r="Q124" i="10"/>
  <c r="P124" i="10"/>
  <c r="R124" i="10" s="1"/>
  <c r="U123" i="10"/>
  <c r="T123" i="10" a="1"/>
  <c r="T123" i="10" s="1"/>
  <c r="S123" i="10"/>
  <c r="Q123" i="10"/>
  <c r="P123" i="10"/>
  <c r="R123" i="10" s="1"/>
  <c r="U122" i="10"/>
  <c r="T122" i="10"/>
  <c r="T122" i="10" a="1"/>
  <c r="S122" i="10"/>
  <c r="R122" i="10"/>
  <c r="Q122" i="10"/>
  <c r="P122" i="10"/>
  <c r="U121" i="10"/>
  <c r="T121" i="10"/>
  <c r="T121" i="10" a="1"/>
  <c r="S121" i="10"/>
  <c r="R121" i="10"/>
  <c r="Q121" i="10"/>
  <c r="P121" i="10"/>
  <c r="U120" i="10"/>
  <c r="T120" i="10" a="1"/>
  <c r="T120" i="10" s="1"/>
  <c r="S120" i="10"/>
  <c r="Q120" i="10"/>
  <c r="P120" i="10"/>
  <c r="R120" i="10" s="1"/>
  <c r="U119" i="10"/>
  <c r="T119" i="10" a="1"/>
  <c r="T119" i="10" s="1"/>
  <c r="S119" i="10"/>
  <c r="R119" i="10"/>
  <c r="Q119" i="10"/>
  <c r="P119" i="10"/>
  <c r="U118" i="10"/>
  <c r="T118" i="10" a="1"/>
  <c r="T118" i="10" s="1"/>
  <c r="S118" i="10"/>
  <c r="R118" i="10"/>
  <c r="Q118" i="10"/>
  <c r="P118" i="10"/>
  <c r="U117" i="10"/>
  <c r="T117" i="10"/>
  <c r="T117" i="10" a="1"/>
  <c r="S117" i="10"/>
  <c r="Q117" i="10"/>
  <c r="R117" i="10" s="1"/>
  <c r="P117" i="10"/>
  <c r="U116" i="10"/>
  <c r="T116" i="10" a="1"/>
  <c r="T116" i="10" s="1"/>
  <c r="S116" i="10"/>
  <c r="Q116" i="10"/>
  <c r="P116" i="10"/>
  <c r="R116" i="10" s="1"/>
  <c r="U115" i="10"/>
  <c r="T115" i="10" a="1"/>
  <c r="T115" i="10" s="1"/>
  <c r="S115" i="10"/>
  <c r="Q115" i="10"/>
  <c r="P115" i="10"/>
  <c r="R115" i="10" s="1"/>
  <c r="U114" i="10"/>
  <c r="T114" i="10"/>
  <c r="T114" i="10" a="1"/>
  <c r="S114" i="10"/>
  <c r="Q114" i="10"/>
  <c r="R114" i="10" s="1"/>
  <c r="P114" i="10"/>
  <c r="U113" i="10"/>
  <c r="T113" i="10"/>
  <c r="T113" i="10" a="1"/>
  <c r="S113" i="10"/>
  <c r="Q113" i="10"/>
  <c r="P113" i="10"/>
  <c r="R113" i="10" s="1"/>
  <c r="U112" i="10"/>
  <c r="T112" i="10"/>
  <c r="T112" i="10" a="1"/>
  <c r="S112" i="10"/>
  <c r="Q112" i="10"/>
  <c r="P112" i="10"/>
  <c r="R112" i="10" s="1"/>
  <c r="U111" i="10"/>
  <c r="T111" i="10" a="1"/>
  <c r="T111" i="10" s="1"/>
  <c r="S111" i="10"/>
  <c r="Q111" i="10"/>
  <c r="P111" i="10"/>
  <c r="R111" i="10" s="1"/>
  <c r="U110" i="10"/>
  <c r="T110" i="10"/>
  <c r="T110" i="10" a="1"/>
  <c r="S110" i="10"/>
  <c r="R110" i="10"/>
  <c r="Q110" i="10"/>
  <c r="P110" i="10"/>
  <c r="U109" i="10"/>
  <c r="T109" i="10"/>
  <c r="T109" i="10" a="1"/>
  <c r="S109" i="10"/>
  <c r="R109" i="10"/>
  <c r="Q109" i="10"/>
  <c r="P109" i="10"/>
  <c r="U108" i="10"/>
  <c r="T108" i="10" a="1"/>
  <c r="T108" i="10" s="1"/>
  <c r="S108" i="10"/>
  <c r="Q108" i="10"/>
  <c r="P108" i="10"/>
  <c r="R108" i="10" s="1"/>
  <c r="U107" i="10"/>
  <c r="T107" i="10" a="1"/>
  <c r="T107" i="10" s="1"/>
  <c r="S107" i="10"/>
  <c r="R107" i="10"/>
  <c r="Q107" i="10"/>
  <c r="P107" i="10"/>
  <c r="U106" i="10"/>
  <c r="T106" i="10" a="1"/>
  <c r="T106" i="10" s="1"/>
  <c r="S106" i="10"/>
  <c r="R106" i="10"/>
  <c r="Q106" i="10"/>
  <c r="P106" i="10"/>
  <c r="U105" i="10"/>
  <c r="T105" i="10"/>
  <c r="T105" i="10" a="1"/>
  <c r="S105" i="10"/>
  <c r="Q105" i="10"/>
  <c r="R105" i="10" s="1"/>
  <c r="P105" i="10"/>
  <c r="U104" i="10"/>
  <c r="T104" i="10" a="1"/>
  <c r="T104" i="10" s="1"/>
  <c r="S104" i="10"/>
  <c r="Q104" i="10"/>
  <c r="P104" i="10"/>
  <c r="R104" i="10" s="1"/>
  <c r="U103" i="10"/>
  <c r="T103" i="10" a="1"/>
  <c r="T103" i="10" s="1"/>
  <c r="S103" i="10"/>
  <c r="Q103" i="10"/>
  <c r="P103" i="10"/>
  <c r="R103" i="10" s="1"/>
  <c r="U102" i="10"/>
  <c r="T102" i="10"/>
  <c r="T102" i="10" a="1"/>
  <c r="S102" i="10"/>
  <c r="Q102" i="10"/>
  <c r="R102" i="10" s="1"/>
  <c r="P102" i="10"/>
  <c r="U101" i="10"/>
  <c r="T101" i="10"/>
  <c r="T101" i="10" a="1"/>
  <c r="S101" i="10"/>
  <c r="Q101" i="10"/>
  <c r="P101" i="10"/>
  <c r="R101" i="10" s="1"/>
  <c r="U100" i="10"/>
  <c r="T100" i="10"/>
  <c r="T100" i="10" a="1"/>
  <c r="S100" i="10"/>
  <c r="Q100" i="10"/>
  <c r="P100" i="10"/>
  <c r="R100" i="10" s="1"/>
  <c r="U99" i="10"/>
  <c r="T99" i="10" a="1"/>
  <c r="T99" i="10" s="1"/>
  <c r="S99" i="10"/>
  <c r="Q99" i="10"/>
  <c r="P99" i="10"/>
  <c r="R99" i="10" s="1"/>
  <c r="U98" i="10"/>
  <c r="T98" i="10"/>
  <c r="T98" i="10" a="1"/>
  <c r="S98" i="10"/>
  <c r="R98" i="10"/>
  <c r="Q98" i="10"/>
  <c r="P98" i="10"/>
  <c r="U97" i="10"/>
  <c r="T97" i="10"/>
  <c r="T97" i="10" a="1"/>
  <c r="S97" i="10"/>
  <c r="R97" i="10"/>
  <c r="Q97" i="10"/>
  <c r="P97" i="10"/>
  <c r="U96" i="10"/>
  <c r="T96" i="10" a="1"/>
  <c r="T96" i="10" s="1"/>
  <c r="S96" i="10"/>
  <c r="Q96" i="10"/>
  <c r="P96" i="10"/>
  <c r="R96" i="10" s="1"/>
  <c r="U95" i="10"/>
  <c r="T95" i="10" a="1"/>
  <c r="T95" i="10" s="1"/>
  <c r="S95" i="10"/>
  <c r="R95" i="10"/>
  <c r="Q95" i="10"/>
  <c r="P95" i="10"/>
  <c r="U94" i="10"/>
  <c r="T94" i="10" a="1"/>
  <c r="T94" i="10" s="1"/>
  <c r="S94" i="10"/>
  <c r="R94" i="10"/>
  <c r="Q94" i="10"/>
  <c r="P94" i="10"/>
  <c r="U93" i="10"/>
  <c r="T93" i="10"/>
  <c r="T93" i="10" a="1"/>
  <c r="S93" i="10"/>
  <c r="Q93" i="10"/>
  <c r="R93" i="10" s="1"/>
  <c r="P93" i="10"/>
  <c r="U92" i="10"/>
  <c r="T92" i="10" a="1"/>
  <c r="T92" i="10" s="1"/>
  <c r="S92" i="10"/>
  <c r="Q92" i="10"/>
  <c r="P92" i="10"/>
  <c r="R92" i="10" s="1"/>
  <c r="U91" i="10"/>
  <c r="T91" i="10" a="1"/>
  <c r="T91" i="10" s="1"/>
  <c r="S91" i="10"/>
  <c r="Q91" i="10"/>
  <c r="P91" i="10"/>
  <c r="R91" i="10" s="1"/>
  <c r="U90" i="10"/>
  <c r="T90" i="10"/>
  <c r="T90" i="10" a="1"/>
  <c r="S90" i="10"/>
  <c r="R90" i="10"/>
  <c r="Q90" i="10"/>
  <c r="P90" i="10"/>
  <c r="U89" i="10"/>
  <c r="T89" i="10"/>
  <c r="T89" i="10" a="1"/>
  <c r="S89" i="10"/>
  <c r="Q89" i="10"/>
  <c r="P89" i="10"/>
  <c r="R89" i="10" s="1"/>
  <c r="U88" i="10"/>
  <c r="T88" i="10"/>
  <c r="T88" i="10" a="1"/>
  <c r="S88" i="10"/>
  <c r="Q88" i="10"/>
  <c r="P88" i="10"/>
  <c r="R88" i="10" s="1"/>
  <c r="U87" i="10"/>
  <c r="T87" i="10" a="1"/>
  <c r="T87" i="10" s="1"/>
  <c r="S87" i="10"/>
  <c r="Q87" i="10"/>
  <c r="P87" i="10"/>
  <c r="R87" i="10" s="1"/>
  <c r="U86" i="10"/>
  <c r="T86" i="10"/>
  <c r="T86" i="10" a="1"/>
  <c r="S86" i="10"/>
  <c r="R86" i="10"/>
  <c r="Q86" i="10"/>
  <c r="P86" i="10"/>
  <c r="U85" i="10"/>
  <c r="T85" i="10"/>
  <c r="T85" i="10" a="1"/>
  <c r="S85" i="10"/>
  <c r="R85" i="10"/>
  <c r="Q85" i="10"/>
  <c r="P85" i="10"/>
  <c r="U84" i="10"/>
  <c r="T84" i="10" a="1"/>
  <c r="T84" i="10" s="1"/>
  <c r="S84" i="10"/>
  <c r="Q84" i="10"/>
  <c r="P84" i="10"/>
  <c r="R84" i="10" s="1"/>
  <c r="U83" i="10"/>
  <c r="T83" i="10" a="1"/>
  <c r="T83" i="10" s="1"/>
  <c r="S83" i="10"/>
  <c r="R83" i="10"/>
  <c r="Q83" i="10"/>
  <c r="P83" i="10"/>
  <c r="U82" i="10"/>
  <c r="T82" i="10" a="1"/>
  <c r="T82" i="10" s="1"/>
  <c r="S82" i="10"/>
  <c r="R82" i="10"/>
  <c r="Q82" i="10"/>
  <c r="P82" i="10"/>
  <c r="U81" i="10"/>
  <c r="T81" i="10"/>
  <c r="T81" i="10" a="1"/>
  <c r="S81" i="10"/>
  <c r="Q81" i="10"/>
  <c r="R81" i="10" s="1"/>
  <c r="P81" i="10"/>
  <c r="U80" i="10"/>
  <c r="T80" i="10" a="1"/>
  <c r="T80" i="10" s="1"/>
  <c r="S80" i="10"/>
  <c r="Q80" i="10"/>
  <c r="P80" i="10"/>
  <c r="R80" i="10" s="1"/>
  <c r="U79" i="10"/>
  <c r="T79" i="10" a="1"/>
  <c r="T79" i="10" s="1"/>
  <c r="S79" i="10"/>
  <c r="Q79" i="10"/>
  <c r="P79" i="10"/>
  <c r="R79" i="10" s="1"/>
  <c r="U78" i="10"/>
  <c r="T78" i="10"/>
  <c r="T78" i="10" a="1"/>
  <c r="S78" i="10"/>
  <c r="R78" i="10"/>
  <c r="Q78" i="10"/>
  <c r="P78" i="10"/>
  <c r="U77" i="10"/>
  <c r="T77" i="10"/>
  <c r="T77" i="10" a="1"/>
  <c r="S77" i="10"/>
  <c r="Q77" i="10"/>
  <c r="P77" i="10"/>
  <c r="R77" i="10" s="1"/>
  <c r="U76" i="10"/>
  <c r="T76" i="10"/>
  <c r="T76" i="10" a="1"/>
  <c r="S76" i="10"/>
  <c r="Q76" i="10"/>
  <c r="P76" i="10"/>
  <c r="R76" i="10" s="1"/>
  <c r="U75" i="10"/>
  <c r="T75" i="10" a="1"/>
  <c r="T75" i="10" s="1"/>
  <c r="S75" i="10"/>
  <c r="Q75" i="10"/>
  <c r="P75" i="10"/>
  <c r="R75" i="10" s="1"/>
  <c r="U74" i="10"/>
  <c r="T74" i="10"/>
  <c r="T74" i="10" a="1"/>
  <c r="S74" i="10"/>
  <c r="R74" i="10"/>
  <c r="Q74" i="10"/>
  <c r="P74" i="10"/>
  <c r="U73" i="10"/>
  <c r="T73" i="10"/>
  <c r="T73" i="10" a="1"/>
  <c r="S73" i="10"/>
  <c r="R73" i="10"/>
  <c r="Q73" i="10"/>
  <c r="P73" i="10"/>
  <c r="U72" i="10"/>
  <c r="T72" i="10" a="1"/>
  <c r="T72" i="10" s="1"/>
  <c r="S72" i="10"/>
  <c r="Q72" i="10"/>
  <c r="P72" i="10"/>
  <c r="R72" i="10" s="1"/>
  <c r="U71" i="10"/>
  <c r="T71" i="10" a="1"/>
  <c r="T71" i="10" s="1"/>
  <c r="S71" i="10"/>
  <c r="R71" i="10"/>
  <c r="Q71" i="10"/>
  <c r="P71" i="10"/>
  <c r="U70" i="10"/>
  <c r="T70" i="10" a="1"/>
  <c r="T70" i="10" s="1"/>
  <c r="S70" i="10"/>
  <c r="R70" i="10"/>
  <c r="Q70" i="10"/>
  <c r="P70" i="10"/>
  <c r="U69" i="10"/>
  <c r="T69" i="10"/>
  <c r="T69" i="10" a="1"/>
  <c r="S69" i="10"/>
  <c r="Q69" i="10"/>
  <c r="R69" i="10" s="1"/>
  <c r="P69" i="10"/>
  <c r="U68" i="10"/>
  <c r="T68" i="10" a="1"/>
  <c r="T68" i="10" s="1"/>
  <c r="S68" i="10"/>
  <c r="Q68" i="10"/>
  <c r="P68" i="10"/>
  <c r="R68" i="10" s="1"/>
  <c r="U67" i="10"/>
  <c r="T67" i="10" a="1"/>
  <c r="T67" i="10" s="1"/>
  <c r="S67" i="10"/>
  <c r="Q67" i="10"/>
  <c r="P67" i="10"/>
  <c r="R67" i="10" s="1"/>
  <c r="U66" i="10"/>
  <c r="T66" i="10"/>
  <c r="T66" i="10" a="1"/>
  <c r="S66" i="10"/>
  <c r="Q66" i="10"/>
  <c r="R66" i="10" s="1"/>
  <c r="P66" i="10"/>
  <c r="U65" i="10"/>
  <c r="T65" i="10"/>
  <c r="T65" i="10" a="1"/>
  <c r="S65" i="10"/>
  <c r="Q65" i="10"/>
  <c r="P65" i="10"/>
  <c r="R65" i="10" s="1"/>
  <c r="U64" i="10"/>
  <c r="T64" i="10"/>
  <c r="T64" i="10" a="1"/>
  <c r="S64" i="10"/>
  <c r="Q64" i="10"/>
  <c r="P64" i="10"/>
  <c r="R64" i="10" s="1"/>
  <c r="U63" i="10"/>
  <c r="T63" i="10" a="1"/>
  <c r="T63" i="10" s="1"/>
  <c r="S63" i="10"/>
  <c r="Q63" i="10"/>
  <c r="P63" i="10"/>
  <c r="R63" i="10" s="1"/>
  <c r="U62" i="10"/>
  <c r="T62" i="10"/>
  <c r="T62" i="10" a="1"/>
  <c r="S62" i="10"/>
  <c r="R62" i="10"/>
  <c r="Q62" i="10"/>
  <c r="P62" i="10"/>
  <c r="U61" i="10"/>
  <c r="T61" i="10"/>
  <c r="T61" i="10" a="1"/>
  <c r="S61" i="10"/>
  <c r="R61" i="10"/>
  <c r="Q61" i="10"/>
  <c r="P61" i="10"/>
  <c r="U60" i="10"/>
  <c r="T60" i="10" a="1"/>
  <c r="T60" i="10" s="1"/>
  <c r="S60" i="10"/>
  <c r="Q60" i="10"/>
  <c r="P60" i="10"/>
  <c r="R60" i="10" s="1"/>
  <c r="U59" i="10"/>
  <c r="T59" i="10" a="1"/>
  <c r="T59" i="10" s="1"/>
  <c r="S59" i="10"/>
  <c r="R59" i="10"/>
  <c r="Q59" i="10"/>
  <c r="P59" i="10"/>
  <c r="U58" i="10"/>
  <c r="T58" i="10" a="1"/>
  <c r="T58" i="10" s="1"/>
  <c r="S58" i="10"/>
  <c r="R58" i="10"/>
  <c r="Q58" i="10"/>
  <c r="P58" i="10"/>
  <c r="U57" i="10"/>
  <c r="T57" i="10"/>
  <c r="T57" i="10" a="1"/>
  <c r="S57" i="10"/>
  <c r="Q57" i="10"/>
  <c r="R57" i="10" s="1"/>
  <c r="P57" i="10"/>
  <c r="U56" i="10"/>
  <c r="T56" i="10" a="1"/>
  <c r="T56" i="10" s="1"/>
  <c r="S56" i="10"/>
  <c r="Q56" i="10"/>
  <c r="P56" i="10"/>
  <c r="R56" i="10" s="1"/>
  <c r="U55" i="10"/>
  <c r="T55" i="10" a="1"/>
  <c r="T55" i="10" s="1"/>
  <c r="S55" i="10"/>
  <c r="Q55" i="10"/>
  <c r="P55" i="10"/>
  <c r="R55" i="10" s="1"/>
  <c r="U54" i="10"/>
  <c r="T54" i="10"/>
  <c r="T54" i="10" a="1"/>
  <c r="S54" i="10"/>
  <c r="Q54" i="10"/>
  <c r="R54" i="10" s="1"/>
  <c r="P54" i="10"/>
  <c r="U53" i="10"/>
  <c r="T53" i="10"/>
  <c r="T53" i="10" a="1"/>
  <c r="S53" i="10"/>
  <c r="Q53" i="10"/>
  <c r="P53" i="10"/>
  <c r="R53" i="10" s="1"/>
  <c r="U52" i="10"/>
  <c r="T52" i="10"/>
  <c r="T52" i="10" a="1"/>
  <c r="S52" i="10"/>
  <c r="Q52" i="10"/>
  <c r="P52" i="10"/>
  <c r="R52" i="10" s="1"/>
  <c r="U51" i="10"/>
  <c r="T51" i="10" a="1"/>
  <c r="T51" i="10" s="1"/>
  <c r="S51" i="10"/>
  <c r="Q51" i="10"/>
  <c r="P51" i="10"/>
  <c r="R51" i="10" s="1"/>
  <c r="U50" i="10"/>
  <c r="T50" i="10"/>
  <c r="T50" i="10" a="1"/>
  <c r="S50" i="10"/>
  <c r="R50" i="10"/>
  <c r="Q50" i="10"/>
  <c r="P50" i="10"/>
  <c r="U49" i="10"/>
  <c r="T49" i="10"/>
  <c r="T49" i="10" a="1"/>
  <c r="S49" i="10"/>
  <c r="R49" i="10"/>
  <c r="Q49" i="10"/>
  <c r="P49" i="10"/>
  <c r="U48" i="10"/>
  <c r="T48" i="10" a="1"/>
  <c r="T48" i="10" s="1"/>
  <c r="S48" i="10"/>
  <c r="Q48" i="10"/>
  <c r="P48" i="10"/>
  <c r="R48" i="10" s="1"/>
  <c r="U47" i="10"/>
  <c r="T47" i="10" a="1"/>
  <c r="T47" i="10" s="1"/>
  <c r="S47" i="10"/>
  <c r="R47" i="10"/>
  <c r="Q47" i="10"/>
  <c r="P47" i="10"/>
  <c r="U46" i="10"/>
  <c r="T46" i="10" a="1"/>
  <c r="T46" i="10" s="1"/>
  <c r="S46" i="10"/>
  <c r="R46" i="10"/>
  <c r="Q46" i="10"/>
  <c r="P46" i="10"/>
  <c r="U45" i="10"/>
  <c r="T45" i="10"/>
  <c r="T45" i="10" a="1"/>
  <c r="S45" i="10"/>
  <c r="Q45" i="10"/>
  <c r="R45" i="10" s="1"/>
  <c r="P45" i="10"/>
  <c r="U44" i="10"/>
  <c r="T44" i="10" a="1"/>
  <c r="T44" i="10" s="1"/>
  <c r="S44" i="10"/>
  <c r="Q44" i="10"/>
  <c r="P44" i="10"/>
  <c r="R44" i="10" s="1"/>
  <c r="U43" i="10"/>
  <c r="T43" i="10" a="1"/>
  <c r="T43" i="10" s="1"/>
  <c r="S43" i="10"/>
  <c r="Q43" i="10"/>
  <c r="P43" i="10"/>
  <c r="R43" i="10" s="1"/>
  <c r="U42" i="10"/>
  <c r="T42" i="10"/>
  <c r="T42" i="10" a="1"/>
  <c r="S42" i="10"/>
  <c r="R42" i="10"/>
  <c r="Q42" i="10"/>
  <c r="P42" i="10"/>
  <c r="U41" i="10"/>
  <c r="T41" i="10"/>
  <c r="T41" i="10" a="1"/>
  <c r="S41" i="10"/>
  <c r="Q41" i="10"/>
  <c r="P41" i="10"/>
  <c r="R41" i="10" s="1"/>
  <c r="U40" i="10"/>
  <c r="T40" i="10"/>
  <c r="T40" i="10" a="1"/>
  <c r="S40" i="10"/>
  <c r="Q40" i="10"/>
  <c r="P40" i="10"/>
  <c r="R40" i="10" s="1"/>
  <c r="U39" i="10"/>
  <c r="T39" i="10" a="1"/>
  <c r="T39" i="10" s="1"/>
  <c r="S39" i="10"/>
  <c r="Q39" i="10"/>
  <c r="P39" i="10"/>
  <c r="R39" i="10" s="1"/>
  <c r="U38" i="10"/>
  <c r="T38" i="10"/>
  <c r="T38" i="10" a="1"/>
  <c r="S38" i="10"/>
  <c r="R38" i="10"/>
  <c r="Q38" i="10"/>
  <c r="P38" i="10"/>
  <c r="U37" i="10"/>
  <c r="T37" i="10"/>
  <c r="T37" i="10" a="1"/>
  <c r="S37" i="10"/>
  <c r="R37" i="10"/>
  <c r="Q37" i="10"/>
  <c r="P37" i="10"/>
  <c r="U36" i="10"/>
  <c r="T36" i="10" a="1"/>
  <c r="T36" i="10" s="1"/>
  <c r="S36" i="10"/>
  <c r="Q36" i="10"/>
  <c r="P36" i="10"/>
  <c r="R36" i="10" s="1"/>
  <c r="U35" i="10"/>
  <c r="T35" i="10" a="1"/>
  <c r="T35" i="10" s="1"/>
  <c r="S35" i="10"/>
  <c r="R35" i="10"/>
  <c r="Q35" i="10"/>
  <c r="P35" i="10"/>
  <c r="U34" i="10"/>
  <c r="T34" i="10" a="1"/>
  <c r="T34" i="10" s="1"/>
  <c r="S34" i="10"/>
  <c r="R34" i="10"/>
  <c r="Q34" i="10"/>
  <c r="P34" i="10"/>
  <c r="U33" i="10"/>
  <c r="T33" i="10"/>
  <c r="T33" i="10" a="1"/>
  <c r="S33" i="10"/>
  <c r="Q33" i="10"/>
  <c r="R33" i="10" s="1"/>
  <c r="P33" i="10"/>
  <c r="U32" i="10"/>
  <c r="T32" i="10" a="1"/>
  <c r="T32" i="10" s="1"/>
  <c r="S32" i="10"/>
  <c r="Q32" i="10"/>
  <c r="P32" i="10"/>
  <c r="R32" i="10" s="1"/>
  <c r="U31" i="10"/>
  <c r="T31" i="10" a="1"/>
  <c r="T31" i="10" s="1"/>
  <c r="S31" i="10"/>
  <c r="Q31" i="10"/>
  <c r="P31" i="10"/>
  <c r="R31" i="10" s="1"/>
  <c r="U30" i="10"/>
  <c r="T30" i="10"/>
  <c r="T30" i="10" a="1"/>
  <c r="S30" i="10"/>
  <c r="R30" i="10"/>
  <c r="Q30" i="10"/>
  <c r="P30" i="10"/>
  <c r="U29" i="10"/>
  <c r="T29" i="10"/>
  <c r="T29" i="10" a="1"/>
  <c r="S29" i="10"/>
  <c r="Q29" i="10"/>
  <c r="P29" i="10"/>
  <c r="R29" i="10" s="1"/>
  <c r="U28" i="10"/>
  <c r="T28" i="10"/>
  <c r="T28" i="10" a="1"/>
  <c r="S28" i="10"/>
  <c r="Q28" i="10"/>
  <c r="P28" i="10"/>
  <c r="R28" i="10" s="1"/>
  <c r="U27" i="10"/>
  <c r="T27" i="10" a="1"/>
  <c r="T27" i="10" s="1"/>
  <c r="S27" i="10"/>
  <c r="Q27" i="10"/>
  <c r="P27" i="10"/>
  <c r="R27" i="10" s="1"/>
  <c r="U26" i="10"/>
  <c r="T26" i="10"/>
  <c r="T26" i="10" a="1"/>
  <c r="S26" i="10"/>
  <c r="R26" i="10"/>
  <c r="Q26" i="10"/>
  <c r="P26" i="10"/>
  <c r="U25" i="10"/>
  <c r="T25" i="10"/>
  <c r="T25" i="10" a="1"/>
  <c r="S25" i="10"/>
  <c r="R25" i="10"/>
  <c r="Q25" i="10"/>
  <c r="P25" i="10"/>
  <c r="U24" i="10"/>
  <c r="T24" i="10" a="1"/>
  <c r="T24" i="10" s="1"/>
  <c r="S24" i="10"/>
  <c r="Q24" i="10"/>
  <c r="P24" i="10"/>
  <c r="R24" i="10" s="1"/>
  <c r="U23" i="10"/>
  <c r="T23" i="10" a="1"/>
  <c r="T23" i="10" s="1"/>
  <c r="S23" i="10"/>
  <c r="R23" i="10"/>
  <c r="Q23" i="10"/>
  <c r="P23" i="10"/>
  <c r="U22" i="10"/>
  <c r="T22" i="10" a="1"/>
  <c r="T22" i="10" s="1"/>
  <c r="S22" i="10"/>
  <c r="R22" i="10"/>
  <c r="Q22" i="10"/>
  <c r="P22" i="10"/>
  <c r="U21" i="10"/>
  <c r="T21" i="10"/>
  <c r="T21" i="10" a="1"/>
  <c r="S21" i="10"/>
  <c r="Q21" i="10"/>
  <c r="R21" i="10" s="1"/>
  <c r="P21" i="10"/>
  <c r="U20" i="10"/>
  <c r="T20" i="10" a="1"/>
  <c r="T20" i="10" s="1"/>
  <c r="S20" i="10"/>
  <c r="Q20" i="10"/>
  <c r="P20" i="10"/>
  <c r="R20" i="10" s="1"/>
  <c r="U19" i="10"/>
  <c r="T19" i="10" a="1"/>
  <c r="T19" i="10" s="1"/>
  <c r="S19" i="10"/>
  <c r="Q19" i="10"/>
  <c r="P19" i="10"/>
  <c r="R19" i="10" s="1"/>
  <c r="U18" i="10"/>
  <c r="T18" i="10"/>
  <c r="T18" i="10" a="1"/>
  <c r="S18" i="10"/>
  <c r="R18" i="10"/>
  <c r="Q18" i="10"/>
  <c r="P18" i="10"/>
  <c r="U17" i="10"/>
  <c r="T17" i="10"/>
  <c r="T17" i="10" a="1"/>
  <c r="S17" i="10"/>
  <c r="Q17" i="10"/>
  <c r="P17" i="10"/>
  <c r="R17" i="10" s="1"/>
  <c r="U16" i="10"/>
  <c r="T16" i="10"/>
  <c r="T16" i="10" a="1"/>
  <c r="S16" i="10"/>
  <c r="Q16" i="10"/>
  <c r="P16" i="10"/>
  <c r="R16" i="10" s="1"/>
  <c r="U15" i="10"/>
  <c r="T15" i="10" a="1"/>
  <c r="T15" i="10" s="1"/>
  <c r="S15" i="10"/>
  <c r="Q15" i="10"/>
  <c r="P15" i="10"/>
  <c r="R15" i="10" s="1"/>
  <c r="U14" i="10"/>
  <c r="T14" i="10"/>
  <c r="T14" i="10" a="1"/>
  <c r="S14" i="10"/>
  <c r="R14" i="10"/>
  <c r="Q14" i="10"/>
  <c r="P14" i="10"/>
  <c r="U13" i="10"/>
  <c r="T13" i="10"/>
  <c r="T13" i="10" a="1"/>
  <c r="S13" i="10"/>
  <c r="R13" i="10"/>
  <c r="Q13" i="10"/>
  <c r="P13" i="10"/>
  <c r="U12" i="10"/>
  <c r="T12" i="10" a="1"/>
  <c r="T12" i="10" s="1"/>
  <c r="S12" i="10"/>
  <c r="Q12" i="10"/>
  <c r="P12" i="10"/>
  <c r="R12" i="10" s="1"/>
  <c r="U11" i="10"/>
  <c r="T11" i="10" a="1"/>
  <c r="T11" i="10" s="1"/>
  <c r="S11" i="10"/>
  <c r="R11" i="10"/>
  <c r="Q11" i="10"/>
  <c r="P11" i="10"/>
  <c r="U10" i="10"/>
  <c r="T10" i="10" a="1"/>
  <c r="T10" i="10" s="1"/>
  <c r="S10" i="10"/>
  <c r="R10" i="10"/>
  <c r="Q10" i="10"/>
  <c r="P10" i="10"/>
  <c r="U9" i="10"/>
  <c r="T9" i="10"/>
  <c r="T9" i="10" a="1"/>
  <c r="S9" i="10"/>
  <c r="Q9" i="10"/>
  <c r="R9" i="10" s="1"/>
  <c r="P9" i="10"/>
  <c r="U8" i="10"/>
  <c r="T8" i="10" a="1"/>
  <c r="T8" i="10" s="1"/>
  <c r="S8" i="10"/>
  <c r="Q8" i="10"/>
  <c r="P8" i="10"/>
  <c r="R8" i="10" s="1"/>
  <c r="U7" i="10"/>
  <c r="T7" i="10" a="1"/>
  <c r="T7" i="10" s="1"/>
  <c r="S7" i="10"/>
  <c r="Q7" i="10"/>
  <c r="P7" i="10"/>
  <c r="R7" i="10" s="1"/>
  <c r="U6" i="10"/>
  <c r="T6" i="10"/>
  <c r="T6" i="10" a="1"/>
  <c r="S6" i="10"/>
  <c r="R6" i="10"/>
  <c r="Q6" i="10"/>
  <c r="P6" i="10"/>
  <c r="U5" i="10"/>
  <c r="T5" i="10"/>
  <c r="T5" i="10" a="1"/>
  <c r="S5" i="10"/>
  <c r="Q5" i="10"/>
  <c r="P5" i="10"/>
  <c r="R5" i="10" s="1"/>
  <c r="U4" i="10"/>
  <c r="T4" i="10"/>
  <c r="T4" i="10" a="1"/>
  <c r="S4" i="10"/>
  <c r="Q4" i="10"/>
  <c r="P4" i="10"/>
  <c r="R4" i="10" s="1"/>
  <c r="U3" i="10"/>
  <c r="T3" i="10" a="1"/>
  <c r="T3" i="10" s="1"/>
  <c r="S3" i="10"/>
  <c r="Q3" i="10"/>
  <c r="P3" i="10"/>
  <c r="R3" i="10" s="1"/>
  <c r="U2" i="10"/>
  <c r="T2" i="10"/>
  <c r="T2" i="10" a="1"/>
  <c r="S2" i="10"/>
  <c r="R2" i="10"/>
  <c r="Q2" i="10"/>
  <c r="P2" i="10"/>
  <c r="U501" i="6"/>
  <c r="T501" i="6" a="1"/>
  <c r="T501" i="6" s="1"/>
  <c r="S501" i="6"/>
  <c r="Q501" i="6"/>
  <c r="P501" i="6"/>
  <c r="U500" i="6"/>
  <c r="T500" i="6" a="1"/>
  <c r="T500" i="6" s="1"/>
  <c r="S500" i="6"/>
  <c r="Q500" i="6"/>
  <c r="P500" i="6"/>
  <c r="R500" i="6" s="1"/>
  <c r="U499" i="6"/>
  <c r="T499" i="6" a="1"/>
  <c r="T499" i="6" s="1"/>
  <c r="S499" i="6"/>
  <c r="Q499" i="6"/>
  <c r="R499" i="6" s="1"/>
  <c r="P499" i="6"/>
  <c r="U498" i="6"/>
  <c r="T498" i="6" a="1"/>
  <c r="T498" i="6" s="1"/>
  <c r="S498" i="6"/>
  <c r="Q498" i="6"/>
  <c r="P498" i="6"/>
  <c r="U497" i="6"/>
  <c r="T497" i="6" a="1"/>
  <c r="T497" i="6" s="1"/>
  <c r="S497" i="6"/>
  <c r="Q497" i="6"/>
  <c r="P497" i="6"/>
  <c r="U496" i="6"/>
  <c r="T496" i="6" a="1"/>
  <c r="T496" i="6" s="1"/>
  <c r="S496" i="6"/>
  <c r="Q496" i="6"/>
  <c r="P496" i="6"/>
  <c r="U495" i="6"/>
  <c r="T495" i="6" a="1"/>
  <c r="T495" i="6" s="1"/>
  <c r="S495" i="6"/>
  <c r="Q495" i="6"/>
  <c r="P495" i="6"/>
  <c r="U494" i="6"/>
  <c r="T494" i="6" a="1"/>
  <c r="T494" i="6" s="1"/>
  <c r="S494" i="6"/>
  <c r="Q494" i="6"/>
  <c r="P494" i="6"/>
  <c r="U493" i="6"/>
  <c r="T493" i="6" a="1"/>
  <c r="T493" i="6" s="1"/>
  <c r="S493" i="6"/>
  <c r="Q493" i="6"/>
  <c r="P493" i="6"/>
  <c r="U492" i="6"/>
  <c r="T492" i="6" a="1"/>
  <c r="T492" i="6" s="1"/>
  <c r="S492" i="6"/>
  <c r="Q492" i="6"/>
  <c r="P492" i="6"/>
  <c r="U491" i="6"/>
  <c r="T491" i="6" a="1"/>
  <c r="T491" i="6" s="1"/>
  <c r="S491" i="6"/>
  <c r="Q491" i="6"/>
  <c r="P491" i="6"/>
  <c r="U490" i="6"/>
  <c r="T490" i="6" a="1"/>
  <c r="T490" i="6" s="1"/>
  <c r="S490" i="6"/>
  <c r="Q490" i="6"/>
  <c r="P490" i="6"/>
  <c r="U489" i="6"/>
  <c r="T489" i="6" a="1"/>
  <c r="T489" i="6" s="1"/>
  <c r="S489" i="6"/>
  <c r="Q489" i="6"/>
  <c r="P489" i="6"/>
  <c r="U488" i="6"/>
  <c r="T488" i="6" a="1"/>
  <c r="T488" i="6" s="1"/>
  <c r="S488" i="6"/>
  <c r="Q488" i="6"/>
  <c r="P488" i="6"/>
  <c r="U487" i="6"/>
  <c r="T487" i="6" a="1"/>
  <c r="T487" i="6" s="1"/>
  <c r="S487" i="6"/>
  <c r="Q487" i="6"/>
  <c r="P487" i="6"/>
  <c r="R487" i="6" s="1"/>
  <c r="U486" i="6"/>
  <c r="T486" i="6" a="1"/>
  <c r="T486" i="6" s="1"/>
  <c r="S486" i="6"/>
  <c r="Q486" i="6"/>
  <c r="P486" i="6"/>
  <c r="R486" i="6" s="1"/>
  <c r="U485" i="6"/>
  <c r="T485" i="6" a="1"/>
  <c r="T485" i="6" s="1"/>
  <c r="S485" i="6"/>
  <c r="Q485" i="6"/>
  <c r="P485" i="6"/>
  <c r="U484" i="6"/>
  <c r="T484" i="6" a="1"/>
  <c r="T484" i="6" s="1"/>
  <c r="S484" i="6"/>
  <c r="Q484" i="6"/>
  <c r="P484" i="6"/>
  <c r="U483" i="6"/>
  <c r="T483" i="6" a="1"/>
  <c r="T483" i="6" s="1"/>
  <c r="S483" i="6"/>
  <c r="Q483" i="6"/>
  <c r="P483" i="6"/>
  <c r="R483" i="6" s="1"/>
  <c r="U482" i="6"/>
  <c r="T482" i="6" a="1"/>
  <c r="T482" i="6" s="1"/>
  <c r="S482" i="6"/>
  <c r="Q482" i="6"/>
  <c r="R482" i="6" s="1"/>
  <c r="P482" i="6"/>
  <c r="U481" i="6"/>
  <c r="T481" i="6" a="1"/>
  <c r="T481" i="6" s="1"/>
  <c r="S481" i="6"/>
  <c r="Q481" i="6"/>
  <c r="P481" i="6"/>
  <c r="U480" i="6"/>
  <c r="T480" i="6" a="1"/>
  <c r="T480" i="6" s="1"/>
  <c r="S480" i="6"/>
  <c r="Q480" i="6"/>
  <c r="P480" i="6"/>
  <c r="U479" i="6"/>
  <c r="T479" i="6" a="1"/>
  <c r="T479" i="6" s="1"/>
  <c r="S479" i="6"/>
  <c r="Q479" i="6"/>
  <c r="P479" i="6"/>
  <c r="U478" i="6"/>
  <c r="T478" i="6" a="1"/>
  <c r="T478" i="6" s="1"/>
  <c r="S478" i="6"/>
  <c r="Q478" i="6"/>
  <c r="P478" i="6"/>
  <c r="U477" i="6"/>
  <c r="T477" i="6" a="1"/>
  <c r="T477" i="6" s="1"/>
  <c r="S477" i="6"/>
  <c r="Q477" i="6"/>
  <c r="P477" i="6"/>
  <c r="U476" i="6"/>
  <c r="T476" i="6" a="1"/>
  <c r="T476" i="6" s="1"/>
  <c r="S476" i="6"/>
  <c r="Q476" i="6"/>
  <c r="P476" i="6"/>
  <c r="U475" i="6"/>
  <c r="T475" i="6" a="1"/>
  <c r="T475" i="6" s="1"/>
  <c r="S475" i="6"/>
  <c r="Q475" i="6"/>
  <c r="P475" i="6"/>
  <c r="U474" i="6"/>
  <c r="T474" i="6"/>
  <c r="T474" i="6" a="1"/>
  <c r="S474" i="6"/>
  <c r="Q474" i="6"/>
  <c r="P474" i="6"/>
  <c r="R474" i="6" s="1"/>
  <c r="U473" i="6"/>
  <c r="T473" i="6" a="1"/>
  <c r="T473" i="6" s="1"/>
  <c r="S473" i="6"/>
  <c r="Q473" i="6"/>
  <c r="P473" i="6"/>
  <c r="U472" i="6"/>
  <c r="T472" i="6" a="1"/>
  <c r="T472" i="6" s="1"/>
  <c r="S472" i="6"/>
  <c r="Q472" i="6"/>
  <c r="P472" i="6"/>
  <c r="U471" i="6"/>
  <c r="T471" i="6" a="1"/>
  <c r="T471" i="6" s="1"/>
  <c r="S471" i="6"/>
  <c r="Q471" i="6"/>
  <c r="P471" i="6"/>
  <c r="U470" i="6"/>
  <c r="T470" i="6" a="1"/>
  <c r="T470" i="6" s="1"/>
  <c r="S470" i="6"/>
  <c r="Q470" i="6"/>
  <c r="R470" i="6" s="1"/>
  <c r="P470" i="6"/>
  <c r="U469" i="6"/>
  <c r="T469" i="6" a="1"/>
  <c r="T469" i="6" s="1"/>
  <c r="S469" i="6"/>
  <c r="Q469" i="6"/>
  <c r="P469" i="6"/>
  <c r="U468" i="6"/>
  <c r="T468" i="6" a="1"/>
  <c r="T468" i="6" s="1"/>
  <c r="S468" i="6"/>
  <c r="Q468" i="6"/>
  <c r="P468" i="6"/>
  <c r="U467" i="6"/>
  <c r="T467" i="6" a="1"/>
  <c r="T467" i="6" s="1"/>
  <c r="S467" i="6"/>
  <c r="Q467" i="6"/>
  <c r="P467" i="6"/>
  <c r="U466" i="6"/>
  <c r="T466" i="6" a="1"/>
  <c r="T466" i="6" s="1"/>
  <c r="S466" i="6"/>
  <c r="Q466" i="6"/>
  <c r="P466" i="6"/>
  <c r="R466" i="6" s="1"/>
  <c r="U465" i="6"/>
  <c r="T465" i="6" a="1"/>
  <c r="T465" i="6" s="1"/>
  <c r="S465" i="6"/>
  <c r="Q465" i="6"/>
  <c r="P465" i="6"/>
  <c r="U464" i="6"/>
  <c r="T464" i="6" a="1"/>
  <c r="T464" i="6" s="1"/>
  <c r="S464" i="6"/>
  <c r="Q464" i="6"/>
  <c r="P464" i="6"/>
  <c r="U463" i="6"/>
  <c r="T463" i="6" a="1"/>
  <c r="T463" i="6" s="1"/>
  <c r="S463" i="6"/>
  <c r="Q463" i="6"/>
  <c r="R463" i="6" s="1"/>
  <c r="P463" i="6"/>
  <c r="U462" i="6"/>
  <c r="T462" i="6" a="1"/>
  <c r="T462" i="6" s="1"/>
  <c r="S462" i="6"/>
  <c r="Q462" i="6"/>
  <c r="P462" i="6"/>
  <c r="R462" i="6" s="1"/>
  <c r="U461" i="6"/>
  <c r="T461" i="6" a="1"/>
  <c r="T461" i="6" s="1"/>
  <c r="S461" i="6"/>
  <c r="Q461" i="6"/>
  <c r="P461" i="6"/>
  <c r="U460" i="6"/>
  <c r="T460" i="6" a="1"/>
  <c r="T460" i="6" s="1"/>
  <c r="S460" i="6"/>
  <c r="Q460" i="6"/>
  <c r="P460" i="6"/>
  <c r="R460" i="6" s="1"/>
  <c r="U459" i="6"/>
  <c r="T459" i="6" a="1"/>
  <c r="T459" i="6" s="1"/>
  <c r="S459" i="6"/>
  <c r="Q459" i="6"/>
  <c r="P459" i="6"/>
  <c r="U458" i="6"/>
  <c r="T458" i="6" a="1"/>
  <c r="T458" i="6" s="1"/>
  <c r="S458" i="6"/>
  <c r="Q458" i="6"/>
  <c r="P458" i="6"/>
  <c r="U457" i="6"/>
  <c r="T457" i="6" a="1"/>
  <c r="T457" i="6" s="1"/>
  <c r="S457" i="6"/>
  <c r="Q457" i="6"/>
  <c r="P457" i="6"/>
  <c r="U456" i="6"/>
  <c r="T456" i="6" a="1"/>
  <c r="T456" i="6" s="1"/>
  <c r="S456" i="6"/>
  <c r="Q456" i="6"/>
  <c r="P456" i="6"/>
  <c r="U455" i="6"/>
  <c r="T455" i="6"/>
  <c r="T455" i="6" a="1"/>
  <c r="S455" i="6"/>
  <c r="Q455" i="6"/>
  <c r="P455" i="6"/>
  <c r="R455" i="6" s="1"/>
  <c r="U454" i="6"/>
  <c r="T454" i="6" a="1"/>
  <c r="T454" i="6" s="1"/>
  <c r="S454" i="6"/>
  <c r="Q454" i="6"/>
  <c r="P454" i="6"/>
  <c r="U453" i="6"/>
  <c r="T453" i="6"/>
  <c r="T453" i="6" a="1"/>
  <c r="S453" i="6"/>
  <c r="Q453" i="6"/>
  <c r="P453" i="6"/>
  <c r="R453" i="6" s="1"/>
  <c r="U452" i="6"/>
  <c r="T452" i="6" a="1"/>
  <c r="T452" i="6" s="1"/>
  <c r="S452" i="6"/>
  <c r="Q452" i="6"/>
  <c r="P452" i="6"/>
  <c r="U451" i="6"/>
  <c r="T451" i="6" a="1"/>
  <c r="T451" i="6" s="1"/>
  <c r="S451" i="6"/>
  <c r="Q451" i="6"/>
  <c r="R451" i="6" s="1"/>
  <c r="P451" i="6"/>
  <c r="U450" i="6"/>
  <c r="T450" i="6" a="1"/>
  <c r="T450" i="6" s="1"/>
  <c r="S450" i="6"/>
  <c r="Q450" i="6"/>
  <c r="P450" i="6"/>
  <c r="U449" i="6"/>
  <c r="T449" i="6" a="1"/>
  <c r="T449" i="6" s="1"/>
  <c r="S449" i="6"/>
  <c r="Q449" i="6"/>
  <c r="P449" i="6"/>
  <c r="U448" i="6"/>
  <c r="T448" i="6" a="1"/>
  <c r="T448" i="6" s="1"/>
  <c r="S448" i="6"/>
  <c r="Q448" i="6"/>
  <c r="P448" i="6"/>
  <c r="U447" i="6"/>
  <c r="T447" i="6" a="1"/>
  <c r="T447" i="6" s="1"/>
  <c r="S447" i="6"/>
  <c r="Q447" i="6"/>
  <c r="P447" i="6"/>
  <c r="R447" i="6" s="1"/>
  <c r="U446" i="6"/>
  <c r="T446" i="6" a="1"/>
  <c r="T446" i="6" s="1"/>
  <c r="S446" i="6"/>
  <c r="Q446" i="6"/>
  <c r="P446" i="6"/>
  <c r="U445" i="6"/>
  <c r="T445" i="6" a="1"/>
  <c r="T445" i="6" s="1"/>
  <c r="S445" i="6"/>
  <c r="Q445" i="6"/>
  <c r="P445" i="6"/>
  <c r="U444" i="6"/>
  <c r="T444" i="6" a="1"/>
  <c r="T444" i="6" s="1"/>
  <c r="S444" i="6"/>
  <c r="Q444" i="6"/>
  <c r="P444" i="6"/>
  <c r="U443" i="6"/>
  <c r="T443" i="6" a="1"/>
  <c r="T443" i="6" s="1"/>
  <c r="S443" i="6"/>
  <c r="Q443" i="6"/>
  <c r="P443" i="6"/>
  <c r="U442" i="6"/>
  <c r="T442" i="6" a="1"/>
  <c r="T442" i="6" s="1"/>
  <c r="S442" i="6"/>
  <c r="Q442" i="6"/>
  <c r="R442" i="6" s="1"/>
  <c r="P442" i="6"/>
  <c r="U441" i="6"/>
  <c r="T441" i="6" a="1"/>
  <c r="T441" i="6" s="1"/>
  <c r="S441" i="6"/>
  <c r="Q441" i="6"/>
  <c r="P441" i="6"/>
  <c r="U440" i="6"/>
  <c r="T440" i="6" a="1"/>
  <c r="T440" i="6" s="1"/>
  <c r="S440" i="6"/>
  <c r="Q440" i="6"/>
  <c r="P440" i="6"/>
  <c r="U439" i="6"/>
  <c r="T439" i="6" a="1"/>
  <c r="T439" i="6" s="1"/>
  <c r="S439" i="6"/>
  <c r="Q439" i="6"/>
  <c r="P439" i="6"/>
  <c r="R439" i="6" s="1"/>
  <c r="U438" i="6"/>
  <c r="T438" i="6" a="1"/>
  <c r="T438" i="6" s="1"/>
  <c r="S438" i="6"/>
  <c r="Q438" i="6"/>
  <c r="R438" i="6" s="1"/>
  <c r="P438" i="6"/>
  <c r="U437" i="6"/>
  <c r="T437" i="6" a="1"/>
  <c r="T437" i="6" s="1"/>
  <c r="S437" i="6"/>
  <c r="Q437" i="6"/>
  <c r="P437" i="6"/>
  <c r="U436" i="6"/>
  <c r="T436" i="6" a="1"/>
  <c r="T436" i="6" s="1"/>
  <c r="S436" i="6"/>
  <c r="Q436" i="6"/>
  <c r="P436" i="6"/>
  <c r="R436" i="6" s="1"/>
  <c r="U435" i="6"/>
  <c r="T435" i="6" a="1"/>
  <c r="T435" i="6" s="1"/>
  <c r="S435" i="6"/>
  <c r="Q435" i="6"/>
  <c r="P435" i="6"/>
  <c r="R435" i="6" s="1"/>
  <c r="U434" i="6"/>
  <c r="T434" i="6" a="1"/>
  <c r="T434" i="6" s="1"/>
  <c r="S434" i="6"/>
  <c r="Q434" i="6"/>
  <c r="P434" i="6"/>
  <c r="U433" i="6"/>
  <c r="T433" i="6" a="1"/>
  <c r="T433" i="6" s="1"/>
  <c r="S433" i="6"/>
  <c r="Q433" i="6"/>
  <c r="P433" i="6"/>
  <c r="U432" i="6"/>
  <c r="T432" i="6" a="1"/>
  <c r="T432" i="6" s="1"/>
  <c r="S432" i="6"/>
  <c r="Q432" i="6"/>
  <c r="P432" i="6"/>
  <c r="U431" i="6"/>
  <c r="T431" i="6" a="1"/>
  <c r="T431" i="6" s="1"/>
  <c r="S431" i="6"/>
  <c r="Q431" i="6"/>
  <c r="P431" i="6"/>
  <c r="R431" i="6" s="1"/>
  <c r="U430" i="6"/>
  <c r="T430" i="6" a="1"/>
  <c r="T430" i="6" s="1"/>
  <c r="S430" i="6"/>
  <c r="Q430" i="6"/>
  <c r="P430" i="6"/>
  <c r="U429" i="6"/>
  <c r="T429" i="6" a="1"/>
  <c r="T429" i="6" s="1"/>
  <c r="S429" i="6"/>
  <c r="Q429" i="6"/>
  <c r="P429" i="6"/>
  <c r="U428" i="6"/>
  <c r="T428" i="6" a="1"/>
  <c r="T428" i="6" s="1"/>
  <c r="S428" i="6"/>
  <c r="Q428" i="6"/>
  <c r="P428" i="6"/>
  <c r="U427" i="6"/>
  <c r="T427" i="6" a="1"/>
  <c r="T427" i="6" s="1"/>
  <c r="S427" i="6"/>
  <c r="Q427" i="6"/>
  <c r="P427" i="6"/>
  <c r="R427" i="6" s="1"/>
  <c r="U426" i="6"/>
  <c r="T426" i="6" a="1"/>
  <c r="T426" i="6" s="1"/>
  <c r="S426" i="6"/>
  <c r="Q426" i="6"/>
  <c r="P426" i="6"/>
  <c r="U425" i="6"/>
  <c r="T425" i="6" a="1"/>
  <c r="T425" i="6" s="1"/>
  <c r="S425" i="6"/>
  <c r="Q425" i="6"/>
  <c r="P425" i="6"/>
  <c r="U424" i="6"/>
  <c r="T424" i="6" a="1"/>
  <c r="T424" i="6" s="1"/>
  <c r="S424" i="6"/>
  <c r="Q424" i="6"/>
  <c r="P424" i="6"/>
  <c r="U423" i="6"/>
  <c r="T423" i="6" a="1"/>
  <c r="T423" i="6" s="1"/>
  <c r="S423" i="6"/>
  <c r="Q423" i="6"/>
  <c r="R423" i="6" s="1"/>
  <c r="P423" i="6"/>
  <c r="U422" i="6"/>
  <c r="T422" i="6" a="1"/>
  <c r="T422" i="6" s="1"/>
  <c r="S422" i="6"/>
  <c r="Q422" i="6"/>
  <c r="P422" i="6"/>
  <c r="U421" i="6"/>
  <c r="T421" i="6" a="1"/>
  <c r="T421" i="6" s="1"/>
  <c r="S421" i="6"/>
  <c r="Q421" i="6"/>
  <c r="P421" i="6"/>
  <c r="U420" i="6"/>
  <c r="T420" i="6" a="1"/>
  <c r="T420" i="6" s="1"/>
  <c r="S420" i="6"/>
  <c r="Q420" i="6"/>
  <c r="P420" i="6"/>
  <c r="U419" i="6"/>
  <c r="T419" i="6" a="1"/>
  <c r="T419" i="6" s="1"/>
  <c r="S419" i="6"/>
  <c r="Q419" i="6"/>
  <c r="P419" i="6"/>
  <c r="U418" i="6"/>
  <c r="T418" i="6" a="1"/>
  <c r="T418" i="6" s="1"/>
  <c r="S418" i="6"/>
  <c r="Q418" i="6"/>
  <c r="P418" i="6"/>
  <c r="U417" i="6"/>
  <c r="T417" i="6" a="1"/>
  <c r="T417" i="6" s="1"/>
  <c r="S417" i="6"/>
  <c r="Q417" i="6"/>
  <c r="P417" i="6"/>
  <c r="U416" i="6"/>
  <c r="T416" i="6" a="1"/>
  <c r="T416" i="6" s="1"/>
  <c r="S416" i="6"/>
  <c r="Q416" i="6"/>
  <c r="P416" i="6"/>
  <c r="R416" i="6" s="1"/>
  <c r="U415" i="6"/>
  <c r="T415" i="6" a="1"/>
  <c r="T415" i="6" s="1"/>
  <c r="S415" i="6"/>
  <c r="Q415" i="6"/>
  <c r="P415" i="6"/>
  <c r="U414" i="6"/>
  <c r="T414" i="6" a="1"/>
  <c r="T414" i="6" s="1"/>
  <c r="S414" i="6"/>
  <c r="Q414" i="6"/>
  <c r="R414" i="6" s="1"/>
  <c r="P414" i="6"/>
  <c r="U413" i="6"/>
  <c r="T413" i="6" a="1"/>
  <c r="T413" i="6" s="1"/>
  <c r="S413" i="6"/>
  <c r="Q413" i="6"/>
  <c r="P413" i="6"/>
  <c r="U412" i="6"/>
  <c r="T412" i="6" a="1"/>
  <c r="T412" i="6" s="1"/>
  <c r="S412" i="6"/>
  <c r="Q412" i="6"/>
  <c r="P412" i="6"/>
  <c r="U411" i="6"/>
  <c r="T411" i="6" a="1"/>
  <c r="T411" i="6" s="1"/>
  <c r="S411" i="6"/>
  <c r="Q411" i="6"/>
  <c r="P411" i="6"/>
  <c r="U410" i="6"/>
  <c r="T410" i="6" a="1"/>
  <c r="T410" i="6" s="1"/>
  <c r="S410" i="6"/>
  <c r="Q410" i="6"/>
  <c r="R410" i="6" s="1"/>
  <c r="P410" i="6"/>
  <c r="U409" i="6"/>
  <c r="T409" i="6" a="1"/>
  <c r="T409" i="6" s="1"/>
  <c r="S409" i="6"/>
  <c r="Q409" i="6"/>
  <c r="P409" i="6"/>
  <c r="R409" i="6" s="1"/>
  <c r="U408" i="6"/>
  <c r="T408" i="6" a="1"/>
  <c r="T408" i="6" s="1"/>
  <c r="S408" i="6"/>
  <c r="Q408" i="6"/>
  <c r="P408" i="6"/>
  <c r="U407" i="6"/>
  <c r="T407" i="6" a="1"/>
  <c r="T407" i="6" s="1"/>
  <c r="S407" i="6"/>
  <c r="Q407" i="6"/>
  <c r="P407" i="6"/>
  <c r="U406" i="6"/>
  <c r="T406" i="6" a="1"/>
  <c r="T406" i="6" s="1"/>
  <c r="S406" i="6"/>
  <c r="Q406" i="6"/>
  <c r="R406" i="6" s="1"/>
  <c r="P406" i="6"/>
  <c r="U405" i="6"/>
  <c r="T405" i="6" a="1"/>
  <c r="T405" i="6" s="1"/>
  <c r="S405" i="6"/>
  <c r="Q405" i="6"/>
  <c r="P405" i="6"/>
  <c r="U404" i="6"/>
  <c r="T404" i="6" a="1"/>
  <c r="T404" i="6" s="1"/>
  <c r="S404" i="6"/>
  <c r="Q404" i="6"/>
  <c r="P404" i="6"/>
  <c r="R404" i="6" s="1"/>
  <c r="U403" i="6"/>
  <c r="T403" i="6" a="1"/>
  <c r="T403" i="6" s="1"/>
  <c r="S403" i="6"/>
  <c r="Q403" i="6"/>
  <c r="P403" i="6"/>
  <c r="R403" i="6" s="1"/>
  <c r="U402" i="6"/>
  <c r="T402" i="6" a="1"/>
  <c r="T402" i="6" s="1"/>
  <c r="S402" i="6"/>
  <c r="Q402" i="6"/>
  <c r="R402" i="6" s="1"/>
  <c r="P402" i="6"/>
  <c r="U401" i="6"/>
  <c r="T401" i="6" a="1"/>
  <c r="T401" i="6" s="1"/>
  <c r="S401" i="6"/>
  <c r="Q401" i="6"/>
  <c r="P401" i="6"/>
  <c r="U400" i="6"/>
  <c r="T400" i="6" a="1"/>
  <c r="T400" i="6" s="1"/>
  <c r="S400" i="6"/>
  <c r="Q400" i="6"/>
  <c r="P400" i="6"/>
  <c r="U399" i="6"/>
  <c r="T399" i="6" a="1"/>
  <c r="T399" i="6" s="1"/>
  <c r="S399" i="6"/>
  <c r="Q399" i="6"/>
  <c r="P399" i="6"/>
  <c r="U398" i="6"/>
  <c r="T398" i="6" a="1"/>
  <c r="T398" i="6" s="1"/>
  <c r="S398" i="6"/>
  <c r="Q398" i="6"/>
  <c r="P398" i="6"/>
  <c r="U397" i="6"/>
  <c r="T397" i="6" a="1"/>
  <c r="T397" i="6" s="1"/>
  <c r="S397" i="6"/>
  <c r="Q397" i="6"/>
  <c r="P397" i="6"/>
  <c r="U396" i="6"/>
  <c r="T396" i="6" a="1"/>
  <c r="T396" i="6" s="1"/>
  <c r="S396" i="6"/>
  <c r="Q396" i="6"/>
  <c r="P396" i="6"/>
  <c r="U395" i="6"/>
  <c r="T395" i="6" a="1"/>
  <c r="T395" i="6" s="1"/>
  <c r="S395" i="6"/>
  <c r="Q395" i="6"/>
  <c r="P395" i="6"/>
  <c r="U394" i="6"/>
  <c r="T394" i="6" a="1"/>
  <c r="T394" i="6" s="1"/>
  <c r="S394" i="6"/>
  <c r="Q394" i="6"/>
  <c r="P394" i="6"/>
  <c r="U393" i="6"/>
  <c r="T393" i="6" a="1"/>
  <c r="T393" i="6" s="1"/>
  <c r="S393" i="6"/>
  <c r="Q393" i="6"/>
  <c r="P393" i="6"/>
  <c r="U392" i="6"/>
  <c r="T392" i="6" a="1"/>
  <c r="T392" i="6" s="1"/>
  <c r="S392" i="6"/>
  <c r="Q392" i="6"/>
  <c r="P392" i="6"/>
  <c r="U391" i="6"/>
  <c r="T391" i="6" a="1"/>
  <c r="T391" i="6" s="1"/>
  <c r="S391" i="6"/>
  <c r="Q391" i="6"/>
  <c r="P391" i="6"/>
  <c r="U390" i="6"/>
  <c r="T390" i="6" a="1"/>
  <c r="T390" i="6" s="1"/>
  <c r="S390" i="6"/>
  <c r="Q390" i="6"/>
  <c r="P390" i="6"/>
  <c r="R390" i="6" s="1"/>
  <c r="U389" i="6"/>
  <c r="T389" i="6" a="1"/>
  <c r="T389" i="6" s="1"/>
  <c r="S389" i="6"/>
  <c r="Q389" i="6"/>
  <c r="P389" i="6"/>
  <c r="U388" i="6"/>
  <c r="T388" i="6" a="1"/>
  <c r="T388" i="6" s="1"/>
  <c r="S388" i="6"/>
  <c r="Q388" i="6"/>
  <c r="P388" i="6"/>
  <c r="U387" i="6"/>
  <c r="T387" i="6" a="1"/>
  <c r="T387" i="6" s="1"/>
  <c r="S387" i="6"/>
  <c r="Q387" i="6"/>
  <c r="P387" i="6"/>
  <c r="U386" i="6"/>
  <c r="T386" i="6" a="1"/>
  <c r="T386" i="6" s="1"/>
  <c r="S386" i="6"/>
  <c r="Q386" i="6"/>
  <c r="P386" i="6"/>
  <c r="U385" i="6"/>
  <c r="T385" i="6" a="1"/>
  <c r="T385" i="6" s="1"/>
  <c r="S385" i="6"/>
  <c r="Q385" i="6"/>
  <c r="P385" i="6"/>
  <c r="U384" i="6"/>
  <c r="T384" i="6" a="1"/>
  <c r="T384" i="6" s="1"/>
  <c r="S384" i="6"/>
  <c r="Q384" i="6"/>
  <c r="P384" i="6"/>
  <c r="U383" i="6"/>
  <c r="T383" i="6" a="1"/>
  <c r="T383" i="6" s="1"/>
  <c r="S383" i="6"/>
  <c r="Q383" i="6"/>
  <c r="P383" i="6"/>
  <c r="U382" i="6"/>
  <c r="T382" i="6"/>
  <c r="T382" i="6" a="1"/>
  <c r="S382" i="6"/>
  <c r="Q382" i="6"/>
  <c r="R382" i="6" s="1"/>
  <c r="P382" i="6"/>
  <c r="U381" i="6"/>
  <c r="T381" i="6" a="1"/>
  <c r="T381" i="6" s="1"/>
  <c r="S381" i="6"/>
  <c r="Q381" i="6"/>
  <c r="P381" i="6"/>
  <c r="U380" i="6"/>
  <c r="T380" i="6" a="1"/>
  <c r="T380" i="6" s="1"/>
  <c r="S380" i="6"/>
  <c r="Q380" i="6"/>
  <c r="P380" i="6"/>
  <c r="R380" i="6" s="1"/>
  <c r="U379" i="6"/>
  <c r="T379" i="6" a="1"/>
  <c r="T379" i="6" s="1"/>
  <c r="S379" i="6"/>
  <c r="Q379" i="6"/>
  <c r="P379" i="6"/>
  <c r="U378" i="6"/>
  <c r="T378" i="6" a="1"/>
  <c r="T378" i="6" s="1"/>
  <c r="S378" i="6"/>
  <c r="Q378" i="6"/>
  <c r="R378" i="6" s="1"/>
  <c r="P378" i="6"/>
  <c r="U377" i="6"/>
  <c r="T377" i="6" a="1"/>
  <c r="T377" i="6" s="1"/>
  <c r="S377" i="6"/>
  <c r="Q377" i="6"/>
  <c r="P377" i="6"/>
  <c r="R377" i="6" s="1"/>
  <c r="U376" i="6"/>
  <c r="T376" i="6" a="1"/>
  <c r="T376" i="6" s="1"/>
  <c r="S376" i="6"/>
  <c r="Q376" i="6"/>
  <c r="P376" i="6"/>
  <c r="U375" i="6"/>
  <c r="T375" i="6" a="1"/>
  <c r="T375" i="6" s="1"/>
  <c r="S375" i="6"/>
  <c r="Q375" i="6"/>
  <c r="P375" i="6"/>
  <c r="R375" i="6" s="1"/>
  <c r="U374" i="6"/>
  <c r="T374" i="6" a="1"/>
  <c r="T374" i="6" s="1"/>
  <c r="S374" i="6"/>
  <c r="Q374" i="6"/>
  <c r="R374" i="6" s="1"/>
  <c r="P374" i="6"/>
  <c r="U373" i="6"/>
  <c r="T373" i="6" a="1"/>
  <c r="T373" i="6" s="1"/>
  <c r="S373" i="6"/>
  <c r="Q373" i="6"/>
  <c r="P373" i="6"/>
  <c r="U372" i="6"/>
  <c r="T372" i="6" a="1"/>
  <c r="T372" i="6" s="1"/>
  <c r="S372" i="6"/>
  <c r="Q372" i="6"/>
  <c r="P372" i="6"/>
  <c r="U371" i="6"/>
  <c r="T371" i="6" a="1"/>
  <c r="T371" i="6" s="1"/>
  <c r="S371" i="6"/>
  <c r="Q371" i="6"/>
  <c r="P371" i="6"/>
  <c r="U370" i="6"/>
  <c r="T370" i="6" a="1"/>
  <c r="T370" i="6" s="1"/>
  <c r="S370" i="6"/>
  <c r="Q370" i="6"/>
  <c r="P370" i="6"/>
  <c r="U369" i="6"/>
  <c r="T369" i="6" a="1"/>
  <c r="T369" i="6" s="1"/>
  <c r="S369" i="6"/>
  <c r="Q369" i="6"/>
  <c r="P369" i="6"/>
  <c r="R369" i="6" s="1"/>
  <c r="U368" i="6"/>
  <c r="T368" i="6" a="1"/>
  <c r="T368" i="6" s="1"/>
  <c r="S368" i="6"/>
  <c r="Q368" i="6"/>
  <c r="P368" i="6"/>
  <c r="U367" i="6"/>
  <c r="T367" i="6" a="1"/>
  <c r="T367" i="6" s="1"/>
  <c r="S367" i="6"/>
  <c r="Q367" i="6"/>
  <c r="R367" i="6" s="1"/>
  <c r="P367" i="6"/>
  <c r="U366" i="6"/>
  <c r="T366" i="6" a="1"/>
  <c r="T366" i="6" s="1"/>
  <c r="S366" i="6"/>
  <c r="Q366" i="6"/>
  <c r="P366" i="6"/>
  <c r="R366" i="6" s="1"/>
  <c r="U365" i="6"/>
  <c r="T365" i="6" a="1"/>
  <c r="T365" i="6" s="1"/>
  <c r="S365" i="6"/>
  <c r="Q365" i="6"/>
  <c r="P365" i="6"/>
  <c r="U364" i="6"/>
  <c r="T364" i="6" a="1"/>
  <c r="T364" i="6" s="1"/>
  <c r="S364" i="6"/>
  <c r="Q364" i="6"/>
  <c r="P364" i="6"/>
  <c r="U363" i="6"/>
  <c r="T363" i="6" a="1"/>
  <c r="T363" i="6" s="1"/>
  <c r="S363" i="6"/>
  <c r="R363" i="6"/>
  <c r="Q363" i="6"/>
  <c r="P363" i="6"/>
  <c r="U362" i="6"/>
  <c r="T362" i="6" a="1"/>
  <c r="T362" i="6" s="1"/>
  <c r="S362" i="6"/>
  <c r="Q362" i="6"/>
  <c r="P362" i="6"/>
  <c r="U361" i="6"/>
  <c r="T361" i="6" a="1"/>
  <c r="T361" i="6" s="1"/>
  <c r="S361" i="6"/>
  <c r="Q361" i="6"/>
  <c r="P361" i="6"/>
  <c r="U360" i="6"/>
  <c r="T360" i="6" a="1"/>
  <c r="T360" i="6" s="1"/>
  <c r="S360" i="6"/>
  <c r="Q360" i="6"/>
  <c r="P360" i="6"/>
  <c r="U359" i="6"/>
  <c r="T359" i="6" a="1"/>
  <c r="T359" i="6" s="1"/>
  <c r="S359" i="6"/>
  <c r="Q359" i="6"/>
  <c r="P359" i="6"/>
  <c r="U358" i="6"/>
  <c r="T358" i="6" a="1"/>
  <c r="T358" i="6" s="1"/>
  <c r="S358" i="6"/>
  <c r="Q358" i="6"/>
  <c r="P358" i="6"/>
  <c r="U357" i="6"/>
  <c r="T357" i="6" a="1"/>
  <c r="T357" i="6" s="1"/>
  <c r="S357" i="6"/>
  <c r="Q357" i="6"/>
  <c r="P357" i="6"/>
  <c r="U356" i="6"/>
  <c r="T356" i="6" a="1"/>
  <c r="T356" i="6" s="1"/>
  <c r="S356" i="6"/>
  <c r="Q356" i="6"/>
  <c r="P356" i="6"/>
  <c r="U355" i="6"/>
  <c r="T355" i="6" a="1"/>
  <c r="T355" i="6" s="1"/>
  <c r="S355" i="6"/>
  <c r="Q355" i="6"/>
  <c r="P355" i="6"/>
  <c r="R355" i="6" s="1"/>
  <c r="U354" i="6"/>
  <c r="T354" i="6" a="1"/>
  <c r="T354" i="6" s="1"/>
  <c r="S354" i="6"/>
  <c r="Q354" i="6"/>
  <c r="P354" i="6"/>
  <c r="U353" i="6"/>
  <c r="T353" i="6" a="1"/>
  <c r="T353" i="6" s="1"/>
  <c r="S353" i="6"/>
  <c r="Q353" i="6"/>
  <c r="P353" i="6"/>
  <c r="R353" i="6" s="1"/>
  <c r="U352" i="6"/>
  <c r="T352" i="6" a="1"/>
  <c r="T352" i="6" s="1"/>
  <c r="S352" i="6"/>
  <c r="Q352" i="6"/>
  <c r="P352" i="6"/>
  <c r="U351" i="6"/>
  <c r="T351" i="6" a="1"/>
  <c r="T351" i="6" s="1"/>
  <c r="S351" i="6"/>
  <c r="Q351" i="6"/>
  <c r="R351" i="6" s="1"/>
  <c r="P351" i="6"/>
  <c r="U350" i="6"/>
  <c r="T350" i="6" a="1"/>
  <c r="T350" i="6" s="1"/>
  <c r="S350" i="6"/>
  <c r="Q350" i="6"/>
  <c r="P350" i="6"/>
  <c r="U349" i="6"/>
  <c r="T349" i="6" a="1"/>
  <c r="T349" i="6" s="1"/>
  <c r="S349" i="6"/>
  <c r="Q349" i="6"/>
  <c r="R349" i="6" s="1"/>
  <c r="P349" i="6"/>
  <c r="U348" i="6"/>
  <c r="T348" i="6" a="1"/>
  <c r="T348" i="6" s="1"/>
  <c r="S348" i="6"/>
  <c r="Q348" i="6"/>
  <c r="P348" i="6"/>
  <c r="U347" i="6"/>
  <c r="T347" i="6" a="1"/>
  <c r="T347" i="6" s="1"/>
  <c r="S347" i="6"/>
  <c r="Q347" i="6"/>
  <c r="P347" i="6"/>
  <c r="U346" i="6"/>
  <c r="T346" i="6" a="1"/>
  <c r="T346" i="6" s="1"/>
  <c r="S346" i="6"/>
  <c r="Q346" i="6"/>
  <c r="P346" i="6"/>
  <c r="R346" i="6" s="1"/>
  <c r="U345" i="6"/>
  <c r="T345" i="6" a="1"/>
  <c r="T345" i="6" s="1"/>
  <c r="S345" i="6"/>
  <c r="Q345" i="6"/>
  <c r="P345" i="6"/>
  <c r="R345" i="6" s="1"/>
  <c r="U344" i="6"/>
  <c r="T344" i="6" a="1"/>
  <c r="T344" i="6" s="1"/>
  <c r="S344" i="6"/>
  <c r="Q344" i="6"/>
  <c r="P344" i="6"/>
  <c r="U343" i="6"/>
  <c r="T343" i="6" a="1"/>
  <c r="T343" i="6" s="1"/>
  <c r="S343" i="6"/>
  <c r="Q343" i="6"/>
  <c r="P343" i="6"/>
  <c r="U342" i="6"/>
  <c r="T342" i="6" a="1"/>
  <c r="T342" i="6" s="1"/>
  <c r="S342" i="6"/>
  <c r="Q342" i="6"/>
  <c r="P342" i="6"/>
  <c r="R342" i="6" s="1"/>
  <c r="U341" i="6"/>
  <c r="T341" i="6" a="1"/>
  <c r="T341" i="6" s="1"/>
  <c r="S341" i="6"/>
  <c r="Q341" i="6"/>
  <c r="P341" i="6"/>
  <c r="U340" i="6"/>
  <c r="T340" i="6" a="1"/>
  <c r="T340" i="6" s="1"/>
  <c r="S340" i="6"/>
  <c r="Q340" i="6"/>
  <c r="P340" i="6"/>
  <c r="R340" i="6" s="1"/>
  <c r="U339" i="6"/>
  <c r="T339" i="6" a="1"/>
  <c r="T339" i="6" s="1"/>
  <c r="S339" i="6"/>
  <c r="Q339" i="6"/>
  <c r="P339" i="6"/>
  <c r="U338" i="6"/>
  <c r="T338" i="6" a="1"/>
  <c r="T338" i="6" s="1"/>
  <c r="S338" i="6"/>
  <c r="Q338" i="6"/>
  <c r="P338" i="6"/>
  <c r="U337" i="6"/>
  <c r="T337" i="6" a="1"/>
  <c r="T337" i="6" s="1"/>
  <c r="S337" i="6"/>
  <c r="Q337" i="6"/>
  <c r="P337" i="6"/>
  <c r="U336" i="6"/>
  <c r="T336" i="6" a="1"/>
  <c r="T336" i="6" s="1"/>
  <c r="S336" i="6"/>
  <c r="Q336" i="6"/>
  <c r="P336" i="6"/>
  <c r="U335" i="6"/>
  <c r="T335" i="6" a="1"/>
  <c r="T335" i="6" s="1"/>
  <c r="S335" i="6"/>
  <c r="Q335" i="6"/>
  <c r="P335" i="6"/>
  <c r="U334" i="6"/>
  <c r="T334" i="6" a="1"/>
  <c r="T334" i="6" s="1"/>
  <c r="S334" i="6"/>
  <c r="Q334" i="6"/>
  <c r="R334" i="6" s="1"/>
  <c r="P334" i="6"/>
  <c r="U333" i="6"/>
  <c r="T333" i="6" a="1"/>
  <c r="T333" i="6" s="1"/>
  <c r="S333" i="6"/>
  <c r="Q333" i="6"/>
  <c r="P333" i="6"/>
  <c r="R333" i="6" s="1"/>
  <c r="U332" i="6"/>
  <c r="T332" i="6" a="1"/>
  <c r="T332" i="6" s="1"/>
  <c r="S332" i="6"/>
  <c r="Q332" i="6"/>
  <c r="P332" i="6"/>
  <c r="R332" i="6" s="1"/>
  <c r="U331" i="6"/>
  <c r="T331" i="6" a="1"/>
  <c r="T331" i="6" s="1"/>
  <c r="S331" i="6"/>
  <c r="Q331" i="6"/>
  <c r="P331" i="6"/>
  <c r="R331" i="6" s="1"/>
  <c r="U330" i="6"/>
  <c r="T330" i="6"/>
  <c r="T330" i="6" a="1"/>
  <c r="S330" i="6"/>
  <c r="Q330" i="6"/>
  <c r="P330" i="6"/>
  <c r="U329" i="6"/>
  <c r="T329" i="6" a="1"/>
  <c r="T329" i="6" s="1"/>
  <c r="S329" i="6"/>
  <c r="Q329" i="6"/>
  <c r="P329" i="6"/>
  <c r="U328" i="6"/>
  <c r="T328" i="6" a="1"/>
  <c r="T328" i="6" s="1"/>
  <c r="S328" i="6"/>
  <c r="Q328" i="6"/>
  <c r="P328" i="6"/>
  <c r="U327" i="6"/>
  <c r="T327" i="6" a="1"/>
  <c r="T327" i="6" s="1"/>
  <c r="S327" i="6"/>
  <c r="Q327" i="6"/>
  <c r="P327" i="6"/>
  <c r="U326" i="6"/>
  <c r="T326" i="6" a="1"/>
  <c r="T326" i="6" s="1"/>
  <c r="S326" i="6"/>
  <c r="Q326" i="6"/>
  <c r="P326" i="6"/>
  <c r="U325" i="6"/>
  <c r="T325" i="6" a="1"/>
  <c r="T325" i="6" s="1"/>
  <c r="S325" i="6"/>
  <c r="Q325" i="6"/>
  <c r="P325" i="6"/>
  <c r="U324" i="6"/>
  <c r="T324" i="6" a="1"/>
  <c r="T324" i="6" s="1"/>
  <c r="S324" i="6"/>
  <c r="Q324" i="6"/>
  <c r="P324" i="6"/>
  <c r="U323" i="6"/>
  <c r="T323" i="6" a="1"/>
  <c r="T323" i="6" s="1"/>
  <c r="S323" i="6"/>
  <c r="Q323" i="6"/>
  <c r="P323" i="6"/>
  <c r="U322" i="6"/>
  <c r="T322" i="6" a="1"/>
  <c r="T322" i="6" s="1"/>
  <c r="S322" i="6"/>
  <c r="Q322" i="6"/>
  <c r="P322" i="6"/>
  <c r="U321" i="6"/>
  <c r="T321" i="6"/>
  <c r="T321" i="6" a="1"/>
  <c r="S321" i="6"/>
  <c r="Q321" i="6"/>
  <c r="P321" i="6"/>
  <c r="R321" i="6" s="1"/>
  <c r="U320" i="6"/>
  <c r="T320" i="6" a="1"/>
  <c r="T320" i="6" s="1"/>
  <c r="S320" i="6"/>
  <c r="Q320" i="6"/>
  <c r="P320" i="6"/>
  <c r="U319" i="6"/>
  <c r="T319" i="6" a="1"/>
  <c r="T319" i="6" s="1"/>
  <c r="S319" i="6"/>
  <c r="Q319" i="6"/>
  <c r="P319" i="6"/>
  <c r="R319" i="6" s="1"/>
  <c r="U318" i="6"/>
  <c r="T318" i="6" a="1"/>
  <c r="T318" i="6" s="1"/>
  <c r="S318" i="6"/>
  <c r="Q318" i="6"/>
  <c r="P318" i="6"/>
  <c r="R318" i="6" s="1"/>
  <c r="U317" i="6"/>
  <c r="T317" i="6" a="1"/>
  <c r="T317" i="6" s="1"/>
  <c r="S317" i="6"/>
  <c r="Q317" i="6"/>
  <c r="P317" i="6"/>
  <c r="U316" i="6"/>
  <c r="T316" i="6" a="1"/>
  <c r="T316" i="6" s="1"/>
  <c r="S316" i="6"/>
  <c r="Q316" i="6"/>
  <c r="P316" i="6"/>
  <c r="U315" i="6"/>
  <c r="T315" i="6"/>
  <c r="T315" i="6" a="1"/>
  <c r="S315" i="6"/>
  <c r="Q315" i="6"/>
  <c r="R315" i="6" s="1"/>
  <c r="P315" i="6"/>
  <c r="U314" i="6"/>
  <c r="T314" i="6" a="1"/>
  <c r="T314" i="6" s="1"/>
  <c r="S314" i="6"/>
  <c r="Q314" i="6"/>
  <c r="P314" i="6"/>
  <c r="U313" i="6"/>
  <c r="T313" i="6" a="1"/>
  <c r="T313" i="6" s="1"/>
  <c r="S313" i="6"/>
  <c r="Q313" i="6"/>
  <c r="P313" i="6"/>
  <c r="R313" i="6" s="1"/>
  <c r="U312" i="6"/>
  <c r="T312" i="6" a="1"/>
  <c r="T312" i="6" s="1"/>
  <c r="S312" i="6"/>
  <c r="Q312" i="6"/>
  <c r="P312" i="6"/>
  <c r="U311" i="6"/>
  <c r="T311" i="6" a="1"/>
  <c r="T311" i="6" s="1"/>
  <c r="S311" i="6"/>
  <c r="Q311" i="6"/>
  <c r="P311" i="6"/>
  <c r="U310" i="6"/>
  <c r="T310" i="6" a="1"/>
  <c r="T310" i="6" s="1"/>
  <c r="S310" i="6"/>
  <c r="Q310" i="6"/>
  <c r="P310" i="6"/>
  <c r="U309" i="6"/>
  <c r="T309" i="6" a="1"/>
  <c r="T309" i="6" s="1"/>
  <c r="S309" i="6"/>
  <c r="Q309" i="6"/>
  <c r="P309" i="6"/>
  <c r="U308" i="6"/>
  <c r="T308" i="6" a="1"/>
  <c r="T308" i="6" s="1"/>
  <c r="S308" i="6"/>
  <c r="Q308" i="6"/>
  <c r="P308" i="6"/>
  <c r="U307" i="6"/>
  <c r="T307" i="6" a="1"/>
  <c r="T307" i="6" s="1"/>
  <c r="S307" i="6"/>
  <c r="Q307" i="6"/>
  <c r="R307" i="6" s="1"/>
  <c r="P307" i="6"/>
  <c r="U306" i="6"/>
  <c r="T306" i="6"/>
  <c r="T306" i="6" a="1"/>
  <c r="S306" i="6"/>
  <c r="Q306" i="6"/>
  <c r="P306" i="6"/>
  <c r="U305" i="6"/>
  <c r="T305" i="6" a="1"/>
  <c r="T305" i="6" s="1"/>
  <c r="S305" i="6"/>
  <c r="Q305" i="6"/>
  <c r="P305" i="6"/>
  <c r="U304" i="6"/>
  <c r="T304" i="6" a="1"/>
  <c r="T304" i="6" s="1"/>
  <c r="S304" i="6"/>
  <c r="Q304" i="6"/>
  <c r="P304" i="6"/>
  <c r="U303" i="6"/>
  <c r="T303" i="6" a="1"/>
  <c r="T303" i="6" s="1"/>
  <c r="S303" i="6"/>
  <c r="Q303" i="6"/>
  <c r="P303" i="6"/>
  <c r="R303" i="6" s="1"/>
  <c r="U302" i="6"/>
  <c r="T302" i="6" a="1"/>
  <c r="T302" i="6" s="1"/>
  <c r="S302" i="6"/>
  <c r="Q302" i="6"/>
  <c r="R302" i="6" s="1"/>
  <c r="P302" i="6"/>
  <c r="U301" i="6"/>
  <c r="T301" i="6" a="1"/>
  <c r="T301" i="6" s="1"/>
  <c r="S301" i="6"/>
  <c r="Q301" i="6"/>
  <c r="P301" i="6"/>
  <c r="U300" i="6"/>
  <c r="T300" i="6" a="1"/>
  <c r="T300" i="6" s="1"/>
  <c r="S300" i="6"/>
  <c r="Q300" i="6"/>
  <c r="P300" i="6"/>
  <c r="U299" i="6"/>
  <c r="T299" i="6" a="1"/>
  <c r="T299" i="6" s="1"/>
  <c r="S299" i="6"/>
  <c r="Q299" i="6"/>
  <c r="P299" i="6"/>
  <c r="R299" i="6" s="1"/>
  <c r="U298" i="6"/>
  <c r="T298" i="6" a="1"/>
  <c r="T298" i="6" s="1"/>
  <c r="S298" i="6"/>
  <c r="Q298" i="6"/>
  <c r="P298" i="6"/>
  <c r="U297" i="6"/>
  <c r="T297" i="6" a="1"/>
  <c r="T297" i="6" s="1"/>
  <c r="S297" i="6"/>
  <c r="Q297" i="6"/>
  <c r="P297" i="6"/>
  <c r="R297" i="6" s="1"/>
  <c r="U296" i="6"/>
  <c r="T296" i="6" a="1"/>
  <c r="T296" i="6" s="1"/>
  <c r="S296" i="6"/>
  <c r="Q296" i="6"/>
  <c r="P296" i="6"/>
  <c r="U295" i="6"/>
  <c r="T295" i="6" a="1"/>
  <c r="T295" i="6" s="1"/>
  <c r="S295" i="6"/>
  <c r="Q295" i="6"/>
  <c r="P295" i="6"/>
  <c r="U294" i="6"/>
  <c r="T294" i="6" a="1"/>
  <c r="T294" i="6" s="1"/>
  <c r="S294" i="6"/>
  <c r="Q294" i="6"/>
  <c r="P294" i="6"/>
  <c r="U293" i="6"/>
  <c r="T293" i="6" a="1"/>
  <c r="T293" i="6" s="1"/>
  <c r="S293" i="6"/>
  <c r="Q293" i="6"/>
  <c r="P293" i="6"/>
  <c r="U292" i="6"/>
  <c r="T292" i="6" a="1"/>
  <c r="T292" i="6" s="1"/>
  <c r="S292" i="6"/>
  <c r="Q292" i="6"/>
  <c r="P292" i="6"/>
  <c r="U291" i="6"/>
  <c r="T291" i="6" a="1"/>
  <c r="T291" i="6" s="1"/>
  <c r="S291" i="6"/>
  <c r="Q291" i="6"/>
  <c r="P291" i="6"/>
  <c r="U290" i="6"/>
  <c r="T290" i="6" a="1"/>
  <c r="T290" i="6" s="1"/>
  <c r="S290" i="6"/>
  <c r="Q290" i="6"/>
  <c r="P290" i="6"/>
  <c r="U289" i="6"/>
  <c r="T289" i="6" a="1"/>
  <c r="T289" i="6" s="1"/>
  <c r="S289" i="6"/>
  <c r="Q289" i="6"/>
  <c r="P289" i="6"/>
  <c r="R289" i="6" s="1"/>
  <c r="U288" i="6"/>
  <c r="T288" i="6" a="1"/>
  <c r="T288" i="6" s="1"/>
  <c r="S288" i="6"/>
  <c r="Q288" i="6"/>
  <c r="P288" i="6"/>
  <c r="U287" i="6"/>
  <c r="T287" i="6" a="1"/>
  <c r="T287" i="6" s="1"/>
  <c r="S287" i="6"/>
  <c r="Q287" i="6"/>
  <c r="P287" i="6"/>
  <c r="U286" i="6"/>
  <c r="T286" i="6" a="1"/>
  <c r="T286" i="6" s="1"/>
  <c r="S286" i="6"/>
  <c r="Q286" i="6"/>
  <c r="P286" i="6"/>
  <c r="U285" i="6"/>
  <c r="T285" i="6" a="1"/>
  <c r="T285" i="6" s="1"/>
  <c r="S285" i="6"/>
  <c r="Q285" i="6"/>
  <c r="P285" i="6"/>
  <c r="U284" i="6"/>
  <c r="T284" i="6" a="1"/>
  <c r="T284" i="6" s="1"/>
  <c r="S284" i="6"/>
  <c r="Q284" i="6"/>
  <c r="P284" i="6"/>
  <c r="U283" i="6"/>
  <c r="T283" i="6" a="1"/>
  <c r="T283" i="6" s="1"/>
  <c r="S283" i="6"/>
  <c r="Q283" i="6"/>
  <c r="R283" i="6" s="1"/>
  <c r="P283" i="6"/>
  <c r="U282" i="6"/>
  <c r="T282" i="6" a="1"/>
  <c r="T282" i="6" s="1"/>
  <c r="S282" i="6"/>
  <c r="R282" i="6"/>
  <c r="Q282" i="6"/>
  <c r="P282" i="6"/>
  <c r="U281" i="6"/>
  <c r="T281" i="6" a="1"/>
  <c r="T281" i="6" s="1"/>
  <c r="S281" i="6"/>
  <c r="Q281" i="6"/>
  <c r="P281" i="6"/>
  <c r="U280" i="6"/>
  <c r="T280" i="6" a="1"/>
  <c r="T280" i="6" s="1"/>
  <c r="S280" i="6"/>
  <c r="Q280" i="6"/>
  <c r="P280" i="6"/>
  <c r="R280" i="6" s="1"/>
  <c r="U279" i="6"/>
  <c r="T279" i="6" a="1"/>
  <c r="T279" i="6" s="1"/>
  <c r="S279" i="6"/>
  <c r="Q279" i="6"/>
  <c r="P279" i="6"/>
  <c r="U278" i="6"/>
  <c r="T278" i="6" a="1"/>
  <c r="T278" i="6" s="1"/>
  <c r="S278" i="6"/>
  <c r="Q278" i="6"/>
  <c r="P278" i="6"/>
  <c r="U277" i="6"/>
  <c r="T277" i="6" a="1"/>
  <c r="T277" i="6" s="1"/>
  <c r="S277" i="6"/>
  <c r="Q277" i="6"/>
  <c r="P277" i="6"/>
  <c r="U276" i="6"/>
  <c r="T276" i="6" a="1"/>
  <c r="T276" i="6" s="1"/>
  <c r="S276" i="6"/>
  <c r="Q276" i="6"/>
  <c r="P276" i="6"/>
  <c r="R276" i="6" s="1"/>
  <c r="U275" i="6"/>
  <c r="T275" i="6" a="1"/>
  <c r="T275" i="6" s="1"/>
  <c r="S275" i="6"/>
  <c r="Q275" i="6"/>
  <c r="P275" i="6"/>
  <c r="R275" i="6" s="1"/>
  <c r="U274" i="6"/>
  <c r="T274" i="6" a="1"/>
  <c r="T274" i="6" s="1"/>
  <c r="S274" i="6"/>
  <c r="Q274" i="6"/>
  <c r="R274" i="6" s="1"/>
  <c r="P274" i="6"/>
  <c r="U273" i="6"/>
  <c r="T273" i="6" a="1"/>
  <c r="T273" i="6" s="1"/>
  <c r="S273" i="6"/>
  <c r="Q273" i="6"/>
  <c r="P273" i="6"/>
  <c r="R273" i="6" s="1"/>
  <c r="U272" i="6"/>
  <c r="T272" i="6" a="1"/>
  <c r="T272" i="6" s="1"/>
  <c r="S272" i="6"/>
  <c r="Q272" i="6"/>
  <c r="P272" i="6"/>
  <c r="R272" i="6" s="1"/>
  <c r="U271" i="6"/>
  <c r="T271" i="6" a="1"/>
  <c r="T271" i="6" s="1"/>
  <c r="S271" i="6"/>
  <c r="Q271" i="6"/>
  <c r="P271" i="6"/>
  <c r="U270" i="6"/>
  <c r="T270" i="6" a="1"/>
  <c r="T270" i="6" s="1"/>
  <c r="S270" i="6"/>
  <c r="Q270" i="6"/>
  <c r="P270" i="6"/>
  <c r="U269" i="6"/>
  <c r="T269" i="6" a="1"/>
  <c r="T269" i="6" s="1"/>
  <c r="S269" i="6"/>
  <c r="Q269" i="6"/>
  <c r="P269" i="6"/>
  <c r="U268" i="6"/>
  <c r="T268" i="6" a="1"/>
  <c r="T268" i="6" s="1"/>
  <c r="S268" i="6"/>
  <c r="Q268" i="6"/>
  <c r="P268" i="6"/>
  <c r="U267" i="6"/>
  <c r="T267" i="6" a="1"/>
  <c r="T267" i="6" s="1"/>
  <c r="S267" i="6"/>
  <c r="Q267" i="6"/>
  <c r="P267" i="6"/>
  <c r="U266" i="6"/>
  <c r="T266" i="6" a="1"/>
  <c r="T266" i="6" s="1"/>
  <c r="S266" i="6"/>
  <c r="Q266" i="6"/>
  <c r="P266" i="6"/>
  <c r="U265" i="6"/>
  <c r="T265" i="6" a="1"/>
  <c r="T265" i="6" s="1"/>
  <c r="S265" i="6"/>
  <c r="Q265" i="6"/>
  <c r="P265" i="6"/>
  <c r="U264" i="6"/>
  <c r="T264" i="6" a="1"/>
  <c r="T264" i="6" s="1"/>
  <c r="S264" i="6"/>
  <c r="Q264" i="6"/>
  <c r="P264" i="6"/>
  <c r="U263" i="6"/>
  <c r="T263" i="6" a="1"/>
  <c r="T263" i="6" s="1"/>
  <c r="S263" i="6"/>
  <c r="Q263" i="6"/>
  <c r="P263" i="6"/>
  <c r="U262" i="6"/>
  <c r="T262" i="6" a="1"/>
  <c r="T262" i="6" s="1"/>
  <c r="S262" i="6"/>
  <c r="Q262" i="6"/>
  <c r="P262" i="6"/>
  <c r="U261" i="6"/>
  <c r="T261" i="6" a="1"/>
  <c r="T261" i="6" s="1"/>
  <c r="S261" i="6"/>
  <c r="Q261" i="6"/>
  <c r="P261" i="6"/>
  <c r="U260" i="6"/>
  <c r="T260" i="6" a="1"/>
  <c r="T260" i="6" s="1"/>
  <c r="S260" i="6"/>
  <c r="Q260" i="6"/>
  <c r="P260" i="6"/>
  <c r="R260" i="6" s="1"/>
  <c r="U259" i="6"/>
  <c r="T259" i="6" a="1"/>
  <c r="T259" i="6" s="1"/>
  <c r="S259" i="6"/>
  <c r="Q259" i="6"/>
  <c r="P259" i="6"/>
  <c r="R259" i="6" s="1"/>
  <c r="U258" i="6"/>
  <c r="T258" i="6" a="1"/>
  <c r="T258" i="6" s="1"/>
  <c r="S258" i="6"/>
  <c r="Q258" i="6"/>
  <c r="R258" i="6" s="1"/>
  <c r="P258" i="6"/>
  <c r="U257" i="6"/>
  <c r="T257" i="6" a="1"/>
  <c r="T257" i="6" s="1"/>
  <c r="S257" i="6"/>
  <c r="Q257" i="6"/>
  <c r="P257" i="6"/>
  <c r="R257" i="6" s="1"/>
  <c r="U256" i="6"/>
  <c r="T256" i="6" a="1"/>
  <c r="T256" i="6" s="1"/>
  <c r="S256" i="6"/>
  <c r="Q256" i="6"/>
  <c r="P256" i="6"/>
  <c r="U255" i="6"/>
  <c r="T255" i="6" a="1"/>
  <c r="T255" i="6" s="1"/>
  <c r="S255" i="6"/>
  <c r="Q255" i="6"/>
  <c r="P255" i="6"/>
  <c r="R255" i="6" s="1"/>
  <c r="U254" i="6"/>
  <c r="T254" i="6" a="1"/>
  <c r="T254" i="6" s="1"/>
  <c r="S254" i="6"/>
  <c r="Q254" i="6"/>
  <c r="P254" i="6"/>
  <c r="U253" i="6"/>
  <c r="T253" i="6" a="1"/>
  <c r="T253" i="6" s="1"/>
  <c r="S253" i="6"/>
  <c r="Q253" i="6"/>
  <c r="P253" i="6"/>
  <c r="R253" i="6" s="1"/>
  <c r="U252" i="6"/>
  <c r="T252" i="6" a="1"/>
  <c r="T252" i="6" s="1"/>
  <c r="S252" i="6"/>
  <c r="Q252" i="6"/>
  <c r="P252" i="6"/>
  <c r="U251" i="6"/>
  <c r="T251" i="6" a="1"/>
  <c r="T251" i="6" s="1"/>
  <c r="S251" i="6"/>
  <c r="Q251" i="6"/>
  <c r="P251" i="6"/>
  <c r="U250" i="6"/>
  <c r="T250" i="6"/>
  <c r="T250" i="6" a="1"/>
  <c r="S250" i="6"/>
  <c r="Q250" i="6"/>
  <c r="P250" i="6"/>
  <c r="U249" i="6"/>
  <c r="T249" i="6" a="1"/>
  <c r="T249" i="6" s="1"/>
  <c r="S249" i="6"/>
  <c r="Q249" i="6"/>
  <c r="P249" i="6"/>
  <c r="U248" i="6"/>
  <c r="T248" i="6" a="1"/>
  <c r="T248" i="6" s="1"/>
  <c r="S248" i="6"/>
  <c r="Q248" i="6"/>
  <c r="P248" i="6"/>
  <c r="U247" i="6"/>
  <c r="T247" i="6" a="1"/>
  <c r="T247" i="6" s="1"/>
  <c r="S247" i="6"/>
  <c r="Q247" i="6"/>
  <c r="P247" i="6"/>
  <c r="R247" i="6" s="1"/>
  <c r="U246" i="6"/>
  <c r="T246" i="6" a="1"/>
  <c r="T246" i="6" s="1"/>
  <c r="S246" i="6"/>
  <c r="R246" i="6"/>
  <c r="Q246" i="6"/>
  <c r="P246" i="6"/>
  <c r="U245" i="6"/>
  <c r="T245" i="6" a="1"/>
  <c r="T245" i="6" s="1"/>
  <c r="S245" i="6"/>
  <c r="Q245" i="6"/>
  <c r="P245" i="6"/>
  <c r="R245" i="6" s="1"/>
  <c r="U244" i="6"/>
  <c r="T244" i="6" a="1"/>
  <c r="T244" i="6" s="1"/>
  <c r="S244" i="6"/>
  <c r="Q244" i="6"/>
  <c r="P244" i="6"/>
  <c r="R244" i="6" s="1"/>
  <c r="U243" i="6"/>
  <c r="T243" i="6" a="1"/>
  <c r="T243" i="6" s="1"/>
  <c r="S243" i="6"/>
  <c r="Q243" i="6"/>
  <c r="P243" i="6"/>
  <c r="R243" i="6" s="1"/>
  <c r="U242" i="6"/>
  <c r="T242" i="6" a="1"/>
  <c r="T242" i="6" s="1"/>
  <c r="S242" i="6"/>
  <c r="Q242" i="6"/>
  <c r="P242" i="6"/>
  <c r="U241" i="6"/>
  <c r="T241" i="6" a="1"/>
  <c r="T241" i="6" s="1"/>
  <c r="S241" i="6"/>
  <c r="Q241" i="6"/>
  <c r="P241" i="6"/>
  <c r="U240" i="6"/>
  <c r="T240" i="6" a="1"/>
  <c r="T240" i="6" s="1"/>
  <c r="S240" i="6"/>
  <c r="Q240" i="6"/>
  <c r="P240" i="6"/>
  <c r="U239" i="6"/>
  <c r="T239" i="6" a="1"/>
  <c r="T239" i="6" s="1"/>
  <c r="S239" i="6"/>
  <c r="Q239" i="6"/>
  <c r="P239" i="6"/>
  <c r="R239" i="6" s="1"/>
  <c r="U238" i="6"/>
  <c r="T238" i="6" a="1"/>
  <c r="T238" i="6" s="1"/>
  <c r="S238" i="6"/>
  <c r="Q238" i="6"/>
  <c r="P238" i="6"/>
  <c r="U237" i="6"/>
  <c r="T237" i="6" a="1"/>
  <c r="T237" i="6" s="1"/>
  <c r="S237" i="6"/>
  <c r="Q237" i="6"/>
  <c r="P237" i="6"/>
  <c r="U236" i="6"/>
  <c r="T236" i="6" a="1"/>
  <c r="T236" i="6" s="1"/>
  <c r="S236" i="6"/>
  <c r="Q236" i="6"/>
  <c r="P236" i="6"/>
  <c r="R236" i="6" s="1"/>
  <c r="U235" i="6"/>
  <c r="T235" i="6" a="1"/>
  <c r="T235" i="6" s="1"/>
  <c r="S235" i="6"/>
  <c r="Q235" i="6"/>
  <c r="P235" i="6"/>
  <c r="R235" i="6" s="1"/>
  <c r="U234" i="6"/>
  <c r="T234" i="6" a="1"/>
  <c r="T234" i="6" s="1"/>
  <c r="S234" i="6"/>
  <c r="Q234" i="6"/>
  <c r="P234" i="6"/>
  <c r="U233" i="6"/>
  <c r="T233" i="6" a="1"/>
  <c r="T233" i="6" s="1"/>
  <c r="S233" i="6"/>
  <c r="Q233" i="6"/>
  <c r="P233" i="6"/>
  <c r="U232" i="6"/>
  <c r="T232" i="6" a="1"/>
  <c r="T232" i="6" s="1"/>
  <c r="S232" i="6"/>
  <c r="Q232" i="6"/>
  <c r="P232" i="6"/>
  <c r="U231" i="6"/>
  <c r="T231" i="6" a="1"/>
  <c r="T231" i="6" s="1"/>
  <c r="S231" i="6"/>
  <c r="Q231" i="6"/>
  <c r="R231" i="6" s="1"/>
  <c r="P231" i="6"/>
  <c r="U230" i="6"/>
  <c r="T230" i="6" a="1"/>
  <c r="T230" i="6" s="1"/>
  <c r="S230" i="6"/>
  <c r="Q230" i="6"/>
  <c r="P230" i="6"/>
  <c r="U229" i="6"/>
  <c r="T229" i="6" a="1"/>
  <c r="T229" i="6" s="1"/>
  <c r="S229" i="6"/>
  <c r="Q229" i="6"/>
  <c r="P229" i="6"/>
  <c r="U228" i="6"/>
  <c r="T228" i="6" a="1"/>
  <c r="T228" i="6" s="1"/>
  <c r="S228" i="6"/>
  <c r="Q228" i="6"/>
  <c r="P228" i="6"/>
  <c r="R228" i="6" s="1"/>
  <c r="U227" i="6"/>
  <c r="T227" i="6" a="1"/>
  <c r="T227" i="6" s="1"/>
  <c r="S227" i="6"/>
  <c r="Q227" i="6"/>
  <c r="P227" i="6"/>
  <c r="U226" i="6"/>
  <c r="T226" i="6" a="1"/>
  <c r="T226" i="6" s="1"/>
  <c r="S226" i="6"/>
  <c r="Q226" i="6"/>
  <c r="P226" i="6"/>
  <c r="R226" i="6" s="1"/>
  <c r="U225" i="6"/>
  <c r="T225" i="6" a="1"/>
  <c r="T225" i="6" s="1"/>
  <c r="S225" i="6"/>
  <c r="Q225" i="6"/>
  <c r="P225" i="6"/>
  <c r="U224" i="6"/>
  <c r="T224" i="6" a="1"/>
  <c r="T224" i="6" s="1"/>
  <c r="S224" i="6"/>
  <c r="Q224" i="6"/>
  <c r="P224" i="6"/>
  <c r="R224" i="6" s="1"/>
  <c r="U223" i="6"/>
  <c r="T223" i="6" a="1"/>
  <c r="T223" i="6" s="1"/>
  <c r="S223" i="6"/>
  <c r="Q223" i="6"/>
  <c r="P223" i="6"/>
  <c r="U222" i="6"/>
  <c r="T222" i="6" a="1"/>
  <c r="T222" i="6" s="1"/>
  <c r="S222" i="6"/>
  <c r="Q222" i="6"/>
  <c r="P222" i="6"/>
  <c r="U221" i="6"/>
  <c r="T221" i="6" a="1"/>
  <c r="T221" i="6" s="1"/>
  <c r="S221" i="6"/>
  <c r="Q221" i="6"/>
  <c r="P221" i="6"/>
  <c r="U220" i="6"/>
  <c r="T220" i="6" a="1"/>
  <c r="T220" i="6" s="1"/>
  <c r="S220" i="6"/>
  <c r="Q220" i="6"/>
  <c r="P220" i="6"/>
  <c r="U219" i="6"/>
  <c r="T219" i="6" a="1"/>
  <c r="T219" i="6" s="1"/>
  <c r="S219" i="6"/>
  <c r="Q219" i="6"/>
  <c r="R219" i="6" s="1"/>
  <c r="P219" i="6"/>
  <c r="U218" i="6"/>
  <c r="T218" i="6" a="1"/>
  <c r="T218" i="6" s="1"/>
  <c r="S218" i="6"/>
  <c r="Q218" i="6"/>
  <c r="P218" i="6"/>
  <c r="U217" i="6"/>
  <c r="T217" i="6" a="1"/>
  <c r="T217" i="6" s="1"/>
  <c r="S217" i="6"/>
  <c r="Q217" i="6"/>
  <c r="P217" i="6"/>
  <c r="U216" i="6"/>
  <c r="T216" i="6" a="1"/>
  <c r="T216" i="6" s="1"/>
  <c r="S216" i="6"/>
  <c r="Q216" i="6"/>
  <c r="P216" i="6"/>
  <c r="U215" i="6"/>
  <c r="T215" i="6" a="1"/>
  <c r="T215" i="6" s="1"/>
  <c r="S215" i="6"/>
  <c r="Q215" i="6"/>
  <c r="P215" i="6"/>
  <c r="U214" i="6"/>
  <c r="T214" i="6" a="1"/>
  <c r="T214" i="6" s="1"/>
  <c r="S214" i="6"/>
  <c r="Q214" i="6"/>
  <c r="P214" i="6"/>
  <c r="U213" i="6"/>
  <c r="T213" i="6" a="1"/>
  <c r="T213" i="6" s="1"/>
  <c r="S213" i="6"/>
  <c r="Q213" i="6"/>
  <c r="P213" i="6"/>
  <c r="U212" i="6"/>
  <c r="T212" i="6" a="1"/>
  <c r="T212" i="6" s="1"/>
  <c r="S212" i="6"/>
  <c r="Q212" i="6"/>
  <c r="P212" i="6"/>
  <c r="R212" i="6" s="1"/>
  <c r="U211" i="6"/>
  <c r="T211" i="6" a="1"/>
  <c r="T211" i="6" s="1"/>
  <c r="S211" i="6"/>
  <c r="Q211" i="6"/>
  <c r="P211" i="6"/>
  <c r="U210" i="6"/>
  <c r="T210" i="6" a="1"/>
  <c r="T210" i="6" s="1"/>
  <c r="S210" i="6"/>
  <c r="Q210" i="6"/>
  <c r="R210" i="6" s="1"/>
  <c r="P210" i="6"/>
  <c r="U209" i="6"/>
  <c r="T209" i="6" a="1"/>
  <c r="T209" i="6" s="1"/>
  <c r="S209" i="6"/>
  <c r="Q209" i="6"/>
  <c r="P209" i="6"/>
  <c r="U208" i="6"/>
  <c r="T208" i="6" a="1"/>
  <c r="T208" i="6" s="1"/>
  <c r="S208" i="6"/>
  <c r="Q208" i="6"/>
  <c r="P208" i="6"/>
  <c r="R208" i="6" s="1"/>
  <c r="U207" i="6"/>
  <c r="T207" i="6" a="1"/>
  <c r="T207" i="6" s="1"/>
  <c r="S207" i="6"/>
  <c r="Q207" i="6"/>
  <c r="P207" i="6"/>
  <c r="U206" i="6"/>
  <c r="T206" i="6" a="1"/>
  <c r="T206" i="6" s="1"/>
  <c r="S206" i="6"/>
  <c r="Q206" i="6"/>
  <c r="P206" i="6"/>
  <c r="U205" i="6"/>
  <c r="T205" i="6" a="1"/>
  <c r="T205" i="6" s="1"/>
  <c r="S205" i="6"/>
  <c r="Q205" i="6"/>
  <c r="P205" i="6"/>
  <c r="U204" i="6"/>
  <c r="T204" i="6" a="1"/>
  <c r="T204" i="6" s="1"/>
  <c r="S204" i="6"/>
  <c r="Q204" i="6"/>
  <c r="P204" i="6"/>
  <c r="U203" i="6"/>
  <c r="T203" i="6" a="1"/>
  <c r="T203" i="6" s="1"/>
  <c r="S203" i="6"/>
  <c r="Q203" i="6"/>
  <c r="P203" i="6"/>
  <c r="U202" i="6"/>
  <c r="T202" i="6" a="1"/>
  <c r="T202" i="6" s="1"/>
  <c r="S202" i="6"/>
  <c r="Q202" i="6"/>
  <c r="P202" i="6"/>
  <c r="U201" i="6"/>
  <c r="T201" i="6" a="1"/>
  <c r="T201" i="6" s="1"/>
  <c r="S201" i="6"/>
  <c r="Q201" i="6"/>
  <c r="P201" i="6"/>
  <c r="U200" i="6"/>
  <c r="T200" i="6" a="1"/>
  <c r="T200" i="6" s="1"/>
  <c r="S200" i="6"/>
  <c r="Q200" i="6"/>
  <c r="P200" i="6"/>
  <c r="U199" i="6"/>
  <c r="T199" i="6" a="1"/>
  <c r="T199" i="6" s="1"/>
  <c r="S199" i="6"/>
  <c r="Q199" i="6"/>
  <c r="P199" i="6"/>
  <c r="R199" i="6" s="1"/>
  <c r="U198" i="6"/>
  <c r="T198" i="6" a="1"/>
  <c r="T198" i="6" s="1"/>
  <c r="S198" i="6"/>
  <c r="Q198" i="6"/>
  <c r="R198" i="6" s="1"/>
  <c r="P198" i="6"/>
  <c r="U197" i="6"/>
  <c r="T197" i="6" a="1"/>
  <c r="T197" i="6" s="1"/>
  <c r="S197" i="6"/>
  <c r="Q197" i="6"/>
  <c r="P197" i="6"/>
  <c r="U196" i="6"/>
  <c r="T196" i="6" a="1"/>
  <c r="T196" i="6" s="1"/>
  <c r="S196" i="6"/>
  <c r="Q196" i="6"/>
  <c r="P196" i="6"/>
  <c r="U195" i="6"/>
  <c r="T195" i="6" a="1"/>
  <c r="T195" i="6" s="1"/>
  <c r="S195" i="6"/>
  <c r="Q195" i="6"/>
  <c r="P195" i="6"/>
  <c r="U194" i="6"/>
  <c r="T194" i="6" a="1"/>
  <c r="T194" i="6" s="1"/>
  <c r="S194" i="6"/>
  <c r="Q194" i="6"/>
  <c r="R194" i="6" s="1"/>
  <c r="P194" i="6"/>
  <c r="U193" i="6"/>
  <c r="T193" i="6" a="1"/>
  <c r="T193" i="6" s="1"/>
  <c r="S193" i="6"/>
  <c r="Q193" i="6"/>
  <c r="P193" i="6"/>
  <c r="U192" i="6"/>
  <c r="T192" i="6" a="1"/>
  <c r="T192" i="6" s="1"/>
  <c r="S192" i="6"/>
  <c r="Q192" i="6"/>
  <c r="P192" i="6"/>
  <c r="U191" i="6"/>
  <c r="T191" i="6" a="1"/>
  <c r="T191" i="6" s="1"/>
  <c r="S191" i="6"/>
  <c r="Q191" i="6"/>
  <c r="P191" i="6"/>
  <c r="U190" i="6"/>
  <c r="T190" i="6" a="1"/>
  <c r="T190" i="6" s="1"/>
  <c r="S190" i="6"/>
  <c r="Q190" i="6"/>
  <c r="P190" i="6"/>
  <c r="U189" i="6"/>
  <c r="T189" i="6" a="1"/>
  <c r="T189" i="6" s="1"/>
  <c r="S189" i="6"/>
  <c r="Q189" i="6"/>
  <c r="P189" i="6"/>
  <c r="U188" i="6"/>
  <c r="T188" i="6" a="1"/>
  <c r="T188" i="6" s="1"/>
  <c r="S188" i="6"/>
  <c r="Q188" i="6"/>
  <c r="P188" i="6"/>
  <c r="U187" i="6"/>
  <c r="T187" i="6" a="1"/>
  <c r="T187" i="6" s="1"/>
  <c r="S187" i="6"/>
  <c r="Q187" i="6"/>
  <c r="P187" i="6"/>
  <c r="R187" i="6" s="1"/>
  <c r="U186" i="6"/>
  <c r="T186" i="6"/>
  <c r="T186" i="6" a="1"/>
  <c r="S186" i="6"/>
  <c r="R186" i="6"/>
  <c r="Q186" i="6"/>
  <c r="P186" i="6"/>
  <c r="U185" i="6"/>
  <c r="T185" i="6" a="1"/>
  <c r="T185" i="6" s="1"/>
  <c r="S185" i="6"/>
  <c r="Q185" i="6"/>
  <c r="P185" i="6"/>
  <c r="U184" i="6"/>
  <c r="T184" i="6" a="1"/>
  <c r="T184" i="6" s="1"/>
  <c r="S184" i="6"/>
  <c r="Q184" i="6"/>
  <c r="P184" i="6"/>
  <c r="R184" i="6" s="1"/>
  <c r="U183" i="6"/>
  <c r="T183" i="6" a="1"/>
  <c r="T183" i="6" s="1"/>
  <c r="S183" i="6"/>
  <c r="Q183" i="6"/>
  <c r="P183" i="6"/>
  <c r="U182" i="6"/>
  <c r="T182" i="6" a="1"/>
  <c r="T182" i="6" s="1"/>
  <c r="S182" i="6"/>
  <c r="Q182" i="6"/>
  <c r="P182" i="6"/>
  <c r="U181" i="6"/>
  <c r="T181" i="6"/>
  <c r="T181" i="6" a="1"/>
  <c r="S181" i="6"/>
  <c r="Q181" i="6"/>
  <c r="P181" i="6"/>
  <c r="U180" i="6"/>
  <c r="T180" i="6" a="1"/>
  <c r="T180" i="6" s="1"/>
  <c r="S180" i="6"/>
  <c r="Q180" i="6"/>
  <c r="P180" i="6"/>
  <c r="U179" i="6"/>
  <c r="T179" i="6" a="1"/>
  <c r="T179" i="6" s="1"/>
  <c r="S179" i="6"/>
  <c r="Q179" i="6"/>
  <c r="P179" i="6"/>
  <c r="R179" i="6" s="1"/>
  <c r="U178" i="6"/>
  <c r="T178" i="6"/>
  <c r="T178" i="6" a="1"/>
  <c r="S178" i="6"/>
  <c r="Q178" i="6"/>
  <c r="P178" i="6"/>
  <c r="R178" i="6" s="1"/>
  <c r="U177" i="6"/>
  <c r="T177" i="6" a="1"/>
  <c r="T177" i="6" s="1"/>
  <c r="S177" i="6"/>
  <c r="Q177" i="6"/>
  <c r="P177" i="6"/>
  <c r="U176" i="6"/>
  <c r="T176" i="6" a="1"/>
  <c r="T176" i="6" s="1"/>
  <c r="S176" i="6"/>
  <c r="Q176" i="6"/>
  <c r="P176" i="6"/>
  <c r="U175" i="6"/>
  <c r="T175" i="6"/>
  <c r="T175" i="6" a="1"/>
  <c r="S175" i="6"/>
  <c r="Q175" i="6"/>
  <c r="R175" i="6" s="1"/>
  <c r="P175" i="6"/>
  <c r="U174" i="6"/>
  <c r="T174" i="6" a="1"/>
  <c r="T174" i="6" s="1"/>
  <c r="S174" i="6"/>
  <c r="Q174" i="6"/>
  <c r="P174" i="6"/>
  <c r="U173" i="6"/>
  <c r="T173" i="6" a="1"/>
  <c r="T173" i="6" s="1"/>
  <c r="S173" i="6"/>
  <c r="Q173" i="6"/>
  <c r="P173" i="6"/>
  <c r="U172" i="6"/>
  <c r="T172" i="6" a="1"/>
  <c r="T172" i="6" s="1"/>
  <c r="S172" i="6"/>
  <c r="Q172" i="6"/>
  <c r="P172" i="6"/>
  <c r="U171" i="6"/>
  <c r="T171" i="6" a="1"/>
  <c r="T171" i="6" s="1"/>
  <c r="S171" i="6"/>
  <c r="R171" i="6"/>
  <c r="Q171" i="6"/>
  <c r="P171" i="6"/>
  <c r="U170" i="6"/>
  <c r="T170" i="6" a="1"/>
  <c r="T170" i="6" s="1"/>
  <c r="S170" i="6"/>
  <c r="Q170" i="6"/>
  <c r="P170" i="6"/>
  <c r="U169" i="6"/>
  <c r="T169" i="6" a="1"/>
  <c r="T169" i="6" s="1"/>
  <c r="S169" i="6"/>
  <c r="Q169" i="6"/>
  <c r="P169" i="6"/>
  <c r="U168" i="6"/>
  <c r="T168" i="6" a="1"/>
  <c r="T168" i="6" s="1"/>
  <c r="S168" i="6"/>
  <c r="Q168" i="6"/>
  <c r="P168" i="6"/>
  <c r="U167" i="6"/>
  <c r="T167" i="6" a="1"/>
  <c r="T167" i="6" s="1"/>
  <c r="S167" i="6"/>
  <c r="Q167" i="6"/>
  <c r="P167" i="6"/>
  <c r="R167" i="6" s="1"/>
  <c r="U166" i="6"/>
  <c r="T166" i="6" a="1"/>
  <c r="T166" i="6" s="1"/>
  <c r="S166" i="6"/>
  <c r="Q166" i="6"/>
  <c r="P166" i="6"/>
  <c r="U165" i="6"/>
  <c r="T165" i="6" a="1"/>
  <c r="T165" i="6" s="1"/>
  <c r="S165" i="6"/>
  <c r="Q165" i="6"/>
  <c r="P165" i="6"/>
  <c r="R165" i="6" s="1"/>
  <c r="U164" i="6"/>
  <c r="T164" i="6" a="1"/>
  <c r="T164" i="6" s="1"/>
  <c r="S164" i="6"/>
  <c r="Q164" i="6"/>
  <c r="P164" i="6"/>
  <c r="U163" i="6"/>
  <c r="T163" i="6"/>
  <c r="T163" i="6" a="1"/>
  <c r="S163" i="6"/>
  <c r="Q163" i="6"/>
  <c r="P163" i="6"/>
  <c r="R163" i="6" s="1"/>
  <c r="U162" i="6"/>
  <c r="T162" i="6" a="1"/>
  <c r="T162" i="6" s="1"/>
  <c r="S162" i="6"/>
  <c r="Q162" i="6"/>
  <c r="P162" i="6"/>
  <c r="U161" i="6"/>
  <c r="T161" i="6" a="1"/>
  <c r="T161" i="6" s="1"/>
  <c r="S161" i="6"/>
  <c r="Q161" i="6"/>
  <c r="P161" i="6"/>
  <c r="R161" i="6" s="1"/>
  <c r="U160" i="6"/>
  <c r="T160" i="6" a="1"/>
  <c r="T160" i="6" s="1"/>
  <c r="S160" i="6"/>
  <c r="Q160" i="6"/>
  <c r="P160" i="6"/>
  <c r="U159" i="6"/>
  <c r="T159" i="6" a="1"/>
  <c r="T159" i="6" s="1"/>
  <c r="S159" i="6"/>
  <c r="Q159" i="6"/>
  <c r="P159" i="6"/>
  <c r="R159" i="6" s="1"/>
  <c r="U158" i="6"/>
  <c r="T158" i="6" a="1"/>
  <c r="T158" i="6" s="1"/>
  <c r="S158" i="6"/>
  <c r="Q158" i="6"/>
  <c r="P158" i="6"/>
  <c r="U157" i="6"/>
  <c r="T157" i="6" a="1"/>
  <c r="T157" i="6" s="1"/>
  <c r="S157" i="6"/>
  <c r="Q157" i="6"/>
  <c r="P157" i="6"/>
  <c r="U156" i="6"/>
  <c r="T156" i="6" a="1"/>
  <c r="T156" i="6" s="1"/>
  <c r="S156" i="6"/>
  <c r="Q156" i="6"/>
  <c r="P156" i="6"/>
  <c r="U155" i="6"/>
  <c r="T155" i="6" a="1"/>
  <c r="T155" i="6" s="1"/>
  <c r="S155" i="6"/>
  <c r="Q155" i="6"/>
  <c r="P155" i="6"/>
  <c r="U154" i="6"/>
  <c r="T154" i="6" a="1"/>
  <c r="T154" i="6" s="1"/>
  <c r="S154" i="6"/>
  <c r="Q154" i="6"/>
  <c r="P154" i="6"/>
  <c r="R154" i="6" s="1"/>
  <c r="U153" i="6"/>
  <c r="T153" i="6" a="1"/>
  <c r="T153" i="6" s="1"/>
  <c r="S153" i="6"/>
  <c r="Q153" i="6"/>
  <c r="P153" i="6"/>
  <c r="R153" i="6" s="1"/>
  <c r="U152" i="6"/>
  <c r="T152" i="6" a="1"/>
  <c r="T152" i="6" s="1"/>
  <c r="S152" i="6"/>
  <c r="Q152" i="6"/>
  <c r="P152" i="6"/>
  <c r="U151" i="6"/>
  <c r="T151" i="6" a="1"/>
  <c r="T151" i="6" s="1"/>
  <c r="S151" i="6"/>
  <c r="Q151" i="6"/>
  <c r="P151" i="6"/>
  <c r="R151" i="6" s="1"/>
  <c r="U150" i="6"/>
  <c r="T150" i="6"/>
  <c r="T150" i="6" a="1"/>
  <c r="S150" i="6"/>
  <c r="Q150" i="6"/>
  <c r="R150" i="6" s="1"/>
  <c r="P150" i="6"/>
  <c r="U149" i="6"/>
  <c r="T149" i="6" a="1"/>
  <c r="T149" i="6" s="1"/>
  <c r="S149" i="6"/>
  <c r="Q149" i="6"/>
  <c r="P149" i="6"/>
  <c r="U148" i="6"/>
  <c r="T148" i="6" a="1"/>
  <c r="T148" i="6" s="1"/>
  <c r="S148" i="6"/>
  <c r="Q148" i="6"/>
  <c r="P148" i="6"/>
  <c r="U147" i="6"/>
  <c r="T147" i="6" a="1"/>
  <c r="T147" i="6" s="1"/>
  <c r="S147" i="6"/>
  <c r="Q147" i="6"/>
  <c r="P147" i="6"/>
  <c r="R147" i="6" s="1"/>
  <c r="U146" i="6"/>
  <c r="T146" i="6" a="1"/>
  <c r="T146" i="6" s="1"/>
  <c r="S146" i="6"/>
  <c r="Q146" i="6"/>
  <c r="P146" i="6"/>
  <c r="U145" i="6"/>
  <c r="T145" i="6" a="1"/>
  <c r="T145" i="6" s="1"/>
  <c r="S145" i="6"/>
  <c r="Q145" i="6"/>
  <c r="P145" i="6"/>
  <c r="U144" i="6"/>
  <c r="T144" i="6" a="1"/>
  <c r="T144" i="6" s="1"/>
  <c r="S144" i="6"/>
  <c r="Q144" i="6"/>
  <c r="P144" i="6"/>
  <c r="U143" i="6"/>
  <c r="T143" i="6" a="1"/>
  <c r="T143" i="6" s="1"/>
  <c r="S143" i="6"/>
  <c r="Q143" i="6"/>
  <c r="P143" i="6"/>
  <c r="U142" i="6"/>
  <c r="T142" i="6" a="1"/>
  <c r="T142" i="6" s="1"/>
  <c r="S142" i="6"/>
  <c r="Q142" i="6"/>
  <c r="P142" i="6"/>
  <c r="U141" i="6"/>
  <c r="T141" i="6" a="1"/>
  <c r="T141" i="6" s="1"/>
  <c r="S141" i="6"/>
  <c r="Q141" i="6"/>
  <c r="P141" i="6"/>
  <c r="U140" i="6"/>
  <c r="T140" i="6" a="1"/>
  <c r="T140" i="6" s="1"/>
  <c r="S140" i="6"/>
  <c r="Q140" i="6"/>
  <c r="P140" i="6"/>
  <c r="R140" i="6" s="1"/>
  <c r="U139" i="6"/>
  <c r="T139" i="6" a="1"/>
  <c r="T139" i="6" s="1"/>
  <c r="S139" i="6"/>
  <c r="Q139" i="6"/>
  <c r="P139" i="6"/>
  <c r="R139" i="6" s="1"/>
  <c r="U138" i="6"/>
  <c r="T138" i="6" a="1"/>
  <c r="T138" i="6" s="1"/>
  <c r="S138" i="6"/>
  <c r="R138" i="6"/>
  <c r="Q138" i="6"/>
  <c r="P138" i="6"/>
  <c r="U137" i="6"/>
  <c r="T137" i="6" a="1"/>
  <c r="T137" i="6" s="1"/>
  <c r="S137" i="6"/>
  <c r="Q137" i="6"/>
  <c r="P137" i="6"/>
  <c r="R137" i="6" s="1"/>
  <c r="U136" i="6"/>
  <c r="T136" i="6" a="1"/>
  <c r="T136" i="6" s="1"/>
  <c r="S136" i="6"/>
  <c r="Q136" i="6"/>
  <c r="P136" i="6"/>
  <c r="R136" i="6" s="1"/>
  <c r="U135" i="6"/>
  <c r="T135" i="6" a="1"/>
  <c r="T135" i="6" s="1"/>
  <c r="S135" i="6"/>
  <c r="Q135" i="6"/>
  <c r="P135" i="6"/>
  <c r="R135" i="6" s="1"/>
  <c r="U134" i="6"/>
  <c r="T134" i="6" a="1"/>
  <c r="T134" i="6" s="1"/>
  <c r="S134" i="6"/>
  <c r="Q134" i="6"/>
  <c r="P134" i="6"/>
  <c r="U133" i="6"/>
  <c r="T133" i="6" a="1"/>
  <c r="T133" i="6" s="1"/>
  <c r="S133" i="6"/>
  <c r="Q133" i="6"/>
  <c r="P133" i="6"/>
  <c r="U132" i="6"/>
  <c r="T132" i="6" a="1"/>
  <c r="T132" i="6" s="1"/>
  <c r="S132" i="6"/>
  <c r="Q132" i="6"/>
  <c r="P132" i="6"/>
  <c r="R132" i="6" s="1"/>
  <c r="U131" i="6"/>
  <c r="T131" i="6" a="1"/>
  <c r="T131" i="6" s="1"/>
  <c r="S131" i="6"/>
  <c r="Q131" i="6"/>
  <c r="P131" i="6"/>
  <c r="U130" i="6"/>
  <c r="T130" i="6" a="1"/>
  <c r="T130" i="6" s="1"/>
  <c r="S130" i="6"/>
  <c r="Q130" i="6"/>
  <c r="P130" i="6"/>
  <c r="U129" i="6"/>
  <c r="T129" i="6" a="1"/>
  <c r="T129" i="6" s="1"/>
  <c r="S129" i="6"/>
  <c r="Q129" i="6"/>
  <c r="P129" i="6"/>
  <c r="U128" i="6"/>
  <c r="T128" i="6" a="1"/>
  <c r="T128" i="6" s="1"/>
  <c r="S128" i="6"/>
  <c r="Q128" i="6"/>
  <c r="P128" i="6"/>
  <c r="R128" i="6" s="1"/>
  <c r="U127" i="6"/>
  <c r="T127" i="6" a="1"/>
  <c r="T127" i="6" s="1"/>
  <c r="S127" i="6"/>
  <c r="Q127" i="6"/>
  <c r="P127" i="6"/>
  <c r="U126" i="6"/>
  <c r="T126" i="6"/>
  <c r="T126" i="6" a="1"/>
  <c r="S126" i="6"/>
  <c r="Q126" i="6"/>
  <c r="R126" i="6" s="1"/>
  <c r="P126" i="6"/>
  <c r="U125" i="6"/>
  <c r="T125" i="6" a="1"/>
  <c r="T125" i="6" s="1"/>
  <c r="S125" i="6"/>
  <c r="Q125" i="6"/>
  <c r="P125" i="6"/>
  <c r="U124" i="6"/>
  <c r="T124" i="6" a="1"/>
  <c r="T124" i="6" s="1"/>
  <c r="S124" i="6"/>
  <c r="Q124" i="6"/>
  <c r="P124" i="6"/>
  <c r="R124" i="6" s="1"/>
  <c r="U123" i="6"/>
  <c r="T123" i="6" a="1"/>
  <c r="T123" i="6" s="1"/>
  <c r="S123" i="6"/>
  <c r="Q123" i="6"/>
  <c r="R123" i="6" s="1"/>
  <c r="P123" i="6"/>
  <c r="U122" i="6"/>
  <c r="T122" i="6" a="1"/>
  <c r="T122" i="6" s="1"/>
  <c r="S122" i="6"/>
  <c r="Q122" i="6"/>
  <c r="P122" i="6"/>
  <c r="U121" i="6"/>
  <c r="T121" i="6" a="1"/>
  <c r="T121" i="6" s="1"/>
  <c r="S121" i="6"/>
  <c r="Q121" i="6"/>
  <c r="P121" i="6"/>
  <c r="U120" i="6"/>
  <c r="T120" i="6" a="1"/>
  <c r="T120" i="6" s="1"/>
  <c r="S120" i="6"/>
  <c r="Q120" i="6"/>
  <c r="P120" i="6"/>
  <c r="U119" i="6"/>
  <c r="T119" i="6" a="1"/>
  <c r="T119" i="6" s="1"/>
  <c r="S119" i="6"/>
  <c r="Q119" i="6"/>
  <c r="P119" i="6"/>
  <c r="U118" i="6"/>
  <c r="T118" i="6"/>
  <c r="T118" i="6" a="1"/>
  <c r="S118" i="6"/>
  <c r="Q118" i="6"/>
  <c r="R118" i="6" s="1"/>
  <c r="P118" i="6"/>
  <c r="U117" i="6"/>
  <c r="T117" i="6" a="1"/>
  <c r="T117" i="6" s="1"/>
  <c r="S117" i="6"/>
  <c r="Q117" i="6"/>
  <c r="P117" i="6"/>
  <c r="R117" i="6" s="1"/>
  <c r="U116" i="6"/>
  <c r="T116" i="6" a="1"/>
  <c r="T116" i="6" s="1"/>
  <c r="S116" i="6"/>
  <c r="Q116" i="6"/>
  <c r="P116" i="6"/>
  <c r="R116" i="6" s="1"/>
  <c r="U115" i="6"/>
  <c r="T115" i="6" a="1"/>
  <c r="T115" i="6" s="1"/>
  <c r="S115" i="6"/>
  <c r="Q115" i="6"/>
  <c r="R115" i="6" s="1"/>
  <c r="P115" i="6"/>
  <c r="U114" i="6"/>
  <c r="T114" i="6" a="1"/>
  <c r="T114" i="6" s="1"/>
  <c r="S114" i="6"/>
  <c r="Q114" i="6"/>
  <c r="P114" i="6"/>
  <c r="R114" i="6" s="1"/>
  <c r="U113" i="6"/>
  <c r="T113" i="6" a="1"/>
  <c r="T113" i="6" s="1"/>
  <c r="S113" i="6"/>
  <c r="Q113" i="6"/>
  <c r="P113" i="6"/>
  <c r="U112" i="6"/>
  <c r="T112" i="6" a="1"/>
  <c r="T112" i="6" s="1"/>
  <c r="S112" i="6"/>
  <c r="Q112" i="6"/>
  <c r="P112" i="6"/>
  <c r="U111" i="6"/>
  <c r="T111" i="6" a="1"/>
  <c r="T111" i="6" s="1"/>
  <c r="S111" i="6"/>
  <c r="Q111" i="6"/>
  <c r="P111" i="6"/>
  <c r="R111" i="6" s="1"/>
  <c r="U110" i="6"/>
  <c r="T110" i="6" a="1"/>
  <c r="T110" i="6" s="1"/>
  <c r="S110" i="6"/>
  <c r="Q110" i="6"/>
  <c r="P110" i="6"/>
  <c r="U109" i="6"/>
  <c r="T109" i="6" a="1"/>
  <c r="T109" i="6" s="1"/>
  <c r="S109" i="6"/>
  <c r="Q109" i="6"/>
  <c r="P109" i="6"/>
  <c r="U108" i="6"/>
  <c r="T108" i="6" a="1"/>
  <c r="T108" i="6" s="1"/>
  <c r="S108" i="6"/>
  <c r="Q108" i="6"/>
  <c r="P108" i="6"/>
  <c r="U107" i="6"/>
  <c r="T107" i="6" a="1"/>
  <c r="T107" i="6" s="1"/>
  <c r="S107" i="6"/>
  <c r="Q107" i="6"/>
  <c r="P107" i="6"/>
  <c r="U106" i="6"/>
  <c r="T106" i="6" a="1"/>
  <c r="T106" i="6" s="1"/>
  <c r="S106" i="6"/>
  <c r="Q106" i="6"/>
  <c r="P106" i="6"/>
  <c r="U105" i="6"/>
  <c r="T105" i="6" a="1"/>
  <c r="T105" i="6" s="1"/>
  <c r="S105" i="6"/>
  <c r="Q105" i="6"/>
  <c r="P105" i="6"/>
  <c r="U104" i="6"/>
  <c r="T104" i="6" a="1"/>
  <c r="T104" i="6" s="1"/>
  <c r="S104" i="6"/>
  <c r="Q104" i="6"/>
  <c r="P104" i="6"/>
  <c r="U103" i="6"/>
  <c r="T103" i="6"/>
  <c r="T103" i="6" a="1"/>
  <c r="S103" i="6"/>
  <c r="Q103" i="6"/>
  <c r="R103" i="6" s="1"/>
  <c r="P103" i="6"/>
  <c r="U102" i="6"/>
  <c r="T102" i="6" a="1"/>
  <c r="T102" i="6" s="1"/>
  <c r="S102" i="6"/>
  <c r="Q102" i="6"/>
  <c r="P102" i="6"/>
  <c r="R102" i="6" s="1"/>
  <c r="U101" i="6"/>
  <c r="T101" i="6" a="1"/>
  <c r="T101" i="6" s="1"/>
  <c r="S101" i="6"/>
  <c r="Q101" i="6"/>
  <c r="P101" i="6"/>
  <c r="U100" i="6"/>
  <c r="T100" i="6" a="1"/>
  <c r="T100" i="6" s="1"/>
  <c r="S100" i="6"/>
  <c r="Q100" i="6"/>
  <c r="P100" i="6"/>
  <c r="U99" i="6"/>
  <c r="T99" i="6" a="1"/>
  <c r="T99" i="6" s="1"/>
  <c r="S99" i="6"/>
  <c r="Q99" i="6"/>
  <c r="P99" i="6"/>
  <c r="R99" i="6" s="1"/>
  <c r="U98" i="6"/>
  <c r="T98" i="6" a="1"/>
  <c r="T98" i="6" s="1"/>
  <c r="S98" i="6"/>
  <c r="Q98" i="6"/>
  <c r="R98" i="6" s="1"/>
  <c r="P98" i="6"/>
  <c r="U97" i="6"/>
  <c r="T97" i="6" a="1"/>
  <c r="T97" i="6" s="1"/>
  <c r="S97" i="6"/>
  <c r="Q97" i="6"/>
  <c r="P97" i="6"/>
  <c r="U96" i="6"/>
  <c r="T96" i="6" a="1"/>
  <c r="T96" i="6" s="1"/>
  <c r="S96" i="6"/>
  <c r="Q96" i="6"/>
  <c r="P96" i="6"/>
  <c r="R96" i="6" s="1"/>
  <c r="U95" i="6"/>
  <c r="T95" i="6" a="1"/>
  <c r="T95" i="6" s="1"/>
  <c r="S95" i="6"/>
  <c r="Q95" i="6"/>
  <c r="P95" i="6"/>
  <c r="R95" i="6" s="1"/>
  <c r="U94" i="6"/>
  <c r="T94" i="6" a="1"/>
  <c r="T94" i="6" s="1"/>
  <c r="S94" i="6"/>
  <c r="Q94" i="6"/>
  <c r="P94" i="6"/>
  <c r="U93" i="6"/>
  <c r="T93" i="6" a="1"/>
  <c r="T93" i="6" s="1"/>
  <c r="S93" i="6"/>
  <c r="Q93" i="6"/>
  <c r="P93" i="6"/>
  <c r="R93" i="6" s="1"/>
  <c r="U92" i="6"/>
  <c r="T92" i="6" a="1"/>
  <c r="T92" i="6" s="1"/>
  <c r="S92" i="6"/>
  <c r="Q92" i="6"/>
  <c r="P92" i="6"/>
  <c r="R92" i="6" s="1"/>
  <c r="U91" i="6"/>
  <c r="T91" i="6" a="1"/>
  <c r="T91" i="6" s="1"/>
  <c r="S91" i="6"/>
  <c r="Q91" i="6"/>
  <c r="P91" i="6"/>
  <c r="U90" i="6"/>
  <c r="T90" i="6" a="1"/>
  <c r="T90" i="6" s="1"/>
  <c r="S90" i="6"/>
  <c r="Q90" i="6"/>
  <c r="P90" i="6"/>
  <c r="U89" i="6"/>
  <c r="T89" i="6" a="1"/>
  <c r="T89" i="6" s="1"/>
  <c r="S89" i="6"/>
  <c r="Q89" i="6"/>
  <c r="P89" i="6"/>
  <c r="R89" i="6" s="1"/>
  <c r="U88" i="6"/>
  <c r="T88" i="6" a="1"/>
  <c r="T88" i="6" s="1"/>
  <c r="S88" i="6"/>
  <c r="Q88" i="6"/>
  <c r="P88" i="6"/>
  <c r="R88" i="6" s="1"/>
  <c r="U87" i="6"/>
  <c r="T87" i="6" a="1"/>
  <c r="T87" i="6" s="1"/>
  <c r="S87" i="6"/>
  <c r="Q87" i="6"/>
  <c r="P87" i="6"/>
  <c r="U86" i="6"/>
  <c r="T86" i="6" a="1"/>
  <c r="T86" i="6" s="1"/>
  <c r="S86" i="6"/>
  <c r="Q86" i="6"/>
  <c r="P86" i="6"/>
  <c r="U85" i="6"/>
  <c r="T85" i="6" a="1"/>
  <c r="T85" i="6" s="1"/>
  <c r="S85" i="6"/>
  <c r="Q85" i="6"/>
  <c r="P85" i="6"/>
  <c r="U84" i="6"/>
  <c r="T84" i="6" a="1"/>
  <c r="T84" i="6" s="1"/>
  <c r="S84" i="6"/>
  <c r="Q84" i="6"/>
  <c r="P84" i="6"/>
  <c r="U83" i="6"/>
  <c r="T83" i="6" a="1"/>
  <c r="T83" i="6" s="1"/>
  <c r="S83" i="6"/>
  <c r="Q83" i="6"/>
  <c r="P83" i="6"/>
  <c r="U82" i="6"/>
  <c r="T82" i="6"/>
  <c r="T82" i="6" a="1"/>
  <c r="S82" i="6"/>
  <c r="Q82" i="6"/>
  <c r="R82" i="6" s="1"/>
  <c r="P82" i="6"/>
  <c r="U81" i="6"/>
  <c r="T81" i="6" a="1"/>
  <c r="T81" i="6" s="1"/>
  <c r="S81" i="6"/>
  <c r="Q81" i="6"/>
  <c r="P81" i="6"/>
  <c r="U80" i="6"/>
  <c r="T80" i="6" a="1"/>
  <c r="T80" i="6" s="1"/>
  <c r="S80" i="6"/>
  <c r="Q80" i="6"/>
  <c r="P80" i="6"/>
  <c r="U79" i="6"/>
  <c r="T79" i="6" a="1"/>
  <c r="T79" i="6" s="1"/>
  <c r="S79" i="6"/>
  <c r="Q79" i="6"/>
  <c r="P79" i="6"/>
  <c r="U78" i="6"/>
  <c r="T78" i="6" a="1"/>
  <c r="T78" i="6" s="1"/>
  <c r="S78" i="6"/>
  <c r="Q78" i="6"/>
  <c r="P78" i="6"/>
  <c r="R78" i="6" s="1"/>
  <c r="U77" i="6"/>
  <c r="T77" i="6" a="1"/>
  <c r="T77" i="6" s="1"/>
  <c r="S77" i="6"/>
  <c r="Q77" i="6"/>
  <c r="P77" i="6"/>
  <c r="U76" i="6"/>
  <c r="T76" i="6" a="1"/>
  <c r="T76" i="6" s="1"/>
  <c r="S76" i="6"/>
  <c r="Q76" i="6"/>
  <c r="P76" i="6"/>
  <c r="U75" i="6"/>
  <c r="T75" i="6" a="1"/>
  <c r="T75" i="6" s="1"/>
  <c r="S75" i="6"/>
  <c r="Q75" i="6"/>
  <c r="P75" i="6"/>
  <c r="U74" i="6"/>
  <c r="T74" i="6" a="1"/>
  <c r="T74" i="6" s="1"/>
  <c r="S74" i="6"/>
  <c r="Q74" i="6"/>
  <c r="P74" i="6"/>
  <c r="U73" i="6"/>
  <c r="T73" i="6" a="1"/>
  <c r="T73" i="6" s="1"/>
  <c r="S73" i="6"/>
  <c r="Q73" i="6"/>
  <c r="P73" i="6"/>
  <c r="U72" i="6"/>
  <c r="T72" i="6" a="1"/>
  <c r="T72" i="6" s="1"/>
  <c r="S72" i="6"/>
  <c r="Q72" i="6"/>
  <c r="P72" i="6"/>
  <c r="U71" i="6"/>
  <c r="T71" i="6" a="1"/>
  <c r="T71" i="6" s="1"/>
  <c r="S71" i="6"/>
  <c r="Q71" i="6"/>
  <c r="R71" i="6" s="1"/>
  <c r="P71" i="6"/>
  <c r="U70" i="6"/>
  <c r="T70" i="6"/>
  <c r="T70" i="6" a="1"/>
  <c r="S70" i="6"/>
  <c r="Q70" i="6"/>
  <c r="P70" i="6"/>
  <c r="R70" i="6" s="1"/>
  <c r="U69" i="6"/>
  <c r="T69" i="6" a="1"/>
  <c r="T69" i="6" s="1"/>
  <c r="S69" i="6"/>
  <c r="Q69" i="6"/>
  <c r="P69" i="6"/>
  <c r="U68" i="6"/>
  <c r="T68" i="6" a="1"/>
  <c r="T68" i="6" s="1"/>
  <c r="S68" i="6"/>
  <c r="Q68" i="6"/>
  <c r="P68" i="6"/>
  <c r="U67" i="6"/>
  <c r="T67" i="6" a="1"/>
  <c r="T67" i="6" s="1"/>
  <c r="S67" i="6"/>
  <c r="Q67" i="6"/>
  <c r="P67" i="6"/>
  <c r="R67" i="6" s="1"/>
  <c r="U66" i="6"/>
  <c r="T66" i="6" a="1"/>
  <c r="T66" i="6" s="1"/>
  <c r="S66" i="6"/>
  <c r="Q66" i="6"/>
  <c r="R66" i="6" s="1"/>
  <c r="P66" i="6"/>
  <c r="U65" i="6"/>
  <c r="T65" i="6" a="1"/>
  <c r="T65" i="6" s="1"/>
  <c r="S65" i="6"/>
  <c r="Q65" i="6"/>
  <c r="P65" i="6"/>
  <c r="U64" i="6"/>
  <c r="T64" i="6" a="1"/>
  <c r="T64" i="6" s="1"/>
  <c r="S64" i="6"/>
  <c r="Q64" i="6"/>
  <c r="P64" i="6"/>
  <c r="U63" i="6"/>
  <c r="T63" i="6" a="1"/>
  <c r="T63" i="6" s="1"/>
  <c r="S63" i="6"/>
  <c r="Q63" i="6"/>
  <c r="R63" i="6" s="1"/>
  <c r="P63" i="6"/>
  <c r="U62" i="6"/>
  <c r="T62" i="6" a="1"/>
  <c r="T62" i="6" s="1"/>
  <c r="S62" i="6"/>
  <c r="Q62" i="6"/>
  <c r="P62" i="6"/>
  <c r="U61" i="6"/>
  <c r="T61" i="6" a="1"/>
  <c r="T61" i="6" s="1"/>
  <c r="S61" i="6"/>
  <c r="Q61" i="6"/>
  <c r="P61" i="6"/>
  <c r="U60" i="6"/>
  <c r="T60" i="6" a="1"/>
  <c r="T60" i="6" s="1"/>
  <c r="S60" i="6"/>
  <c r="Q60" i="6"/>
  <c r="P60" i="6"/>
  <c r="U59" i="6"/>
  <c r="T59" i="6"/>
  <c r="T59" i="6" a="1"/>
  <c r="S59" i="6"/>
  <c r="Q59" i="6"/>
  <c r="P59" i="6"/>
  <c r="U58" i="6"/>
  <c r="T58" i="6" a="1"/>
  <c r="T58" i="6" s="1"/>
  <c r="S58" i="6"/>
  <c r="Q58" i="6"/>
  <c r="P58" i="6"/>
  <c r="R58" i="6" s="1"/>
  <c r="U57" i="6"/>
  <c r="T57" i="6" a="1"/>
  <c r="T57" i="6" s="1"/>
  <c r="S57" i="6"/>
  <c r="Q57" i="6"/>
  <c r="P57" i="6"/>
  <c r="U56" i="6"/>
  <c r="T56" i="6" a="1"/>
  <c r="T56" i="6" s="1"/>
  <c r="S56" i="6"/>
  <c r="Q56" i="6"/>
  <c r="P56" i="6"/>
  <c r="R56" i="6" s="1"/>
  <c r="U55" i="6"/>
  <c r="T55" i="6" a="1"/>
  <c r="T55" i="6" s="1"/>
  <c r="S55" i="6"/>
  <c r="Q55" i="6"/>
  <c r="P55" i="6"/>
  <c r="R55" i="6" s="1"/>
  <c r="U54" i="6"/>
  <c r="T54" i="6" a="1"/>
  <c r="T54" i="6" s="1"/>
  <c r="S54" i="6"/>
  <c r="Q54" i="6"/>
  <c r="P54" i="6"/>
  <c r="U53" i="6"/>
  <c r="T53" i="6" a="1"/>
  <c r="T53" i="6" s="1"/>
  <c r="S53" i="6"/>
  <c r="Q53" i="6"/>
  <c r="P53" i="6"/>
  <c r="U52" i="6"/>
  <c r="T52" i="6" a="1"/>
  <c r="T52" i="6" s="1"/>
  <c r="S52" i="6"/>
  <c r="Q52" i="6"/>
  <c r="P52" i="6"/>
  <c r="R52" i="6" s="1"/>
  <c r="U51" i="6"/>
  <c r="T51" i="6" a="1"/>
  <c r="T51" i="6" s="1"/>
  <c r="S51" i="6"/>
  <c r="R51" i="6"/>
  <c r="Q51" i="6"/>
  <c r="P51" i="6"/>
  <c r="U50" i="6"/>
  <c r="T50" i="6" a="1"/>
  <c r="T50" i="6" s="1"/>
  <c r="S50" i="6"/>
  <c r="Q50" i="6"/>
  <c r="P50" i="6"/>
  <c r="U49" i="6"/>
  <c r="T49" i="6" a="1"/>
  <c r="T49" i="6" s="1"/>
  <c r="S49" i="6"/>
  <c r="Q49" i="6"/>
  <c r="P49" i="6"/>
  <c r="U48" i="6"/>
  <c r="T48" i="6" a="1"/>
  <c r="T48" i="6" s="1"/>
  <c r="S48" i="6"/>
  <c r="Q48" i="6"/>
  <c r="P48" i="6"/>
  <c r="U47" i="6"/>
  <c r="T47" i="6" a="1"/>
  <c r="T47" i="6" s="1"/>
  <c r="S47" i="6"/>
  <c r="Q47" i="6"/>
  <c r="R47" i="6" s="1"/>
  <c r="P47" i="6"/>
  <c r="U46" i="6"/>
  <c r="T46" i="6" a="1"/>
  <c r="T46" i="6" s="1"/>
  <c r="S46" i="6"/>
  <c r="Q46" i="6"/>
  <c r="P46" i="6"/>
  <c r="U45" i="6"/>
  <c r="T45" i="6" a="1"/>
  <c r="T45" i="6" s="1"/>
  <c r="S45" i="6"/>
  <c r="Q45" i="6"/>
  <c r="P45" i="6"/>
  <c r="U44" i="6"/>
  <c r="T44" i="6" a="1"/>
  <c r="T44" i="6" s="1"/>
  <c r="S44" i="6"/>
  <c r="Q44" i="6"/>
  <c r="P44" i="6"/>
  <c r="R44" i="6" s="1"/>
  <c r="U43" i="6"/>
  <c r="T43" i="6" a="1"/>
  <c r="T43" i="6" s="1"/>
  <c r="S43" i="6"/>
  <c r="Q43" i="6"/>
  <c r="P43" i="6"/>
  <c r="R43" i="6" s="1"/>
  <c r="U42" i="6"/>
  <c r="T42" i="6" a="1"/>
  <c r="T42" i="6" s="1"/>
  <c r="S42" i="6"/>
  <c r="Q42" i="6"/>
  <c r="R42" i="6" s="1"/>
  <c r="P42" i="6"/>
  <c r="U41" i="6"/>
  <c r="T41" i="6" a="1"/>
  <c r="T41" i="6" s="1"/>
  <c r="S41" i="6"/>
  <c r="Q41" i="6"/>
  <c r="P41" i="6"/>
  <c r="U40" i="6"/>
  <c r="T40" i="6" a="1"/>
  <c r="T40" i="6" s="1"/>
  <c r="S40" i="6"/>
  <c r="Q40" i="6"/>
  <c r="P40" i="6"/>
  <c r="U39" i="6"/>
  <c r="T39" i="6" a="1"/>
  <c r="T39" i="6" s="1"/>
  <c r="S39" i="6"/>
  <c r="R39" i="6"/>
  <c r="Q39" i="6"/>
  <c r="P39" i="6"/>
  <c r="U38" i="6"/>
  <c r="T38" i="6" a="1"/>
  <c r="T38" i="6" s="1"/>
  <c r="S38" i="6"/>
  <c r="Q38" i="6"/>
  <c r="P38" i="6"/>
  <c r="U37" i="6"/>
  <c r="T37" i="6" a="1"/>
  <c r="T37" i="6" s="1"/>
  <c r="S37" i="6"/>
  <c r="Q37" i="6"/>
  <c r="P37" i="6"/>
  <c r="U36" i="6"/>
  <c r="T36" i="6" a="1"/>
  <c r="T36" i="6" s="1"/>
  <c r="S36" i="6"/>
  <c r="Q36" i="6"/>
  <c r="P36" i="6"/>
  <c r="U35" i="6"/>
  <c r="T35" i="6" a="1"/>
  <c r="T35" i="6" s="1"/>
  <c r="S35" i="6"/>
  <c r="Q35" i="6"/>
  <c r="R35" i="6" s="1"/>
  <c r="P35" i="6"/>
  <c r="U34" i="6"/>
  <c r="T34" i="6"/>
  <c r="T34" i="6" a="1"/>
  <c r="S34" i="6"/>
  <c r="Q34" i="6"/>
  <c r="P34" i="6"/>
  <c r="U33" i="6"/>
  <c r="T33" i="6" a="1"/>
  <c r="T33" i="6" s="1"/>
  <c r="S33" i="6"/>
  <c r="Q33" i="6"/>
  <c r="P33" i="6"/>
  <c r="U32" i="6"/>
  <c r="T32" i="6" a="1"/>
  <c r="T32" i="6" s="1"/>
  <c r="S32" i="6"/>
  <c r="Q32" i="6"/>
  <c r="P32" i="6"/>
  <c r="U31" i="6"/>
  <c r="T31" i="6" a="1"/>
  <c r="T31" i="6" s="1"/>
  <c r="S31" i="6"/>
  <c r="Q31" i="6"/>
  <c r="P31" i="6"/>
  <c r="U30" i="6"/>
  <c r="T30" i="6" a="1"/>
  <c r="T30" i="6" s="1"/>
  <c r="S30" i="6"/>
  <c r="R30" i="6"/>
  <c r="Q30" i="6"/>
  <c r="P30" i="6"/>
  <c r="U29" i="6"/>
  <c r="T29" i="6" a="1"/>
  <c r="T29" i="6" s="1"/>
  <c r="S29" i="6"/>
  <c r="Q29" i="6"/>
  <c r="P29" i="6"/>
  <c r="U28" i="6"/>
  <c r="T28" i="6" a="1"/>
  <c r="T28" i="6" s="1"/>
  <c r="S28" i="6"/>
  <c r="Q28" i="6"/>
  <c r="P28" i="6"/>
  <c r="U27" i="6"/>
  <c r="T27" i="6" a="1"/>
  <c r="T27" i="6" s="1"/>
  <c r="S27" i="6"/>
  <c r="Q27" i="6"/>
  <c r="P27" i="6"/>
  <c r="U26" i="6"/>
  <c r="T26" i="6" a="1"/>
  <c r="T26" i="6" s="1"/>
  <c r="S26" i="6"/>
  <c r="Q26" i="6"/>
  <c r="P26" i="6"/>
  <c r="U25" i="6"/>
  <c r="T25" i="6" a="1"/>
  <c r="T25" i="6" s="1"/>
  <c r="S25" i="6"/>
  <c r="Q25" i="6"/>
  <c r="P25" i="6"/>
  <c r="U24" i="6"/>
  <c r="T24" i="6" a="1"/>
  <c r="T24" i="6" s="1"/>
  <c r="S24" i="6"/>
  <c r="Q24" i="6"/>
  <c r="P24" i="6"/>
  <c r="R24" i="6" s="1"/>
  <c r="U23" i="6"/>
  <c r="T23" i="6" a="1"/>
  <c r="T23" i="6" s="1"/>
  <c r="S23" i="6"/>
  <c r="Q23" i="6"/>
  <c r="P23" i="6"/>
  <c r="U22" i="6"/>
  <c r="T22" i="6" a="1"/>
  <c r="T22" i="6" s="1"/>
  <c r="S22" i="6"/>
  <c r="Q22" i="6"/>
  <c r="P22" i="6"/>
  <c r="U21" i="6"/>
  <c r="T21" i="6"/>
  <c r="T21" i="6" a="1"/>
  <c r="S21" i="6"/>
  <c r="Q21" i="6"/>
  <c r="P21" i="6"/>
  <c r="U20" i="6"/>
  <c r="T20" i="6" a="1"/>
  <c r="T20" i="6" s="1"/>
  <c r="S20" i="6"/>
  <c r="Q20" i="6"/>
  <c r="P20" i="6"/>
  <c r="U19" i="6"/>
  <c r="T19" i="6" a="1"/>
  <c r="T19" i="6" s="1"/>
  <c r="S19" i="6"/>
  <c r="Q19" i="6"/>
  <c r="P19" i="6"/>
  <c r="R19" i="6" s="1"/>
  <c r="U18" i="6"/>
  <c r="T18" i="6" a="1"/>
  <c r="T18" i="6" s="1"/>
  <c r="S18" i="6"/>
  <c r="Q18" i="6"/>
  <c r="P18" i="6"/>
  <c r="R18" i="6" s="1"/>
  <c r="U17" i="6"/>
  <c r="T17" i="6" a="1"/>
  <c r="T17" i="6" s="1"/>
  <c r="S17" i="6"/>
  <c r="Q17" i="6"/>
  <c r="P17" i="6"/>
  <c r="U16" i="6"/>
  <c r="T16" i="6" a="1"/>
  <c r="T16" i="6" s="1"/>
  <c r="S16" i="6"/>
  <c r="Q16" i="6"/>
  <c r="P16" i="6"/>
  <c r="U15" i="6"/>
  <c r="T15" i="6" a="1"/>
  <c r="T15" i="6" s="1"/>
  <c r="S15" i="6"/>
  <c r="R15" i="6"/>
  <c r="Q15" i="6"/>
  <c r="P15" i="6"/>
  <c r="U14" i="6"/>
  <c r="T14" i="6" a="1"/>
  <c r="T14" i="6" s="1"/>
  <c r="S14" i="6"/>
  <c r="Q14" i="6"/>
  <c r="P14" i="6"/>
  <c r="U13" i="6"/>
  <c r="T13" i="6" a="1"/>
  <c r="T13" i="6" s="1"/>
  <c r="S13" i="6"/>
  <c r="Q13" i="6"/>
  <c r="P13" i="6"/>
  <c r="U12" i="6"/>
  <c r="T12" i="6" a="1"/>
  <c r="T12" i="6" s="1"/>
  <c r="S12" i="6"/>
  <c r="Q12" i="6"/>
  <c r="P12" i="6"/>
  <c r="U11" i="6"/>
  <c r="T11" i="6" a="1"/>
  <c r="T11" i="6" s="1"/>
  <c r="S11" i="6"/>
  <c r="Q11" i="6"/>
  <c r="P11" i="6"/>
  <c r="R11" i="6" s="1"/>
  <c r="U10" i="6"/>
  <c r="T10" i="6"/>
  <c r="T10" i="6" a="1"/>
  <c r="S10" i="6"/>
  <c r="Q10" i="6"/>
  <c r="P10" i="6"/>
  <c r="U9" i="6"/>
  <c r="T9" i="6" a="1"/>
  <c r="T9" i="6" s="1"/>
  <c r="S9" i="6"/>
  <c r="Q9" i="6"/>
  <c r="P9" i="6"/>
  <c r="R9" i="6" s="1"/>
  <c r="U8" i="6"/>
  <c r="T8" i="6" a="1"/>
  <c r="T8" i="6" s="1"/>
  <c r="S8" i="6"/>
  <c r="Q8" i="6"/>
  <c r="P8" i="6"/>
  <c r="R8" i="6" s="1"/>
  <c r="U7" i="6"/>
  <c r="T7" i="6" a="1"/>
  <c r="T7" i="6" s="1"/>
  <c r="S7" i="6"/>
  <c r="Q7" i="6"/>
  <c r="P7" i="6"/>
  <c r="U6" i="6"/>
  <c r="T6" i="6" a="1"/>
  <c r="T6" i="6" s="1"/>
  <c r="S6" i="6"/>
  <c r="Q6" i="6"/>
  <c r="P6" i="6"/>
  <c r="U5" i="6"/>
  <c r="T5" i="6" a="1"/>
  <c r="T5" i="6" s="1"/>
  <c r="S5" i="6"/>
  <c r="Q5" i="6"/>
  <c r="P5" i="6"/>
  <c r="U4" i="6"/>
  <c r="T4" i="6" a="1"/>
  <c r="T4" i="6" s="1"/>
  <c r="S4" i="6"/>
  <c r="Q4" i="6"/>
  <c r="P4" i="6"/>
  <c r="U3" i="6"/>
  <c r="T3" i="6" a="1"/>
  <c r="T3" i="6" s="1"/>
  <c r="S3" i="6"/>
  <c r="Q3" i="6"/>
  <c r="P3" i="6"/>
  <c r="R3" i="6" s="1"/>
  <c r="U2" i="6"/>
  <c r="T2" i="6" a="1"/>
  <c r="T2" i="6" s="1"/>
  <c r="S2" i="6"/>
  <c r="Q2" i="6"/>
  <c r="R2" i="6" s="1"/>
  <c r="P2" i="6"/>
  <c r="X22" i="4"/>
  <c r="X20" i="4"/>
  <c r="X18" i="4"/>
  <c r="X16" i="4"/>
  <c r="X14" i="4"/>
  <c r="X12" i="4"/>
  <c r="U501" i="4"/>
  <c r="T501" i="4" a="1"/>
  <c r="T501" i="4" s="1"/>
  <c r="S501" i="4"/>
  <c r="R501" i="4"/>
  <c r="Q501" i="4"/>
  <c r="P501" i="4"/>
  <c r="U500" i="4"/>
  <c r="T500" i="4" a="1"/>
  <c r="T500" i="4" s="1"/>
  <c r="S500" i="4"/>
  <c r="Q500" i="4"/>
  <c r="P500" i="4"/>
  <c r="R500" i="4" s="1"/>
  <c r="U499" i="4"/>
  <c r="T499" i="4" a="1"/>
  <c r="T499" i="4" s="1"/>
  <c r="S499" i="4"/>
  <c r="Q499" i="4"/>
  <c r="P499" i="4"/>
  <c r="R499" i="4" s="1"/>
  <c r="U498" i="4"/>
  <c r="T498" i="4" a="1"/>
  <c r="T498" i="4" s="1"/>
  <c r="S498" i="4"/>
  <c r="Q498" i="4"/>
  <c r="P498" i="4"/>
  <c r="R498" i="4" s="1"/>
  <c r="U497" i="4"/>
  <c r="T497" i="4" a="1"/>
  <c r="T497" i="4" s="1"/>
  <c r="S497" i="4"/>
  <c r="Q497" i="4"/>
  <c r="R497" i="4" s="1"/>
  <c r="P497" i="4"/>
  <c r="U496" i="4"/>
  <c r="T496" i="4" a="1"/>
  <c r="T496" i="4" s="1"/>
  <c r="S496" i="4"/>
  <c r="Q496" i="4"/>
  <c r="R496" i="4" s="1"/>
  <c r="P496" i="4"/>
  <c r="U495" i="4"/>
  <c r="T495" i="4" a="1"/>
  <c r="T495" i="4" s="1"/>
  <c r="S495" i="4"/>
  <c r="Q495" i="4"/>
  <c r="P495" i="4"/>
  <c r="R495" i="4" s="1"/>
  <c r="U494" i="4"/>
  <c r="T494" i="4" a="1"/>
  <c r="T494" i="4" s="1"/>
  <c r="S494" i="4"/>
  <c r="Q494" i="4"/>
  <c r="R494" i="4" s="1"/>
  <c r="P494" i="4"/>
  <c r="U493" i="4"/>
  <c r="T493" i="4" a="1"/>
  <c r="T493" i="4" s="1"/>
  <c r="S493" i="4"/>
  <c r="Q493" i="4"/>
  <c r="P493" i="4"/>
  <c r="R493" i="4" s="1"/>
  <c r="U492" i="4"/>
  <c r="T492" i="4" a="1"/>
  <c r="T492" i="4" s="1"/>
  <c r="S492" i="4"/>
  <c r="Q492" i="4"/>
  <c r="P492" i="4"/>
  <c r="R492" i="4" s="1"/>
  <c r="U491" i="4"/>
  <c r="T491" i="4"/>
  <c r="T491" i="4" a="1"/>
  <c r="S491" i="4"/>
  <c r="Q491" i="4"/>
  <c r="R491" i="4" s="1"/>
  <c r="P491" i="4"/>
  <c r="U490" i="4"/>
  <c r="T490" i="4"/>
  <c r="T490" i="4" a="1"/>
  <c r="S490" i="4"/>
  <c r="Q490" i="4"/>
  <c r="P490" i="4"/>
  <c r="R490" i="4" s="1"/>
  <c r="U489" i="4"/>
  <c r="T489" i="4"/>
  <c r="T489" i="4" a="1"/>
  <c r="S489" i="4"/>
  <c r="Q489" i="4"/>
  <c r="P489" i="4"/>
  <c r="R489" i="4" s="1"/>
  <c r="U488" i="4"/>
  <c r="T488" i="4" a="1"/>
  <c r="T488" i="4" s="1"/>
  <c r="S488" i="4"/>
  <c r="Q488" i="4"/>
  <c r="P488" i="4"/>
  <c r="R488" i="4" s="1"/>
  <c r="U487" i="4"/>
  <c r="T487" i="4"/>
  <c r="T487" i="4" a="1"/>
  <c r="S487" i="4"/>
  <c r="Q487" i="4"/>
  <c r="R487" i="4" s="1"/>
  <c r="P487" i="4"/>
  <c r="U486" i="4"/>
  <c r="T486" i="4" a="1"/>
  <c r="T486" i="4" s="1"/>
  <c r="S486" i="4"/>
  <c r="R486" i="4"/>
  <c r="Q486" i="4"/>
  <c r="P486" i="4"/>
  <c r="U485" i="4"/>
  <c r="T485" i="4" a="1"/>
  <c r="T485" i="4" s="1"/>
  <c r="S485" i="4"/>
  <c r="Q485" i="4"/>
  <c r="P485" i="4"/>
  <c r="R485" i="4" s="1"/>
  <c r="U484" i="4"/>
  <c r="T484" i="4" a="1"/>
  <c r="T484" i="4" s="1"/>
  <c r="S484" i="4"/>
  <c r="R484" i="4"/>
  <c r="Q484" i="4"/>
  <c r="P484" i="4"/>
  <c r="U483" i="4"/>
  <c r="T483" i="4"/>
  <c r="T483" i="4" a="1"/>
  <c r="S483" i="4"/>
  <c r="Q483" i="4"/>
  <c r="R483" i="4" s="1"/>
  <c r="P483" i="4"/>
  <c r="U482" i="4"/>
  <c r="T482" i="4" a="1"/>
  <c r="T482" i="4" s="1"/>
  <c r="S482" i="4"/>
  <c r="Q482" i="4"/>
  <c r="P482" i="4"/>
  <c r="R482" i="4" s="1"/>
  <c r="U481" i="4"/>
  <c r="T481" i="4" a="1"/>
  <c r="T481" i="4" s="1"/>
  <c r="S481" i="4"/>
  <c r="Q481" i="4"/>
  <c r="R481" i="4" s="1"/>
  <c r="P481" i="4"/>
  <c r="U480" i="4"/>
  <c r="T480" i="4" a="1"/>
  <c r="T480" i="4" s="1"/>
  <c r="S480" i="4"/>
  <c r="Q480" i="4"/>
  <c r="P480" i="4"/>
  <c r="R480" i="4" s="1"/>
  <c r="U479" i="4"/>
  <c r="T479" i="4" a="1"/>
  <c r="T479" i="4" s="1"/>
  <c r="S479" i="4"/>
  <c r="Q479" i="4"/>
  <c r="R479" i="4" s="1"/>
  <c r="P479" i="4"/>
  <c r="U478" i="4"/>
  <c r="T478" i="4" a="1"/>
  <c r="T478" i="4" s="1"/>
  <c r="S478" i="4"/>
  <c r="Q478" i="4"/>
  <c r="P478" i="4"/>
  <c r="U477" i="4"/>
  <c r="T477" i="4"/>
  <c r="T477" i="4" a="1"/>
  <c r="S477" i="4"/>
  <c r="Q477" i="4"/>
  <c r="P477" i="4"/>
  <c r="R477" i="4" s="1"/>
  <c r="U476" i="4"/>
  <c r="T476" i="4" a="1"/>
  <c r="T476" i="4" s="1"/>
  <c r="S476" i="4"/>
  <c r="Q476" i="4"/>
  <c r="P476" i="4"/>
  <c r="R476" i="4" s="1"/>
  <c r="U475" i="4"/>
  <c r="T475" i="4"/>
  <c r="T475" i="4" a="1"/>
  <c r="S475" i="4"/>
  <c r="Q475" i="4"/>
  <c r="R475" i="4" s="1"/>
  <c r="P475" i="4"/>
  <c r="U474" i="4"/>
  <c r="T474" i="4" a="1"/>
  <c r="T474" i="4" s="1"/>
  <c r="S474" i="4"/>
  <c r="Q474" i="4"/>
  <c r="P474" i="4"/>
  <c r="R474" i="4" s="1"/>
  <c r="U473" i="4"/>
  <c r="T473" i="4"/>
  <c r="T473" i="4" a="1"/>
  <c r="S473" i="4"/>
  <c r="Q473" i="4"/>
  <c r="P473" i="4"/>
  <c r="R473" i="4" s="1"/>
  <c r="U472" i="4"/>
  <c r="T472" i="4" a="1"/>
  <c r="T472" i="4" s="1"/>
  <c r="S472" i="4"/>
  <c r="Q472" i="4"/>
  <c r="P472" i="4"/>
  <c r="R472" i="4" s="1"/>
  <c r="U471" i="4"/>
  <c r="T471" i="4"/>
  <c r="T471" i="4" a="1"/>
  <c r="S471" i="4"/>
  <c r="Q471" i="4"/>
  <c r="P471" i="4"/>
  <c r="R471" i="4" s="1"/>
  <c r="U470" i="4"/>
  <c r="T470" i="4" a="1"/>
  <c r="T470" i="4" s="1"/>
  <c r="S470" i="4"/>
  <c r="Q470" i="4"/>
  <c r="P470" i="4"/>
  <c r="R470" i="4" s="1"/>
  <c r="U469" i="4"/>
  <c r="T469" i="4" a="1"/>
  <c r="T469" i="4" s="1"/>
  <c r="S469" i="4"/>
  <c r="Q469" i="4"/>
  <c r="R469" i="4" s="1"/>
  <c r="P469" i="4"/>
  <c r="U468" i="4"/>
  <c r="T468" i="4" a="1"/>
  <c r="T468" i="4" s="1"/>
  <c r="S468" i="4"/>
  <c r="R468" i="4"/>
  <c r="Q468" i="4"/>
  <c r="P468" i="4"/>
  <c r="U467" i="4"/>
  <c r="T467" i="4" a="1"/>
  <c r="T467" i="4" s="1"/>
  <c r="S467" i="4"/>
  <c r="Q467" i="4"/>
  <c r="R467" i="4" s="1"/>
  <c r="P467" i="4"/>
  <c r="U466" i="4"/>
  <c r="T466" i="4" a="1"/>
  <c r="T466" i="4" s="1"/>
  <c r="S466" i="4"/>
  <c r="R466" i="4"/>
  <c r="Q466" i="4"/>
  <c r="P466" i="4"/>
  <c r="U465" i="4"/>
  <c r="T465" i="4"/>
  <c r="T465" i="4" a="1"/>
  <c r="S465" i="4"/>
  <c r="Q465" i="4"/>
  <c r="P465" i="4"/>
  <c r="R465" i="4" s="1"/>
  <c r="U464" i="4"/>
  <c r="T464" i="4" a="1"/>
  <c r="T464" i="4" s="1"/>
  <c r="S464" i="4"/>
  <c r="R464" i="4"/>
  <c r="Q464" i="4"/>
  <c r="P464" i="4"/>
  <c r="U463" i="4"/>
  <c r="T463" i="4"/>
  <c r="T463" i="4" a="1"/>
  <c r="S463" i="4"/>
  <c r="Q463" i="4"/>
  <c r="R463" i="4" s="1"/>
  <c r="P463" i="4"/>
  <c r="U462" i="4"/>
  <c r="T462" i="4" a="1"/>
  <c r="T462" i="4" s="1"/>
  <c r="S462" i="4"/>
  <c r="Q462" i="4"/>
  <c r="P462" i="4"/>
  <c r="R462" i="4" s="1"/>
  <c r="U461" i="4"/>
  <c r="T461" i="4" a="1"/>
  <c r="T461" i="4" s="1"/>
  <c r="S461" i="4"/>
  <c r="Q461" i="4"/>
  <c r="P461" i="4"/>
  <c r="R461" i="4" s="1"/>
  <c r="U460" i="4"/>
  <c r="T460" i="4"/>
  <c r="T460" i="4" a="1"/>
  <c r="S460" i="4"/>
  <c r="Q460" i="4"/>
  <c r="P460" i="4"/>
  <c r="R460" i="4" s="1"/>
  <c r="U459" i="4"/>
  <c r="T459" i="4"/>
  <c r="T459" i="4" a="1"/>
  <c r="S459" i="4"/>
  <c r="Q459" i="4"/>
  <c r="P459" i="4"/>
  <c r="R459" i="4" s="1"/>
  <c r="U458" i="4"/>
  <c r="T458" i="4" a="1"/>
  <c r="T458" i="4" s="1"/>
  <c r="S458" i="4"/>
  <c r="Q458" i="4"/>
  <c r="P458" i="4"/>
  <c r="R458" i="4" s="1"/>
  <c r="U457" i="4"/>
  <c r="T457" i="4" a="1"/>
  <c r="T457" i="4" s="1"/>
  <c r="S457" i="4"/>
  <c r="Q457" i="4"/>
  <c r="R457" i="4" s="1"/>
  <c r="P457" i="4"/>
  <c r="U456" i="4"/>
  <c r="T456" i="4" a="1"/>
  <c r="T456" i="4" s="1"/>
  <c r="S456" i="4"/>
  <c r="Q456" i="4"/>
  <c r="P456" i="4"/>
  <c r="R456" i="4" s="1"/>
  <c r="U455" i="4"/>
  <c r="T455" i="4" a="1"/>
  <c r="T455" i="4" s="1"/>
  <c r="S455" i="4"/>
  <c r="Q455" i="4"/>
  <c r="R455" i="4" s="1"/>
  <c r="P455" i="4"/>
  <c r="U454" i="4"/>
  <c r="T454" i="4" a="1"/>
  <c r="T454" i="4" s="1"/>
  <c r="S454" i="4"/>
  <c r="Q454" i="4"/>
  <c r="P454" i="4"/>
  <c r="R454" i="4" s="1"/>
  <c r="U453" i="4"/>
  <c r="T453" i="4"/>
  <c r="T453" i="4" a="1"/>
  <c r="S453" i="4"/>
  <c r="Q453" i="4"/>
  <c r="P453" i="4"/>
  <c r="U452" i="4"/>
  <c r="T452" i="4" a="1"/>
  <c r="T452" i="4" s="1"/>
  <c r="S452" i="4"/>
  <c r="Q452" i="4"/>
  <c r="P452" i="4"/>
  <c r="R452" i="4" s="1"/>
  <c r="U451" i="4"/>
  <c r="T451" i="4"/>
  <c r="T451" i="4" a="1"/>
  <c r="S451" i="4"/>
  <c r="R451" i="4"/>
  <c r="Q451" i="4"/>
  <c r="P451" i="4"/>
  <c r="U450" i="4"/>
  <c r="T450" i="4" a="1"/>
  <c r="T450" i="4" s="1"/>
  <c r="S450" i="4"/>
  <c r="Q450" i="4"/>
  <c r="P450" i="4"/>
  <c r="R450" i="4" s="1"/>
  <c r="U449" i="4"/>
  <c r="T449" i="4"/>
  <c r="T449" i="4" a="1"/>
  <c r="S449" i="4"/>
  <c r="Q449" i="4"/>
  <c r="P449" i="4"/>
  <c r="R449" i="4" s="1"/>
  <c r="U448" i="4"/>
  <c r="T448" i="4" a="1"/>
  <c r="T448" i="4" s="1"/>
  <c r="S448" i="4"/>
  <c r="Q448" i="4"/>
  <c r="P448" i="4"/>
  <c r="R448" i="4" s="1"/>
  <c r="U447" i="4"/>
  <c r="T447" i="4"/>
  <c r="T447" i="4" a="1"/>
  <c r="S447" i="4"/>
  <c r="Q447" i="4"/>
  <c r="P447" i="4"/>
  <c r="R447" i="4" s="1"/>
  <c r="U446" i="4"/>
  <c r="T446" i="4" a="1"/>
  <c r="T446" i="4" s="1"/>
  <c r="S446" i="4"/>
  <c r="Q446" i="4"/>
  <c r="P446" i="4"/>
  <c r="R446" i="4" s="1"/>
  <c r="U445" i="4"/>
  <c r="T445" i="4" a="1"/>
  <c r="T445" i="4" s="1"/>
  <c r="S445" i="4"/>
  <c r="Q445" i="4"/>
  <c r="R445" i="4" s="1"/>
  <c r="P445" i="4"/>
  <c r="U444" i="4"/>
  <c r="T444" i="4" a="1"/>
  <c r="T444" i="4" s="1"/>
  <c r="S444" i="4"/>
  <c r="R444" i="4"/>
  <c r="Q444" i="4"/>
  <c r="P444" i="4"/>
  <c r="U443" i="4"/>
  <c r="T443" i="4" a="1"/>
  <c r="T443" i="4" s="1"/>
  <c r="S443" i="4"/>
  <c r="Q443" i="4"/>
  <c r="R443" i="4" s="1"/>
  <c r="P443" i="4"/>
  <c r="U442" i="4"/>
  <c r="T442" i="4" a="1"/>
  <c r="T442" i="4" s="1"/>
  <c r="S442" i="4"/>
  <c r="R442" i="4"/>
  <c r="Q442" i="4"/>
  <c r="P442" i="4"/>
  <c r="U441" i="4"/>
  <c r="T441" i="4"/>
  <c r="T441" i="4" a="1"/>
  <c r="S441" i="4"/>
  <c r="Q441" i="4"/>
  <c r="P441" i="4"/>
  <c r="R441" i="4" s="1"/>
  <c r="U440" i="4"/>
  <c r="T440" i="4" a="1"/>
  <c r="T440" i="4" s="1"/>
  <c r="S440" i="4"/>
  <c r="R440" i="4"/>
  <c r="Q440" i="4"/>
  <c r="P440" i="4"/>
  <c r="U439" i="4"/>
  <c r="T439" i="4"/>
  <c r="T439" i="4" a="1"/>
  <c r="S439" i="4"/>
  <c r="Q439" i="4"/>
  <c r="R439" i="4" s="1"/>
  <c r="P439" i="4"/>
  <c r="U438" i="4"/>
  <c r="T438" i="4" a="1"/>
  <c r="T438" i="4" s="1"/>
  <c r="S438" i="4"/>
  <c r="Q438" i="4"/>
  <c r="P438" i="4"/>
  <c r="R438" i="4" s="1"/>
  <c r="U437" i="4"/>
  <c r="T437" i="4" a="1"/>
  <c r="T437" i="4" s="1"/>
  <c r="S437" i="4"/>
  <c r="Q437" i="4"/>
  <c r="P437" i="4"/>
  <c r="R437" i="4" s="1"/>
  <c r="U436" i="4"/>
  <c r="T436" i="4"/>
  <c r="T436" i="4" a="1"/>
  <c r="S436" i="4"/>
  <c r="Q436" i="4"/>
  <c r="P436" i="4"/>
  <c r="R436" i="4" s="1"/>
  <c r="U435" i="4"/>
  <c r="T435" i="4"/>
  <c r="T435" i="4" a="1"/>
  <c r="S435" i="4"/>
  <c r="Q435" i="4"/>
  <c r="R435" i="4" s="1"/>
  <c r="P435" i="4"/>
  <c r="U434" i="4"/>
  <c r="T434" i="4" a="1"/>
  <c r="T434" i="4" s="1"/>
  <c r="S434" i="4"/>
  <c r="Q434" i="4"/>
  <c r="P434" i="4"/>
  <c r="R434" i="4" s="1"/>
  <c r="U433" i="4"/>
  <c r="T433" i="4" a="1"/>
  <c r="T433" i="4" s="1"/>
  <c r="S433" i="4"/>
  <c r="Q433" i="4"/>
  <c r="R433" i="4" s="1"/>
  <c r="P433" i="4"/>
  <c r="U432" i="4"/>
  <c r="T432" i="4" a="1"/>
  <c r="T432" i="4" s="1"/>
  <c r="S432" i="4"/>
  <c r="Q432" i="4"/>
  <c r="P432" i="4"/>
  <c r="R432" i="4" s="1"/>
  <c r="U431" i="4"/>
  <c r="T431" i="4" a="1"/>
  <c r="T431" i="4" s="1"/>
  <c r="S431" i="4"/>
  <c r="Q431" i="4"/>
  <c r="R431" i="4" s="1"/>
  <c r="P431" i="4"/>
  <c r="U430" i="4"/>
  <c r="T430" i="4" a="1"/>
  <c r="T430" i="4" s="1"/>
  <c r="S430" i="4"/>
  <c r="Q430" i="4"/>
  <c r="P430" i="4"/>
  <c r="R430" i="4" s="1"/>
  <c r="U429" i="4"/>
  <c r="T429" i="4"/>
  <c r="T429" i="4" a="1"/>
  <c r="S429" i="4"/>
  <c r="Q429" i="4"/>
  <c r="P429" i="4"/>
  <c r="U428" i="4"/>
  <c r="T428" i="4" a="1"/>
  <c r="T428" i="4" s="1"/>
  <c r="S428" i="4"/>
  <c r="Q428" i="4"/>
  <c r="P428" i="4"/>
  <c r="R428" i="4" s="1"/>
  <c r="U427" i="4"/>
  <c r="T427" i="4"/>
  <c r="T427" i="4" a="1"/>
  <c r="S427" i="4"/>
  <c r="R427" i="4"/>
  <c r="Q427" i="4"/>
  <c r="P427" i="4"/>
  <c r="U426" i="4"/>
  <c r="T426" i="4" a="1"/>
  <c r="T426" i="4" s="1"/>
  <c r="S426" i="4"/>
  <c r="Q426" i="4"/>
  <c r="P426" i="4"/>
  <c r="R426" i="4" s="1"/>
  <c r="U425" i="4"/>
  <c r="T425" i="4"/>
  <c r="T425" i="4" a="1"/>
  <c r="S425" i="4"/>
  <c r="Q425" i="4"/>
  <c r="P425" i="4"/>
  <c r="R425" i="4" s="1"/>
  <c r="U424" i="4"/>
  <c r="T424" i="4" a="1"/>
  <c r="T424" i="4" s="1"/>
  <c r="S424" i="4"/>
  <c r="Q424" i="4"/>
  <c r="P424" i="4"/>
  <c r="R424" i="4" s="1"/>
  <c r="U423" i="4"/>
  <c r="T423" i="4"/>
  <c r="T423" i="4" a="1"/>
  <c r="S423" i="4"/>
  <c r="Q423" i="4"/>
  <c r="P423" i="4"/>
  <c r="R423" i="4" s="1"/>
  <c r="U422" i="4"/>
  <c r="T422" i="4" a="1"/>
  <c r="T422" i="4" s="1"/>
  <c r="S422" i="4"/>
  <c r="Q422" i="4"/>
  <c r="P422" i="4"/>
  <c r="R422" i="4" s="1"/>
  <c r="U421" i="4"/>
  <c r="T421" i="4"/>
  <c r="T421" i="4" a="1"/>
  <c r="S421" i="4"/>
  <c r="Q421" i="4"/>
  <c r="R421" i="4" s="1"/>
  <c r="P421" i="4"/>
  <c r="U420" i="4"/>
  <c r="T420" i="4" a="1"/>
  <c r="T420" i="4" s="1"/>
  <c r="S420" i="4"/>
  <c r="R420" i="4"/>
  <c r="Q420" i="4"/>
  <c r="P420" i="4"/>
  <c r="U419" i="4"/>
  <c r="T419" i="4" a="1"/>
  <c r="T419" i="4" s="1"/>
  <c r="S419" i="4"/>
  <c r="Q419" i="4"/>
  <c r="R419" i="4" s="1"/>
  <c r="P419" i="4"/>
  <c r="U418" i="4"/>
  <c r="T418" i="4"/>
  <c r="T418" i="4" a="1"/>
  <c r="S418" i="4"/>
  <c r="R418" i="4"/>
  <c r="Q418" i="4"/>
  <c r="P418" i="4"/>
  <c r="U417" i="4"/>
  <c r="T417" i="4"/>
  <c r="T417" i="4" a="1"/>
  <c r="S417" i="4"/>
  <c r="Q417" i="4"/>
  <c r="P417" i="4"/>
  <c r="R417" i="4" s="1"/>
  <c r="U416" i="4"/>
  <c r="T416" i="4" a="1"/>
  <c r="T416" i="4" s="1"/>
  <c r="S416" i="4"/>
  <c r="R416" i="4"/>
  <c r="Q416" i="4"/>
  <c r="P416" i="4"/>
  <c r="U415" i="4"/>
  <c r="T415" i="4"/>
  <c r="T415" i="4" a="1"/>
  <c r="S415" i="4"/>
  <c r="Q415" i="4"/>
  <c r="R415" i="4" s="1"/>
  <c r="P415" i="4"/>
  <c r="U414" i="4"/>
  <c r="T414" i="4" a="1"/>
  <c r="T414" i="4" s="1"/>
  <c r="S414" i="4"/>
  <c r="Q414" i="4"/>
  <c r="P414" i="4"/>
  <c r="R414" i="4" s="1"/>
  <c r="U413" i="4"/>
  <c r="T413" i="4" a="1"/>
  <c r="T413" i="4" s="1"/>
  <c r="S413" i="4"/>
  <c r="Q413" i="4"/>
  <c r="P413" i="4"/>
  <c r="R413" i="4" s="1"/>
  <c r="U412" i="4"/>
  <c r="T412" i="4"/>
  <c r="T412" i="4" a="1"/>
  <c r="S412" i="4"/>
  <c r="Q412" i="4"/>
  <c r="P412" i="4"/>
  <c r="R412" i="4" s="1"/>
  <c r="U411" i="4"/>
  <c r="T411" i="4"/>
  <c r="T411" i="4" a="1"/>
  <c r="S411" i="4"/>
  <c r="Q411" i="4"/>
  <c r="P411" i="4"/>
  <c r="R411" i="4" s="1"/>
  <c r="U410" i="4"/>
  <c r="T410" i="4" a="1"/>
  <c r="T410" i="4" s="1"/>
  <c r="S410" i="4"/>
  <c r="Q410" i="4"/>
  <c r="P410" i="4"/>
  <c r="R410" i="4" s="1"/>
  <c r="U409" i="4"/>
  <c r="T409" i="4" a="1"/>
  <c r="T409" i="4" s="1"/>
  <c r="S409" i="4"/>
  <c r="Q409" i="4"/>
  <c r="R409" i="4" s="1"/>
  <c r="P409" i="4"/>
  <c r="U408" i="4"/>
  <c r="T408" i="4" a="1"/>
  <c r="T408" i="4" s="1"/>
  <c r="S408" i="4"/>
  <c r="Q408" i="4"/>
  <c r="P408" i="4"/>
  <c r="R408" i="4" s="1"/>
  <c r="U407" i="4"/>
  <c r="T407" i="4" a="1"/>
  <c r="T407" i="4" s="1"/>
  <c r="S407" i="4"/>
  <c r="Q407" i="4"/>
  <c r="R407" i="4" s="1"/>
  <c r="P407" i="4"/>
  <c r="U406" i="4"/>
  <c r="T406" i="4" a="1"/>
  <c r="T406" i="4" s="1"/>
  <c r="S406" i="4"/>
  <c r="Q406" i="4"/>
  <c r="P406" i="4"/>
  <c r="R406" i="4" s="1"/>
  <c r="U405" i="4"/>
  <c r="T405" i="4"/>
  <c r="T405" i="4" a="1"/>
  <c r="S405" i="4"/>
  <c r="Q405" i="4"/>
  <c r="P405" i="4"/>
  <c r="U404" i="4"/>
  <c r="T404" i="4" a="1"/>
  <c r="T404" i="4" s="1"/>
  <c r="S404" i="4"/>
  <c r="Q404" i="4"/>
  <c r="P404" i="4"/>
  <c r="R404" i="4" s="1"/>
  <c r="U403" i="4"/>
  <c r="T403" i="4"/>
  <c r="T403" i="4" a="1"/>
  <c r="S403" i="4"/>
  <c r="R403" i="4"/>
  <c r="Q403" i="4"/>
  <c r="P403" i="4"/>
  <c r="U402" i="4"/>
  <c r="T402" i="4" a="1"/>
  <c r="T402" i="4" s="1"/>
  <c r="S402" i="4"/>
  <c r="Q402" i="4"/>
  <c r="P402" i="4"/>
  <c r="R402" i="4" s="1"/>
  <c r="U401" i="4"/>
  <c r="T401" i="4"/>
  <c r="T401" i="4" a="1"/>
  <c r="S401" i="4"/>
  <c r="Q401" i="4"/>
  <c r="P401" i="4"/>
  <c r="R401" i="4" s="1"/>
  <c r="U400" i="4"/>
  <c r="T400" i="4" a="1"/>
  <c r="T400" i="4" s="1"/>
  <c r="S400" i="4"/>
  <c r="Q400" i="4"/>
  <c r="P400" i="4"/>
  <c r="R400" i="4" s="1"/>
  <c r="U399" i="4"/>
  <c r="T399" i="4"/>
  <c r="T399" i="4" a="1"/>
  <c r="S399" i="4"/>
  <c r="Q399" i="4"/>
  <c r="P399" i="4"/>
  <c r="R399" i="4" s="1"/>
  <c r="U398" i="4"/>
  <c r="T398" i="4" a="1"/>
  <c r="T398" i="4" s="1"/>
  <c r="S398" i="4"/>
  <c r="Q398" i="4"/>
  <c r="P398" i="4"/>
  <c r="R398" i="4" s="1"/>
  <c r="U397" i="4"/>
  <c r="T397" i="4"/>
  <c r="T397" i="4" a="1"/>
  <c r="S397" i="4"/>
  <c r="Q397" i="4"/>
  <c r="R397" i="4" s="1"/>
  <c r="P397" i="4"/>
  <c r="U396" i="4"/>
  <c r="T396" i="4" a="1"/>
  <c r="T396" i="4" s="1"/>
  <c r="S396" i="4"/>
  <c r="R396" i="4"/>
  <c r="Q396" i="4"/>
  <c r="P396" i="4"/>
  <c r="U395" i="4"/>
  <c r="T395" i="4" a="1"/>
  <c r="T395" i="4" s="1"/>
  <c r="S395" i="4"/>
  <c r="Q395" i="4"/>
  <c r="R395" i="4" s="1"/>
  <c r="P395" i="4"/>
  <c r="U394" i="4"/>
  <c r="T394" i="4" a="1"/>
  <c r="T394" i="4" s="1"/>
  <c r="S394" i="4"/>
  <c r="R394" i="4"/>
  <c r="Q394" i="4"/>
  <c r="P394" i="4"/>
  <c r="U393" i="4"/>
  <c r="T393" i="4"/>
  <c r="T393" i="4" a="1"/>
  <c r="S393" i="4"/>
  <c r="Q393" i="4"/>
  <c r="P393" i="4"/>
  <c r="U392" i="4"/>
  <c r="T392" i="4" a="1"/>
  <c r="T392" i="4" s="1"/>
  <c r="S392" i="4"/>
  <c r="R392" i="4"/>
  <c r="Q392" i="4"/>
  <c r="P392" i="4"/>
  <c r="U391" i="4"/>
  <c r="T391" i="4"/>
  <c r="T391" i="4" a="1"/>
  <c r="S391" i="4"/>
  <c r="R391" i="4"/>
  <c r="Q391" i="4"/>
  <c r="P391" i="4"/>
  <c r="U390" i="4"/>
  <c r="T390" i="4" a="1"/>
  <c r="T390" i="4" s="1"/>
  <c r="S390" i="4"/>
  <c r="Q390" i="4"/>
  <c r="P390" i="4"/>
  <c r="R390" i="4" s="1"/>
  <c r="U389" i="4"/>
  <c r="T389" i="4" a="1"/>
  <c r="T389" i="4" s="1"/>
  <c r="S389" i="4"/>
  <c r="Q389" i="4"/>
  <c r="P389" i="4"/>
  <c r="U388" i="4"/>
  <c r="T388" i="4"/>
  <c r="T388" i="4" a="1"/>
  <c r="S388" i="4"/>
  <c r="Q388" i="4"/>
  <c r="P388" i="4"/>
  <c r="R388" i="4" s="1"/>
  <c r="U387" i="4"/>
  <c r="T387" i="4"/>
  <c r="T387" i="4" a="1"/>
  <c r="S387" i="4"/>
  <c r="R387" i="4"/>
  <c r="Q387" i="4"/>
  <c r="P387" i="4"/>
  <c r="U386" i="4"/>
  <c r="T386" i="4" a="1"/>
  <c r="T386" i="4" s="1"/>
  <c r="S386" i="4"/>
  <c r="Q386" i="4"/>
  <c r="P386" i="4"/>
  <c r="R386" i="4" s="1"/>
  <c r="U385" i="4"/>
  <c r="T385" i="4" a="1"/>
  <c r="T385" i="4" s="1"/>
  <c r="S385" i="4"/>
  <c r="R385" i="4"/>
  <c r="Q385" i="4"/>
  <c r="P385" i="4"/>
  <c r="U384" i="4"/>
  <c r="T384" i="4" a="1"/>
  <c r="T384" i="4" s="1"/>
  <c r="S384" i="4"/>
  <c r="Q384" i="4"/>
  <c r="P384" i="4"/>
  <c r="R384" i="4" s="1"/>
  <c r="U383" i="4"/>
  <c r="T383" i="4" a="1"/>
  <c r="T383" i="4" s="1"/>
  <c r="S383" i="4"/>
  <c r="Q383" i="4"/>
  <c r="R383" i="4" s="1"/>
  <c r="P383" i="4"/>
  <c r="U382" i="4"/>
  <c r="T382" i="4" a="1"/>
  <c r="T382" i="4" s="1"/>
  <c r="S382" i="4"/>
  <c r="Q382" i="4"/>
  <c r="P382" i="4"/>
  <c r="R382" i="4" s="1"/>
  <c r="U381" i="4"/>
  <c r="T381" i="4"/>
  <c r="T381" i="4" a="1"/>
  <c r="S381" i="4"/>
  <c r="Q381" i="4"/>
  <c r="P381" i="4"/>
  <c r="R381" i="4" s="1"/>
  <c r="U380" i="4"/>
  <c r="T380" i="4" a="1"/>
  <c r="T380" i="4" s="1"/>
  <c r="S380" i="4"/>
  <c r="Q380" i="4"/>
  <c r="P380" i="4"/>
  <c r="R380" i="4" s="1"/>
  <c r="U379" i="4"/>
  <c r="T379" i="4"/>
  <c r="T379" i="4" a="1"/>
  <c r="S379" i="4"/>
  <c r="Q379" i="4"/>
  <c r="R379" i="4" s="1"/>
  <c r="P379" i="4"/>
  <c r="U378" i="4"/>
  <c r="T378" i="4" a="1"/>
  <c r="T378" i="4" s="1"/>
  <c r="S378" i="4"/>
  <c r="R378" i="4"/>
  <c r="Q378" i="4"/>
  <c r="P378" i="4"/>
  <c r="U377" i="4"/>
  <c r="T377" i="4"/>
  <c r="T377" i="4" a="1"/>
  <c r="S377" i="4"/>
  <c r="Q377" i="4"/>
  <c r="P377" i="4"/>
  <c r="R377" i="4" s="1"/>
  <c r="U376" i="4"/>
  <c r="T376" i="4" a="1"/>
  <c r="T376" i="4" s="1"/>
  <c r="S376" i="4"/>
  <c r="R376" i="4"/>
  <c r="Q376" i="4"/>
  <c r="P376" i="4"/>
  <c r="U375" i="4"/>
  <c r="T375" i="4"/>
  <c r="T375" i="4" a="1"/>
  <c r="S375" i="4"/>
  <c r="Q375" i="4"/>
  <c r="P375" i="4"/>
  <c r="R375" i="4" s="1"/>
  <c r="U374" i="4"/>
  <c r="T374" i="4" a="1"/>
  <c r="T374" i="4" s="1"/>
  <c r="S374" i="4"/>
  <c r="R374" i="4"/>
  <c r="Q374" i="4"/>
  <c r="P374" i="4"/>
  <c r="U373" i="4"/>
  <c r="T373" i="4" a="1"/>
  <c r="T373" i="4" s="1"/>
  <c r="S373" i="4"/>
  <c r="Q373" i="4"/>
  <c r="R373" i="4" s="1"/>
  <c r="P373" i="4"/>
  <c r="U372" i="4"/>
  <c r="T372" i="4" a="1"/>
  <c r="T372" i="4" s="1"/>
  <c r="S372" i="4"/>
  <c r="R372" i="4"/>
  <c r="Q372" i="4"/>
  <c r="P372" i="4"/>
  <c r="U371" i="4"/>
  <c r="T371" i="4" a="1"/>
  <c r="T371" i="4" s="1"/>
  <c r="S371" i="4"/>
  <c r="Q371" i="4"/>
  <c r="R371" i="4" s="1"/>
  <c r="P371" i="4"/>
  <c r="U370" i="4"/>
  <c r="T370" i="4" a="1"/>
  <c r="T370" i="4" s="1"/>
  <c r="S370" i="4"/>
  <c r="R370" i="4"/>
  <c r="Q370" i="4"/>
  <c r="P370" i="4"/>
  <c r="U369" i="4"/>
  <c r="T369" i="4"/>
  <c r="T369" i="4" a="1"/>
  <c r="S369" i="4"/>
  <c r="Q369" i="4"/>
  <c r="P369" i="4"/>
  <c r="R369" i="4" s="1"/>
  <c r="U368" i="4"/>
  <c r="T368" i="4" a="1"/>
  <c r="T368" i="4" s="1"/>
  <c r="S368" i="4"/>
  <c r="R368" i="4"/>
  <c r="Q368" i="4"/>
  <c r="P368" i="4"/>
  <c r="U367" i="4"/>
  <c r="T367" i="4"/>
  <c r="T367" i="4" a="1"/>
  <c r="S367" i="4"/>
  <c r="Q367" i="4"/>
  <c r="R367" i="4" s="1"/>
  <c r="P367" i="4"/>
  <c r="U366" i="4"/>
  <c r="T366" i="4" a="1"/>
  <c r="T366" i="4" s="1"/>
  <c r="S366" i="4"/>
  <c r="Q366" i="4"/>
  <c r="P366" i="4"/>
  <c r="R366" i="4" s="1"/>
  <c r="U365" i="4"/>
  <c r="T365" i="4" a="1"/>
  <c r="T365" i="4" s="1"/>
  <c r="S365" i="4"/>
  <c r="Q365" i="4"/>
  <c r="P365" i="4"/>
  <c r="R365" i="4" s="1"/>
  <c r="U364" i="4"/>
  <c r="T364" i="4"/>
  <c r="T364" i="4" a="1"/>
  <c r="S364" i="4"/>
  <c r="Q364" i="4"/>
  <c r="P364" i="4"/>
  <c r="R364" i="4" s="1"/>
  <c r="U363" i="4"/>
  <c r="T363" i="4"/>
  <c r="T363" i="4" a="1"/>
  <c r="S363" i="4"/>
  <c r="Q363" i="4"/>
  <c r="P363" i="4"/>
  <c r="R363" i="4" s="1"/>
  <c r="U362" i="4"/>
  <c r="T362" i="4" a="1"/>
  <c r="T362" i="4" s="1"/>
  <c r="S362" i="4"/>
  <c r="Q362" i="4"/>
  <c r="P362" i="4"/>
  <c r="R362" i="4" s="1"/>
  <c r="U361" i="4"/>
  <c r="T361" i="4" a="1"/>
  <c r="T361" i="4" s="1"/>
  <c r="S361" i="4"/>
  <c r="Q361" i="4"/>
  <c r="R361" i="4" s="1"/>
  <c r="P361" i="4"/>
  <c r="U360" i="4"/>
  <c r="T360" i="4" a="1"/>
  <c r="T360" i="4" s="1"/>
  <c r="S360" i="4"/>
  <c r="Q360" i="4"/>
  <c r="P360" i="4"/>
  <c r="R360" i="4" s="1"/>
  <c r="U359" i="4"/>
  <c r="T359" i="4" a="1"/>
  <c r="T359" i="4" s="1"/>
  <c r="S359" i="4"/>
  <c r="Q359" i="4"/>
  <c r="R359" i="4" s="1"/>
  <c r="P359" i="4"/>
  <c r="U358" i="4"/>
  <c r="T358" i="4" a="1"/>
  <c r="T358" i="4" s="1"/>
  <c r="S358" i="4"/>
  <c r="Q358" i="4"/>
  <c r="P358" i="4"/>
  <c r="R358" i="4" s="1"/>
  <c r="U357" i="4"/>
  <c r="T357" i="4"/>
  <c r="T357" i="4" a="1"/>
  <c r="S357" i="4"/>
  <c r="Q357" i="4"/>
  <c r="P357" i="4"/>
  <c r="R357" i="4" s="1"/>
  <c r="U356" i="4"/>
  <c r="T356" i="4" a="1"/>
  <c r="T356" i="4" s="1"/>
  <c r="S356" i="4"/>
  <c r="Q356" i="4"/>
  <c r="P356" i="4"/>
  <c r="R356" i="4" s="1"/>
  <c r="U355" i="4"/>
  <c r="T355" i="4"/>
  <c r="T355" i="4" a="1"/>
  <c r="S355" i="4"/>
  <c r="Q355" i="4"/>
  <c r="R355" i="4" s="1"/>
  <c r="P355" i="4"/>
  <c r="U354" i="4"/>
  <c r="T354" i="4" a="1"/>
  <c r="T354" i="4" s="1"/>
  <c r="S354" i="4"/>
  <c r="R354" i="4"/>
  <c r="Q354" i="4"/>
  <c r="P354" i="4"/>
  <c r="U353" i="4"/>
  <c r="T353" i="4"/>
  <c r="T353" i="4" a="1"/>
  <c r="S353" i="4"/>
  <c r="Q353" i="4"/>
  <c r="P353" i="4"/>
  <c r="R353" i="4" s="1"/>
  <c r="U352" i="4"/>
  <c r="T352" i="4" a="1"/>
  <c r="T352" i="4" s="1"/>
  <c r="S352" i="4"/>
  <c r="R352" i="4"/>
  <c r="Q352" i="4"/>
  <c r="P352" i="4"/>
  <c r="U351" i="4"/>
  <c r="T351" i="4"/>
  <c r="T351" i="4" a="1"/>
  <c r="S351" i="4"/>
  <c r="Q351" i="4"/>
  <c r="P351" i="4"/>
  <c r="R351" i="4" s="1"/>
  <c r="U350" i="4"/>
  <c r="T350" i="4" a="1"/>
  <c r="T350" i="4" s="1"/>
  <c r="S350" i="4"/>
  <c r="R350" i="4"/>
  <c r="Q350" i="4"/>
  <c r="P350" i="4"/>
  <c r="U349" i="4"/>
  <c r="T349" i="4" a="1"/>
  <c r="T349" i="4" s="1"/>
  <c r="S349" i="4"/>
  <c r="Q349" i="4"/>
  <c r="R349" i="4" s="1"/>
  <c r="P349" i="4"/>
  <c r="U348" i="4"/>
  <c r="T348" i="4" a="1"/>
  <c r="T348" i="4" s="1"/>
  <c r="S348" i="4"/>
  <c r="R348" i="4"/>
  <c r="Q348" i="4"/>
  <c r="P348" i="4"/>
  <c r="U347" i="4"/>
  <c r="T347" i="4" a="1"/>
  <c r="T347" i="4" s="1"/>
  <c r="S347" i="4"/>
  <c r="Q347" i="4"/>
  <c r="R347" i="4" s="1"/>
  <c r="P347" i="4"/>
  <c r="U346" i="4"/>
  <c r="T346" i="4" a="1"/>
  <c r="T346" i="4" s="1"/>
  <c r="S346" i="4"/>
  <c r="R346" i="4"/>
  <c r="Q346" i="4"/>
  <c r="P346" i="4"/>
  <c r="U345" i="4"/>
  <c r="T345" i="4"/>
  <c r="T345" i="4" a="1"/>
  <c r="S345" i="4"/>
  <c r="Q345" i="4"/>
  <c r="P345" i="4"/>
  <c r="R345" i="4" s="1"/>
  <c r="U344" i="4"/>
  <c r="T344" i="4" a="1"/>
  <c r="T344" i="4" s="1"/>
  <c r="S344" i="4"/>
  <c r="R344" i="4"/>
  <c r="Q344" i="4"/>
  <c r="P344" i="4"/>
  <c r="U343" i="4"/>
  <c r="T343" i="4"/>
  <c r="T343" i="4" a="1"/>
  <c r="S343" i="4"/>
  <c r="Q343" i="4"/>
  <c r="R343" i="4" s="1"/>
  <c r="P343" i="4"/>
  <c r="U342" i="4"/>
  <c r="T342" i="4" a="1"/>
  <c r="T342" i="4" s="1"/>
  <c r="S342" i="4"/>
  <c r="Q342" i="4"/>
  <c r="P342" i="4"/>
  <c r="R342" i="4" s="1"/>
  <c r="U341" i="4"/>
  <c r="T341" i="4" a="1"/>
  <c r="T341" i="4" s="1"/>
  <c r="S341" i="4"/>
  <c r="Q341" i="4"/>
  <c r="P341" i="4"/>
  <c r="R341" i="4" s="1"/>
  <c r="U340" i="4"/>
  <c r="T340" i="4"/>
  <c r="T340" i="4" a="1"/>
  <c r="S340" i="4"/>
  <c r="Q340" i="4"/>
  <c r="P340" i="4"/>
  <c r="R340" i="4" s="1"/>
  <c r="U339" i="4"/>
  <c r="T339" i="4"/>
  <c r="T339" i="4" a="1"/>
  <c r="S339" i="4"/>
  <c r="Q339" i="4"/>
  <c r="P339" i="4"/>
  <c r="R339" i="4" s="1"/>
  <c r="U338" i="4"/>
  <c r="T338" i="4" a="1"/>
  <c r="T338" i="4" s="1"/>
  <c r="S338" i="4"/>
  <c r="Q338" i="4"/>
  <c r="P338" i="4"/>
  <c r="R338" i="4" s="1"/>
  <c r="U337" i="4"/>
  <c r="T337" i="4"/>
  <c r="T337" i="4" a="1"/>
  <c r="S337" i="4"/>
  <c r="Q337" i="4"/>
  <c r="R337" i="4" s="1"/>
  <c r="P337" i="4"/>
  <c r="U336" i="4"/>
  <c r="T336" i="4" a="1"/>
  <c r="T336" i="4" s="1"/>
  <c r="S336" i="4"/>
  <c r="Q336" i="4"/>
  <c r="P336" i="4"/>
  <c r="R336" i="4" s="1"/>
  <c r="U335" i="4"/>
  <c r="T335" i="4"/>
  <c r="T335" i="4" a="1"/>
  <c r="S335" i="4"/>
  <c r="Q335" i="4"/>
  <c r="R335" i="4" s="1"/>
  <c r="P335" i="4"/>
  <c r="U334" i="4"/>
  <c r="T334" i="4" a="1"/>
  <c r="T334" i="4" s="1"/>
  <c r="S334" i="4"/>
  <c r="Q334" i="4"/>
  <c r="P334" i="4"/>
  <c r="R334" i="4" s="1"/>
  <c r="U333" i="4"/>
  <c r="T333" i="4"/>
  <c r="T333" i="4" a="1"/>
  <c r="S333" i="4"/>
  <c r="Q333" i="4"/>
  <c r="P333" i="4"/>
  <c r="R333" i="4" s="1"/>
  <c r="U332" i="4"/>
  <c r="T332" i="4" a="1"/>
  <c r="T332" i="4" s="1"/>
  <c r="S332" i="4"/>
  <c r="Q332" i="4"/>
  <c r="P332" i="4"/>
  <c r="R332" i="4" s="1"/>
  <c r="U331" i="4"/>
  <c r="T331" i="4"/>
  <c r="T331" i="4" a="1"/>
  <c r="S331" i="4"/>
  <c r="Q331" i="4"/>
  <c r="R331" i="4" s="1"/>
  <c r="P331" i="4"/>
  <c r="U330" i="4"/>
  <c r="T330" i="4" a="1"/>
  <c r="T330" i="4" s="1"/>
  <c r="S330" i="4"/>
  <c r="Q330" i="4"/>
  <c r="P330" i="4"/>
  <c r="R330" i="4" s="1"/>
  <c r="U329" i="4"/>
  <c r="T329" i="4"/>
  <c r="T329" i="4" a="1"/>
  <c r="S329" i="4"/>
  <c r="Q329" i="4"/>
  <c r="P329" i="4"/>
  <c r="R329" i="4" s="1"/>
  <c r="U328" i="4"/>
  <c r="T328" i="4" a="1"/>
  <c r="T328" i="4" s="1"/>
  <c r="S328" i="4"/>
  <c r="Q328" i="4"/>
  <c r="P328" i="4"/>
  <c r="R328" i="4" s="1"/>
  <c r="U327" i="4"/>
  <c r="T327" i="4"/>
  <c r="T327" i="4" a="1"/>
  <c r="S327" i="4"/>
  <c r="Q327" i="4"/>
  <c r="P327" i="4"/>
  <c r="R327" i="4" s="1"/>
  <c r="U326" i="4"/>
  <c r="T326" i="4" a="1"/>
  <c r="T326" i="4" s="1"/>
  <c r="S326" i="4"/>
  <c r="Q326" i="4"/>
  <c r="P326" i="4"/>
  <c r="R326" i="4" s="1"/>
  <c r="U325" i="4"/>
  <c r="T325" i="4" a="1"/>
  <c r="T325" i="4" s="1"/>
  <c r="S325" i="4"/>
  <c r="Q325" i="4"/>
  <c r="R325" i="4" s="1"/>
  <c r="P325" i="4"/>
  <c r="U324" i="4"/>
  <c r="T324" i="4" a="1"/>
  <c r="T324" i="4" s="1"/>
  <c r="S324" i="4"/>
  <c r="R324" i="4"/>
  <c r="Q324" i="4"/>
  <c r="P324" i="4"/>
  <c r="U323" i="4"/>
  <c r="T323" i="4" a="1"/>
  <c r="T323" i="4" s="1"/>
  <c r="S323" i="4"/>
  <c r="Q323" i="4"/>
  <c r="R323" i="4" s="1"/>
  <c r="P323" i="4"/>
  <c r="U322" i="4"/>
  <c r="T322" i="4" a="1"/>
  <c r="T322" i="4" s="1"/>
  <c r="S322" i="4"/>
  <c r="R322" i="4"/>
  <c r="Q322" i="4"/>
  <c r="P322" i="4"/>
  <c r="U321" i="4"/>
  <c r="T321" i="4"/>
  <c r="T321" i="4" a="1"/>
  <c r="S321" i="4"/>
  <c r="Q321" i="4"/>
  <c r="P321" i="4"/>
  <c r="U320" i="4"/>
  <c r="T320" i="4" a="1"/>
  <c r="T320" i="4" s="1"/>
  <c r="S320" i="4"/>
  <c r="R320" i="4"/>
  <c r="Q320" i="4"/>
  <c r="P320" i="4"/>
  <c r="U319" i="4"/>
  <c r="T319" i="4"/>
  <c r="T319" i="4" a="1"/>
  <c r="S319" i="4"/>
  <c r="R319" i="4"/>
  <c r="Q319" i="4"/>
  <c r="P319" i="4"/>
  <c r="U318" i="4"/>
  <c r="T318" i="4" a="1"/>
  <c r="T318" i="4" s="1"/>
  <c r="S318" i="4"/>
  <c r="Q318" i="4"/>
  <c r="P318" i="4"/>
  <c r="R318" i="4" s="1"/>
  <c r="U317" i="4"/>
  <c r="T317" i="4" a="1"/>
  <c r="T317" i="4" s="1"/>
  <c r="S317" i="4"/>
  <c r="Q317" i="4"/>
  <c r="P317" i="4"/>
  <c r="U316" i="4"/>
  <c r="T316" i="4"/>
  <c r="T316" i="4" a="1"/>
  <c r="S316" i="4"/>
  <c r="Q316" i="4"/>
  <c r="P316" i="4"/>
  <c r="R316" i="4" s="1"/>
  <c r="U315" i="4"/>
  <c r="T315" i="4"/>
  <c r="T315" i="4" a="1"/>
  <c r="S315" i="4"/>
  <c r="R315" i="4"/>
  <c r="Q315" i="4"/>
  <c r="P315" i="4"/>
  <c r="U314" i="4"/>
  <c r="T314" i="4" a="1"/>
  <c r="T314" i="4" s="1"/>
  <c r="S314" i="4"/>
  <c r="Q314" i="4"/>
  <c r="P314" i="4"/>
  <c r="R314" i="4" s="1"/>
  <c r="U313" i="4"/>
  <c r="T313" i="4"/>
  <c r="T313" i="4" a="1"/>
  <c r="S313" i="4"/>
  <c r="R313" i="4"/>
  <c r="Q313" i="4"/>
  <c r="P313" i="4"/>
  <c r="U312" i="4"/>
  <c r="T312" i="4" a="1"/>
  <c r="T312" i="4" s="1"/>
  <c r="S312" i="4"/>
  <c r="Q312" i="4"/>
  <c r="P312" i="4"/>
  <c r="R312" i="4" s="1"/>
  <c r="U311" i="4"/>
  <c r="T311" i="4"/>
  <c r="T311" i="4" a="1"/>
  <c r="S311" i="4"/>
  <c r="Q311" i="4"/>
  <c r="R311" i="4" s="1"/>
  <c r="P311" i="4"/>
  <c r="U310" i="4"/>
  <c r="T310" i="4" a="1"/>
  <c r="T310" i="4" s="1"/>
  <c r="S310" i="4"/>
  <c r="Q310" i="4"/>
  <c r="P310" i="4"/>
  <c r="R310" i="4" s="1"/>
  <c r="U309" i="4"/>
  <c r="T309" i="4"/>
  <c r="T309" i="4" a="1"/>
  <c r="S309" i="4"/>
  <c r="Q309" i="4"/>
  <c r="P309" i="4"/>
  <c r="U308" i="4"/>
  <c r="T308" i="4" a="1"/>
  <c r="T308" i="4" s="1"/>
  <c r="S308" i="4"/>
  <c r="Q308" i="4"/>
  <c r="P308" i="4"/>
  <c r="R308" i="4" s="1"/>
  <c r="U307" i="4"/>
  <c r="T307" i="4"/>
  <c r="T307" i="4" a="1"/>
  <c r="S307" i="4"/>
  <c r="R307" i="4"/>
  <c r="Q307" i="4"/>
  <c r="P307" i="4"/>
  <c r="U306" i="4"/>
  <c r="T306" i="4" a="1"/>
  <c r="T306" i="4" s="1"/>
  <c r="S306" i="4"/>
  <c r="Q306" i="4"/>
  <c r="P306" i="4"/>
  <c r="R306" i="4" s="1"/>
  <c r="U305" i="4"/>
  <c r="T305" i="4"/>
  <c r="T305" i="4" a="1"/>
  <c r="S305" i="4"/>
  <c r="Q305" i="4"/>
  <c r="P305" i="4"/>
  <c r="R305" i="4" s="1"/>
  <c r="U304" i="4"/>
  <c r="T304" i="4" a="1"/>
  <c r="T304" i="4" s="1"/>
  <c r="S304" i="4"/>
  <c r="Q304" i="4"/>
  <c r="P304" i="4"/>
  <c r="R304" i="4" s="1"/>
  <c r="U303" i="4"/>
  <c r="T303" i="4"/>
  <c r="T303" i="4" a="1"/>
  <c r="S303" i="4"/>
  <c r="Q303" i="4"/>
  <c r="P303" i="4"/>
  <c r="R303" i="4" s="1"/>
  <c r="U302" i="4"/>
  <c r="T302" i="4" a="1"/>
  <c r="T302" i="4" s="1"/>
  <c r="S302" i="4"/>
  <c r="Q302" i="4"/>
  <c r="P302" i="4"/>
  <c r="R302" i="4" s="1"/>
  <c r="U301" i="4"/>
  <c r="T301" i="4" a="1"/>
  <c r="T301" i="4" s="1"/>
  <c r="S301" i="4"/>
  <c r="Q301" i="4"/>
  <c r="R301" i="4" s="1"/>
  <c r="P301" i="4"/>
  <c r="U300" i="4"/>
  <c r="T300" i="4" a="1"/>
  <c r="T300" i="4" s="1"/>
  <c r="S300" i="4"/>
  <c r="R300" i="4"/>
  <c r="Q300" i="4"/>
  <c r="P300" i="4"/>
  <c r="U299" i="4"/>
  <c r="T299" i="4" a="1"/>
  <c r="T299" i="4" s="1"/>
  <c r="S299" i="4"/>
  <c r="Q299" i="4"/>
  <c r="R299" i="4" s="1"/>
  <c r="P299" i="4"/>
  <c r="U298" i="4"/>
  <c r="T298" i="4"/>
  <c r="T298" i="4" a="1"/>
  <c r="S298" i="4"/>
  <c r="R298" i="4"/>
  <c r="Q298" i="4"/>
  <c r="P298" i="4"/>
  <c r="U297" i="4"/>
  <c r="T297" i="4"/>
  <c r="T297" i="4" a="1"/>
  <c r="S297" i="4"/>
  <c r="Q297" i="4"/>
  <c r="P297" i="4"/>
  <c r="R297" i="4" s="1"/>
  <c r="U296" i="4"/>
  <c r="T296" i="4" a="1"/>
  <c r="T296" i="4" s="1"/>
  <c r="S296" i="4"/>
  <c r="R296" i="4"/>
  <c r="Q296" i="4"/>
  <c r="P296" i="4"/>
  <c r="U295" i="4"/>
  <c r="T295" i="4"/>
  <c r="T295" i="4" a="1"/>
  <c r="S295" i="4"/>
  <c r="Q295" i="4"/>
  <c r="R295" i="4" s="1"/>
  <c r="P295" i="4"/>
  <c r="U294" i="4"/>
  <c r="T294" i="4" a="1"/>
  <c r="T294" i="4" s="1"/>
  <c r="S294" i="4"/>
  <c r="Q294" i="4"/>
  <c r="P294" i="4"/>
  <c r="R294" i="4" s="1"/>
  <c r="U293" i="4"/>
  <c r="T293" i="4" a="1"/>
  <c r="T293" i="4" s="1"/>
  <c r="S293" i="4"/>
  <c r="Q293" i="4"/>
  <c r="P293" i="4"/>
  <c r="R293" i="4" s="1"/>
  <c r="U292" i="4"/>
  <c r="T292" i="4"/>
  <c r="T292" i="4" a="1"/>
  <c r="S292" i="4"/>
  <c r="Q292" i="4"/>
  <c r="P292" i="4"/>
  <c r="R292" i="4" s="1"/>
  <c r="U291" i="4"/>
  <c r="T291" i="4"/>
  <c r="T291" i="4" a="1"/>
  <c r="S291" i="4"/>
  <c r="Q291" i="4"/>
  <c r="P291" i="4"/>
  <c r="R291" i="4" s="1"/>
  <c r="U290" i="4"/>
  <c r="T290" i="4" a="1"/>
  <c r="T290" i="4" s="1"/>
  <c r="S290" i="4"/>
  <c r="Q290" i="4"/>
  <c r="P290" i="4"/>
  <c r="R290" i="4" s="1"/>
  <c r="U289" i="4"/>
  <c r="T289" i="4" a="1"/>
  <c r="T289" i="4" s="1"/>
  <c r="S289" i="4"/>
  <c r="Q289" i="4"/>
  <c r="R289" i="4" s="1"/>
  <c r="P289" i="4"/>
  <c r="U288" i="4"/>
  <c r="T288" i="4" a="1"/>
  <c r="T288" i="4" s="1"/>
  <c r="S288" i="4"/>
  <c r="Q288" i="4"/>
  <c r="P288" i="4"/>
  <c r="R288" i="4" s="1"/>
  <c r="U287" i="4"/>
  <c r="T287" i="4" a="1"/>
  <c r="T287" i="4" s="1"/>
  <c r="S287" i="4"/>
  <c r="Q287" i="4"/>
  <c r="P287" i="4"/>
  <c r="U286" i="4"/>
  <c r="T286" i="4" a="1"/>
  <c r="T286" i="4" s="1"/>
  <c r="S286" i="4"/>
  <c r="Q286" i="4"/>
  <c r="P286" i="4"/>
  <c r="R286" i="4" s="1"/>
  <c r="U285" i="4"/>
  <c r="T285" i="4"/>
  <c r="T285" i="4" a="1"/>
  <c r="S285" i="4"/>
  <c r="Q285" i="4"/>
  <c r="P285" i="4"/>
  <c r="U284" i="4"/>
  <c r="T284" i="4" a="1"/>
  <c r="T284" i="4" s="1"/>
  <c r="S284" i="4"/>
  <c r="Q284" i="4"/>
  <c r="P284" i="4"/>
  <c r="R284" i="4" s="1"/>
  <c r="U283" i="4"/>
  <c r="T283" i="4"/>
  <c r="T283" i="4" a="1"/>
  <c r="S283" i="4"/>
  <c r="R283" i="4"/>
  <c r="Q283" i="4"/>
  <c r="P283" i="4"/>
  <c r="U282" i="4"/>
  <c r="T282" i="4" a="1"/>
  <c r="T282" i="4" s="1"/>
  <c r="S282" i="4"/>
  <c r="Q282" i="4"/>
  <c r="P282" i="4"/>
  <c r="R282" i="4" s="1"/>
  <c r="U281" i="4"/>
  <c r="T281" i="4"/>
  <c r="T281" i="4" a="1"/>
  <c r="S281" i="4"/>
  <c r="Q281" i="4"/>
  <c r="P281" i="4"/>
  <c r="R281" i="4" s="1"/>
  <c r="U280" i="4"/>
  <c r="T280" i="4" a="1"/>
  <c r="T280" i="4" s="1"/>
  <c r="S280" i="4"/>
  <c r="Q280" i="4"/>
  <c r="P280" i="4"/>
  <c r="R280" i="4" s="1"/>
  <c r="U279" i="4"/>
  <c r="T279" i="4"/>
  <c r="T279" i="4" a="1"/>
  <c r="S279" i="4"/>
  <c r="Q279" i="4"/>
  <c r="P279" i="4"/>
  <c r="R279" i="4" s="1"/>
  <c r="U278" i="4"/>
  <c r="T278" i="4" a="1"/>
  <c r="T278" i="4" s="1"/>
  <c r="S278" i="4"/>
  <c r="Q278" i="4"/>
  <c r="P278" i="4"/>
  <c r="R278" i="4" s="1"/>
  <c r="U277" i="4"/>
  <c r="T277" i="4" a="1"/>
  <c r="T277" i="4" s="1"/>
  <c r="S277" i="4"/>
  <c r="Q277" i="4"/>
  <c r="R277" i="4" s="1"/>
  <c r="P277" i="4"/>
  <c r="U276" i="4"/>
  <c r="T276" i="4" a="1"/>
  <c r="T276" i="4" s="1"/>
  <c r="S276" i="4"/>
  <c r="R276" i="4"/>
  <c r="Q276" i="4"/>
  <c r="P276" i="4"/>
  <c r="U275" i="4"/>
  <c r="T275" i="4" a="1"/>
  <c r="T275" i="4" s="1"/>
  <c r="S275" i="4"/>
  <c r="Q275" i="4"/>
  <c r="P275" i="4"/>
  <c r="R275" i="4" s="1"/>
  <c r="U274" i="4"/>
  <c r="T274" i="4" a="1"/>
  <c r="T274" i="4" s="1"/>
  <c r="S274" i="4"/>
  <c r="R274" i="4"/>
  <c r="Q274" i="4"/>
  <c r="P274" i="4"/>
  <c r="U273" i="4"/>
  <c r="T273" i="4"/>
  <c r="T273" i="4" a="1"/>
  <c r="S273" i="4"/>
  <c r="Q273" i="4"/>
  <c r="P273" i="4"/>
  <c r="R273" i="4" s="1"/>
  <c r="U272" i="4"/>
  <c r="T272" i="4" a="1"/>
  <c r="T272" i="4" s="1"/>
  <c r="S272" i="4"/>
  <c r="R272" i="4"/>
  <c r="Q272" i="4"/>
  <c r="P272" i="4"/>
  <c r="U271" i="4"/>
  <c r="T271" i="4"/>
  <c r="T271" i="4" a="1"/>
  <c r="S271" i="4"/>
  <c r="Q271" i="4"/>
  <c r="R271" i="4" s="1"/>
  <c r="P271" i="4"/>
  <c r="U270" i="4"/>
  <c r="T270" i="4"/>
  <c r="T270" i="4" a="1"/>
  <c r="S270" i="4"/>
  <c r="Q270" i="4"/>
  <c r="P270" i="4"/>
  <c r="R270" i="4" s="1"/>
  <c r="U269" i="4"/>
  <c r="T269" i="4" a="1"/>
  <c r="T269" i="4" s="1"/>
  <c r="S269" i="4"/>
  <c r="Q269" i="4"/>
  <c r="P269" i="4"/>
  <c r="R269" i="4" s="1"/>
  <c r="U268" i="4"/>
  <c r="T268" i="4"/>
  <c r="T268" i="4" a="1"/>
  <c r="S268" i="4"/>
  <c r="Q268" i="4"/>
  <c r="P268" i="4"/>
  <c r="R268" i="4" s="1"/>
  <c r="U267" i="4"/>
  <c r="T267" i="4"/>
  <c r="T267" i="4" a="1"/>
  <c r="S267" i="4"/>
  <c r="Q267" i="4"/>
  <c r="R267" i="4" s="1"/>
  <c r="P267" i="4"/>
  <c r="U266" i="4"/>
  <c r="T266" i="4" a="1"/>
  <c r="T266" i="4" s="1"/>
  <c r="S266" i="4"/>
  <c r="Q266" i="4"/>
  <c r="P266" i="4"/>
  <c r="R266" i="4" s="1"/>
  <c r="U265" i="4"/>
  <c r="T265" i="4" a="1"/>
  <c r="T265" i="4" s="1"/>
  <c r="S265" i="4"/>
  <c r="Q265" i="4"/>
  <c r="R265" i="4" s="1"/>
  <c r="P265" i="4"/>
  <c r="U264" i="4"/>
  <c r="T264" i="4" a="1"/>
  <c r="T264" i="4" s="1"/>
  <c r="S264" i="4"/>
  <c r="Q264" i="4"/>
  <c r="P264" i="4"/>
  <c r="R264" i="4" s="1"/>
  <c r="U263" i="4"/>
  <c r="T263" i="4" a="1"/>
  <c r="T263" i="4" s="1"/>
  <c r="S263" i="4"/>
  <c r="Q263" i="4"/>
  <c r="P263" i="4"/>
  <c r="U262" i="4"/>
  <c r="T262" i="4" a="1"/>
  <c r="T262" i="4" s="1"/>
  <c r="S262" i="4"/>
  <c r="Q262" i="4"/>
  <c r="P262" i="4"/>
  <c r="R262" i="4" s="1"/>
  <c r="U261" i="4"/>
  <c r="T261" i="4"/>
  <c r="T261" i="4" a="1"/>
  <c r="S261" i="4"/>
  <c r="Q261" i="4"/>
  <c r="P261" i="4"/>
  <c r="U260" i="4"/>
  <c r="T260" i="4" a="1"/>
  <c r="T260" i="4" s="1"/>
  <c r="S260" i="4"/>
  <c r="Q260" i="4"/>
  <c r="P260" i="4"/>
  <c r="U259" i="4"/>
  <c r="T259" i="4"/>
  <c r="T259" i="4" a="1"/>
  <c r="S259" i="4"/>
  <c r="R259" i="4"/>
  <c r="Q259" i="4"/>
  <c r="P259" i="4"/>
  <c r="U258" i="4"/>
  <c r="T258" i="4" a="1"/>
  <c r="T258" i="4" s="1"/>
  <c r="S258" i="4"/>
  <c r="R258" i="4"/>
  <c r="Q258" i="4"/>
  <c r="P258" i="4"/>
  <c r="U257" i="4"/>
  <c r="T257" i="4"/>
  <c r="T257" i="4" a="1"/>
  <c r="S257" i="4"/>
  <c r="Q257" i="4"/>
  <c r="P257" i="4"/>
  <c r="R257" i="4" s="1"/>
  <c r="U256" i="4"/>
  <c r="T256" i="4" a="1"/>
  <c r="T256" i="4" s="1"/>
  <c r="S256" i="4"/>
  <c r="R256" i="4"/>
  <c r="Q256" i="4"/>
  <c r="P256" i="4"/>
  <c r="U255" i="4"/>
  <c r="T255" i="4"/>
  <c r="T255" i="4" a="1"/>
  <c r="S255" i="4"/>
  <c r="Q255" i="4"/>
  <c r="P255" i="4"/>
  <c r="R255" i="4" s="1"/>
  <c r="U254" i="4"/>
  <c r="T254" i="4" a="1"/>
  <c r="T254" i="4" s="1"/>
  <c r="S254" i="4"/>
  <c r="R254" i="4"/>
  <c r="Q254" i="4"/>
  <c r="P254" i="4"/>
  <c r="U253" i="4"/>
  <c r="T253" i="4" a="1"/>
  <c r="T253" i="4" s="1"/>
  <c r="S253" i="4"/>
  <c r="Q253" i="4"/>
  <c r="R253" i="4" s="1"/>
  <c r="P253" i="4"/>
  <c r="U252" i="4"/>
  <c r="T252" i="4" a="1"/>
  <c r="T252" i="4" s="1"/>
  <c r="S252" i="4"/>
  <c r="R252" i="4"/>
  <c r="Q252" i="4"/>
  <c r="P252" i="4"/>
  <c r="U251" i="4"/>
  <c r="T251" i="4" a="1"/>
  <c r="T251" i="4" s="1"/>
  <c r="S251" i="4"/>
  <c r="Q251" i="4"/>
  <c r="R251" i="4" s="1"/>
  <c r="P251" i="4"/>
  <c r="U250" i="4"/>
  <c r="T250" i="4" a="1"/>
  <c r="T250" i="4" s="1"/>
  <c r="S250" i="4"/>
  <c r="R250" i="4"/>
  <c r="Q250" i="4"/>
  <c r="P250" i="4"/>
  <c r="U249" i="4"/>
  <c r="T249" i="4"/>
  <c r="T249" i="4" a="1"/>
  <c r="S249" i="4"/>
  <c r="Q249" i="4"/>
  <c r="P249" i="4"/>
  <c r="R249" i="4" s="1"/>
  <c r="U248" i="4"/>
  <c r="T248" i="4" a="1"/>
  <c r="T248" i="4" s="1"/>
  <c r="S248" i="4"/>
  <c r="R248" i="4"/>
  <c r="Q248" i="4"/>
  <c r="P248" i="4"/>
  <c r="U247" i="4"/>
  <c r="T247" i="4"/>
  <c r="T247" i="4" a="1"/>
  <c r="S247" i="4"/>
  <c r="Q247" i="4"/>
  <c r="R247" i="4" s="1"/>
  <c r="P247" i="4"/>
  <c r="U246" i="4"/>
  <c r="T246" i="4" a="1"/>
  <c r="T246" i="4" s="1"/>
  <c r="S246" i="4"/>
  <c r="Q246" i="4"/>
  <c r="P246" i="4"/>
  <c r="R246" i="4" s="1"/>
  <c r="U245" i="4"/>
  <c r="T245" i="4" a="1"/>
  <c r="T245" i="4" s="1"/>
  <c r="S245" i="4"/>
  <c r="Q245" i="4"/>
  <c r="P245" i="4"/>
  <c r="R245" i="4" s="1"/>
  <c r="U244" i="4"/>
  <c r="T244" i="4"/>
  <c r="T244" i="4" a="1"/>
  <c r="S244" i="4"/>
  <c r="Q244" i="4"/>
  <c r="P244" i="4"/>
  <c r="R244" i="4" s="1"/>
  <c r="U243" i="4"/>
  <c r="T243" i="4"/>
  <c r="T243" i="4" a="1"/>
  <c r="S243" i="4"/>
  <c r="Q243" i="4"/>
  <c r="P243" i="4"/>
  <c r="R243" i="4" s="1"/>
  <c r="U242" i="4"/>
  <c r="T242" i="4" a="1"/>
  <c r="T242" i="4" s="1"/>
  <c r="S242" i="4"/>
  <c r="Q242" i="4"/>
  <c r="P242" i="4"/>
  <c r="R242" i="4" s="1"/>
  <c r="U241" i="4"/>
  <c r="T241" i="4" a="1"/>
  <c r="T241" i="4" s="1"/>
  <c r="S241" i="4"/>
  <c r="Q241" i="4"/>
  <c r="R241" i="4" s="1"/>
  <c r="P241" i="4"/>
  <c r="U240" i="4"/>
  <c r="T240" i="4" a="1"/>
  <c r="T240" i="4" s="1"/>
  <c r="S240" i="4"/>
  <c r="Q240" i="4"/>
  <c r="P240" i="4"/>
  <c r="R240" i="4" s="1"/>
  <c r="U239" i="4"/>
  <c r="T239" i="4" a="1"/>
  <c r="T239" i="4" s="1"/>
  <c r="S239" i="4"/>
  <c r="Q239" i="4"/>
  <c r="R239" i="4" s="1"/>
  <c r="P239" i="4"/>
  <c r="U238" i="4"/>
  <c r="T238" i="4" a="1"/>
  <c r="T238" i="4" s="1"/>
  <c r="S238" i="4"/>
  <c r="Q238" i="4"/>
  <c r="P238" i="4"/>
  <c r="R238" i="4" s="1"/>
  <c r="U237" i="4"/>
  <c r="T237" i="4"/>
  <c r="T237" i="4" a="1"/>
  <c r="S237" i="4"/>
  <c r="Q237" i="4"/>
  <c r="P237" i="4"/>
  <c r="U236" i="4"/>
  <c r="T236" i="4" a="1"/>
  <c r="T236" i="4" s="1"/>
  <c r="S236" i="4"/>
  <c r="Q236" i="4"/>
  <c r="P236" i="4"/>
  <c r="R236" i="4" s="1"/>
  <c r="U235" i="4"/>
  <c r="T235" i="4"/>
  <c r="T235" i="4" a="1"/>
  <c r="S235" i="4"/>
  <c r="R235" i="4"/>
  <c r="Q235" i="4"/>
  <c r="P235" i="4"/>
  <c r="U234" i="4"/>
  <c r="T234" i="4" a="1"/>
  <c r="T234" i="4" s="1"/>
  <c r="S234" i="4"/>
  <c r="Q234" i="4"/>
  <c r="P234" i="4"/>
  <c r="R234" i="4" s="1"/>
  <c r="U233" i="4"/>
  <c r="T233" i="4"/>
  <c r="T233" i="4" a="1"/>
  <c r="S233" i="4"/>
  <c r="Q233" i="4"/>
  <c r="P233" i="4"/>
  <c r="R233" i="4" s="1"/>
  <c r="U232" i="4"/>
  <c r="T232" i="4" a="1"/>
  <c r="T232" i="4" s="1"/>
  <c r="S232" i="4"/>
  <c r="Q232" i="4"/>
  <c r="P232" i="4"/>
  <c r="R232" i="4" s="1"/>
  <c r="U231" i="4"/>
  <c r="T231" i="4"/>
  <c r="T231" i="4" a="1"/>
  <c r="S231" i="4"/>
  <c r="Q231" i="4"/>
  <c r="P231" i="4"/>
  <c r="R231" i="4" s="1"/>
  <c r="U230" i="4"/>
  <c r="T230" i="4" a="1"/>
  <c r="T230" i="4" s="1"/>
  <c r="S230" i="4"/>
  <c r="Q230" i="4"/>
  <c r="P230" i="4"/>
  <c r="R230" i="4" s="1"/>
  <c r="U229" i="4"/>
  <c r="T229" i="4" a="1"/>
  <c r="T229" i="4" s="1"/>
  <c r="S229" i="4"/>
  <c r="Q229" i="4"/>
  <c r="R229" i="4" s="1"/>
  <c r="P229" i="4"/>
  <c r="U228" i="4"/>
  <c r="T228" i="4" a="1"/>
  <c r="T228" i="4" s="1"/>
  <c r="S228" i="4"/>
  <c r="R228" i="4"/>
  <c r="Q228" i="4"/>
  <c r="P228" i="4"/>
  <c r="U227" i="4"/>
  <c r="T227" i="4" a="1"/>
  <c r="T227" i="4" s="1"/>
  <c r="S227" i="4"/>
  <c r="Q227" i="4"/>
  <c r="R227" i="4" s="1"/>
  <c r="P227" i="4"/>
  <c r="U226" i="4"/>
  <c r="T226" i="4" a="1"/>
  <c r="T226" i="4" s="1"/>
  <c r="S226" i="4"/>
  <c r="R226" i="4"/>
  <c r="Q226" i="4"/>
  <c r="P226" i="4"/>
  <c r="U225" i="4"/>
  <c r="T225" i="4"/>
  <c r="T225" i="4" a="1"/>
  <c r="S225" i="4"/>
  <c r="Q225" i="4"/>
  <c r="P225" i="4"/>
  <c r="R225" i="4" s="1"/>
  <c r="U224" i="4"/>
  <c r="T224" i="4" a="1"/>
  <c r="T224" i="4" s="1"/>
  <c r="S224" i="4"/>
  <c r="R224" i="4"/>
  <c r="Q224" i="4"/>
  <c r="P224" i="4"/>
  <c r="U223" i="4"/>
  <c r="T223" i="4"/>
  <c r="T223" i="4" a="1"/>
  <c r="S223" i="4"/>
  <c r="Q223" i="4"/>
  <c r="R223" i="4" s="1"/>
  <c r="P223" i="4"/>
  <c r="U222" i="4"/>
  <c r="T222" i="4" a="1"/>
  <c r="T222" i="4" s="1"/>
  <c r="S222" i="4"/>
  <c r="Q222" i="4"/>
  <c r="P222" i="4"/>
  <c r="R222" i="4" s="1"/>
  <c r="U221" i="4"/>
  <c r="T221" i="4" a="1"/>
  <c r="T221" i="4" s="1"/>
  <c r="S221" i="4"/>
  <c r="Q221" i="4"/>
  <c r="P221" i="4"/>
  <c r="R221" i="4" s="1"/>
  <c r="U220" i="4"/>
  <c r="T220" i="4"/>
  <c r="T220" i="4" a="1"/>
  <c r="S220" i="4"/>
  <c r="Q220" i="4"/>
  <c r="P220" i="4"/>
  <c r="R220" i="4" s="1"/>
  <c r="U219" i="4"/>
  <c r="T219" i="4"/>
  <c r="T219" i="4" a="1"/>
  <c r="S219" i="4"/>
  <c r="Q219" i="4"/>
  <c r="P219" i="4"/>
  <c r="R219" i="4" s="1"/>
  <c r="U218" i="4"/>
  <c r="T218" i="4" a="1"/>
  <c r="T218" i="4" s="1"/>
  <c r="S218" i="4"/>
  <c r="Q218" i="4"/>
  <c r="P218" i="4"/>
  <c r="R218" i="4" s="1"/>
  <c r="U217" i="4"/>
  <c r="T217" i="4" a="1"/>
  <c r="T217" i="4" s="1"/>
  <c r="S217" i="4"/>
  <c r="Q217" i="4"/>
  <c r="R217" i="4" s="1"/>
  <c r="P217" i="4"/>
  <c r="U216" i="4"/>
  <c r="T216" i="4" a="1"/>
  <c r="T216" i="4" s="1"/>
  <c r="S216" i="4"/>
  <c r="Q216" i="4"/>
  <c r="P216" i="4"/>
  <c r="R216" i="4" s="1"/>
  <c r="U215" i="4"/>
  <c r="T215" i="4" a="1"/>
  <c r="T215" i="4" s="1"/>
  <c r="S215" i="4"/>
  <c r="Q215" i="4"/>
  <c r="P215" i="4"/>
  <c r="U214" i="4"/>
  <c r="T214" i="4" a="1"/>
  <c r="T214" i="4" s="1"/>
  <c r="S214" i="4"/>
  <c r="Q214" i="4"/>
  <c r="P214" i="4"/>
  <c r="U213" i="4"/>
  <c r="T213" i="4"/>
  <c r="T213" i="4" a="1"/>
  <c r="S213" i="4"/>
  <c r="Q213" i="4"/>
  <c r="P213" i="4"/>
  <c r="U212" i="4"/>
  <c r="T212" i="4" a="1"/>
  <c r="T212" i="4" s="1"/>
  <c r="S212" i="4"/>
  <c r="Q212" i="4"/>
  <c r="P212" i="4"/>
  <c r="R212" i="4" s="1"/>
  <c r="U211" i="4"/>
  <c r="T211" i="4"/>
  <c r="T211" i="4" a="1"/>
  <c r="S211" i="4"/>
  <c r="R211" i="4"/>
  <c r="Q211" i="4"/>
  <c r="P211" i="4"/>
  <c r="U210" i="4"/>
  <c r="T210" i="4" a="1"/>
  <c r="T210" i="4" s="1"/>
  <c r="S210" i="4"/>
  <c r="R210" i="4"/>
  <c r="Q210" i="4"/>
  <c r="P210" i="4"/>
  <c r="U209" i="4"/>
  <c r="T209" i="4"/>
  <c r="T209" i="4" a="1"/>
  <c r="S209" i="4"/>
  <c r="Q209" i="4"/>
  <c r="P209" i="4"/>
  <c r="R209" i="4" s="1"/>
  <c r="U208" i="4"/>
  <c r="T208" i="4" a="1"/>
  <c r="T208" i="4" s="1"/>
  <c r="S208" i="4"/>
  <c r="R208" i="4"/>
  <c r="Q208" i="4"/>
  <c r="P208" i="4"/>
  <c r="U207" i="4"/>
  <c r="T207" i="4"/>
  <c r="T207" i="4" a="1"/>
  <c r="S207" i="4"/>
  <c r="Q207" i="4"/>
  <c r="P207" i="4"/>
  <c r="R207" i="4" s="1"/>
  <c r="U206" i="4"/>
  <c r="T206" i="4" a="1"/>
  <c r="T206" i="4" s="1"/>
  <c r="S206" i="4"/>
  <c r="Q206" i="4"/>
  <c r="R206" i="4" s="1"/>
  <c r="P206" i="4"/>
  <c r="U205" i="4"/>
  <c r="T205" i="4" a="1"/>
  <c r="T205" i="4" s="1"/>
  <c r="S205" i="4"/>
  <c r="Q205" i="4"/>
  <c r="R205" i="4" s="1"/>
  <c r="P205" i="4"/>
  <c r="U204" i="4"/>
  <c r="T204" i="4" a="1"/>
  <c r="T204" i="4" s="1"/>
  <c r="S204" i="4"/>
  <c r="R204" i="4"/>
  <c r="Q204" i="4"/>
  <c r="P204" i="4"/>
  <c r="U203" i="4"/>
  <c r="T203" i="4" a="1"/>
  <c r="T203" i="4" s="1"/>
  <c r="S203" i="4"/>
  <c r="Q203" i="4"/>
  <c r="P203" i="4"/>
  <c r="R203" i="4" s="1"/>
  <c r="U202" i="4"/>
  <c r="T202" i="4" a="1"/>
  <c r="T202" i="4" s="1"/>
  <c r="S202" i="4"/>
  <c r="R202" i="4"/>
  <c r="Q202" i="4"/>
  <c r="P202" i="4"/>
  <c r="U201" i="4"/>
  <c r="T201" i="4"/>
  <c r="T201" i="4" a="1"/>
  <c r="S201" i="4"/>
  <c r="Q201" i="4"/>
  <c r="P201" i="4"/>
  <c r="R201" i="4" s="1"/>
  <c r="U200" i="4"/>
  <c r="T200" i="4" a="1"/>
  <c r="T200" i="4" s="1"/>
  <c r="S200" i="4"/>
  <c r="R200" i="4"/>
  <c r="Q200" i="4"/>
  <c r="P200" i="4"/>
  <c r="U199" i="4"/>
  <c r="T199" i="4"/>
  <c r="T199" i="4" a="1"/>
  <c r="S199" i="4"/>
  <c r="Q199" i="4"/>
  <c r="R199" i="4" s="1"/>
  <c r="P199" i="4"/>
  <c r="U198" i="4"/>
  <c r="T198" i="4" a="1"/>
  <c r="T198" i="4" s="1"/>
  <c r="S198" i="4"/>
  <c r="Q198" i="4"/>
  <c r="P198" i="4"/>
  <c r="R198" i="4" s="1"/>
  <c r="U197" i="4"/>
  <c r="T197" i="4" a="1"/>
  <c r="T197" i="4" s="1"/>
  <c r="S197" i="4"/>
  <c r="Q197" i="4"/>
  <c r="P197" i="4"/>
  <c r="R197" i="4" s="1"/>
  <c r="U196" i="4"/>
  <c r="T196" i="4"/>
  <c r="T196" i="4" a="1"/>
  <c r="S196" i="4"/>
  <c r="Q196" i="4"/>
  <c r="P196" i="4"/>
  <c r="R196" i="4" s="1"/>
  <c r="U195" i="4"/>
  <c r="T195" i="4"/>
  <c r="T195" i="4" a="1"/>
  <c r="S195" i="4"/>
  <c r="Q195" i="4"/>
  <c r="P195" i="4"/>
  <c r="R195" i="4" s="1"/>
  <c r="U194" i="4"/>
  <c r="T194" i="4" a="1"/>
  <c r="T194" i="4" s="1"/>
  <c r="S194" i="4"/>
  <c r="Q194" i="4"/>
  <c r="P194" i="4"/>
  <c r="R194" i="4" s="1"/>
  <c r="U193" i="4"/>
  <c r="T193" i="4" a="1"/>
  <c r="T193" i="4" s="1"/>
  <c r="S193" i="4"/>
  <c r="Q193" i="4"/>
  <c r="R193" i="4" s="1"/>
  <c r="P193" i="4"/>
  <c r="U192" i="4"/>
  <c r="T192" i="4" a="1"/>
  <c r="T192" i="4" s="1"/>
  <c r="S192" i="4"/>
  <c r="Q192" i="4"/>
  <c r="P192" i="4"/>
  <c r="R192" i="4" s="1"/>
  <c r="U191" i="4"/>
  <c r="T191" i="4" a="1"/>
  <c r="T191" i="4" s="1"/>
  <c r="S191" i="4"/>
  <c r="Q191" i="4"/>
  <c r="P191" i="4"/>
  <c r="U190" i="4"/>
  <c r="T190" i="4" a="1"/>
  <c r="T190" i="4" s="1"/>
  <c r="S190" i="4"/>
  <c r="Q190" i="4"/>
  <c r="P190" i="4"/>
  <c r="R190" i="4" s="1"/>
  <c r="U189" i="4"/>
  <c r="T189" i="4"/>
  <c r="T189" i="4" a="1"/>
  <c r="S189" i="4"/>
  <c r="Q189" i="4"/>
  <c r="P189" i="4"/>
  <c r="U188" i="4"/>
  <c r="T188" i="4" a="1"/>
  <c r="T188" i="4" s="1"/>
  <c r="S188" i="4"/>
  <c r="Q188" i="4"/>
  <c r="P188" i="4"/>
  <c r="R188" i="4" s="1"/>
  <c r="U187" i="4"/>
  <c r="T187" i="4"/>
  <c r="T187" i="4" a="1"/>
  <c r="S187" i="4"/>
  <c r="R187" i="4"/>
  <c r="Q187" i="4"/>
  <c r="P187" i="4"/>
  <c r="U186" i="4"/>
  <c r="T186" i="4" a="1"/>
  <c r="T186" i="4" s="1"/>
  <c r="S186" i="4"/>
  <c r="Q186" i="4"/>
  <c r="P186" i="4"/>
  <c r="R186" i="4" s="1"/>
  <c r="U185" i="4"/>
  <c r="T185" i="4"/>
  <c r="T185" i="4" a="1"/>
  <c r="S185" i="4"/>
  <c r="Q185" i="4"/>
  <c r="P185" i="4"/>
  <c r="R185" i="4" s="1"/>
  <c r="U184" i="4"/>
  <c r="T184" i="4" a="1"/>
  <c r="T184" i="4" s="1"/>
  <c r="S184" i="4"/>
  <c r="Q184" i="4"/>
  <c r="P184" i="4"/>
  <c r="R184" i="4" s="1"/>
  <c r="U183" i="4"/>
  <c r="T183" i="4"/>
  <c r="T183" i="4" a="1"/>
  <c r="S183" i="4"/>
  <c r="Q183" i="4"/>
  <c r="P183" i="4"/>
  <c r="R183" i="4" s="1"/>
  <c r="U182" i="4"/>
  <c r="T182" i="4" a="1"/>
  <c r="T182" i="4" s="1"/>
  <c r="S182" i="4"/>
  <c r="Q182" i="4"/>
  <c r="P182" i="4"/>
  <c r="R182" i="4" s="1"/>
  <c r="U181" i="4"/>
  <c r="T181" i="4" a="1"/>
  <c r="T181" i="4" s="1"/>
  <c r="S181" i="4"/>
  <c r="Q181" i="4"/>
  <c r="R181" i="4" s="1"/>
  <c r="P181" i="4"/>
  <c r="U180" i="4"/>
  <c r="T180" i="4" a="1"/>
  <c r="T180" i="4" s="1"/>
  <c r="S180" i="4"/>
  <c r="R180" i="4"/>
  <c r="Q180" i="4"/>
  <c r="P180" i="4"/>
  <c r="U179" i="4"/>
  <c r="T179" i="4" a="1"/>
  <c r="T179" i="4" s="1"/>
  <c r="S179" i="4"/>
  <c r="Q179" i="4"/>
  <c r="P179" i="4"/>
  <c r="R179" i="4" s="1"/>
  <c r="U178" i="4"/>
  <c r="T178" i="4" a="1"/>
  <c r="T178" i="4" s="1"/>
  <c r="S178" i="4"/>
  <c r="R178" i="4"/>
  <c r="Q178" i="4"/>
  <c r="P178" i="4"/>
  <c r="U177" i="4"/>
  <c r="T177" i="4"/>
  <c r="T177" i="4" a="1"/>
  <c r="S177" i="4"/>
  <c r="Q177" i="4"/>
  <c r="P177" i="4"/>
  <c r="U176" i="4"/>
  <c r="T176" i="4" a="1"/>
  <c r="T176" i="4" s="1"/>
  <c r="S176" i="4"/>
  <c r="R176" i="4"/>
  <c r="Q176" i="4"/>
  <c r="P176" i="4"/>
  <c r="U175" i="4"/>
  <c r="T175" i="4"/>
  <c r="T175" i="4" a="1"/>
  <c r="S175" i="4"/>
  <c r="R175" i="4"/>
  <c r="Q175" i="4"/>
  <c r="P175" i="4"/>
  <c r="U174" i="4"/>
  <c r="T174" i="4" a="1"/>
  <c r="T174" i="4" s="1"/>
  <c r="S174" i="4"/>
  <c r="Q174" i="4"/>
  <c r="P174" i="4"/>
  <c r="R174" i="4" s="1"/>
  <c r="U173" i="4"/>
  <c r="T173" i="4" a="1"/>
  <c r="T173" i="4" s="1"/>
  <c r="S173" i="4"/>
  <c r="Q173" i="4"/>
  <c r="P173" i="4"/>
  <c r="U172" i="4"/>
  <c r="T172" i="4"/>
  <c r="T172" i="4" a="1"/>
  <c r="S172" i="4"/>
  <c r="Q172" i="4"/>
  <c r="P172" i="4"/>
  <c r="R172" i="4" s="1"/>
  <c r="U171" i="4"/>
  <c r="T171" i="4"/>
  <c r="T171" i="4" a="1"/>
  <c r="S171" i="4"/>
  <c r="R171" i="4"/>
  <c r="Q171" i="4"/>
  <c r="P171" i="4"/>
  <c r="U170" i="4"/>
  <c r="T170" i="4" a="1"/>
  <c r="T170" i="4" s="1"/>
  <c r="S170" i="4"/>
  <c r="Q170" i="4"/>
  <c r="P170" i="4"/>
  <c r="R170" i="4" s="1"/>
  <c r="U169" i="4"/>
  <c r="T169" i="4"/>
  <c r="T169" i="4" a="1"/>
  <c r="S169" i="4"/>
  <c r="R169" i="4"/>
  <c r="Q169" i="4"/>
  <c r="P169" i="4"/>
  <c r="U168" i="4"/>
  <c r="T168" i="4" a="1"/>
  <c r="T168" i="4" s="1"/>
  <c r="S168" i="4"/>
  <c r="Q168" i="4"/>
  <c r="P168" i="4"/>
  <c r="R168" i="4" s="1"/>
  <c r="U167" i="4"/>
  <c r="T167" i="4"/>
  <c r="T167" i="4" a="1"/>
  <c r="S167" i="4"/>
  <c r="Q167" i="4"/>
  <c r="P167" i="4"/>
  <c r="U166" i="4"/>
  <c r="T166" i="4" a="1"/>
  <c r="T166" i="4" s="1"/>
  <c r="S166" i="4"/>
  <c r="Q166" i="4"/>
  <c r="P166" i="4"/>
  <c r="R166" i="4" s="1"/>
  <c r="U165" i="4"/>
  <c r="T165" i="4"/>
  <c r="T165" i="4" a="1"/>
  <c r="S165" i="4"/>
  <c r="Q165" i="4"/>
  <c r="P165" i="4"/>
  <c r="U164" i="4"/>
  <c r="T164" i="4" a="1"/>
  <c r="T164" i="4" s="1"/>
  <c r="S164" i="4"/>
  <c r="Q164" i="4"/>
  <c r="P164" i="4"/>
  <c r="R164" i="4" s="1"/>
  <c r="U163" i="4"/>
  <c r="T163" i="4"/>
  <c r="T163" i="4" a="1"/>
  <c r="S163" i="4"/>
  <c r="R163" i="4"/>
  <c r="Q163" i="4"/>
  <c r="P163" i="4"/>
  <c r="U162" i="4"/>
  <c r="T162" i="4" a="1"/>
  <c r="T162" i="4" s="1"/>
  <c r="S162" i="4"/>
  <c r="Q162" i="4"/>
  <c r="P162" i="4"/>
  <c r="R162" i="4" s="1"/>
  <c r="U161" i="4"/>
  <c r="T161" i="4"/>
  <c r="T161" i="4" a="1"/>
  <c r="S161" i="4"/>
  <c r="Q161" i="4"/>
  <c r="P161" i="4"/>
  <c r="R161" i="4" s="1"/>
  <c r="U160" i="4"/>
  <c r="T160" i="4" a="1"/>
  <c r="T160" i="4" s="1"/>
  <c r="S160" i="4"/>
  <c r="Q160" i="4"/>
  <c r="P160" i="4"/>
  <c r="R160" i="4" s="1"/>
  <c r="U159" i="4"/>
  <c r="T159" i="4"/>
  <c r="T159" i="4" a="1"/>
  <c r="S159" i="4"/>
  <c r="Q159" i="4"/>
  <c r="P159" i="4"/>
  <c r="R159" i="4" s="1"/>
  <c r="U158" i="4"/>
  <c r="T158" i="4" a="1"/>
  <c r="T158" i="4" s="1"/>
  <c r="S158" i="4"/>
  <c r="Q158" i="4"/>
  <c r="P158" i="4"/>
  <c r="R158" i="4" s="1"/>
  <c r="U157" i="4"/>
  <c r="T157" i="4" a="1"/>
  <c r="T157" i="4" s="1"/>
  <c r="S157" i="4"/>
  <c r="Q157" i="4"/>
  <c r="R157" i="4" s="1"/>
  <c r="P157" i="4"/>
  <c r="U156" i="4"/>
  <c r="T156" i="4" a="1"/>
  <c r="T156" i="4" s="1"/>
  <c r="S156" i="4"/>
  <c r="R156" i="4"/>
  <c r="Q156" i="4"/>
  <c r="P156" i="4"/>
  <c r="U155" i="4"/>
  <c r="T155" i="4" a="1"/>
  <c r="T155" i="4" s="1"/>
  <c r="S155" i="4"/>
  <c r="Q155" i="4"/>
  <c r="P155" i="4"/>
  <c r="R155" i="4" s="1"/>
  <c r="U154" i="4"/>
  <c r="T154" i="4"/>
  <c r="T154" i="4" a="1"/>
  <c r="S154" i="4"/>
  <c r="R154" i="4"/>
  <c r="Q154" i="4"/>
  <c r="P154" i="4"/>
  <c r="U153" i="4"/>
  <c r="T153" i="4"/>
  <c r="T153" i="4" a="1"/>
  <c r="S153" i="4"/>
  <c r="Q153" i="4"/>
  <c r="P153" i="4"/>
  <c r="R153" i="4" s="1"/>
  <c r="U152" i="4"/>
  <c r="T152" i="4" a="1"/>
  <c r="T152" i="4" s="1"/>
  <c r="S152" i="4"/>
  <c r="R152" i="4"/>
  <c r="Q152" i="4"/>
  <c r="P152" i="4"/>
  <c r="U151" i="4"/>
  <c r="T151" i="4"/>
  <c r="T151" i="4" a="1"/>
  <c r="S151" i="4"/>
  <c r="Q151" i="4"/>
  <c r="R151" i="4" s="1"/>
  <c r="P151" i="4"/>
  <c r="U150" i="4"/>
  <c r="T150" i="4" a="1"/>
  <c r="T150" i="4" s="1"/>
  <c r="S150" i="4"/>
  <c r="Q150" i="4"/>
  <c r="P150" i="4"/>
  <c r="R150" i="4" s="1"/>
  <c r="U149" i="4"/>
  <c r="T149" i="4" a="1"/>
  <c r="T149" i="4" s="1"/>
  <c r="S149" i="4"/>
  <c r="Q149" i="4"/>
  <c r="P149" i="4"/>
  <c r="R149" i="4" s="1"/>
  <c r="U148" i="4"/>
  <c r="T148" i="4"/>
  <c r="T148" i="4" a="1"/>
  <c r="S148" i="4"/>
  <c r="Q148" i="4"/>
  <c r="P148" i="4"/>
  <c r="R148" i="4" s="1"/>
  <c r="U147" i="4"/>
  <c r="T147" i="4"/>
  <c r="T147" i="4" a="1"/>
  <c r="S147" i="4"/>
  <c r="Q147" i="4"/>
  <c r="P147" i="4"/>
  <c r="R147" i="4" s="1"/>
  <c r="U146" i="4"/>
  <c r="T146" i="4" a="1"/>
  <c r="T146" i="4" s="1"/>
  <c r="S146" i="4"/>
  <c r="Q146" i="4"/>
  <c r="P146" i="4"/>
  <c r="R146" i="4" s="1"/>
  <c r="U145" i="4"/>
  <c r="T145" i="4" a="1"/>
  <c r="T145" i="4" s="1"/>
  <c r="S145" i="4"/>
  <c r="Q145" i="4"/>
  <c r="R145" i="4" s="1"/>
  <c r="P145" i="4"/>
  <c r="U144" i="4"/>
  <c r="T144" i="4" a="1"/>
  <c r="T144" i="4" s="1"/>
  <c r="S144" i="4"/>
  <c r="Q144" i="4"/>
  <c r="P144" i="4"/>
  <c r="R144" i="4" s="1"/>
  <c r="U143" i="4"/>
  <c r="T143" i="4" a="1"/>
  <c r="T143" i="4" s="1"/>
  <c r="S143" i="4"/>
  <c r="Q143" i="4"/>
  <c r="P143" i="4"/>
  <c r="U142" i="4"/>
  <c r="T142" i="4" a="1"/>
  <c r="T142" i="4" s="1"/>
  <c r="S142" i="4"/>
  <c r="Q142" i="4"/>
  <c r="P142" i="4"/>
  <c r="R142" i="4" s="1"/>
  <c r="U141" i="4"/>
  <c r="T141" i="4"/>
  <c r="T141" i="4" a="1"/>
  <c r="S141" i="4"/>
  <c r="Q141" i="4"/>
  <c r="P141" i="4"/>
  <c r="U140" i="4"/>
  <c r="T140" i="4" a="1"/>
  <c r="T140" i="4" s="1"/>
  <c r="S140" i="4"/>
  <c r="Q140" i="4"/>
  <c r="P140" i="4"/>
  <c r="R140" i="4" s="1"/>
  <c r="U139" i="4"/>
  <c r="T139" i="4"/>
  <c r="T139" i="4" a="1"/>
  <c r="S139" i="4"/>
  <c r="R139" i="4"/>
  <c r="Q139" i="4"/>
  <c r="P139" i="4"/>
  <c r="U138" i="4"/>
  <c r="T138" i="4" a="1"/>
  <c r="T138" i="4" s="1"/>
  <c r="S138" i="4"/>
  <c r="Q138" i="4"/>
  <c r="P138" i="4"/>
  <c r="R138" i="4" s="1"/>
  <c r="U137" i="4"/>
  <c r="T137" i="4"/>
  <c r="T137" i="4" a="1"/>
  <c r="S137" i="4"/>
  <c r="Q137" i="4"/>
  <c r="P137" i="4"/>
  <c r="R137" i="4" s="1"/>
  <c r="U136" i="4"/>
  <c r="T136" i="4" a="1"/>
  <c r="T136" i="4" s="1"/>
  <c r="S136" i="4"/>
  <c r="Q136" i="4"/>
  <c r="P136" i="4"/>
  <c r="R136" i="4" s="1"/>
  <c r="U135" i="4"/>
  <c r="T135" i="4"/>
  <c r="T135" i="4" a="1"/>
  <c r="S135" i="4"/>
  <c r="Q135" i="4"/>
  <c r="P135" i="4"/>
  <c r="R135" i="4" s="1"/>
  <c r="U134" i="4"/>
  <c r="T134" i="4" a="1"/>
  <c r="T134" i="4" s="1"/>
  <c r="S134" i="4"/>
  <c r="Q134" i="4"/>
  <c r="P134" i="4"/>
  <c r="R134" i="4" s="1"/>
  <c r="U133" i="4"/>
  <c r="T133" i="4" a="1"/>
  <c r="T133" i="4" s="1"/>
  <c r="S133" i="4"/>
  <c r="Q133" i="4"/>
  <c r="R133" i="4" s="1"/>
  <c r="P133" i="4"/>
  <c r="U132" i="4"/>
  <c r="T132" i="4" a="1"/>
  <c r="T132" i="4" s="1"/>
  <c r="S132" i="4"/>
  <c r="R132" i="4"/>
  <c r="Q132" i="4"/>
  <c r="P132" i="4"/>
  <c r="U131" i="4"/>
  <c r="T131" i="4" a="1"/>
  <c r="T131" i="4" s="1"/>
  <c r="S131" i="4"/>
  <c r="Q131" i="4"/>
  <c r="P131" i="4"/>
  <c r="R131" i="4" s="1"/>
  <c r="U130" i="4"/>
  <c r="T130" i="4" a="1"/>
  <c r="T130" i="4" s="1"/>
  <c r="S130" i="4"/>
  <c r="R130" i="4"/>
  <c r="Q130" i="4"/>
  <c r="P130" i="4"/>
  <c r="U129" i="4"/>
  <c r="T129" i="4"/>
  <c r="T129" i="4" a="1"/>
  <c r="S129" i="4"/>
  <c r="Q129" i="4"/>
  <c r="P129" i="4"/>
  <c r="R129" i="4" s="1"/>
  <c r="U128" i="4"/>
  <c r="T128" i="4" a="1"/>
  <c r="T128" i="4" s="1"/>
  <c r="S128" i="4"/>
  <c r="R128" i="4"/>
  <c r="Q128" i="4"/>
  <c r="P128" i="4"/>
  <c r="U127" i="4"/>
  <c r="T127" i="4"/>
  <c r="T127" i="4" a="1"/>
  <c r="S127" i="4"/>
  <c r="Q127" i="4"/>
  <c r="R127" i="4" s="1"/>
  <c r="P127" i="4"/>
  <c r="U126" i="4"/>
  <c r="T126" i="4"/>
  <c r="T126" i="4" a="1"/>
  <c r="S126" i="4"/>
  <c r="Q126" i="4"/>
  <c r="P126" i="4"/>
  <c r="R126" i="4" s="1"/>
  <c r="U125" i="4"/>
  <c r="T125" i="4" a="1"/>
  <c r="T125" i="4" s="1"/>
  <c r="S125" i="4"/>
  <c r="Q125" i="4"/>
  <c r="P125" i="4"/>
  <c r="U124" i="4"/>
  <c r="T124" i="4"/>
  <c r="T124" i="4" a="1"/>
  <c r="S124" i="4"/>
  <c r="Q124" i="4"/>
  <c r="P124" i="4"/>
  <c r="R124" i="4" s="1"/>
  <c r="U123" i="4"/>
  <c r="T123" i="4"/>
  <c r="T123" i="4" a="1"/>
  <c r="S123" i="4"/>
  <c r="R123" i="4"/>
  <c r="Q123" i="4"/>
  <c r="P123" i="4"/>
  <c r="U122" i="4"/>
  <c r="T122" i="4" a="1"/>
  <c r="T122" i="4" s="1"/>
  <c r="S122" i="4"/>
  <c r="Q122" i="4"/>
  <c r="P122" i="4"/>
  <c r="R122" i="4" s="1"/>
  <c r="U121" i="4"/>
  <c r="T121" i="4" a="1"/>
  <c r="T121" i="4" s="1"/>
  <c r="S121" i="4"/>
  <c r="R121" i="4"/>
  <c r="Q121" i="4"/>
  <c r="P121" i="4"/>
  <c r="U120" i="4"/>
  <c r="T120" i="4" a="1"/>
  <c r="T120" i="4" s="1"/>
  <c r="S120" i="4"/>
  <c r="Q120" i="4"/>
  <c r="P120" i="4"/>
  <c r="R120" i="4" s="1"/>
  <c r="U119" i="4"/>
  <c r="T119" i="4" a="1"/>
  <c r="T119" i="4" s="1"/>
  <c r="S119" i="4"/>
  <c r="Q119" i="4"/>
  <c r="P119" i="4"/>
  <c r="U118" i="4"/>
  <c r="T118" i="4" a="1"/>
  <c r="T118" i="4" s="1"/>
  <c r="S118" i="4"/>
  <c r="Q118" i="4"/>
  <c r="P118" i="4"/>
  <c r="R118" i="4" s="1"/>
  <c r="U117" i="4"/>
  <c r="T117" i="4"/>
  <c r="T117" i="4" a="1"/>
  <c r="S117" i="4"/>
  <c r="Q117" i="4"/>
  <c r="P117" i="4"/>
  <c r="U116" i="4"/>
  <c r="T116" i="4" a="1"/>
  <c r="T116" i="4" s="1"/>
  <c r="S116" i="4"/>
  <c r="Q116" i="4"/>
  <c r="P116" i="4"/>
  <c r="R116" i="4" s="1"/>
  <c r="U115" i="4"/>
  <c r="T115" i="4"/>
  <c r="T115" i="4" a="1"/>
  <c r="S115" i="4"/>
  <c r="R115" i="4"/>
  <c r="Q115" i="4"/>
  <c r="P115" i="4"/>
  <c r="U114" i="4"/>
  <c r="T114" i="4" a="1"/>
  <c r="T114" i="4" s="1"/>
  <c r="S114" i="4"/>
  <c r="Q114" i="4"/>
  <c r="P114" i="4"/>
  <c r="R114" i="4" s="1"/>
  <c r="U113" i="4"/>
  <c r="T113" i="4"/>
  <c r="T113" i="4" a="1"/>
  <c r="S113" i="4"/>
  <c r="Q113" i="4"/>
  <c r="P113" i="4"/>
  <c r="R113" i="4" s="1"/>
  <c r="U112" i="4"/>
  <c r="T112" i="4" a="1"/>
  <c r="T112" i="4" s="1"/>
  <c r="S112" i="4"/>
  <c r="Q112" i="4"/>
  <c r="P112" i="4"/>
  <c r="R112" i="4" s="1"/>
  <c r="U111" i="4"/>
  <c r="T111" i="4"/>
  <c r="T111" i="4" a="1"/>
  <c r="S111" i="4"/>
  <c r="Q111" i="4"/>
  <c r="P111" i="4"/>
  <c r="R111" i="4" s="1"/>
  <c r="U110" i="4"/>
  <c r="T110" i="4" a="1"/>
  <c r="T110" i="4" s="1"/>
  <c r="S110" i="4"/>
  <c r="Q110" i="4"/>
  <c r="P110" i="4"/>
  <c r="R110" i="4" s="1"/>
  <c r="U109" i="4"/>
  <c r="T109" i="4" a="1"/>
  <c r="T109" i="4" s="1"/>
  <c r="S109" i="4"/>
  <c r="Q109" i="4"/>
  <c r="R109" i="4" s="1"/>
  <c r="P109" i="4"/>
  <c r="U108" i="4"/>
  <c r="T108" i="4" a="1"/>
  <c r="T108" i="4" s="1"/>
  <c r="S108" i="4"/>
  <c r="R108" i="4"/>
  <c r="Q108" i="4"/>
  <c r="P108" i="4"/>
  <c r="U107" i="4"/>
  <c r="T107" i="4" a="1"/>
  <c r="T107" i="4" s="1"/>
  <c r="S107" i="4"/>
  <c r="Q107" i="4"/>
  <c r="P107" i="4"/>
  <c r="U106" i="4"/>
  <c r="T106" i="4"/>
  <c r="T106" i="4" a="1"/>
  <c r="S106" i="4"/>
  <c r="R106" i="4"/>
  <c r="Q106" i="4"/>
  <c r="P106" i="4"/>
  <c r="U105" i="4"/>
  <c r="T105" i="4"/>
  <c r="T105" i="4" a="1"/>
  <c r="S105" i="4"/>
  <c r="Q105" i="4"/>
  <c r="P105" i="4"/>
  <c r="R105" i="4" s="1"/>
  <c r="U104" i="4"/>
  <c r="T104" i="4" a="1"/>
  <c r="T104" i="4" s="1"/>
  <c r="S104" i="4"/>
  <c r="R104" i="4"/>
  <c r="Q104" i="4"/>
  <c r="P104" i="4"/>
  <c r="U103" i="4"/>
  <c r="T103" i="4"/>
  <c r="T103" i="4" a="1"/>
  <c r="S103" i="4"/>
  <c r="Q103" i="4"/>
  <c r="R103" i="4" s="1"/>
  <c r="P103" i="4"/>
  <c r="U102" i="4"/>
  <c r="T102" i="4" a="1"/>
  <c r="T102" i="4" s="1"/>
  <c r="S102" i="4"/>
  <c r="Q102" i="4"/>
  <c r="P102" i="4"/>
  <c r="R102" i="4" s="1"/>
  <c r="U101" i="4"/>
  <c r="T101" i="4" a="1"/>
  <c r="T101" i="4" s="1"/>
  <c r="S101" i="4"/>
  <c r="Q101" i="4"/>
  <c r="P101" i="4"/>
  <c r="R101" i="4" s="1"/>
  <c r="U100" i="4"/>
  <c r="T100" i="4"/>
  <c r="T100" i="4" a="1"/>
  <c r="S100" i="4"/>
  <c r="Q100" i="4"/>
  <c r="P100" i="4"/>
  <c r="R100" i="4" s="1"/>
  <c r="U99" i="4"/>
  <c r="T99" i="4"/>
  <c r="T99" i="4" a="1"/>
  <c r="S99" i="4"/>
  <c r="Q99" i="4"/>
  <c r="R99" i="4" s="1"/>
  <c r="P99" i="4"/>
  <c r="U98" i="4"/>
  <c r="T98" i="4" a="1"/>
  <c r="T98" i="4" s="1"/>
  <c r="S98" i="4"/>
  <c r="Q98" i="4"/>
  <c r="P98" i="4"/>
  <c r="R98" i="4" s="1"/>
  <c r="U97" i="4"/>
  <c r="T97" i="4" a="1"/>
  <c r="T97" i="4" s="1"/>
  <c r="S97" i="4"/>
  <c r="Q97" i="4"/>
  <c r="R97" i="4" s="1"/>
  <c r="P97" i="4"/>
  <c r="U96" i="4"/>
  <c r="T96" i="4" a="1"/>
  <c r="T96" i="4" s="1"/>
  <c r="S96" i="4"/>
  <c r="Q96" i="4"/>
  <c r="P96" i="4"/>
  <c r="R96" i="4" s="1"/>
  <c r="U95" i="4"/>
  <c r="T95" i="4" a="1"/>
  <c r="T95" i="4" s="1"/>
  <c r="S95" i="4"/>
  <c r="Q95" i="4"/>
  <c r="P95" i="4"/>
  <c r="U94" i="4"/>
  <c r="T94" i="4" a="1"/>
  <c r="T94" i="4" s="1"/>
  <c r="S94" i="4"/>
  <c r="Q94" i="4"/>
  <c r="P94" i="4"/>
  <c r="R94" i="4" s="1"/>
  <c r="U93" i="4"/>
  <c r="T93" i="4"/>
  <c r="T93" i="4" a="1"/>
  <c r="S93" i="4"/>
  <c r="Q93" i="4"/>
  <c r="P93" i="4"/>
  <c r="U92" i="4"/>
  <c r="T92" i="4" a="1"/>
  <c r="T92" i="4" s="1"/>
  <c r="S92" i="4"/>
  <c r="Q92" i="4"/>
  <c r="P92" i="4"/>
  <c r="R92" i="4" s="1"/>
  <c r="U91" i="4"/>
  <c r="T91" i="4"/>
  <c r="T91" i="4" a="1"/>
  <c r="S91" i="4"/>
  <c r="R91" i="4"/>
  <c r="Q91" i="4"/>
  <c r="P91" i="4"/>
  <c r="U90" i="4"/>
  <c r="T90" i="4" a="1"/>
  <c r="T90" i="4" s="1"/>
  <c r="S90" i="4"/>
  <c r="Q90" i="4"/>
  <c r="P90" i="4"/>
  <c r="R90" i="4" s="1"/>
  <c r="U89" i="4"/>
  <c r="T89" i="4"/>
  <c r="T89" i="4" a="1"/>
  <c r="S89" i="4"/>
  <c r="Q89" i="4"/>
  <c r="P89" i="4"/>
  <c r="R89" i="4" s="1"/>
  <c r="U88" i="4"/>
  <c r="T88" i="4" a="1"/>
  <c r="T88" i="4" s="1"/>
  <c r="S88" i="4"/>
  <c r="Q88" i="4"/>
  <c r="P88" i="4"/>
  <c r="R88" i="4" s="1"/>
  <c r="U87" i="4"/>
  <c r="T87" i="4"/>
  <c r="T87" i="4" a="1"/>
  <c r="S87" i="4"/>
  <c r="Q87" i="4"/>
  <c r="P87" i="4"/>
  <c r="R87" i="4" s="1"/>
  <c r="U86" i="4"/>
  <c r="T86" i="4" a="1"/>
  <c r="T86" i="4" s="1"/>
  <c r="S86" i="4"/>
  <c r="Q86" i="4"/>
  <c r="P86" i="4"/>
  <c r="R86" i="4" s="1"/>
  <c r="U85" i="4"/>
  <c r="T85" i="4" a="1"/>
  <c r="T85" i="4" s="1"/>
  <c r="S85" i="4"/>
  <c r="Q85" i="4"/>
  <c r="R85" i="4" s="1"/>
  <c r="P85" i="4"/>
  <c r="U84" i="4"/>
  <c r="T84" i="4" a="1"/>
  <c r="T84" i="4" s="1"/>
  <c r="S84" i="4"/>
  <c r="R84" i="4"/>
  <c r="Q84" i="4"/>
  <c r="P84" i="4"/>
  <c r="U83" i="4"/>
  <c r="T83" i="4" a="1"/>
  <c r="T83" i="4" s="1"/>
  <c r="S83" i="4"/>
  <c r="Q83" i="4"/>
  <c r="P83" i="4"/>
  <c r="R83" i="4" s="1"/>
  <c r="U82" i="4"/>
  <c r="T82" i="4" a="1"/>
  <c r="T82" i="4" s="1"/>
  <c r="S82" i="4"/>
  <c r="R82" i="4"/>
  <c r="Q82" i="4"/>
  <c r="P82" i="4"/>
  <c r="U81" i="4"/>
  <c r="T81" i="4"/>
  <c r="T81" i="4" a="1"/>
  <c r="S81" i="4"/>
  <c r="Q81" i="4"/>
  <c r="P81" i="4"/>
  <c r="U80" i="4"/>
  <c r="T80" i="4" a="1"/>
  <c r="T80" i="4" s="1"/>
  <c r="S80" i="4"/>
  <c r="R80" i="4"/>
  <c r="Q80" i="4"/>
  <c r="P80" i="4"/>
  <c r="U79" i="4"/>
  <c r="T79" i="4"/>
  <c r="T79" i="4" a="1"/>
  <c r="S79" i="4"/>
  <c r="R79" i="4"/>
  <c r="Q79" i="4"/>
  <c r="P79" i="4"/>
  <c r="U78" i="4"/>
  <c r="T78" i="4" a="1"/>
  <c r="T78" i="4" s="1"/>
  <c r="S78" i="4"/>
  <c r="Q78" i="4"/>
  <c r="P78" i="4"/>
  <c r="R78" i="4" s="1"/>
  <c r="U77" i="4"/>
  <c r="T77" i="4" a="1"/>
  <c r="T77" i="4" s="1"/>
  <c r="S77" i="4"/>
  <c r="Q77" i="4"/>
  <c r="P77" i="4"/>
  <c r="R77" i="4" s="1"/>
  <c r="U76" i="4"/>
  <c r="T76" i="4"/>
  <c r="T76" i="4" a="1"/>
  <c r="S76" i="4"/>
  <c r="Q76" i="4"/>
  <c r="P76" i="4"/>
  <c r="R76" i="4" s="1"/>
  <c r="U75" i="4"/>
  <c r="T75" i="4"/>
  <c r="T75" i="4" a="1"/>
  <c r="S75" i="4"/>
  <c r="Q75" i="4"/>
  <c r="P75" i="4"/>
  <c r="R75" i="4" s="1"/>
  <c r="U74" i="4"/>
  <c r="T74" i="4" a="1"/>
  <c r="T74" i="4" s="1"/>
  <c r="S74" i="4"/>
  <c r="Q74" i="4"/>
  <c r="P74" i="4"/>
  <c r="R74" i="4" s="1"/>
  <c r="U73" i="4"/>
  <c r="T73" i="4" a="1"/>
  <c r="T73" i="4" s="1"/>
  <c r="S73" i="4"/>
  <c r="Q73" i="4"/>
  <c r="R73" i="4" s="1"/>
  <c r="P73" i="4"/>
  <c r="U72" i="4"/>
  <c r="T72" i="4" a="1"/>
  <c r="T72" i="4" s="1"/>
  <c r="S72" i="4"/>
  <c r="Q72" i="4"/>
  <c r="P72" i="4"/>
  <c r="R72" i="4" s="1"/>
  <c r="U71" i="4"/>
  <c r="T71" i="4" a="1"/>
  <c r="T71" i="4" s="1"/>
  <c r="S71" i="4"/>
  <c r="Q71" i="4"/>
  <c r="P71" i="4"/>
  <c r="U70" i="4"/>
  <c r="T70" i="4" a="1"/>
  <c r="T70" i="4" s="1"/>
  <c r="S70" i="4"/>
  <c r="Q70" i="4"/>
  <c r="P70" i="4"/>
  <c r="R70" i="4" s="1"/>
  <c r="U69" i="4"/>
  <c r="T69" i="4"/>
  <c r="T69" i="4" a="1"/>
  <c r="S69" i="4"/>
  <c r="Q69" i="4"/>
  <c r="P69" i="4"/>
  <c r="U68" i="4"/>
  <c r="T68" i="4" a="1"/>
  <c r="T68" i="4" s="1"/>
  <c r="S68" i="4"/>
  <c r="Q68" i="4"/>
  <c r="P68" i="4"/>
  <c r="R68" i="4" s="1"/>
  <c r="U67" i="4"/>
  <c r="T67" i="4"/>
  <c r="T67" i="4" a="1"/>
  <c r="S67" i="4"/>
  <c r="R67" i="4"/>
  <c r="Q67" i="4"/>
  <c r="P67" i="4"/>
  <c r="U66" i="4"/>
  <c r="T66" i="4" a="1"/>
  <c r="T66" i="4" s="1"/>
  <c r="S66" i="4"/>
  <c r="Q66" i="4"/>
  <c r="P66" i="4"/>
  <c r="R66" i="4" s="1"/>
  <c r="U65" i="4"/>
  <c r="T65" i="4"/>
  <c r="T65" i="4" a="1"/>
  <c r="S65" i="4"/>
  <c r="Q65" i="4"/>
  <c r="P65" i="4"/>
  <c r="R65" i="4" s="1"/>
  <c r="U64" i="4"/>
  <c r="T64" i="4" a="1"/>
  <c r="T64" i="4" s="1"/>
  <c r="S64" i="4"/>
  <c r="R64" i="4"/>
  <c r="Q64" i="4"/>
  <c r="P64" i="4"/>
  <c r="U63" i="4"/>
  <c r="T63" i="4"/>
  <c r="T63" i="4" a="1"/>
  <c r="S63" i="4"/>
  <c r="Q63" i="4"/>
  <c r="P63" i="4"/>
  <c r="R63" i="4" s="1"/>
  <c r="U62" i="4"/>
  <c r="T62" i="4" a="1"/>
  <c r="T62" i="4" s="1"/>
  <c r="S62" i="4"/>
  <c r="Q62" i="4"/>
  <c r="R62" i="4" s="1"/>
  <c r="P62" i="4"/>
  <c r="U61" i="4"/>
  <c r="T61" i="4" a="1"/>
  <c r="T61" i="4" s="1"/>
  <c r="S61" i="4"/>
  <c r="Q61" i="4"/>
  <c r="R61" i="4" s="1"/>
  <c r="P61" i="4"/>
  <c r="U60" i="4"/>
  <c r="T60" i="4" a="1"/>
  <c r="T60" i="4" s="1"/>
  <c r="S60" i="4"/>
  <c r="R60" i="4"/>
  <c r="Q60" i="4"/>
  <c r="P60" i="4"/>
  <c r="U59" i="4"/>
  <c r="T59" i="4" a="1"/>
  <c r="T59" i="4" s="1"/>
  <c r="S59" i="4"/>
  <c r="Q59" i="4"/>
  <c r="P59" i="4"/>
  <c r="R59" i="4" s="1"/>
  <c r="U58" i="4"/>
  <c r="T58" i="4" a="1"/>
  <c r="T58" i="4" s="1"/>
  <c r="S58" i="4"/>
  <c r="R58" i="4"/>
  <c r="Q58" i="4"/>
  <c r="P58" i="4"/>
  <c r="U57" i="4"/>
  <c r="T57" i="4"/>
  <c r="T57" i="4" a="1"/>
  <c r="S57" i="4"/>
  <c r="Q57" i="4"/>
  <c r="P57" i="4"/>
  <c r="R57" i="4" s="1"/>
  <c r="U56" i="4"/>
  <c r="T56" i="4" a="1"/>
  <c r="T56" i="4" s="1"/>
  <c r="S56" i="4"/>
  <c r="R56" i="4"/>
  <c r="Q56" i="4"/>
  <c r="P56" i="4"/>
  <c r="U55" i="4"/>
  <c r="T55" i="4"/>
  <c r="T55" i="4" a="1"/>
  <c r="S55" i="4"/>
  <c r="Q55" i="4"/>
  <c r="R55" i="4" s="1"/>
  <c r="P55" i="4"/>
  <c r="U54" i="4"/>
  <c r="T54" i="4" a="1"/>
  <c r="T54" i="4" s="1"/>
  <c r="S54" i="4"/>
  <c r="Q54" i="4"/>
  <c r="P54" i="4"/>
  <c r="R54" i="4" s="1"/>
  <c r="U53" i="4"/>
  <c r="T53" i="4"/>
  <c r="T53" i="4" a="1"/>
  <c r="S53" i="4"/>
  <c r="Q53" i="4"/>
  <c r="P53" i="4"/>
  <c r="R53" i="4" s="1"/>
  <c r="U52" i="4"/>
  <c r="T52" i="4"/>
  <c r="T52" i="4" a="1"/>
  <c r="S52" i="4"/>
  <c r="Q52" i="4"/>
  <c r="P52" i="4"/>
  <c r="R52" i="4" s="1"/>
  <c r="U51" i="4"/>
  <c r="T51" i="4"/>
  <c r="T51" i="4" a="1"/>
  <c r="S51" i="4"/>
  <c r="Q51" i="4"/>
  <c r="P51" i="4"/>
  <c r="R51" i="4" s="1"/>
  <c r="U50" i="4"/>
  <c r="T50" i="4" a="1"/>
  <c r="T50" i="4" s="1"/>
  <c r="S50" i="4"/>
  <c r="Q50" i="4"/>
  <c r="P50" i="4"/>
  <c r="R50" i="4" s="1"/>
  <c r="U49" i="4"/>
  <c r="T49" i="4"/>
  <c r="T49" i="4" a="1"/>
  <c r="S49" i="4"/>
  <c r="Q49" i="4"/>
  <c r="R49" i="4" s="1"/>
  <c r="P49" i="4"/>
  <c r="U48" i="4"/>
  <c r="T48" i="4" a="1"/>
  <c r="T48" i="4" s="1"/>
  <c r="S48" i="4"/>
  <c r="Q48" i="4"/>
  <c r="P48" i="4"/>
  <c r="R48" i="4" s="1"/>
  <c r="U47" i="4"/>
  <c r="T47" i="4"/>
  <c r="T47" i="4" a="1"/>
  <c r="S47" i="4"/>
  <c r="Q47" i="4"/>
  <c r="P47" i="4"/>
  <c r="U46" i="4"/>
  <c r="T46" i="4" a="1"/>
  <c r="T46" i="4" s="1"/>
  <c r="S46" i="4"/>
  <c r="Q46" i="4"/>
  <c r="R46" i="4" s="1"/>
  <c r="P46" i="4"/>
  <c r="U45" i="4"/>
  <c r="T45" i="4"/>
  <c r="T45" i="4" a="1"/>
  <c r="S45" i="4"/>
  <c r="Q45" i="4"/>
  <c r="P45" i="4"/>
  <c r="U44" i="4"/>
  <c r="T44" i="4" a="1"/>
  <c r="T44" i="4" s="1"/>
  <c r="S44" i="4"/>
  <c r="Q44" i="4"/>
  <c r="R44" i="4" s="1"/>
  <c r="P44" i="4"/>
  <c r="U43" i="4"/>
  <c r="T43" i="4"/>
  <c r="T43" i="4" a="1"/>
  <c r="S43" i="4"/>
  <c r="R43" i="4"/>
  <c r="Q43" i="4"/>
  <c r="P43" i="4"/>
  <c r="U42" i="4"/>
  <c r="T42" i="4" a="1"/>
  <c r="T42" i="4" s="1"/>
  <c r="S42" i="4"/>
  <c r="R42" i="4"/>
  <c r="Q42" i="4"/>
  <c r="P42" i="4"/>
  <c r="U41" i="4"/>
  <c r="T41" i="4"/>
  <c r="T41" i="4" a="1"/>
  <c r="S41" i="4"/>
  <c r="Q41" i="4"/>
  <c r="P41" i="4"/>
  <c r="R41" i="4" s="1"/>
  <c r="U40" i="4"/>
  <c r="T40" i="4" a="1"/>
  <c r="T40" i="4" s="1"/>
  <c r="S40" i="4"/>
  <c r="Q40" i="4"/>
  <c r="P40" i="4"/>
  <c r="R40" i="4" s="1"/>
  <c r="U39" i="4"/>
  <c r="T39" i="4"/>
  <c r="T39" i="4" a="1"/>
  <c r="S39" i="4"/>
  <c r="Q39" i="4"/>
  <c r="P39" i="4"/>
  <c r="R39" i="4" s="1"/>
  <c r="U38" i="4"/>
  <c r="T38" i="4" a="1"/>
  <c r="T38" i="4" s="1"/>
  <c r="S38" i="4"/>
  <c r="Q38" i="4"/>
  <c r="P38" i="4"/>
  <c r="R38" i="4" s="1"/>
  <c r="U37" i="4"/>
  <c r="T37" i="4" a="1"/>
  <c r="T37" i="4" s="1"/>
  <c r="S37" i="4"/>
  <c r="Q37" i="4"/>
  <c r="R37" i="4" s="1"/>
  <c r="P37" i="4"/>
  <c r="U36" i="4"/>
  <c r="T36" i="4" a="1"/>
  <c r="T36" i="4" s="1"/>
  <c r="S36" i="4"/>
  <c r="R36" i="4"/>
  <c r="Q36" i="4"/>
  <c r="P36" i="4"/>
  <c r="U35" i="4"/>
  <c r="T35" i="4" a="1"/>
  <c r="T35" i="4" s="1"/>
  <c r="S35" i="4"/>
  <c r="Q35" i="4"/>
  <c r="P35" i="4"/>
  <c r="R35" i="4" s="1"/>
  <c r="U34" i="4"/>
  <c r="T34" i="4" a="1"/>
  <c r="T34" i="4" s="1"/>
  <c r="S34" i="4"/>
  <c r="R34" i="4"/>
  <c r="Q34" i="4"/>
  <c r="P34" i="4"/>
  <c r="U33" i="4"/>
  <c r="T33" i="4"/>
  <c r="T33" i="4" a="1"/>
  <c r="S33" i="4"/>
  <c r="Q33" i="4"/>
  <c r="P33" i="4"/>
  <c r="R33" i="4" s="1"/>
  <c r="U32" i="4"/>
  <c r="T32" i="4" a="1"/>
  <c r="T32" i="4" s="1"/>
  <c r="S32" i="4"/>
  <c r="R32" i="4"/>
  <c r="Q32" i="4"/>
  <c r="P32" i="4"/>
  <c r="U31" i="4"/>
  <c r="T31" i="4"/>
  <c r="T31" i="4" a="1"/>
  <c r="S31" i="4"/>
  <c r="Q31" i="4"/>
  <c r="R31" i="4" s="1"/>
  <c r="P31" i="4"/>
  <c r="U30" i="4"/>
  <c r="T30" i="4" a="1"/>
  <c r="T30" i="4" s="1"/>
  <c r="S30" i="4"/>
  <c r="Q30" i="4"/>
  <c r="P30" i="4"/>
  <c r="R30" i="4" s="1"/>
  <c r="U29" i="4"/>
  <c r="T29" i="4" a="1"/>
  <c r="T29" i="4" s="1"/>
  <c r="S29" i="4"/>
  <c r="Q29" i="4"/>
  <c r="P29" i="4"/>
  <c r="R29" i="4" s="1"/>
  <c r="U28" i="4"/>
  <c r="T28" i="4"/>
  <c r="T28" i="4" a="1"/>
  <c r="S28" i="4"/>
  <c r="Q28" i="4"/>
  <c r="P28" i="4"/>
  <c r="R28" i="4" s="1"/>
  <c r="U27" i="4"/>
  <c r="T27" i="4"/>
  <c r="T27" i="4" a="1"/>
  <c r="S27" i="4"/>
  <c r="Q27" i="4"/>
  <c r="P27" i="4"/>
  <c r="R27" i="4" s="1"/>
  <c r="U26" i="4"/>
  <c r="T26" i="4" a="1"/>
  <c r="T26" i="4" s="1"/>
  <c r="S26" i="4"/>
  <c r="Q26" i="4"/>
  <c r="P26" i="4"/>
  <c r="R26" i="4" s="1"/>
  <c r="U25" i="4"/>
  <c r="T25" i="4" a="1"/>
  <c r="T25" i="4" s="1"/>
  <c r="S25" i="4"/>
  <c r="Q25" i="4"/>
  <c r="R25" i="4" s="1"/>
  <c r="P25" i="4"/>
  <c r="U24" i="4"/>
  <c r="T24" i="4" a="1"/>
  <c r="T24" i="4" s="1"/>
  <c r="S24" i="4"/>
  <c r="Q24" i="4"/>
  <c r="P24" i="4"/>
  <c r="R24" i="4" s="1"/>
  <c r="U23" i="4"/>
  <c r="T23" i="4" a="1"/>
  <c r="T23" i="4" s="1"/>
  <c r="S23" i="4"/>
  <c r="Q23" i="4"/>
  <c r="P23" i="4"/>
  <c r="U22" i="4"/>
  <c r="T22" i="4" a="1"/>
  <c r="T22" i="4" s="1"/>
  <c r="S22" i="4"/>
  <c r="Q22" i="4"/>
  <c r="P22" i="4"/>
  <c r="R22" i="4" s="1"/>
  <c r="U21" i="4"/>
  <c r="T21" i="4"/>
  <c r="T21" i="4" a="1"/>
  <c r="S21" i="4"/>
  <c r="Q21" i="4"/>
  <c r="P21" i="4"/>
  <c r="U20" i="4"/>
  <c r="T20" i="4" a="1"/>
  <c r="T20" i="4" s="1"/>
  <c r="S20" i="4"/>
  <c r="Q20" i="4"/>
  <c r="P20" i="4"/>
  <c r="R20" i="4" s="1"/>
  <c r="U19" i="4"/>
  <c r="T19" i="4"/>
  <c r="T19" i="4" a="1"/>
  <c r="S19" i="4"/>
  <c r="R19" i="4"/>
  <c r="Q19" i="4"/>
  <c r="P19" i="4"/>
  <c r="U18" i="4"/>
  <c r="T18" i="4" a="1"/>
  <c r="T18" i="4" s="1"/>
  <c r="S18" i="4"/>
  <c r="R18" i="4"/>
  <c r="Q18" i="4"/>
  <c r="P18" i="4"/>
  <c r="U17" i="4"/>
  <c r="T17" i="4"/>
  <c r="T17" i="4" a="1"/>
  <c r="S17" i="4"/>
  <c r="Q17" i="4"/>
  <c r="P17" i="4"/>
  <c r="R17" i="4" s="1"/>
  <c r="U16" i="4"/>
  <c r="T16" i="4"/>
  <c r="T16" i="4" a="1"/>
  <c r="S16" i="4"/>
  <c r="R16" i="4"/>
  <c r="Q16" i="4"/>
  <c r="P16" i="4"/>
  <c r="U15" i="4"/>
  <c r="T15" i="4"/>
  <c r="T15" i="4" a="1"/>
  <c r="S15" i="4"/>
  <c r="Q15" i="4"/>
  <c r="P15" i="4"/>
  <c r="R15" i="4" s="1"/>
  <c r="U14" i="4"/>
  <c r="T14" i="4" a="1"/>
  <c r="T14" i="4" s="1"/>
  <c r="S14" i="4"/>
  <c r="R14" i="4"/>
  <c r="Q14" i="4"/>
  <c r="P14" i="4"/>
  <c r="U13" i="4"/>
  <c r="T13" i="4" a="1"/>
  <c r="T13" i="4" s="1"/>
  <c r="S13" i="4"/>
  <c r="Q13" i="4"/>
  <c r="R13" i="4" s="1"/>
  <c r="P13" i="4"/>
  <c r="U12" i="4"/>
  <c r="T12" i="4" a="1"/>
  <c r="T12" i="4" s="1"/>
  <c r="S12" i="4"/>
  <c r="R12" i="4"/>
  <c r="Q12" i="4"/>
  <c r="P12" i="4"/>
  <c r="U11" i="4"/>
  <c r="T11" i="4" a="1"/>
  <c r="T11" i="4" s="1"/>
  <c r="S11" i="4"/>
  <c r="Q11" i="4"/>
  <c r="P11" i="4"/>
  <c r="R11" i="4" s="1"/>
  <c r="U10" i="4"/>
  <c r="T10" i="4" a="1"/>
  <c r="T10" i="4" s="1"/>
  <c r="S10" i="4"/>
  <c r="R10" i="4"/>
  <c r="Q10" i="4"/>
  <c r="P10" i="4"/>
  <c r="U9" i="4"/>
  <c r="T9" i="4"/>
  <c r="T9" i="4" a="1"/>
  <c r="S9" i="4"/>
  <c r="Q9" i="4"/>
  <c r="P9" i="4"/>
  <c r="R9" i="4" s="1"/>
  <c r="U8" i="4"/>
  <c r="T8" i="4" a="1"/>
  <c r="T8" i="4" s="1"/>
  <c r="S8" i="4"/>
  <c r="R8" i="4"/>
  <c r="Q8" i="4"/>
  <c r="P8" i="4"/>
  <c r="U7" i="4"/>
  <c r="T7" i="4"/>
  <c r="T7" i="4" a="1"/>
  <c r="S7" i="4"/>
  <c r="Q7" i="4"/>
  <c r="R7" i="4" s="1"/>
  <c r="P7" i="4"/>
  <c r="U6" i="4"/>
  <c r="T6" i="4" a="1"/>
  <c r="T6" i="4" s="1"/>
  <c r="S6" i="4"/>
  <c r="Q6" i="4"/>
  <c r="P6" i="4"/>
  <c r="R6" i="4" s="1"/>
  <c r="U5" i="4"/>
  <c r="T5" i="4" a="1"/>
  <c r="T5" i="4" s="1"/>
  <c r="S5" i="4"/>
  <c r="Q5" i="4"/>
  <c r="P5" i="4"/>
  <c r="R5" i="4" s="1"/>
  <c r="U4" i="4"/>
  <c r="T4" i="4"/>
  <c r="T4" i="4" a="1"/>
  <c r="S4" i="4"/>
  <c r="Q4" i="4"/>
  <c r="P4" i="4"/>
  <c r="R4" i="4" s="1"/>
  <c r="U3" i="4"/>
  <c r="T3" i="4"/>
  <c r="T3" i="4" a="1"/>
  <c r="S3" i="4"/>
  <c r="Q3" i="4"/>
  <c r="P3" i="4"/>
  <c r="R3" i="4" s="1"/>
  <c r="U2" i="4"/>
  <c r="T2" i="4" a="1"/>
  <c r="T2" i="4" s="1"/>
  <c r="S2" i="4"/>
  <c r="Q2" i="4"/>
  <c r="P2" i="4"/>
  <c r="R2" i="4" s="1"/>
  <c r="D1" i="2"/>
  <c r="AA28" i="1"/>
  <c r="AA24" i="1"/>
  <c r="E1" i="2"/>
  <c r="AA11" i="1" a="1"/>
  <c r="AA11" i="1" s="1"/>
  <c r="AA21" i="1"/>
  <c r="AB21" i="1"/>
  <c r="Z7" i="1"/>
  <c r="AA9" i="1" a="1"/>
  <c r="AA9" i="1" s="1"/>
  <c r="U8" i="1"/>
  <c r="AA5" i="1"/>
  <c r="Z3" i="1"/>
  <c r="Z2" i="1"/>
  <c r="U2" i="1"/>
  <c r="U3" i="1"/>
  <c r="U4" i="1"/>
  <c r="U5" i="1"/>
  <c r="U6" i="1"/>
  <c r="U7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T3" i="1" a="1"/>
  <c r="T3" i="1" s="1"/>
  <c r="T4" i="1" a="1"/>
  <c r="T4" i="1" s="1"/>
  <c r="T5" i="1" a="1"/>
  <c r="T5" i="1"/>
  <c r="T6" i="1" a="1"/>
  <c r="T6" i="1"/>
  <c r="T7" i="1" a="1"/>
  <c r="T7" i="1"/>
  <c r="T8" i="1" a="1"/>
  <c r="T8" i="1"/>
  <c r="T9" i="1" a="1"/>
  <c r="T9" i="1" s="1"/>
  <c r="T10" i="1" a="1"/>
  <c r="T10" i="1" s="1"/>
  <c r="T11" i="1" a="1"/>
  <c r="T11" i="1"/>
  <c r="T12" i="1" a="1"/>
  <c r="T12" i="1"/>
  <c r="T13" i="1" a="1"/>
  <c r="T13" i="1"/>
  <c r="T14" i="1" a="1"/>
  <c r="T14" i="1"/>
  <c r="T15" i="1" a="1"/>
  <c r="T15" i="1" s="1"/>
  <c r="T16" i="1" a="1"/>
  <c r="T16" i="1" s="1"/>
  <c r="T17" i="1" a="1"/>
  <c r="T17" i="1"/>
  <c r="T18" i="1" a="1"/>
  <c r="T18" i="1"/>
  <c r="T19" i="1" a="1"/>
  <c r="T19" i="1"/>
  <c r="T20" i="1" a="1"/>
  <c r="T20" i="1"/>
  <c r="T21" i="1" a="1"/>
  <c r="T21" i="1" s="1"/>
  <c r="T22" i="1" a="1"/>
  <c r="T22" i="1" s="1"/>
  <c r="T23" i="1" a="1"/>
  <c r="T23" i="1"/>
  <c r="T24" i="1" a="1"/>
  <c r="T24" i="1"/>
  <c r="T25" i="1" a="1"/>
  <c r="T25" i="1"/>
  <c r="T26" i="1" a="1"/>
  <c r="T26" i="1"/>
  <c r="T27" i="1" a="1"/>
  <c r="T27" i="1" s="1"/>
  <c r="T28" i="1" a="1"/>
  <c r="T28" i="1" s="1"/>
  <c r="T29" i="1" a="1"/>
  <c r="T29" i="1"/>
  <c r="T30" i="1" a="1"/>
  <c r="T30" i="1"/>
  <c r="T31" i="1" a="1"/>
  <c r="T31" i="1"/>
  <c r="T32" i="1" a="1"/>
  <c r="T32" i="1"/>
  <c r="T33" i="1" a="1"/>
  <c r="T33" i="1" s="1"/>
  <c r="T34" i="1" a="1"/>
  <c r="T34" i="1" s="1"/>
  <c r="T35" i="1" a="1"/>
  <c r="T35" i="1"/>
  <c r="T36" i="1" a="1"/>
  <c r="T36" i="1"/>
  <c r="T37" i="1" a="1"/>
  <c r="T37" i="1"/>
  <c r="T38" i="1" a="1"/>
  <c r="T38" i="1"/>
  <c r="T39" i="1" a="1"/>
  <c r="T39" i="1" s="1"/>
  <c r="T40" i="1" a="1"/>
  <c r="T40" i="1" s="1"/>
  <c r="T41" i="1" a="1"/>
  <c r="T41" i="1"/>
  <c r="T42" i="1" a="1"/>
  <c r="T42" i="1"/>
  <c r="T43" i="1" a="1"/>
  <c r="T43" i="1"/>
  <c r="T44" i="1" a="1"/>
  <c r="T44" i="1"/>
  <c r="T45" i="1" a="1"/>
  <c r="T45" i="1" s="1"/>
  <c r="T46" i="1" a="1"/>
  <c r="T46" i="1" s="1"/>
  <c r="T47" i="1" a="1"/>
  <c r="T47" i="1"/>
  <c r="T48" i="1" a="1"/>
  <c r="T48" i="1"/>
  <c r="T49" i="1" a="1"/>
  <c r="T49" i="1"/>
  <c r="T50" i="1" a="1"/>
  <c r="T50" i="1"/>
  <c r="T51" i="1" a="1"/>
  <c r="T51" i="1" s="1"/>
  <c r="T52" i="1" a="1"/>
  <c r="T52" i="1" s="1"/>
  <c r="T53" i="1" a="1"/>
  <c r="T53" i="1"/>
  <c r="T54" i="1" a="1"/>
  <c r="T54" i="1"/>
  <c r="T55" i="1" a="1"/>
  <c r="T55" i="1"/>
  <c r="T56" i="1" a="1"/>
  <c r="T56" i="1"/>
  <c r="T57" i="1" a="1"/>
  <c r="T57" i="1" s="1"/>
  <c r="T58" i="1" a="1"/>
  <c r="T58" i="1" s="1"/>
  <c r="T59" i="1" a="1"/>
  <c r="T59" i="1"/>
  <c r="T60" i="1" a="1"/>
  <c r="T60" i="1"/>
  <c r="T61" i="1" a="1"/>
  <c r="T61" i="1"/>
  <c r="T62" i="1" a="1"/>
  <c r="T62" i="1"/>
  <c r="T63" i="1" a="1"/>
  <c r="T63" i="1" s="1"/>
  <c r="T64" i="1" a="1"/>
  <c r="T64" i="1" s="1"/>
  <c r="T65" i="1" a="1"/>
  <c r="T65" i="1"/>
  <c r="T66" i="1" a="1"/>
  <c r="T66" i="1"/>
  <c r="T67" i="1" a="1"/>
  <c r="T67" i="1"/>
  <c r="T68" i="1" a="1"/>
  <c r="T68" i="1"/>
  <c r="T69" i="1" a="1"/>
  <c r="T69" i="1" s="1"/>
  <c r="T70" i="1" a="1"/>
  <c r="T70" i="1" s="1"/>
  <c r="T71" i="1" a="1"/>
  <c r="T71" i="1"/>
  <c r="T72" i="1" a="1"/>
  <c r="T72" i="1"/>
  <c r="T73" i="1" a="1"/>
  <c r="T73" i="1"/>
  <c r="T74" i="1" a="1"/>
  <c r="T74" i="1"/>
  <c r="T75" i="1" a="1"/>
  <c r="T75" i="1" s="1"/>
  <c r="T76" i="1" a="1"/>
  <c r="T76" i="1" s="1"/>
  <c r="T77" i="1" a="1"/>
  <c r="T77" i="1"/>
  <c r="T78" i="1" a="1"/>
  <c r="T78" i="1"/>
  <c r="T79" i="1" a="1"/>
  <c r="T79" i="1"/>
  <c r="T80" i="1" a="1"/>
  <c r="T80" i="1"/>
  <c r="T81" i="1" a="1"/>
  <c r="T81" i="1" s="1"/>
  <c r="T82" i="1" a="1"/>
  <c r="T82" i="1" s="1"/>
  <c r="T83" i="1" a="1"/>
  <c r="T83" i="1"/>
  <c r="T84" i="1" a="1"/>
  <c r="T84" i="1"/>
  <c r="T85" i="1" a="1"/>
  <c r="T85" i="1"/>
  <c r="T86" i="1" a="1"/>
  <c r="T86" i="1"/>
  <c r="T87" i="1" a="1"/>
  <c r="T87" i="1" s="1"/>
  <c r="T88" i="1" a="1"/>
  <c r="T88" i="1" s="1"/>
  <c r="T89" i="1" a="1"/>
  <c r="T89" i="1"/>
  <c r="T90" i="1" a="1"/>
  <c r="T90" i="1"/>
  <c r="T91" i="1" a="1"/>
  <c r="T91" i="1"/>
  <c r="T92" i="1" a="1"/>
  <c r="T92" i="1"/>
  <c r="T93" i="1" a="1"/>
  <c r="T93" i="1" s="1"/>
  <c r="T94" i="1" a="1"/>
  <c r="T94" i="1" s="1"/>
  <c r="T95" i="1" a="1"/>
  <c r="T95" i="1"/>
  <c r="T96" i="1" a="1"/>
  <c r="T96" i="1"/>
  <c r="T97" i="1" a="1"/>
  <c r="T97" i="1"/>
  <c r="T98" i="1" a="1"/>
  <c r="T98" i="1"/>
  <c r="T99" i="1" a="1"/>
  <c r="T99" i="1" s="1"/>
  <c r="T100" i="1" a="1"/>
  <c r="T100" i="1" s="1"/>
  <c r="T101" i="1" a="1"/>
  <c r="T101" i="1"/>
  <c r="T102" i="1" a="1"/>
  <c r="T102" i="1"/>
  <c r="T103" i="1" a="1"/>
  <c r="T103" i="1"/>
  <c r="T104" i="1" a="1"/>
  <c r="T104" i="1"/>
  <c r="T105" i="1" a="1"/>
  <c r="T105" i="1" s="1"/>
  <c r="T106" i="1" a="1"/>
  <c r="T106" i="1" s="1"/>
  <c r="T107" i="1" a="1"/>
  <c r="T107" i="1"/>
  <c r="T108" i="1" a="1"/>
  <c r="T108" i="1"/>
  <c r="T109" i="1" a="1"/>
  <c r="T109" i="1"/>
  <c r="T110" i="1" a="1"/>
  <c r="T110" i="1"/>
  <c r="T111" i="1" a="1"/>
  <c r="T111" i="1" s="1"/>
  <c r="T112" i="1" a="1"/>
  <c r="T112" i="1" s="1"/>
  <c r="T113" i="1" a="1"/>
  <c r="T113" i="1"/>
  <c r="T114" i="1" a="1"/>
  <c r="T114" i="1"/>
  <c r="T115" i="1" a="1"/>
  <c r="T115" i="1"/>
  <c r="T116" i="1" a="1"/>
  <c r="T116" i="1"/>
  <c r="T117" i="1" a="1"/>
  <c r="T117" i="1" s="1"/>
  <c r="T118" i="1" a="1"/>
  <c r="T118" i="1" s="1"/>
  <c r="T119" i="1" a="1"/>
  <c r="T119" i="1"/>
  <c r="T120" i="1" a="1"/>
  <c r="T120" i="1"/>
  <c r="T121" i="1" a="1"/>
  <c r="T121" i="1"/>
  <c r="T122" i="1" a="1"/>
  <c r="T122" i="1"/>
  <c r="T123" i="1" a="1"/>
  <c r="T123" i="1" s="1"/>
  <c r="T124" i="1" a="1"/>
  <c r="T124" i="1" s="1"/>
  <c r="T125" i="1" a="1"/>
  <c r="T125" i="1"/>
  <c r="T126" i="1" a="1"/>
  <c r="T126" i="1"/>
  <c r="T127" i="1" a="1"/>
  <c r="T127" i="1"/>
  <c r="T128" i="1" a="1"/>
  <c r="T128" i="1"/>
  <c r="T129" i="1" a="1"/>
  <c r="T129" i="1" s="1"/>
  <c r="T130" i="1" a="1"/>
  <c r="T130" i="1" s="1"/>
  <c r="T131" i="1" a="1"/>
  <c r="T131" i="1"/>
  <c r="T132" i="1" a="1"/>
  <c r="T132" i="1"/>
  <c r="T133" i="1" a="1"/>
  <c r="T133" i="1"/>
  <c r="T134" i="1" a="1"/>
  <c r="T134" i="1"/>
  <c r="T135" i="1" a="1"/>
  <c r="T135" i="1" s="1"/>
  <c r="T136" i="1" a="1"/>
  <c r="T136" i="1" s="1"/>
  <c r="T137" i="1" a="1"/>
  <c r="T137" i="1"/>
  <c r="T138" i="1" a="1"/>
  <c r="T138" i="1"/>
  <c r="T139" i="1" a="1"/>
  <c r="T139" i="1"/>
  <c r="T140" i="1" a="1"/>
  <c r="T140" i="1"/>
  <c r="T141" i="1" a="1"/>
  <c r="T141" i="1" s="1"/>
  <c r="T142" i="1" a="1"/>
  <c r="T142" i="1" s="1"/>
  <c r="T143" i="1" a="1"/>
  <c r="T143" i="1"/>
  <c r="T144" i="1" a="1"/>
  <c r="T144" i="1"/>
  <c r="T145" i="1" a="1"/>
  <c r="T145" i="1"/>
  <c r="T146" i="1" a="1"/>
  <c r="T146" i="1"/>
  <c r="T147" i="1" a="1"/>
  <c r="T147" i="1" s="1"/>
  <c r="T148" i="1" a="1"/>
  <c r="T148" i="1" s="1"/>
  <c r="T149" i="1" a="1"/>
  <c r="T149" i="1"/>
  <c r="T150" i="1" a="1"/>
  <c r="T150" i="1"/>
  <c r="T151" i="1" a="1"/>
  <c r="T151" i="1"/>
  <c r="T152" i="1" a="1"/>
  <c r="T152" i="1"/>
  <c r="T153" i="1" a="1"/>
  <c r="T153" i="1" s="1"/>
  <c r="T154" i="1" a="1"/>
  <c r="T154" i="1" s="1"/>
  <c r="T155" i="1" a="1"/>
  <c r="T155" i="1"/>
  <c r="T156" i="1" a="1"/>
  <c r="T156" i="1"/>
  <c r="T157" i="1" a="1"/>
  <c r="T157" i="1"/>
  <c r="T158" i="1" a="1"/>
  <c r="T158" i="1"/>
  <c r="T159" i="1" a="1"/>
  <c r="T159" i="1" s="1"/>
  <c r="T160" i="1" a="1"/>
  <c r="T160" i="1" s="1"/>
  <c r="T161" i="1" a="1"/>
  <c r="T161" i="1"/>
  <c r="T162" i="1" a="1"/>
  <c r="T162" i="1"/>
  <c r="T163" i="1" a="1"/>
  <c r="T163" i="1"/>
  <c r="T164" i="1" a="1"/>
  <c r="T164" i="1"/>
  <c r="T165" i="1" a="1"/>
  <c r="T165" i="1" s="1"/>
  <c r="T166" i="1" a="1"/>
  <c r="T166" i="1" s="1"/>
  <c r="T167" i="1" a="1"/>
  <c r="T167" i="1"/>
  <c r="T168" i="1" a="1"/>
  <c r="T168" i="1"/>
  <c r="T169" i="1" a="1"/>
  <c r="T169" i="1"/>
  <c r="T170" i="1" a="1"/>
  <c r="T170" i="1"/>
  <c r="T171" i="1" a="1"/>
  <c r="T171" i="1" s="1"/>
  <c r="T172" i="1" a="1"/>
  <c r="T172" i="1" s="1"/>
  <c r="T173" i="1" a="1"/>
  <c r="T173" i="1"/>
  <c r="T174" i="1" a="1"/>
  <c r="T174" i="1"/>
  <c r="T175" i="1" a="1"/>
  <c r="T175" i="1"/>
  <c r="T176" i="1" a="1"/>
  <c r="T176" i="1"/>
  <c r="T177" i="1" a="1"/>
  <c r="T177" i="1" s="1"/>
  <c r="T178" i="1" a="1"/>
  <c r="T178" i="1" s="1"/>
  <c r="T179" i="1" a="1"/>
  <c r="T179" i="1"/>
  <c r="T180" i="1" a="1"/>
  <c r="T180" i="1"/>
  <c r="T181" i="1" a="1"/>
  <c r="T181" i="1"/>
  <c r="T182" i="1" a="1"/>
  <c r="T182" i="1"/>
  <c r="T183" i="1" a="1"/>
  <c r="T183" i="1" s="1"/>
  <c r="T184" i="1" a="1"/>
  <c r="T184" i="1" s="1"/>
  <c r="T185" i="1" a="1"/>
  <c r="T185" i="1"/>
  <c r="T186" i="1" a="1"/>
  <c r="T186" i="1"/>
  <c r="T187" i="1" a="1"/>
  <c r="T187" i="1"/>
  <c r="T188" i="1" a="1"/>
  <c r="T188" i="1"/>
  <c r="T189" i="1" a="1"/>
  <c r="T189" i="1" s="1"/>
  <c r="T190" i="1" a="1"/>
  <c r="T190" i="1" s="1"/>
  <c r="T191" i="1" a="1"/>
  <c r="T191" i="1"/>
  <c r="T192" i="1" a="1"/>
  <c r="T192" i="1"/>
  <c r="T193" i="1" a="1"/>
  <c r="T193" i="1"/>
  <c r="T194" i="1" a="1"/>
  <c r="T194" i="1"/>
  <c r="T195" i="1" a="1"/>
  <c r="T195" i="1" s="1"/>
  <c r="T196" i="1" a="1"/>
  <c r="T196" i="1" s="1"/>
  <c r="T197" i="1" a="1"/>
  <c r="T197" i="1"/>
  <c r="T198" i="1" a="1"/>
  <c r="T198" i="1"/>
  <c r="T199" i="1" a="1"/>
  <c r="T199" i="1"/>
  <c r="T200" i="1" a="1"/>
  <c r="T200" i="1"/>
  <c r="T201" i="1" a="1"/>
  <c r="T201" i="1" s="1"/>
  <c r="T202" i="1" a="1"/>
  <c r="T202" i="1" s="1"/>
  <c r="T203" i="1" a="1"/>
  <c r="T203" i="1"/>
  <c r="T204" i="1" a="1"/>
  <c r="T204" i="1"/>
  <c r="T205" i="1" a="1"/>
  <c r="T205" i="1"/>
  <c r="T206" i="1" a="1"/>
  <c r="T206" i="1"/>
  <c r="T207" i="1" a="1"/>
  <c r="T207" i="1" s="1"/>
  <c r="T208" i="1" a="1"/>
  <c r="T208" i="1" s="1"/>
  <c r="T209" i="1" a="1"/>
  <c r="T209" i="1"/>
  <c r="T210" i="1" a="1"/>
  <c r="T210" i="1"/>
  <c r="T211" i="1" a="1"/>
  <c r="T211" i="1"/>
  <c r="T212" i="1" a="1"/>
  <c r="T212" i="1"/>
  <c r="T213" i="1" a="1"/>
  <c r="T213" i="1" s="1"/>
  <c r="T214" i="1" a="1"/>
  <c r="T214" i="1" s="1"/>
  <c r="T215" i="1" a="1"/>
  <c r="T215" i="1"/>
  <c r="T216" i="1" a="1"/>
  <c r="T216" i="1"/>
  <c r="T217" i="1" a="1"/>
  <c r="T217" i="1"/>
  <c r="T218" i="1" a="1"/>
  <c r="T218" i="1"/>
  <c r="T219" i="1" a="1"/>
  <c r="T219" i="1" s="1"/>
  <c r="T220" i="1" a="1"/>
  <c r="T220" i="1" s="1"/>
  <c r="T221" i="1" a="1"/>
  <c r="T221" i="1"/>
  <c r="T222" i="1" a="1"/>
  <c r="T222" i="1"/>
  <c r="T223" i="1" a="1"/>
  <c r="T223" i="1"/>
  <c r="T224" i="1" a="1"/>
  <c r="T224" i="1"/>
  <c r="T225" i="1" a="1"/>
  <c r="T225" i="1" s="1"/>
  <c r="T226" i="1" a="1"/>
  <c r="T226" i="1" s="1"/>
  <c r="T227" i="1" a="1"/>
  <c r="T227" i="1"/>
  <c r="T228" i="1" a="1"/>
  <c r="T228" i="1"/>
  <c r="T229" i="1" a="1"/>
  <c r="T229" i="1"/>
  <c r="T230" i="1" a="1"/>
  <c r="T230" i="1"/>
  <c r="T231" i="1" a="1"/>
  <c r="T231" i="1" s="1"/>
  <c r="T232" i="1" a="1"/>
  <c r="T232" i="1" s="1"/>
  <c r="T233" i="1" a="1"/>
  <c r="T233" i="1"/>
  <c r="T234" i="1" a="1"/>
  <c r="T234" i="1"/>
  <c r="T235" i="1" a="1"/>
  <c r="T235" i="1"/>
  <c r="T236" i="1" a="1"/>
  <c r="T236" i="1"/>
  <c r="T237" i="1" a="1"/>
  <c r="T237" i="1" s="1"/>
  <c r="T238" i="1" a="1"/>
  <c r="T238" i="1" s="1"/>
  <c r="T239" i="1" a="1"/>
  <c r="T239" i="1"/>
  <c r="T240" i="1" a="1"/>
  <c r="T240" i="1"/>
  <c r="T241" i="1" a="1"/>
  <c r="T241" i="1"/>
  <c r="T242" i="1" a="1"/>
  <c r="T242" i="1"/>
  <c r="T243" i="1" a="1"/>
  <c r="T243" i="1" s="1"/>
  <c r="T244" i="1" a="1"/>
  <c r="T244" i="1" s="1"/>
  <c r="T245" i="1" a="1"/>
  <c r="T245" i="1"/>
  <c r="T246" i="1" a="1"/>
  <c r="T246" i="1"/>
  <c r="T247" i="1" a="1"/>
  <c r="T247" i="1"/>
  <c r="T248" i="1" a="1"/>
  <c r="T248" i="1"/>
  <c r="T249" i="1" a="1"/>
  <c r="T249" i="1" s="1"/>
  <c r="T250" i="1" a="1"/>
  <c r="T250" i="1" s="1"/>
  <c r="T251" i="1" a="1"/>
  <c r="T251" i="1"/>
  <c r="T252" i="1" a="1"/>
  <c r="T252" i="1"/>
  <c r="T253" i="1" a="1"/>
  <c r="T253" i="1"/>
  <c r="T254" i="1" a="1"/>
  <c r="T254" i="1"/>
  <c r="T255" i="1" a="1"/>
  <c r="T255" i="1" s="1"/>
  <c r="T256" i="1" a="1"/>
  <c r="T256" i="1" s="1"/>
  <c r="T257" i="1" a="1"/>
  <c r="T257" i="1"/>
  <c r="T258" i="1" a="1"/>
  <c r="T258" i="1"/>
  <c r="T259" i="1" a="1"/>
  <c r="T259" i="1"/>
  <c r="T260" i="1" a="1"/>
  <c r="T260" i="1"/>
  <c r="T261" i="1" a="1"/>
  <c r="T261" i="1" s="1"/>
  <c r="T262" i="1" a="1"/>
  <c r="T262" i="1" s="1"/>
  <c r="T263" i="1" a="1"/>
  <c r="T263" i="1"/>
  <c r="T264" i="1" a="1"/>
  <c r="T264" i="1"/>
  <c r="T265" i="1" a="1"/>
  <c r="T265" i="1"/>
  <c r="T266" i="1" a="1"/>
  <c r="T266" i="1"/>
  <c r="T267" i="1" a="1"/>
  <c r="T267" i="1" s="1"/>
  <c r="T268" i="1" a="1"/>
  <c r="T268" i="1" s="1"/>
  <c r="T269" i="1" a="1"/>
  <c r="T269" i="1"/>
  <c r="T270" i="1" a="1"/>
  <c r="T270" i="1"/>
  <c r="T271" i="1" a="1"/>
  <c r="T271" i="1"/>
  <c r="T272" i="1" a="1"/>
  <c r="T272" i="1"/>
  <c r="T273" i="1" a="1"/>
  <c r="T273" i="1" s="1"/>
  <c r="T274" i="1" a="1"/>
  <c r="T274" i="1" s="1"/>
  <c r="T275" i="1" a="1"/>
  <c r="T275" i="1"/>
  <c r="T276" i="1" a="1"/>
  <c r="T276" i="1"/>
  <c r="T277" i="1" a="1"/>
  <c r="T277" i="1"/>
  <c r="T278" i="1" a="1"/>
  <c r="T278" i="1"/>
  <c r="T279" i="1" a="1"/>
  <c r="T279" i="1" s="1"/>
  <c r="T280" i="1" a="1"/>
  <c r="T280" i="1" s="1"/>
  <c r="T281" i="1" a="1"/>
  <c r="T281" i="1"/>
  <c r="T282" i="1" a="1"/>
  <c r="T282" i="1"/>
  <c r="T283" i="1" a="1"/>
  <c r="T283" i="1"/>
  <c r="T284" i="1" a="1"/>
  <c r="T284" i="1"/>
  <c r="T285" i="1" a="1"/>
  <c r="T285" i="1" s="1"/>
  <c r="T286" i="1" a="1"/>
  <c r="T286" i="1" s="1"/>
  <c r="T287" i="1" a="1"/>
  <c r="T287" i="1"/>
  <c r="T288" i="1" a="1"/>
  <c r="T288" i="1"/>
  <c r="T289" i="1" a="1"/>
  <c r="T289" i="1"/>
  <c r="T290" i="1" a="1"/>
  <c r="T290" i="1"/>
  <c r="T291" i="1" a="1"/>
  <c r="T291" i="1" s="1"/>
  <c r="T292" i="1" a="1"/>
  <c r="T292" i="1" s="1"/>
  <c r="T293" i="1" a="1"/>
  <c r="T293" i="1"/>
  <c r="T294" i="1" a="1"/>
  <c r="T294" i="1"/>
  <c r="T295" i="1" a="1"/>
  <c r="T295" i="1"/>
  <c r="T296" i="1" a="1"/>
  <c r="T296" i="1"/>
  <c r="T297" i="1" a="1"/>
  <c r="T297" i="1" s="1"/>
  <c r="T298" i="1" a="1"/>
  <c r="T298" i="1" s="1"/>
  <c r="T299" i="1" a="1"/>
  <c r="T299" i="1"/>
  <c r="T300" i="1" a="1"/>
  <c r="T300" i="1"/>
  <c r="T301" i="1" a="1"/>
  <c r="T301" i="1"/>
  <c r="T302" i="1" a="1"/>
  <c r="T302" i="1"/>
  <c r="T303" i="1" a="1"/>
  <c r="T303" i="1" s="1"/>
  <c r="T304" i="1" a="1"/>
  <c r="T304" i="1" s="1"/>
  <c r="T305" i="1" a="1"/>
  <c r="T305" i="1"/>
  <c r="T306" i="1" a="1"/>
  <c r="T306" i="1"/>
  <c r="T307" i="1" a="1"/>
  <c r="T307" i="1"/>
  <c r="T308" i="1" a="1"/>
  <c r="T308" i="1"/>
  <c r="T309" i="1" a="1"/>
  <c r="T309" i="1" s="1"/>
  <c r="T310" i="1" a="1"/>
  <c r="T310" i="1" s="1"/>
  <c r="T311" i="1" a="1"/>
  <c r="T311" i="1"/>
  <c r="T312" i="1" a="1"/>
  <c r="T312" i="1"/>
  <c r="T313" i="1" a="1"/>
  <c r="T313" i="1"/>
  <c r="T314" i="1" a="1"/>
  <c r="T314" i="1"/>
  <c r="T315" i="1" a="1"/>
  <c r="T315" i="1" s="1"/>
  <c r="T316" i="1" a="1"/>
  <c r="T316" i="1" s="1"/>
  <c r="T317" i="1" a="1"/>
  <c r="T317" i="1"/>
  <c r="T318" i="1" a="1"/>
  <c r="T318" i="1"/>
  <c r="T319" i="1" a="1"/>
  <c r="T319" i="1"/>
  <c r="T320" i="1" a="1"/>
  <c r="T320" i="1"/>
  <c r="T321" i="1" a="1"/>
  <c r="T321" i="1" s="1"/>
  <c r="T322" i="1" a="1"/>
  <c r="T322" i="1" s="1"/>
  <c r="T323" i="1" a="1"/>
  <c r="T323" i="1"/>
  <c r="T324" i="1" a="1"/>
  <c r="T324" i="1"/>
  <c r="T325" i="1" a="1"/>
  <c r="T325" i="1"/>
  <c r="T326" i="1" a="1"/>
  <c r="T326" i="1"/>
  <c r="T327" i="1" a="1"/>
  <c r="T327" i="1" s="1"/>
  <c r="T328" i="1" a="1"/>
  <c r="T328" i="1" s="1"/>
  <c r="T329" i="1" a="1"/>
  <c r="T329" i="1"/>
  <c r="T330" i="1" a="1"/>
  <c r="T330" i="1"/>
  <c r="T331" i="1" a="1"/>
  <c r="T331" i="1"/>
  <c r="T332" i="1" a="1"/>
  <c r="T332" i="1"/>
  <c r="T333" i="1" a="1"/>
  <c r="T333" i="1" s="1"/>
  <c r="T334" i="1" a="1"/>
  <c r="T334" i="1" s="1"/>
  <c r="T335" i="1" a="1"/>
  <c r="T335" i="1"/>
  <c r="T336" i="1" a="1"/>
  <c r="T336" i="1"/>
  <c r="T337" i="1" a="1"/>
  <c r="T337" i="1"/>
  <c r="T338" i="1" a="1"/>
  <c r="T338" i="1"/>
  <c r="T339" i="1" a="1"/>
  <c r="T339" i="1" s="1"/>
  <c r="T340" i="1" a="1"/>
  <c r="T340" i="1" s="1"/>
  <c r="T341" i="1" a="1"/>
  <c r="T341" i="1"/>
  <c r="T342" i="1" a="1"/>
  <c r="T342" i="1"/>
  <c r="T343" i="1" a="1"/>
  <c r="T343" i="1"/>
  <c r="T344" i="1" a="1"/>
  <c r="T344" i="1"/>
  <c r="T345" i="1" a="1"/>
  <c r="T345" i="1" s="1"/>
  <c r="T346" i="1" a="1"/>
  <c r="T346" i="1" s="1"/>
  <c r="T347" i="1" a="1"/>
  <c r="T347" i="1"/>
  <c r="T348" i="1" a="1"/>
  <c r="T348" i="1"/>
  <c r="T349" i="1" a="1"/>
  <c r="T349" i="1"/>
  <c r="T350" i="1" a="1"/>
  <c r="T350" i="1"/>
  <c r="T351" i="1" a="1"/>
  <c r="T351" i="1" s="1"/>
  <c r="T352" i="1" a="1"/>
  <c r="T352" i="1" s="1"/>
  <c r="T353" i="1" a="1"/>
  <c r="T353" i="1"/>
  <c r="T354" i="1" a="1"/>
  <c r="T354" i="1"/>
  <c r="T355" i="1" a="1"/>
  <c r="T355" i="1"/>
  <c r="T356" i="1" a="1"/>
  <c r="T356" i="1"/>
  <c r="T357" i="1" a="1"/>
  <c r="T357" i="1" s="1"/>
  <c r="T358" i="1" a="1"/>
  <c r="T358" i="1" s="1"/>
  <c r="T359" i="1" a="1"/>
  <c r="T359" i="1"/>
  <c r="T360" i="1" a="1"/>
  <c r="T360" i="1"/>
  <c r="T361" i="1" a="1"/>
  <c r="T361" i="1"/>
  <c r="T362" i="1" a="1"/>
  <c r="T362" i="1"/>
  <c r="T363" i="1" a="1"/>
  <c r="T363" i="1" s="1"/>
  <c r="T364" i="1" a="1"/>
  <c r="T364" i="1" s="1"/>
  <c r="T365" i="1" a="1"/>
  <c r="T365" i="1"/>
  <c r="T366" i="1" a="1"/>
  <c r="T366" i="1"/>
  <c r="T367" i="1" a="1"/>
  <c r="T367" i="1"/>
  <c r="T368" i="1" a="1"/>
  <c r="T368" i="1"/>
  <c r="T369" i="1" a="1"/>
  <c r="T369" i="1" s="1"/>
  <c r="T370" i="1" a="1"/>
  <c r="T370" i="1" s="1"/>
  <c r="T371" i="1" a="1"/>
  <c r="T371" i="1"/>
  <c r="T372" i="1" a="1"/>
  <c r="T372" i="1"/>
  <c r="T373" i="1" a="1"/>
  <c r="T373" i="1"/>
  <c r="T374" i="1" a="1"/>
  <c r="T374" i="1"/>
  <c r="T375" i="1" a="1"/>
  <c r="T375" i="1" s="1"/>
  <c r="T376" i="1" a="1"/>
  <c r="T376" i="1" s="1"/>
  <c r="T377" i="1" a="1"/>
  <c r="T377" i="1"/>
  <c r="T378" i="1" a="1"/>
  <c r="T378" i="1"/>
  <c r="T379" i="1" a="1"/>
  <c r="T379" i="1"/>
  <c r="T380" i="1" a="1"/>
  <c r="T380" i="1"/>
  <c r="T381" i="1" a="1"/>
  <c r="T381" i="1" s="1"/>
  <c r="T382" i="1" a="1"/>
  <c r="T382" i="1" s="1"/>
  <c r="T383" i="1" a="1"/>
  <c r="T383" i="1"/>
  <c r="T384" i="1" a="1"/>
  <c r="T384" i="1"/>
  <c r="T385" i="1" a="1"/>
  <c r="T385" i="1"/>
  <c r="T386" i="1" a="1"/>
  <c r="T386" i="1"/>
  <c r="T387" i="1" a="1"/>
  <c r="T387" i="1" s="1"/>
  <c r="T388" i="1" a="1"/>
  <c r="T388" i="1" s="1"/>
  <c r="T389" i="1" a="1"/>
  <c r="T389" i="1"/>
  <c r="T390" i="1" a="1"/>
  <c r="T390" i="1"/>
  <c r="T391" i="1" a="1"/>
  <c r="T391" i="1"/>
  <c r="T392" i="1" a="1"/>
  <c r="T392" i="1"/>
  <c r="T393" i="1" a="1"/>
  <c r="T393" i="1" s="1"/>
  <c r="T394" i="1" a="1"/>
  <c r="T394" i="1" s="1"/>
  <c r="T395" i="1" a="1"/>
  <c r="T395" i="1"/>
  <c r="T396" i="1" a="1"/>
  <c r="T396" i="1"/>
  <c r="T397" i="1" a="1"/>
  <c r="T397" i="1"/>
  <c r="T398" i="1" a="1"/>
  <c r="T398" i="1"/>
  <c r="T399" i="1" a="1"/>
  <c r="T399" i="1" s="1"/>
  <c r="T400" i="1" a="1"/>
  <c r="T400" i="1" s="1"/>
  <c r="T401" i="1" a="1"/>
  <c r="T401" i="1"/>
  <c r="T402" i="1" a="1"/>
  <c r="T402" i="1"/>
  <c r="T403" i="1" a="1"/>
  <c r="T403" i="1"/>
  <c r="T404" i="1" a="1"/>
  <c r="T404" i="1"/>
  <c r="T405" i="1" a="1"/>
  <c r="T405" i="1" s="1"/>
  <c r="T406" i="1" a="1"/>
  <c r="T406" i="1" s="1"/>
  <c r="T407" i="1" a="1"/>
  <c r="T407" i="1"/>
  <c r="T408" i="1" a="1"/>
  <c r="T408" i="1"/>
  <c r="T409" i="1" a="1"/>
  <c r="T409" i="1"/>
  <c r="T410" i="1" a="1"/>
  <c r="T410" i="1"/>
  <c r="T411" i="1" a="1"/>
  <c r="T411" i="1" s="1"/>
  <c r="T412" i="1" a="1"/>
  <c r="T412" i="1" s="1"/>
  <c r="T413" i="1" a="1"/>
  <c r="T413" i="1"/>
  <c r="T414" i="1" a="1"/>
  <c r="T414" i="1"/>
  <c r="T415" i="1" a="1"/>
  <c r="T415" i="1"/>
  <c r="T416" i="1" a="1"/>
  <c r="T416" i="1"/>
  <c r="T417" i="1" a="1"/>
  <c r="T417" i="1" s="1"/>
  <c r="T418" i="1" a="1"/>
  <c r="T418" i="1" s="1"/>
  <c r="T419" i="1" a="1"/>
  <c r="T419" i="1"/>
  <c r="T420" i="1" a="1"/>
  <c r="T420" i="1"/>
  <c r="T421" i="1" a="1"/>
  <c r="T421" i="1"/>
  <c r="T422" i="1" a="1"/>
  <c r="T422" i="1"/>
  <c r="T423" i="1" a="1"/>
  <c r="T423" i="1" s="1"/>
  <c r="T424" i="1" a="1"/>
  <c r="T424" i="1" s="1"/>
  <c r="T425" i="1" a="1"/>
  <c r="T425" i="1"/>
  <c r="T426" i="1" a="1"/>
  <c r="T426" i="1"/>
  <c r="T427" i="1" a="1"/>
  <c r="T427" i="1"/>
  <c r="T428" i="1" a="1"/>
  <c r="T428" i="1"/>
  <c r="T429" i="1" a="1"/>
  <c r="T429" i="1" s="1"/>
  <c r="T430" i="1" a="1"/>
  <c r="T430" i="1" s="1"/>
  <c r="T431" i="1" a="1"/>
  <c r="T431" i="1"/>
  <c r="T432" i="1" a="1"/>
  <c r="T432" i="1"/>
  <c r="T433" i="1" a="1"/>
  <c r="T433" i="1"/>
  <c r="T434" i="1" a="1"/>
  <c r="T434" i="1"/>
  <c r="T435" i="1" a="1"/>
  <c r="T435" i="1" s="1"/>
  <c r="T436" i="1" a="1"/>
  <c r="T436" i="1" s="1"/>
  <c r="T437" i="1" a="1"/>
  <c r="T437" i="1"/>
  <c r="T438" i="1" a="1"/>
  <c r="T438" i="1"/>
  <c r="T439" i="1" a="1"/>
  <c r="T439" i="1"/>
  <c r="T440" i="1" a="1"/>
  <c r="T440" i="1"/>
  <c r="T441" i="1" a="1"/>
  <c r="T441" i="1" s="1"/>
  <c r="T442" i="1" a="1"/>
  <c r="T442" i="1" s="1"/>
  <c r="T443" i="1" a="1"/>
  <c r="T443" i="1"/>
  <c r="T444" i="1" a="1"/>
  <c r="T444" i="1"/>
  <c r="T445" i="1" a="1"/>
  <c r="T445" i="1"/>
  <c r="T446" i="1" a="1"/>
  <c r="T446" i="1"/>
  <c r="T447" i="1" a="1"/>
  <c r="T447" i="1" s="1"/>
  <c r="T448" i="1" a="1"/>
  <c r="T448" i="1" s="1"/>
  <c r="T449" i="1" a="1"/>
  <c r="T449" i="1"/>
  <c r="T450" i="1" a="1"/>
  <c r="T450" i="1"/>
  <c r="T451" i="1" a="1"/>
  <c r="T451" i="1"/>
  <c r="T452" i="1" a="1"/>
  <c r="T452" i="1"/>
  <c r="T453" i="1" a="1"/>
  <c r="T453" i="1" s="1"/>
  <c r="T454" i="1" a="1"/>
  <c r="T454" i="1" s="1"/>
  <c r="T455" i="1" a="1"/>
  <c r="T455" i="1"/>
  <c r="T456" i="1" a="1"/>
  <c r="T456" i="1"/>
  <c r="T457" i="1" a="1"/>
  <c r="T457" i="1"/>
  <c r="T458" i="1" a="1"/>
  <c r="T458" i="1"/>
  <c r="T459" i="1" a="1"/>
  <c r="T459" i="1" s="1"/>
  <c r="T460" i="1" a="1"/>
  <c r="T460" i="1" s="1"/>
  <c r="T461" i="1" a="1"/>
  <c r="T461" i="1"/>
  <c r="T462" i="1" a="1"/>
  <c r="T462" i="1"/>
  <c r="T463" i="1" a="1"/>
  <c r="T463" i="1"/>
  <c r="T464" i="1" a="1"/>
  <c r="T464" i="1"/>
  <c r="T465" i="1" a="1"/>
  <c r="T465" i="1" s="1"/>
  <c r="T466" i="1" a="1"/>
  <c r="T466" i="1" s="1"/>
  <c r="T467" i="1" a="1"/>
  <c r="T467" i="1"/>
  <c r="T468" i="1" a="1"/>
  <c r="T468" i="1"/>
  <c r="T469" i="1" a="1"/>
  <c r="T469" i="1"/>
  <c r="T470" i="1" a="1"/>
  <c r="T470" i="1"/>
  <c r="T471" i="1" a="1"/>
  <c r="T471" i="1" s="1"/>
  <c r="T472" i="1" a="1"/>
  <c r="T472" i="1" s="1"/>
  <c r="T473" i="1" a="1"/>
  <c r="T473" i="1"/>
  <c r="T474" i="1" a="1"/>
  <c r="T474" i="1"/>
  <c r="T475" i="1" a="1"/>
  <c r="T475" i="1"/>
  <c r="T476" i="1" a="1"/>
  <c r="T476" i="1"/>
  <c r="T477" i="1" a="1"/>
  <c r="T477" i="1" s="1"/>
  <c r="T478" i="1" a="1"/>
  <c r="T478" i="1" s="1"/>
  <c r="T479" i="1" a="1"/>
  <c r="T479" i="1"/>
  <c r="T480" i="1" a="1"/>
  <c r="T480" i="1"/>
  <c r="T481" i="1" a="1"/>
  <c r="T481" i="1"/>
  <c r="T482" i="1" a="1"/>
  <c r="T482" i="1"/>
  <c r="T483" i="1" a="1"/>
  <c r="T483" i="1" s="1"/>
  <c r="T484" i="1" a="1"/>
  <c r="T484" i="1" s="1"/>
  <c r="T485" i="1" a="1"/>
  <c r="T485" i="1"/>
  <c r="T486" i="1" a="1"/>
  <c r="T486" i="1"/>
  <c r="T487" i="1" a="1"/>
  <c r="T487" i="1"/>
  <c r="T488" i="1" a="1"/>
  <c r="T488" i="1"/>
  <c r="T489" i="1" a="1"/>
  <c r="T489" i="1" s="1"/>
  <c r="T490" i="1" a="1"/>
  <c r="T490" i="1" s="1"/>
  <c r="T491" i="1" a="1"/>
  <c r="T491" i="1"/>
  <c r="T492" i="1" a="1"/>
  <c r="T492" i="1"/>
  <c r="T493" i="1" a="1"/>
  <c r="T493" i="1"/>
  <c r="T494" i="1" a="1"/>
  <c r="T494" i="1"/>
  <c r="T495" i="1" a="1"/>
  <c r="T495" i="1" s="1"/>
  <c r="T496" i="1" a="1"/>
  <c r="T496" i="1" s="1"/>
  <c r="T497" i="1" a="1"/>
  <c r="T497" i="1"/>
  <c r="T498" i="1" a="1"/>
  <c r="T498" i="1"/>
  <c r="T499" i="1" a="1"/>
  <c r="T499" i="1"/>
  <c r="T500" i="1" a="1"/>
  <c r="T500" i="1"/>
  <c r="T501" i="1" a="1"/>
  <c r="T501" i="1" s="1"/>
  <c r="T2" i="1" a="1"/>
  <c r="T2" i="1" s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2" i="1"/>
  <c r="Q3" i="1"/>
  <c r="Q4" i="1"/>
  <c r="Q5" i="1"/>
  <c r="Q6" i="1"/>
  <c r="Q7" i="1"/>
  <c r="Q8" i="1"/>
  <c r="R8" i="1" s="1"/>
  <c r="Q9" i="1"/>
  <c r="R9" i="1" s="1"/>
  <c r="Q10" i="1"/>
  <c r="R10" i="1" s="1"/>
  <c r="Q11" i="1"/>
  <c r="R11" i="1" s="1"/>
  <c r="Q12" i="1"/>
  <c r="R12" i="1" s="1"/>
  <c r="Q13" i="1"/>
  <c r="R13" i="1" s="1"/>
  <c r="Q14" i="1"/>
  <c r="R14" i="1" s="1"/>
  <c r="Q15" i="1"/>
  <c r="Q16" i="1"/>
  <c r="Q17" i="1"/>
  <c r="Q18" i="1"/>
  <c r="Q19" i="1"/>
  <c r="Q20" i="1"/>
  <c r="R20" i="1" s="1"/>
  <c r="Q21" i="1"/>
  <c r="R21" i="1" s="1"/>
  <c r="Q22" i="1"/>
  <c r="Q23" i="1"/>
  <c r="Q24" i="1"/>
  <c r="Q25" i="1"/>
  <c r="R25" i="1" s="1"/>
  <c r="Q26" i="1"/>
  <c r="R26" i="1" s="1"/>
  <c r="Q27" i="1"/>
  <c r="Q28" i="1"/>
  <c r="Q29" i="1"/>
  <c r="Q30" i="1"/>
  <c r="Q31" i="1"/>
  <c r="Q32" i="1"/>
  <c r="R32" i="1" s="1"/>
  <c r="Q33" i="1"/>
  <c r="R33" i="1" s="1"/>
  <c r="Q34" i="1"/>
  <c r="Q35" i="1"/>
  <c r="Q36" i="1"/>
  <c r="Q37" i="1"/>
  <c r="Q38" i="1"/>
  <c r="Q39" i="1"/>
  <c r="Q40" i="1"/>
  <c r="Q41" i="1"/>
  <c r="Q42" i="1"/>
  <c r="Q43" i="1"/>
  <c r="Q44" i="1"/>
  <c r="R44" i="1" s="1"/>
  <c r="Q45" i="1"/>
  <c r="R45" i="1" s="1"/>
  <c r="Q46" i="1"/>
  <c r="R46" i="1" s="1"/>
  <c r="Q47" i="1"/>
  <c r="R47" i="1" s="1"/>
  <c r="Q48" i="1"/>
  <c r="R48" i="1" s="1"/>
  <c r="Q49" i="1"/>
  <c r="R49" i="1" s="1"/>
  <c r="Q50" i="1"/>
  <c r="R50" i="1" s="1"/>
  <c r="Q51" i="1"/>
  <c r="Q52" i="1"/>
  <c r="Q53" i="1"/>
  <c r="Q54" i="1"/>
  <c r="R54" i="1" s="1"/>
  <c r="Q55" i="1"/>
  <c r="Q56" i="1"/>
  <c r="R56" i="1" s="1"/>
  <c r="Q57" i="1"/>
  <c r="R57" i="1" s="1"/>
  <c r="Q58" i="1"/>
  <c r="R58" i="1" s="1"/>
  <c r="Q59" i="1"/>
  <c r="R59" i="1" s="1"/>
  <c r="Q60" i="1"/>
  <c r="R60" i="1" s="1"/>
  <c r="Q61" i="1"/>
  <c r="R61" i="1" s="1"/>
  <c r="Q62" i="1"/>
  <c r="R62" i="1" s="1"/>
  <c r="Q63" i="1"/>
  <c r="Q64" i="1"/>
  <c r="Q65" i="1"/>
  <c r="Q66" i="1"/>
  <c r="Q67" i="1"/>
  <c r="Q68" i="1"/>
  <c r="R68" i="1" s="1"/>
  <c r="Q69" i="1"/>
  <c r="R69" i="1" s="1"/>
  <c r="Q70" i="1"/>
  <c r="R70" i="1" s="1"/>
  <c r="Q71" i="1"/>
  <c r="R71" i="1" s="1"/>
  <c r="Q72" i="1"/>
  <c r="R72" i="1" s="1"/>
  <c r="Q73" i="1"/>
  <c r="R73" i="1" s="1"/>
  <c r="Q74" i="1"/>
  <c r="R74" i="1" s="1"/>
  <c r="Q75" i="1"/>
  <c r="Q76" i="1"/>
  <c r="Q77" i="1"/>
  <c r="Q78" i="1"/>
  <c r="Q79" i="1"/>
  <c r="Q80" i="1"/>
  <c r="R80" i="1" s="1"/>
  <c r="Q81" i="1"/>
  <c r="R81" i="1" s="1"/>
  <c r="Q82" i="1"/>
  <c r="Q83" i="1"/>
  <c r="R83" i="1" s="1"/>
  <c r="Q84" i="1"/>
  <c r="R84" i="1" s="1"/>
  <c r="Q85" i="1"/>
  <c r="R85" i="1" s="1"/>
  <c r="Q86" i="1"/>
  <c r="R86" i="1" s="1"/>
  <c r="Q87" i="1"/>
  <c r="Q88" i="1"/>
  <c r="Q89" i="1"/>
  <c r="Q90" i="1"/>
  <c r="Q91" i="1"/>
  <c r="Q92" i="1"/>
  <c r="R92" i="1" s="1"/>
  <c r="Q93" i="1"/>
  <c r="R93" i="1" s="1"/>
  <c r="Q94" i="1"/>
  <c r="Q95" i="1"/>
  <c r="Q96" i="1"/>
  <c r="Q97" i="1"/>
  <c r="R97" i="1" s="1"/>
  <c r="Q98" i="1"/>
  <c r="R98" i="1" s="1"/>
  <c r="Q99" i="1"/>
  <c r="Q100" i="1"/>
  <c r="Q101" i="1"/>
  <c r="Q102" i="1"/>
  <c r="Q103" i="1"/>
  <c r="Q104" i="1"/>
  <c r="R104" i="1" s="1"/>
  <c r="Q105" i="1"/>
  <c r="R105" i="1" s="1"/>
  <c r="Q106" i="1"/>
  <c r="Q107" i="1"/>
  <c r="Q108" i="1"/>
  <c r="Q109" i="1"/>
  <c r="Q110" i="1"/>
  <c r="Q111" i="1"/>
  <c r="Q112" i="1"/>
  <c r="Q113" i="1"/>
  <c r="Q114" i="1"/>
  <c r="Q115" i="1"/>
  <c r="Q116" i="1"/>
  <c r="R116" i="1" s="1"/>
  <c r="Q117" i="1"/>
  <c r="R117" i="1" s="1"/>
  <c r="Q118" i="1"/>
  <c r="R118" i="1" s="1"/>
  <c r="Q119" i="1"/>
  <c r="R119" i="1" s="1"/>
  <c r="Q120" i="1"/>
  <c r="R120" i="1" s="1"/>
  <c r="Q121" i="1"/>
  <c r="R121" i="1" s="1"/>
  <c r="Q122" i="1"/>
  <c r="R122" i="1" s="1"/>
  <c r="Q123" i="1"/>
  <c r="Q124" i="1"/>
  <c r="Q125" i="1"/>
  <c r="Q126" i="1"/>
  <c r="R126" i="1" s="1"/>
  <c r="Q127" i="1"/>
  <c r="Q128" i="1"/>
  <c r="R128" i="1" s="1"/>
  <c r="Q129" i="1"/>
  <c r="R129" i="1" s="1"/>
  <c r="Q130" i="1"/>
  <c r="R130" i="1" s="1"/>
  <c r="Q131" i="1"/>
  <c r="R131" i="1" s="1"/>
  <c r="Q132" i="1"/>
  <c r="R132" i="1" s="1"/>
  <c r="Q133" i="1"/>
  <c r="R133" i="1" s="1"/>
  <c r="Q134" i="1"/>
  <c r="R134" i="1" s="1"/>
  <c r="Q135" i="1"/>
  <c r="Q136" i="1"/>
  <c r="Q137" i="1"/>
  <c r="Q138" i="1"/>
  <c r="Q139" i="1"/>
  <c r="Q140" i="1"/>
  <c r="R140" i="1" s="1"/>
  <c r="Q141" i="1"/>
  <c r="R141" i="1" s="1"/>
  <c r="Q142" i="1"/>
  <c r="R142" i="1" s="1"/>
  <c r="Q143" i="1"/>
  <c r="R143" i="1" s="1"/>
  <c r="Q144" i="1"/>
  <c r="R144" i="1" s="1"/>
  <c r="Q145" i="1"/>
  <c r="R145" i="1" s="1"/>
  <c r="Q146" i="1"/>
  <c r="R146" i="1" s="1"/>
  <c r="Q147" i="1"/>
  <c r="Q148" i="1"/>
  <c r="Q149" i="1"/>
  <c r="Q150" i="1"/>
  <c r="Q151" i="1"/>
  <c r="Q152" i="1"/>
  <c r="R152" i="1" s="1"/>
  <c r="Q153" i="1"/>
  <c r="R153" i="1" s="1"/>
  <c r="Q154" i="1"/>
  <c r="Q155" i="1"/>
  <c r="R155" i="1" s="1"/>
  <c r="Q156" i="1"/>
  <c r="R156" i="1" s="1"/>
  <c r="Q157" i="1"/>
  <c r="R157" i="1" s="1"/>
  <c r="Q158" i="1"/>
  <c r="R158" i="1" s="1"/>
  <c r="Q159" i="1"/>
  <c r="Q160" i="1"/>
  <c r="Q161" i="1"/>
  <c r="Q162" i="1"/>
  <c r="Q163" i="1"/>
  <c r="Q164" i="1"/>
  <c r="R164" i="1" s="1"/>
  <c r="Q165" i="1"/>
  <c r="R165" i="1" s="1"/>
  <c r="Q166" i="1"/>
  <c r="Q167" i="1"/>
  <c r="Q168" i="1"/>
  <c r="Q169" i="1"/>
  <c r="R169" i="1" s="1"/>
  <c r="Q170" i="1"/>
  <c r="R170" i="1" s="1"/>
  <c r="Q171" i="1"/>
  <c r="Q172" i="1"/>
  <c r="Q173" i="1"/>
  <c r="Q174" i="1"/>
  <c r="Q175" i="1"/>
  <c r="Q176" i="1"/>
  <c r="R176" i="1" s="1"/>
  <c r="Q177" i="1"/>
  <c r="R177" i="1" s="1"/>
  <c r="Q178" i="1"/>
  <c r="Q179" i="1"/>
  <c r="Q180" i="1"/>
  <c r="Q181" i="1"/>
  <c r="Q182" i="1"/>
  <c r="Q183" i="1"/>
  <c r="Q184" i="1"/>
  <c r="Q185" i="1"/>
  <c r="Q186" i="1"/>
  <c r="Q187" i="1"/>
  <c r="Q188" i="1"/>
  <c r="R188" i="1" s="1"/>
  <c r="Q189" i="1"/>
  <c r="R189" i="1" s="1"/>
  <c r="Q190" i="1"/>
  <c r="R190" i="1" s="1"/>
  <c r="Q191" i="1"/>
  <c r="R191" i="1" s="1"/>
  <c r="Q192" i="1"/>
  <c r="R192" i="1" s="1"/>
  <c r="Q193" i="1"/>
  <c r="R193" i="1" s="1"/>
  <c r="Q194" i="1"/>
  <c r="R194" i="1" s="1"/>
  <c r="Q195" i="1"/>
  <c r="Q196" i="1"/>
  <c r="Q197" i="1"/>
  <c r="Q198" i="1"/>
  <c r="R198" i="1" s="1"/>
  <c r="Q199" i="1"/>
  <c r="Q200" i="1"/>
  <c r="R200" i="1" s="1"/>
  <c r="Q201" i="1"/>
  <c r="R201" i="1" s="1"/>
  <c r="Q202" i="1"/>
  <c r="R202" i="1" s="1"/>
  <c r="Q203" i="1"/>
  <c r="R203" i="1" s="1"/>
  <c r="Q204" i="1"/>
  <c r="R204" i="1" s="1"/>
  <c r="Q205" i="1"/>
  <c r="R205" i="1" s="1"/>
  <c r="Q206" i="1"/>
  <c r="R206" i="1" s="1"/>
  <c r="Q207" i="1"/>
  <c r="Q208" i="1"/>
  <c r="Q209" i="1"/>
  <c r="Q210" i="1"/>
  <c r="Q211" i="1"/>
  <c r="Q212" i="1"/>
  <c r="R212" i="1" s="1"/>
  <c r="Q213" i="1"/>
  <c r="R213" i="1" s="1"/>
  <c r="Q214" i="1"/>
  <c r="R214" i="1" s="1"/>
  <c r="Q215" i="1"/>
  <c r="R215" i="1" s="1"/>
  <c r="Q216" i="1"/>
  <c r="R216" i="1" s="1"/>
  <c r="Q217" i="1"/>
  <c r="R217" i="1" s="1"/>
  <c r="Q218" i="1"/>
  <c r="R218" i="1" s="1"/>
  <c r="Q219" i="1"/>
  <c r="Q220" i="1"/>
  <c r="Q221" i="1"/>
  <c r="Q222" i="1"/>
  <c r="Q223" i="1"/>
  <c r="Q224" i="1"/>
  <c r="R224" i="1" s="1"/>
  <c r="Q225" i="1"/>
  <c r="R225" i="1" s="1"/>
  <c r="Q226" i="1"/>
  <c r="Q227" i="1"/>
  <c r="R227" i="1" s="1"/>
  <c r="Q228" i="1"/>
  <c r="R228" i="1" s="1"/>
  <c r="Q229" i="1"/>
  <c r="R229" i="1" s="1"/>
  <c r="Q230" i="1"/>
  <c r="R230" i="1" s="1"/>
  <c r="Q231" i="1"/>
  <c r="Q232" i="1"/>
  <c r="Q233" i="1"/>
  <c r="Q234" i="1"/>
  <c r="Q235" i="1"/>
  <c r="Q236" i="1"/>
  <c r="R236" i="1" s="1"/>
  <c r="Q237" i="1"/>
  <c r="R237" i="1" s="1"/>
  <c r="Q238" i="1"/>
  <c r="Q239" i="1"/>
  <c r="Q240" i="1"/>
  <c r="Q241" i="1"/>
  <c r="R241" i="1" s="1"/>
  <c r="Q242" i="1"/>
  <c r="R242" i="1" s="1"/>
  <c r="Q243" i="1"/>
  <c r="Q244" i="1"/>
  <c r="Q245" i="1"/>
  <c r="Q246" i="1"/>
  <c r="Q247" i="1"/>
  <c r="Q248" i="1"/>
  <c r="R248" i="1" s="1"/>
  <c r="Q249" i="1"/>
  <c r="R249" i="1" s="1"/>
  <c r="Q250" i="1"/>
  <c r="Q251" i="1"/>
  <c r="Q252" i="1"/>
  <c r="Q253" i="1"/>
  <c r="Q254" i="1"/>
  <c r="Q255" i="1"/>
  <c r="Q256" i="1"/>
  <c r="Q257" i="1"/>
  <c r="Q258" i="1"/>
  <c r="Q259" i="1"/>
  <c r="Q260" i="1"/>
  <c r="R260" i="1" s="1"/>
  <c r="Q261" i="1"/>
  <c r="R261" i="1" s="1"/>
  <c r="Q262" i="1"/>
  <c r="R262" i="1" s="1"/>
  <c r="Q263" i="1"/>
  <c r="R263" i="1" s="1"/>
  <c r="Q264" i="1"/>
  <c r="R264" i="1" s="1"/>
  <c r="Q265" i="1"/>
  <c r="R265" i="1" s="1"/>
  <c r="Q266" i="1"/>
  <c r="R266" i="1" s="1"/>
  <c r="Q267" i="1"/>
  <c r="Q268" i="1"/>
  <c r="Q269" i="1"/>
  <c r="Q270" i="1"/>
  <c r="R270" i="1" s="1"/>
  <c r="Q271" i="1"/>
  <c r="Q272" i="1"/>
  <c r="R272" i="1" s="1"/>
  <c r="Q273" i="1"/>
  <c r="R273" i="1" s="1"/>
  <c r="Q274" i="1"/>
  <c r="R274" i="1" s="1"/>
  <c r="Q275" i="1"/>
  <c r="R275" i="1" s="1"/>
  <c r="Q276" i="1"/>
  <c r="R276" i="1" s="1"/>
  <c r="Q277" i="1"/>
  <c r="R277" i="1" s="1"/>
  <c r="Q278" i="1"/>
  <c r="R278" i="1" s="1"/>
  <c r="Q279" i="1"/>
  <c r="Q280" i="1"/>
  <c r="Q281" i="1"/>
  <c r="Q282" i="1"/>
  <c r="Q283" i="1"/>
  <c r="Q284" i="1"/>
  <c r="R284" i="1" s="1"/>
  <c r="Q285" i="1"/>
  <c r="R285" i="1" s="1"/>
  <c r="Q286" i="1"/>
  <c r="R286" i="1" s="1"/>
  <c r="Q287" i="1"/>
  <c r="R287" i="1" s="1"/>
  <c r="Q288" i="1"/>
  <c r="R288" i="1" s="1"/>
  <c r="Q289" i="1"/>
  <c r="R289" i="1" s="1"/>
  <c r="Q290" i="1"/>
  <c r="R290" i="1" s="1"/>
  <c r="Q291" i="1"/>
  <c r="Q292" i="1"/>
  <c r="Q293" i="1"/>
  <c r="Q294" i="1"/>
  <c r="Q295" i="1"/>
  <c r="Q296" i="1"/>
  <c r="R296" i="1" s="1"/>
  <c r="Q297" i="1"/>
  <c r="R297" i="1" s="1"/>
  <c r="Q298" i="1"/>
  <c r="Q299" i="1"/>
  <c r="R299" i="1" s="1"/>
  <c r="Q300" i="1"/>
  <c r="R300" i="1" s="1"/>
  <c r="Q301" i="1"/>
  <c r="R301" i="1" s="1"/>
  <c r="Q302" i="1"/>
  <c r="R302" i="1" s="1"/>
  <c r="Q303" i="1"/>
  <c r="Q304" i="1"/>
  <c r="Q305" i="1"/>
  <c r="Q306" i="1"/>
  <c r="Q307" i="1"/>
  <c r="Q308" i="1"/>
  <c r="R308" i="1" s="1"/>
  <c r="Q309" i="1"/>
  <c r="R309" i="1" s="1"/>
  <c r="Q310" i="1"/>
  <c r="Q311" i="1"/>
  <c r="Q312" i="1"/>
  <c r="Q313" i="1"/>
  <c r="R313" i="1" s="1"/>
  <c r="Q314" i="1"/>
  <c r="R314" i="1" s="1"/>
  <c r="Q315" i="1"/>
  <c r="Q316" i="1"/>
  <c r="Q317" i="1"/>
  <c r="Q318" i="1"/>
  <c r="Q319" i="1"/>
  <c r="Q320" i="1"/>
  <c r="R320" i="1" s="1"/>
  <c r="Q321" i="1"/>
  <c r="R321" i="1" s="1"/>
  <c r="Q322" i="1"/>
  <c r="Q323" i="1"/>
  <c r="Q324" i="1"/>
  <c r="Q325" i="1"/>
  <c r="Q326" i="1"/>
  <c r="Q327" i="1"/>
  <c r="Q328" i="1"/>
  <c r="Q329" i="1"/>
  <c r="Q330" i="1"/>
  <c r="Q331" i="1"/>
  <c r="Q332" i="1"/>
  <c r="R332" i="1" s="1"/>
  <c r="Q333" i="1"/>
  <c r="R333" i="1" s="1"/>
  <c r="Q334" i="1"/>
  <c r="R334" i="1" s="1"/>
  <c r="Q335" i="1"/>
  <c r="R335" i="1" s="1"/>
  <c r="Q336" i="1"/>
  <c r="R336" i="1" s="1"/>
  <c r="Q337" i="1"/>
  <c r="R337" i="1" s="1"/>
  <c r="Q338" i="1"/>
  <c r="R338" i="1" s="1"/>
  <c r="Q339" i="1"/>
  <c r="Q340" i="1"/>
  <c r="Q341" i="1"/>
  <c r="Q342" i="1"/>
  <c r="R342" i="1" s="1"/>
  <c r="Q343" i="1"/>
  <c r="Q344" i="1"/>
  <c r="R344" i="1" s="1"/>
  <c r="Q345" i="1"/>
  <c r="R345" i="1" s="1"/>
  <c r="Q346" i="1"/>
  <c r="R346" i="1" s="1"/>
  <c r="Q347" i="1"/>
  <c r="R347" i="1" s="1"/>
  <c r="Q348" i="1"/>
  <c r="R348" i="1" s="1"/>
  <c r="Q349" i="1"/>
  <c r="R349" i="1" s="1"/>
  <c r="Q350" i="1"/>
  <c r="R350" i="1" s="1"/>
  <c r="Q351" i="1"/>
  <c r="Q352" i="1"/>
  <c r="Q353" i="1"/>
  <c r="Q354" i="1"/>
  <c r="Q355" i="1"/>
  <c r="Q356" i="1"/>
  <c r="R356" i="1" s="1"/>
  <c r="Q357" i="1"/>
  <c r="R357" i="1" s="1"/>
  <c r="Q358" i="1"/>
  <c r="R358" i="1" s="1"/>
  <c r="Q359" i="1"/>
  <c r="R359" i="1" s="1"/>
  <c r="Q360" i="1"/>
  <c r="R360" i="1" s="1"/>
  <c r="Q361" i="1"/>
  <c r="R361" i="1" s="1"/>
  <c r="Q362" i="1"/>
  <c r="R362" i="1" s="1"/>
  <c r="Q363" i="1"/>
  <c r="Q364" i="1"/>
  <c r="Q365" i="1"/>
  <c r="Q366" i="1"/>
  <c r="Q367" i="1"/>
  <c r="Q368" i="1"/>
  <c r="R368" i="1" s="1"/>
  <c r="Q369" i="1"/>
  <c r="R369" i="1" s="1"/>
  <c r="Q370" i="1"/>
  <c r="Q371" i="1"/>
  <c r="R371" i="1" s="1"/>
  <c r="Q372" i="1"/>
  <c r="R372" i="1" s="1"/>
  <c r="Q373" i="1"/>
  <c r="R373" i="1" s="1"/>
  <c r="Q374" i="1"/>
  <c r="R374" i="1" s="1"/>
  <c r="Q375" i="1"/>
  <c r="Q376" i="1"/>
  <c r="Q377" i="1"/>
  <c r="Q378" i="1"/>
  <c r="Q379" i="1"/>
  <c r="Q380" i="1"/>
  <c r="R380" i="1" s="1"/>
  <c r="Q381" i="1"/>
  <c r="R381" i="1" s="1"/>
  <c r="Q382" i="1"/>
  <c r="Q383" i="1"/>
  <c r="Q384" i="1"/>
  <c r="Q385" i="1"/>
  <c r="R385" i="1" s="1"/>
  <c r="Q386" i="1"/>
  <c r="R386" i="1" s="1"/>
  <c r="Q387" i="1"/>
  <c r="Q388" i="1"/>
  <c r="Q389" i="1"/>
  <c r="Q390" i="1"/>
  <c r="Q391" i="1"/>
  <c r="Q392" i="1"/>
  <c r="R392" i="1" s="1"/>
  <c r="Q393" i="1"/>
  <c r="R393" i="1" s="1"/>
  <c r="Q394" i="1"/>
  <c r="Q395" i="1"/>
  <c r="Q396" i="1"/>
  <c r="Q397" i="1"/>
  <c r="Q398" i="1"/>
  <c r="Q399" i="1"/>
  <c r="Q400" i="1"/>
  <c r="Q401" i="1"/>
  <c r="Q402" i="1"/>
  <c r="Q403" i="1"/>
  <c r="Q404" i="1"/>
  <c r="R404" i="1" s="1"/>
  <c r="Q405" i="1"/>
  <c r="R405" i="1" s="1"/>
  <c r="Q406" i="1"/>
  <c r="R406" i="1" s="1"/>
  <c r="Q407" i="1"/>
  <c r="R407" i="1" s="1"/>
  <c r="Q408" i="1"/>
  <c r="R408" i="1" s="1"/>
  <c r="Q409" i="1"/>
  <c r="R409" i="1" s="1"/>
  <c r="Q410" i="1"/>
  <c r="R410" i="1" s="1"/>
  <c r="Q411" i="1"/>
  <c r="Q412" i="1"/>
  <c r="Q413" i="1"/>
  <c r="Q414" i="1"/>
  <c r="R414" i="1" s="1"/>
  <c r="Q415" i="1"/>
  <c r="Q416" i="1"/>
  <c r="R416" i="1" s="1"/>
  <c r="Q417" i="1"/>
  <c r="R417" i="1" s="1"/>
  <c r="Q418" i="1"/>
  <c r="R418" i="1" s="1"/>
  <c r="Q419" i="1"/>
  <c r="R419" i="1" s="1"/>
  <c r="Q420" i="1"/>
  <c r="R420" i="1" s="1"/>
  <c r="Q421" i="1"/>
  <c r="R421" i="1" s="1"/>
  <c r="Q422" i="1"/>
  <c r="R422" i="1" s="1"/>
  <c r="Q423" i="1"/>
  <c r="Q424" i="1"/>
  <c r="Q425" i="1"/>
  <c r="Q426" i="1"/>
  <c r="Q427" i="1"/>
  <c r="Q428" i="1"/>
  <c r="R428" i="1" s="1"/>
  <c r="Q429" i="1"/>
  <c r="R429" i="1" s="1"/>
  <c r="Q430" i="1"/>
  <c r="R430" i="1" s="1"/>
  <c r="Q431" i="1"/>
  <c r="R431" i="1" s="1"/>
  <c r="Q432" i="1"/>
  <c r="R432" i="1" s="1"/>
  <c r="Q433" i="1"/>
  <c r="R433" i="1" s="1"/>
  <c r="Q434" i="1"/>
  <c r="R434" i="1" s="1"/>
  <c r="Q435" i="1"/>
  <c r="Q436" i="1"/>
  <c r="Q437" i="1"/>
  <c r="Q438" i="1"/>
  <c r="Q439" i="1"/>
  <c r="Q440" i="1"/>
  <c r="R440" i="1" s="1"/>
  <c r="Q441" i="1"/>
  <c r="R441" i="1" s="1"/>
  <c r="Q442" i="1"/>
  <c r="Q443" i="1"/>
  <c r="R443" i="1" s="1"/>
  <c r="Q444" i="1"/>
  <c r="R444" i="1" s="1"/>
  <c r="Q445" i="1"/>
  <c r="R445" i="1" s="1"/>
  <c r="Q446" i="1"/>
  <c r="R446" i="1" s="1"/>
  <c r="Q447" i="1"/>
  <c r="Q448" i="1"/>
  <c r="Q449" i="1"/>
  <c r="Q450" i="1"/>
  <c r="Q451" i="1"/>
  <c r="Q452" i="1"/>
  <c r="R452" i="1" s="1"/>
  <c r="Q453" i="1"/>
  <c r="R453" i="1" s="1"/>
  <c r="Q454" i="1"/>
  <c r="Q455" i="1"/>
  <c r="Q456" i="1"/>
  <c r="Q457" i="1"/>
  <c r="R457" i="1" s="1"/>
  <c r="Q458" i="1"/>
  <c r="R458" i="1" s="1"/>
  <c r="Q459" i="1"/>
  <c r="Q460" i="1"/>
  <c r="Q461" i="1"/>
  <c r="Q462" i="1"/>
  <c r="Q463" i="1"/>
  <c r="Q464" i="1"/>
  <c r="R464" i="1" s="1"/>
  <c r="Q465" i="1"/>
  <c r="R465" i="1" s="1"/>
  <c r="Q466" i="1"/>
  <c r="Q467" i="1"/>
  <c r="Q468" i="1"/>
  <c r="Q469" i="1"/>
  <c r="Q470" i="1"/>
  <c r="Q471" i="1"/>
  <c r="Q472" i="1"/>
  <c r="Q473" i="1"/>
  <c r="Q474" i="1"/>
  <c r="Q475" i="1"/>
  <c r="Q476" i="1"/>
  <c r="R476" i="1" s="1"/>
  <c r="Q477" i="1"/>
  <c r="R477" i="1" s="1"/>
  <c r="Q478" i="1"/>
  <c r="R478" i="1" s="1"/>
  <c r="Q479" i="1"/>
  <c r="R479" i="1" s="1"/>
  <c r="Q480" i="1"/>
  <c r="R480" i="1" s="1"/>
  <c r="Q481" i="1"/>
  <c r="R481" i="1" s="1"/>
  <c r="Q482" i="1"/>
  <c r="R482" i="1" s="1"/>
  <c r="Q483" i="1"/>
  <c r="Q484" i="1"/>
  <c r="Q485" i="1"/>
  <c r="Q486" i="1"/>
  <c r="R486" i="1" s="1"/>
  <c r="Q487" i="1"/>
  <c r="Q488" i="1"/>
  <c r="R488" i="1" s="1"/>
  <c r="Q489" i="1"/>
  <c r="R489" i="1" s="1"/>
  <c r="Q490" i="1"/>
  <c r="R490" i="1" s="1"/>
  <c r="Q491" i="1"/>
  <c r="R491" i="1" s="1"/>
  <c r="Q492" i="1"/>
  <c r="R492" i="1" s="1"/>
  <c r="Q493" i="1"/>
  <c r="R493" i="1" s="1"/>
  <c r="Q494" i="1"/>
  <c r="R494" i="1" s="1"/>
  <c r="Q495" i="1"/>
  <c r="Q496" i="1"/>
  <c r="Q497" i="1"/>
  <c r="Q498" i="1"/>
  <c r="Q499" i="1"/>
  <c r="Q500" i="1"/>
  <c r="R500" i="1" s="1"/>
  <c r="Q501" i="1"/>
  <c r="R501" i="1" s="1"/>
  <c r="R3" i="1"/>
  <c r="R4" i="1"/>
  <c r="R5" i="1"/>
  <c r="R6" i="1"/>
  <c r="R7" i="1"/>
  <c r="R15" i="1"/>
  <c r="R16" i="1"/>
  <c r="R17" i="1"/>
  <c r="R18" i="1"/>
  <c r="R19" i="1"/>
  <c r="R22" i="1"/>
  <c r="R23" i="1"/>
  <c r="R24" i="1"/>
  <c r="R27" i="1"/>
  <c r="R28" i="1"/>
  <c r="R29" i="1"/>
  <c r="R30" i="1"/>
  <c r="R31" i="1"/>
  <c r="R34" i="1"/>
  <c r="R35" i="1"/>
  <c r="R36" i="1"/>
  <c r="R37" i="1"/>
  <c r="R38" i="1"/>
  <c r="R39" i="1"/>
  <c r="R40" i="1"/>
  <c r="R41" i="1"/>
  <c r="R42" i="1"/>
  <c r="R43" i="1"/>
  <c r="R51" i="1"/>
  <c r="R52" i="1"/>
  <c r="R53" i="1"/>
  <c r="R55" i="1"/>
  <c r="R63" i="1"/>
  <c r="R64" i="1"/>
  <c r="R65" i="1"/>
  <c r="R66" i="1"/>
  <c r="R67" i="1"/>
  <c r="R75" i="1"/>
  <c r="R76" i="1"/>
  <c r="R77" i="1"/>
  <c r="R78" i="1"/>
  <c r="R79" i="1"/>
  <c r="R82" i="1"/>
  <c r="R87" i="1"/>
  <c r="R88" i="1"/>
  <c r="R89" i="1"/>
  <c r="R90" i="1"/>
  <c r="R91" i="1"/>
  <c r="R94" i="1"/>
  <c r="R95" i="1"/>
  <c r="R96" i="1"/>
  <c r="R99" i="1"/>
  <c r="R100" i="1"/>
  <c r="R101" i="1"/>
  <c r="R102" i="1"/>
  <c r="R103" i="1"/>
  <c r="R106" i="1"/>
  <c r="R107" i="1"/>
  <c r="R108" i="1"/>
  <c r="R109" i="1"/>
  <c r="R110" i="1"/>
  <c r="R111" i="1"/>
  <c r="R112" i="1"/>
  <c r="R113" i="1"/>
  <c r="R114" i="1"/>
  <c r="R115" i="1"/>
  <c r="R123" i="1"/>
  <c r="R124" i="1"/>
  <c r="R125" i="1"/>
  <c r="R127" i="1"/>
  <c r="R135" i="1"/>
  <c r="R136" i="1"/>
  <c r="R137" i="1"/>
  <c r="R138" i="1"/>
  <c r="R139" i="1"/>
  <c r="R147" i="1"/>
  <c r="R148" i="1"/>
  <c r="R149" i="1"/>
  <c r="R150" i="1"/>
  <c r="R151" i="1"/>
  <c r="R154" i="1"/>
  <c r="R159" i="1"/>
  <c r="R160" i="1"/>
  <c r="R161" i="1"/>
  <c r="R162" i="1"/>
  <c r="R163" i="1"/>
  <c r="R166" i="1"/>
  <c r="R167" i="1"/>
  <c r="R168" i="1"/>
  <c r="R171" i="1"/>
  <c r="R172" i="1"/>
  <c r="R173" i="1"/>
  <c r="R174" i="1"/>
  <c r="R175" i="1"/>
  <c r="R178" i="1"/>
  <c r="R179" i="1"/>
  <c r="R180" i="1"/>
  <c r="R181" i="1"/>
  <c r="R182" i="1"/>
  <c r="R183" i="1"/>
  <c r="R184" i="1"/>
  <c r="R185" i="1"/>
  <c r="R186" i="1"/>
  <c r="R187" i="1"/>
  <c r="R195" i="1"/>
  <c r="R196" i="1"/>
  <c r="R197" i="1"/>
  <c r="R199" i="1"/>
  <c r="R207" i="1"/>
  <c r="R208" i="1"/>
  <c r="R209" i="1"/>
  <c r="R210" i="1"/>
  <c r="R211" i="1"/>
  <c r="R219" i="1"/>
  <c r="R220" i="1"/>
  <c r="R221" i="1"/>
  <c r="R222" i="1"/>
  <c r="R223" i="1"/>
  <c r="R226" i="1"/>
  <c r="R231" i="1"/>
  <c r="R232" i="1"/>
  <c r="R233" i="1"/>
  <c r="R234" i="1"/>
  <c r="R235" i="1"/>
  <c r="R238" i="1"/>
  <c r="R239" i="1"/>
  <c r="R240" i="1"/>
  <c r="R243" i="1"/>
  <c r="R244" i="1"/>
  <c r="R245" i="1"/>
  <c r="R246" i="1"/>
  <c r="R247" i="1"/>
  <c r="R250" i="1"/>
  <c r="R251" i="1"/>
  <c r="R252" i="1"/>
  <c r="R253" i="1"/>
  <c r="R254" i="1"/>
  <c r="R255" i="1"/>
  <c r="R256" i="1"/>
  <c r="R257" i="1"/>
  <c r="R258" i="1"/>
  <c r="R259" i="1"/>
  <c r="R267" i="1"/>
  <c r="R268" i="1"/>
  <c r="R269" i="1"/>
  <c r="R271" i="1"/>
  <c r="R279" i="1"/>
  <c r="R280" i="1"/>
  <c r="R281" i="1"/>
  <c r="R282" i="1"/>
  <c r="R283" i="1"/>
  <c r="R291" i="1"/>
  <c r="R292" i="1"/>
  <c r="R293" i="1"/>
  <c r="R294" i="1"/>
  <c r="R295" i="1"/>
  <c r="R298" i="1"/>
  <c r="R303" i="1"/>
  <c r="R304" i="1"/>
  <c r="R305" i="1"/>
  <c r="R306" i="1"/>
  <c r="R307" i="1"/>
  <c r="R310" i="1"/>
  <c r="R311" i="1"/>
  <c r="R312" i="1"/>
  <c r="R315" i="1"/>
  <c r="R316" i="1"/>
  <c r="R317" i="1"/>
  <c r="R318" i="1"/>
  <c r="R319" i="1"/>
  <c r="R322" i="1"/>
  <c r="R323" i="1"/>
  <c r="R324" i="1"/>
  <c r="R325" i="1"/>
  <c r="R326" i="1"/>
  <c r="R327" i="1"/>
  <c r="R328" i="1"/>
  <c r="R329" i="1"/>
  <c r="R330" i="1"/>
  <c r="R331" i="1"/>
  <c r="R339" i="1"/>
  <c r="R340" i="1"/>
  <c r="R341" i="1"/>
  <c r="R343" i="1"/>
  <c r="R351" i="1"/>
  <c r="R352" i="1"/>
  <c r="R353" i="1"/>
  <c r="R354" i="1"/>
  <c r="R355" i="1"/>
  <c r="R363" i="1"/>
  <c r="R364" i="1"/>
  <c r="R365" i="1"/>
  <c r="R366" i="1"/>
  <c r="R367" i="1"/>
  <c r="R370" i="1"/>
  <c r="R375" i="1"/>
  <c r="R376" i="1"/>
  <c r="R377" i="1"/>
  <c r="R378" i="1"/>
  <c r="R379" i="1"/>
  <c r="R382" i="1"/>
  <c r="R383" i="1"/>
  <c r="R384" i="1"/>
  <c r="R387" i="1"/>
  <c r="R388" i="1"/>
  <c r="R389" i="1"/>
  <c r="R390" i="1"/>
  <c r="R391" i="1"/>
  <c r="R394" i="1"/>
  <c r="R395" i="1"/>
  <c r="R396" i="1"/>
  <c r="R397" i="1"/>
  <c r="R398" i="1"/>
  <c r="R399" i="1"/>
  <c r="R400" i="1"/>
  <c r="R401" i="1"/>
  <c r="R402" i="1"/>
  <c r="R403" i="1"/>
  <c r="R411" i="1"/>
  <c r="R412" i="1"/>
  <c r="R413" i="1"/>
  <c r="R415" i="1"/>
  <c r="R423" i="1"/>
  <c r="R424" i="1"/>
  <c r="R425" i="1"/>
  <c r="R426" i="1"/>
  <c r="R427" i="1"/>
  <c r="R435" i="1"/>
  <c r="R436" i="1"/>
  <c r="R437" i="1"/>
  <c r="R438" i="1"/>
  <c r="R439" i="1"/>
  <c r="R442" i="1"/>
  <c r="R447" i="1"/>
  <c r="R448" i="1"/>
  <c r="R449" i="1"/>
  <c r="R450" i="1"/>
  <c r="R451" i="1"/>
  <c r="R454" i="1"/>
  <c r="R455" i="1"/>
  <c r="R456" i="1"/>
  <c r="R459" i="1"/>
  <c r="R460" i="1"/>
  <c r="R461" i="1"/>
  <c r="R462" i="1"/>
  <c r="R463" i="1"/>
  <c r="R466" i="1"/>
  <c r="R467" i="1"/>
  <c r="R468" i="1"/>
  <c r="R469" i="1"/>
  <c r="R470" i="1"/>
  <c r="R471" i="1"/>
  <c r="R472" i="1"/>
  <c r="R473" i="1"/>
  <c r="R474" i="1"/>
  <c r="R475" i="1"/>
  <c r="R483" i="1"/>
  <c r="R484" i="1"/>
  <c r="R485" i="1"/>
  <c r="R487" i="1"/>
  <c r="R495" i="1"/>
  <c r="R496" i="1"/>
  <c r="R497" i="1"/>
  <c r="R498" i="1"/>
  <c r="R499" i="1"/>
  <c r="R2" i="1"/>
  <c r="Q2" i="1"/>
  <c r="P501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2" i="1"/>
  <c r="RY18" i="11" l="1"/>
  <c r="R158" i="6"/>
  <c r="R214" i="6"/>
  <c r="R242" i="6"/>
  <c r="R262" i="6"/>
  <c r="R4" i="6"/>
  <c r="R13" i="6"/>
  <c r="R27" i="6"/>
  <c r="R38" i="6"/>
  <c r="R54" i="6"/>
  <c r="R74" i="6"/>
  <c r="R83" i="6"/>
  <c r="R90" i="6"/>
  <c r="R130" i="6"/>
  <c r="R174" i="6"/>
  <c r="R183" i="6"/>
  <c r="R267" i="6"/>
  <c r="R294" i="6"/>
  <c r="R326" i="6"/>
  <c r="R354" i="6"/>
  <c r="R370" i="6"/>
  <c r="R386" i="6"/>
  <c r="R391" i="6"/>
  <c r="R417" i="6"/>
  <c r="R426" i="6"/>
  <c r="R440" i="6"/>
  <c r="R79" i="6"/>
  <c r="R106" i="6"/>
  <c r="R142" i="6"/>
  <c r="R265" i="6"/>
  <c r="R292" i="6"/>
  <c r="R306" i="6"/>
  <c r="R352" i="6"/>
  <c r="R361" i="6"/>
  <c r="R368" i="6"/>
  <c r="R408" i="6"/>
  <c r="R415" i="6"/>
  <c r="R484" i="6"/>
  <c r="R7" i="6"/>
  <c r="R25" i="6"/>
  <c r="R34" i="6"/>
  <c r="R48" i="6"/>
  <c r="R50" i="6"/>
  <c r="R57" i="6"/>
  <c r="R170" i="6"/>
  <c r="R443" i="6"/>
  <c r="R456" i="6"/>
  <c r="R498" i="6"/>
  <c r="R23" i="6"/>
  <c r="R190" i="6"/>
  <c r="R222" i="6"/>
  <c r="R227" i="6"/>
  <c r="R234" i="6"/>
  <c r="R263" i="6"/>
  <c r="R270" i="6"/>
  <c r="R279" i="6"/>
  <c r="R320" i="6"/>
  <c r="R327" i="6"/>
  <c r="R343" i="6"/>
  <c r="R387" i="6"/>
  <c r="R394" i="6"/>
  <c r="R422" i="6"/>
  <c r="R452" i="6"/>
  <c r="R21" i="6"/>
  <c r="R46" i="6"/>
  <c r="R75" i="6"/>
  <c r="R91" i="6"/>
  <c r="R188" i="6"/>
  <c r="R195" i="6"/>
  <c r="R220" i="6"/>
  <c r="R241" i="6"/>
  <c r="R252" i="6"/>
  <c r="R288" i="6"/>
  <c r="R295" i="6"/>
  <c r="R348" i="6"/>
  <c r="R371" i="6"/>
  <c r="R392" i="6"/>
  <c r="R399" i="6"/>
  <c r="R411" i="6"/>
  <c r="R429" i="6"/>
  <c r="R450" i="6"/>
  <c r="R475" i="6"/>
  <c r="R166" i="6"/>
  <c r="R202" i="6"/>
  <c r="R211" i="6"/>
  <c r="R339" i="6"/>
  <c r="R362" i="6"/>
  <c r="R418" i="6"/>
  <c r="R459" i="6"/>
  <c r="R501" i="6"/>
  <c r="R17" i="6"/>
  <c r="R26" i="6"/>
  <c r="R60" i="6"/>
  <c r="R69" i="6"/>
  <c r="R87" i="6"/>
  <c r="R94" i="6"/>
  <c r="R112" i="6"/>
  <c r="R127" i="6"/>
  <c r="R141" i="6"/>
  <c r="R162" i="6"/>
  <c r="R180" i="6"/>
  <c r="R223" i="6"/>
  <c r="R230" i="6"/>
  <c r="R237" i="6"/>
  <c r="R271" i="6"/>
  <c r="R291" i="6"/>
  <c r="R298" i="6"/>
  <c r="R323" i="6"/>
  <c r="R330" i="6"/>
  <c r="R360" i="6"/>
  <c r="R383" i="6"/>
  <c r="R397" i="6"/>
  <c r="R446" i="6"/>
  <c r="R457" i="6"/>
  <c r="R471" i="6"/>
  <c r="R6" i="6"/>
  <c r="R31" i="6"/>
  <c r="R40" i="6"/>
  <c r="R146" i="6"/>
  <c r="R207" i="6"/>
  <c r="R312" i="6"/>
  <c r="R314" i="6"/>
  <c r="R379" i="6"/>
  <c r="R393" i="6"/>
  <c r="R400" i="6"/>
  <c r="R476" i="6"/>
  <c r="R490" i="6"/>
  <c r="R62" i="6"/>
  <c r="R122" i="6"/>
  <c r="R278" i="6"/>
  <c r="R449" i="6"/>
  <c r="R472" i="6"/>
  <c r="R495" i="6"/>
  <c r="R14" i="6"/>
  <c r="R108" i="6"/>
  <c r="R110" i="6"/>
  <c r="R143" i="6"/>
  <c r="R168" i="6"/>
  <c r="R193" i="6"/>
  <c r="R266" i="6"/>
  <c r="R268" i="6"/>
  <c r="R285" i="6"/>
  <c r="R287" i="6"/>
  <c r="R308" i="6"/>
  <c r="R310" i="6"/>
  <c r="R350" i="6"/>
  <c r="R388" i="6"/>
  <c r="R428" i="6"/>
  <c r="R430" i="6"/>
  <c r="R489" i="6"/>
  <c r="R493" i="6"/>
  <c r="R322" i="6"/>
  <c r="R12" i="6"/>
  <c r="R100" i="6"/>
  <c r="R104" i="6"/>
  <c r="R125" i="6"/>
  <c r="R129" i="6"/>
  <c r="R160" i="6"/>
  <c r="R164" i="6"/>
  <c r="R185" i="6"/>
  <c r="R189" i="6"/>
  <c r="R191" i="6"/>
  <c r="R216" i="6"/>
  <c r="R218" i="6"/>
  <c r="R264" i="6"/>
  <c r="R281" i="6"/>
  <c r="R304" i="6"/>
  <c r="R344" i="6"/>
  <c r="R384" i="6"/>
  <c r="R405" i="6"/>
  <c r="R407" i="6"/>
  <c r="R424" i="6"/>
  <c r="R441" i="6"/>
  <c r="R464" i="6"/>
  <c r="R468" i="6"/>
  <c r="R491" i="6"/>
  <c r="R10" i="6"/>
  <c r="R36" i="6"/>
  <c r="R131" i="6"/>
  <c r="R148" i="6"/>
  <c r="R152" i="6"/>
  <c r="R156" i="6"/>
  <c r="R173" i="6"/>
  <c r="R177" i="6"/>
  <c r="R206" i="6"/>
  <c r="R254" i="6"/>
  <c r="R256" i="6"/>
  <c r="R296" i="6"/>
  <c r="R300" i="6"/>
  <c r="R336" i="6"/>
  <c r="R338" i="6"/>
  <c r="R357" i="6"/>
  <c r="R359" i="6"/>
  <c r="R376" i="6"/>
  <c r="R420" i="6"/>
  <c r="R458" i="6"/>
  <c r="R477" i="6"/>
  <c r="R479" i="6"/>
  <c r="R49" i="6"/>
  <c r="R59" i="6"/>
  <c r="R84" i="6"/>
  <c r="R86" i="6"/>
  <c r="R113" i="6"/>
  <c r="R204" i="6"/>
  <c r="R473" i="6"/>
  <c r="R28" i="6"/>
  <c r="R32" i="6"/>
  <c r="R41" i="6"/>
  <c r="R45" i="6"/>
  <c r="R76" i="6"/>
  <c r="R80" i="6"/>
  <c r="R119" i="6"/>
  <c r="R144" i="6"/>
  <c r="R169" i="6"/>
  <c r="R196" i="6"/>
  <c r="R200" i="6"/>
  <c r="R225" i="6"/>
  <c r="R229" i="6"/>
  <c r="R248" i="6"/>
  <c r="R250" i="6"/>
  <c r="R269" i="6"/>
  <c r="R290" i="6"/>
  <c r="R309" i="6"/>
  <c r="R311" i="6"/>
  <c r="R328" i="6"/>
  <c r="R372" i="6"/>
  <c r="R389" i="6"/>
  <c r="R395" i="6"/>
  <c r="R412" i="6"/>
  <c r="R454" i="6"/>
  <c r="R496" i="6"/>
  <c r="R101" i="6"/>
  <c r="R105" i="6"/>
  <c r="R107" i="6"/>
  <c r="R425" i="6"/>
  <c r="R448" i="6"/>
  <c r="R465" i="6"/>
  <c r="R494" i="6"/>
  <c r="R64" i="6"/>
  <c r="R68" i="6"/>
  <c r="R72" i="6"/>
  <c r="R134" i="6"/>
  <c r="R192" i="6"/>
  <c r="R213" i="6"/>
  <c r="R215" i="6"/>
  <c r="R240" i="6"/>
  <c r="R261" i="6"/>
  <c r="R284" i="6"/>
  <c r="R286" i="6"/>
  <c r="R324" i="6"/>
  <c r="R341" i="6"/>
  <c r="R347" i="6"/>
  <c r="R364" i="6"/>
  <c r="R381" i="6"/>
  <c r="R444" i="6"/>
  <c r="R461" i="6"/>
  <c r="R467" i="6"/>
  <c r="R488" i="6"/>
  <c r="R492" i="6"/>
  <c r="R480" i="6"/>
  <c r="R182" i="6"/>
  <c r="R238" i="6"/>
  <c r="R16" i="6"/>
  <c r="R20" i="6"/>
  <c r="R22" i="6"/>
  <c r="R29" i="6"/>
  <c r="R33" i="6"/>
  <c r="R77" i="6"/>
  <c r="R81" i="6"/>
  <c r="R120" i="6"/>
  <c r="R145" i="6"/>
  <c r="R155" i="6"/>
  <c r="R172" i="6"/>
  <c r="R176" i="6"/>
  <c r="R201" i="6"/>
  <c r="R203" i="6"/>
  <c r="R232" i="6"/>
  <c r="R249" i="6"/>
  <c r="R251" i="6"/>
  <c r="R316" i="6"/>
  <c r="R329" i="6"/>
  <c r="R335" i="6"/>
  <c r="R356" i="6"/>
  <c r="R358" i="6"/>
  <c r="R396" i="6"/>
  <c r="R398" i="6"/>
  <c r="R419" i="6"/>
  <c r="R432" i="6"/>
  <c r="R434" i="6"/>
  <c r="R478" i="6"/>
  <c r="R497" i="6"/>
  <c r="R149" i="6"/>
  <c r="R157" i="6"/>
  <c r="R325" i="6"/>
  <c r="R373" i="6"/>
  <c r="R421" i="6"/>
  <c r="R481" i="6"/>
  <c r="R485" i="6"/>
  <c r="R37" i="6"/>
  <c r="R133" i="6"/>
  <c r="R317" i="6"/>
  <c r="R365" i="6"/>
  <c r="R413" i="6"/>
  <c r="R469" i="6"/>
  <c r="R121" i="6"/>
  <c r="R109" i="6"/>
  <c r="R233" i="6"/>
  <c r="R305" i="6"/>
  <c r="R97" i="6"/>
  <c r="R221" i="6"/>
  <c r="R301" i="6"/>
  <c r="R401" i="6"/>
  <c r="R85" i="6"/>
  <c r="R209" i="6"/>
  <c r="R217" i="6"/>
  <c r="R293" i="6"/>
  <c r="R445" i="6"/>
  <c r="R65" i="6"/>
  <c r="R73" i="6"/>
  <c r="R197" i="6"/>
  <c r="R205" i="6"/>
  <c r="R437" i="6"/>
  <c r="R5" i="6"/>
  <c r="R53" i="6"/>
  <c r="R61" i="6"/>
  <c r="R181" i="6"/>
  <c r="R277" i="6"/>
  <c r="R337" i="6"/>
  <c r="R385" i="6"/>
  <c r="R433" i="6"/>
  <c r="R81" i="4"/>
  <c r="R173" i="4"/>
  <c r="R177" i="4"/>
  <c r="R260" i="4"/>
  <c r="R317" i="4"/>
  <c r="R321" i="4"/>
  <c r="R107" i="4"/>
  <c r="R125" i="4"/>
  <c r="R214" i="4"/>
  <c r="R389" i="4"/>
  <c r="R393" i="4"/>
  <c r="R478" i="4"/>
  <c r="R21" i="4"/>
  <c r="R45" i="4"/>
  <c r="R69" i="4"/>
  <c r="R93" i="4"/>
  <c r="R117" i="4"/>
  <c r="R141" i="4"/>
  <c r="R165" i="4"/>
  <c r="R189" i="4"/>
  <c r="R213" i="4"/>
  <c r="R237" i="4"/>
  <c r="R261" i="4"/>
  <c r="R285" i="4"/>
  <c r="R309" i="4"/>
  <c r="R405" i="4"/>
  <c r="R429" i="4"/>
  <c r="R453" i="4"/>
  <c r="R23" i="4"/>
  <c r="R47" i="4"/>
  <c r="R71" i="4"/>
  <c r="R95" i="4"/>
  <c r="R119" i="4"/>
  <c r="R143" i="4"/>
  <c r="R167" i="4"/>
  <c r="R191" i="4"/>
  <c r="R215" i="4"/>
  <c r="R263" i="4"/>
  <c r="R287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<sst xmlns="http://schemas.openxmlformats.org/spreadsheetml/2006/main" count="19679" uniqueCount="182">
  <si>
    <t>Order ID</t>
  </si>
  <si>
    <t>Customer ID</t>
  </si>
  <si>
    <t>Order Date</t>
  </si>
  <si>
    <t>Ship Date</t>
  </si>
  <si>
    <t>City</t>
  </si>
  <si>
    <t>State</t>
  </si>
  <si>
    <t>Sales Channel</t>
  </si>
  <si>
    <t>Payment Method</t>
  </si>
  <si>
    <t>Product Category</t>
  </si>
  <si>
    <t>Product Name</t>
  </si>
  <si>
    <t>Brand</t>
  </si>
  <si>
    <t>Units Sold</t>
  </si>
  <si>
    <t>Unit Price</t>
  </si>
  <si>
    <t>Discount %</t>
  </si>
  <si>
    <t>Net Sales</t>
  </si>
  <si>
    <t>Chennai</t>
  </si>
  <si>
    <t>Delhi</t>
  </si>
  <si>
    <t>Mobile App</t>
  </si>
  <si>
    <t>Credit Card</t>
  </si>
  <si>
    <t>Home &amp; Kitchen</t>
  </si>
  <si>
    <t>Mixer Grinder</t>
  </si>
  <si>
    <t>BrandA</t>
  </si>
  <si>
    <t>Pune</t>
  </si>
  <si>
    <t>Tamil Nadu</t>
  </si>
  <si>
    <t>Website</t>
  </si>
  <si>
    <t>Debit Card</t>
  </si>
  <si>
    <t>Sports</t>
  </si>
  <si>
    <t>Football</t>
  </si>
  <si>
    <t>BrandD</t>
  </si>
  <si>
    <t>West Bengal</t>
  </si>
  <si>
    <t>Marketplace</t>
  </si>
  <si>
    <t>Fashion</t>
  </si>
  <si>
    <t>Sneakers</t>
  </si>
  <si>
    <t>BrandE</t>
  </si>
  <si>
    <t>Bengaluru</t>
  </si>
  <si>
    <t>Cash on Delivery</t>
  </si>
  <si>
    <t>Yoga Mat</t>
  </si>
  <si>
    <t>Kolkata</t>
  </si>
  <si>
    <t>Karnataka</t>
  </si>
  <si>
    <t>Jacket</t>
  </si>
  <si>
    <t>Hyderabad</t>
  </si>
  <si>
    <t>Telangana</t>
  </si>
  <si>
    <t>Net Banking</t>
  </si>
  <si>
    <t>Bedsheet</t>
  </si>
  <si>
    <t>UPI</t>
  </si>
  <si>
    <t>BrandC</t>
  </si>
  <si>
    <t>Mumbai</t>
  </si>
  <si>
    <t>BrandB</t>
  </si>
  <si>
    <t>T-Shirt</t>
  </si>
  <si>
    <t>Electronics</t>
  </si>
  <si>
    <t>Headphones</t>
  </si>
  <si>
    <t>Smartwatch</t>
  </si>
  <si>
    <t>Beauty</t>
  </si>
  <si>
    <t>Shampoo</t>
  </si>
  <si>
    <t>Maharashtra</t>
  </si>
  <si>
    <t>Curtains</t>
  </si>
  <si>
    <t>Lipstick</t>
  </si>
  <si>
    <t>Books</t>
  </si>
  <si>
    <t>Fiction Novel</t>
  </si>
  <si>
    <t>Comics</t>
  </si>
  <si>
    <t>Perfume</t>
  </si>
  <si>
    <t>Cricket Bat</t>
  </si>
  <si>
    <t>Textbook</t>
  </si>
  <si>
    <t>Laptop</t>
  </si>
  <si>
    <t>Face Cream</t>
  </si>
  <si>
    <t>Jeans</t>
  </si>
  <si>
    <t>Cookware Set</t>
  </si>
  <si>
    <t>Biography</t>
  </si>
  <si>
    <t>Smartphone</t>
  </si>
  <si>
    <t>Dumbbells</t>
  </si>
  <si>
    <t>Total Price</t>
  </si>
  <si>
    <t>Price After  Discount</t>
  </si>
  <si>
    <t>Discount Amount</t>
  </si>
  <si>
    <t>Sell Status</t>
  </si>
  <si>
    <t>Sell status 1</t>
  </si>
  <si>
    <t>Sell Status 2</t>
  </si>
  <si>
    <t>Total units sold</t>
  </si>
  <si>
    <t>Unit Sold For Brand A</t>
  </si>
  <si>
    <t>Grand Total For All</t>
  </si>
  <si>
    <t>Grand Total For A</t>
  </si>
  <si>
    <t>Grand Total For B</t>
  </si>
  <si>
    <t>Grand Total For C</t>
  </si>
  <si>
    <t>Grand Total For D</t>
  </si>
  <si>
    <t>Grand Total For E</t>
  </si>
  <si>
    <t>Total unit sold avg</t>
  </si>
  <si>
    <t>total</t>
  </si>
  <si>
    <t>Count Brand</t>
  </si>
  <si>
    <t xml:space="preserve">Unit sold </t>
  </si>
  <si>
    <t>Count</t>
  </si>
  <si>
    <t>Brand C</t>
  </si>
  <si>
    <t>&gt;5</t>
  </si>
  <si>
    <t>Name</t>
  </si>
  <si>
    <t>Grade</t>
  </si>
  <si>
    <t>Sub1</t>
  </si>
  <si>
    <t>Amit</t>
  </si>
  <si>
    <t>Aritra</t>
  </si>
  <si>
    <t>Sneha</t>
  </si>
  <si>
    <t>Rekha</t>
  </si>
  <si>
    <t>Mon</t>
  </si>
  <si>
    <t>Tue</t>
  </si>
  <si>
    <t>Wed</t>
  </si>
  <si>
    <t>Thu</t>
  </si>
  <si>
    <t>Fri</t>
  </si>
  <si>
    <t>Sat</t>
  </si>
  <si>
    <t>Sun</t>
  </si>
  <si>
    <t>Jan</t>
  </si>
  <si>
    <t>Feb</t>
  </si>
  <si>
    <t>Mar</t>
  </si>
  <si>
    <t>Apr</t>
  </si>
  <si>
    <t>May</t>
  </si>
  <si>
    <t>Jun</t>
  </si>
  <si>
    <t>Jul</t>
  </si>
  <si>
    <t>Aug</t>
  </si>
  <si>
    <t>Dog</t>
  </si>
  <si>
    <t>Cat</t>
  </si>
  <si>
    <t>Tiger</t>
  </si>
  <si>
    <t>Elephant</t>
  </si>
  <si>
    <t>Code</t>
  </si>
  <si>
    <t>123-456-231</t>
  </si>
  <si>
    <t>456-987-556</t>
  </si>
  <si>
    <t>123-456-988</t>
  </si>
  <si>
    <t>1st 3 Digits</t>
  </si>
  <si>
    <t>Last 3 Digits</t>
  </si>
  <si>
    <t xml:space="preserve">First  Name </t>
  </si>
  <si>
    <t xml:space="preserve">Last Name </t>
  </si>
  <si>
    <t xml:space="preserve">Amit </t>
  </si>
  <si>
    <t>Neha</t>
  </si>
  <si>
    <t>Uttaran</t>
  </si>
  <si>
    <t>Anik</t>
  </si>
  <si>
    <t>roy</t>
  </si>
  <si>
    <t>das</t>
  </si>
  <si>
    <t>dey</t>
  </si>
  <si>
    <t>Biswas</t>
  </si>
  <si>
    <t>Dah</t>
  </si>
  <si>
    <t>Amit Dah</t>
  </si>
  <si>
    <t>Neha Biswas</t>
  </si>
  <si>
    <t>Uttaran dey</t>
  </si>
  <si>
    <t>Anik das</t>
  </si>
  <si>
    <t>Sneha roy</t>
  </si>
  <si>
    <t>Full Name</t>
  </si>
  <si>
    <t>If Discount Percentage is Greater Than 10 % Display Heaby Discount or Normal Discount</t>
  </si>
  <si>
    <t>Classify Cells Into 3 Catagories iF</t>
  </si>
  <si>
    <t xml:space="preserve"> Net sales greater than 7000,show "Exellent sales",if net sales greater than 4000 ,show good otherwise </t>
  </si>
  <si>
    <t>show avarage</t>
  </si>
  <si>
    <t>3.Find Total Net Sale For Electronics Category .</t>
  </si>
  <si>
    <t>4.Find Total Net Sale where category :Electronics and channel :website.</t>
  </si>
  <si>
    <t>5 Count the no of Beauty Product .</t>
  </si>
  <si>
    <t>Count Orders Where Discount % Is Greater than 15%</t>
  </si>
  <si>
    <t>Discount Type</t>
  </si>
  <si>
    <t>Sales Categories</t>
  </si>
  <si>
    <t>Total Net sale electronics</t>
  </si>
  <si>
    <t>Total net sale category is electronics and channel is website</t>
  </si>
  <si>
    <t xml:space="preserve">Count Beauty Product </t>
  </si>
  <si>
    <t>Count the order where discount %15</t>
  </si>
  <si>
    <t xml:space="preserve">Name </t>
  </si>
  <si>
    <t>Sub</t>
  </si>
  <si>
    <t>Sovan</t>
  </si>
  <si>
    <t>Riya</t>
  </si>
  <si>
    <t>bubun</t>
  </si>
  <si>
    <t>High</t>
  </si>
  <si>
    <t>mediam</t>
  </si>
  <si>
    <t>Low</t>
  </si>
  <si>
    <t>low</t>
  </si>
  <si>
    <t>Product</t>
  </si>
  <si>
    <t>Region</t>
  </si>
  <si>
    <t>Date</t>
  </si>
  <si>
    <t>Sales</t>
  </si>
  <si>
    <t>Product A</t>
  </si>
  <si>
    <t>North</t>
  </si>
  <si>
    <t>2024-01-01</t>
  </si>
  <si>
    <t>Product B</t>
  </si>
  <si>
    <t>South</t>
  </si>
  <si>
    <t>2024-01-02</t>
  </si>
  <si>
    <t>East</t>
  </si>
  <si>
    <t>2024-01-03</t>
  </si>
  <si>
    <t>Product C</t>
  </si>
  <si>
    <t>West</t>
  </si>
  <si>
    <t>2024-01-04</t>
  </si>
  <si>
    <t>2024-01-05</t>
  </si>
  <si>
    <t>2024-01-06</t>
  </si>
  <si>
    <t>2024-01-07</t>
  </si>
  <si>
    <t>2024-01-08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</si>
</sst>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 tint="0.499984740745262"/>
      </bottom>
      <diagonal/>
    </border>
  </borders>
  <cellStyleXfs count="2">
    <xf numFmtId="0" fontId="0" fillId="0" borderId="0"/>
    <xf numFmtId="0" fontId="2" fillId="0" borderId="4" applyNumberFormat="0" applyFill="0" applyAlignment="0" applyProtection="0"/>
  </cellStyleXfs>
  <cellXfs count="25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1" fillId="0" borderId="1" xfId="0" applyFont="1" applyBorder="1"/>
    <xf numFmtId="0" fontId="1" fillId="0" borderId="1" xfId="0" applyNumberFormat="1" applyFont="1" applyBorder="1"/>
    <xf numFmtId="0" fontId="0" fillId="0" borderId="1" xfId="0" applyNumberFormat="1" applyBorder="1"/>
    <xf numFmtId="0" fontId="0" fillId="0" borderId="0" xfId="0" applyNumberFormat="1"/>
    <xf numFmtId="0" fontId="1" fillId="0" borderId="0" xfId="0" applyFont="1"/>
    <xf numFmtId="0" fontId="1" fillId="0" borderId="0" xfId="0" applyFont="1" applyFill="1" applyBorder="1"/>
    <xf numFmtId="0" fontId="0" fillId="0" borderId="2" xfId="0" applyFill="1" applyBorder="1"/>
    <xf numFmtId="0" fontId="0" fillId="0" borderId="1" xfId="0" applyFill="1" applyBorder="1"/>
    <xf numFmtId="0" fontId="0" fillId="0" borderId="3" xfId="0" applyBorder="1"/>
    <xf numFmtId="0" fontId="1" fillId="0" borderId="1" xfId="0" applyFont="1" applyFill="1" applyBorder="1"/>
    <xf numFmtId="0" fontId="0" fillId="2" borderId="1" xfId="0" applyFill="1" applyBorder="1"/>
    <xf numFmtId="0" fontId="0" fillId="2" borderId="0" xfId="0" applyFill="1"/>
    <xf numFmtId="0" fontId="4" fillId="2" borderId="1" xfId="0" applyFont="1" applyFill="1" applyBorder="1"/>
    <xf numFmtId="0" fontId="0" fillId="3" borderId="1" xfId="0" applyFill="1" applyBorder="1"/>
    <xf numFmtId="0" fontId="1" fillId="4" borderId="1" xfId="0" applyFont="1" applyFill="1" applyBorder="1"/>
    <xf numFmtId="0" fontId="2" fillId="5" borderId="4" xfId="1" applyFill="1"/>
    <xf numFmtId="0" fontId="5" fillId="0" borderId="1" xfId="0" applyFont="1" applyBorder="1"/>
    <xf numFmtId="0" fontId="5" fillId="2" borderId="1" xfId="0" applyFont="1" applyFill="1" applyBorder="1"/>
    <xf numFmtId="0" fontId="5" fillId="6" borderId="1" xfId="0" applyFont="1" applyFill="1" applyBorder="1"/>
    <xf numFmtId="0" fontId="5" fillId="7" borderId="1" xfId="0" applyFont="1" applyFill="1" applyBorder="1"/>
    <xf numFmtId="0" fontId="5" fillId="3" borderId="1" xfId="0" applyFont="1" applyFill="1" applyBorder="1"/>
    <xf numFmtId="14" fontId="1" fillId="0" borderId="1" xfId="0" applyNumberFormat="1" applyFont="1" applyBorder="1"/>
  </cellXfs>
  <cellStyles count="2">
    <cellStyle name="Heading 2" xfId="1" builtinId="17"/>
    <cellStyle name="Normal" xfId="0" builtinId="0"/>
  </cellStyles>
  <dxfs count="2">
    <dxf>
      <fill>
        <patternFill>
          <bgColor theme="5"/>
        </patternFill>
      </fill>
    </dxf>
    <dxf>
      <fill>
        <patternFill>
          <bgColor theme="7" tint="0.39994506668294322"/>
        </patternFill>
      </fill>
      <border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9DDA5-D851-4DB9-BB36-468389EC9CC8}">
  <dimension ref="A1:AD503"/>
  <sheetViews>
    <sheetView topLeftCell="O1" zoomScale="89" workbookViewId="0">
      <selection sqref="A1:U501"/>
    </sheetView>
  </sheetViews>
  <sheetFormatPr defaultRowHeight="14.4" x14ac:dyDescent="0.3"/>
  <cols>
    <col min="1" max="1" width="7.88671875" style="6" bestFit="1" customWidth="1"/>
    <col min="2" max="2" width="11.109375" bestFit="1" customWidth="1"/>
    <col min="3" max="4" width="10.33203125" bestFit="1" customWidth="1"/>
    <col min="5" max="5" width="9.77734375" bestFit="1" customWidth="1"/>
    <col min="6" max="6" width="11.44140625" bestFit="1" customWidth="1"/>
    <col min="7" max="7" width="12.109375" bestFit="1" customWidth="1"/>
    <col min="8" max="8" width="15.109375" bestFit="1" customWidth="1"/>
    <col min="9" max="9" width="15.21875" bestFit="1" customWidth="1"/>
    <col min="10" max="10" width="12.6640625" bestFit="1" customWidth="1"/>
    <col min="11" max="11" width="7" bestFit="1" customWidth="1"/>
    <col min="12" max="12" width="9.109375" bestFit="1" customWidth="1"/>
    <col min="14" max="14" width="10" bestFit="1" customWidth="1"/>
    <col min="15" max="15" width="9" bestFit="1" customWidth="1"/>
    <col min="16" max="16" width="10.21875" customWidth="1"/>
    <col min="17" max="17" width="16.6640625" customWidth="1"/>
    <col min="18" max="18" width="18.21875" customWidth="1"/>
    <col min="19" max="19" width="9.5546875" customWidth="1"/>
    <col min="20" max="20" width="11" customWidth="1"/>
    <col min="21" max="21" width="11.33203125" customWidth="1"/>
    <col min="25" max="25" width="19.33203125" customWidth="1"/>
    <col min="27" max="27" width="23.5546875" customWidth="1"/>
    <col min="28" max="28" width="8.88671875" customWidth="1"/>
    <col min="30" max="30" width="11.88671875" customWidth="1"/>
  </cols>
  <sheetData>
    <row r="1" spans="1:30" x14ac:dyDescent="0.3">
      <c r="A1" s="4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7" t="s">
        <v>70</v>
      </c>
      <c r="Q1" s="8" t="s">
        <v>72</v>
      </c>
      <c r="R1" s="8" t="s">
        <v>71</v>
      </c>
      <c r="S1" s="12" t="s">
        <v>73</v>
      </c>
      <c r="T1" s="12" t="s">
        <v>74</v>
      </c>
      <c r="U1" s="12" t="s">
        <v>75</v>
      </c>
    </row>
    <row r="2" spans="1:30" x14ac:dyDescent="0.3">
      <c r="A2" s="5">
        <v>10001</v>
      </c>
      <c r="B2" s="1">
        <v>1102</v>
      </c>
      <c r="C2" s="2">
        <v>45197</v>
      </c>
      <c r="D2" s="2">
        <v>45203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  <c r="L2" s="1">
        <v>7</v>
      </c>
      <c r="M2" s="1">
        <v>2843.87</v>
      </c>
      <c r="N2" s="1">
        <v>0</v>
      </c>
      <c r="O2" s="1">
        <v>19907.09</v>
      </c>
      <c r="P2" s="1">
        <f>L2*M2</f>
        <v>19907.09</v>
      </c>
      <c r="Q2" s="10">
        <f>O2*N2%</f>
        <v>0</v>
      </c>
      <c r="R2" s="11">
        <f>P2-Q2</f>
        <v>19907.09</v>
      </c>
      <c r="S2" s="1" t="str">
        <f>IF(L2&gt;=5,"High","Low")</f>
        <v>High</v>
      </c>
      <c r="T2" s="1" t="str" cm="1">
        <f t="array" ref="T2">_xlfn.IFS(L2&gt;5,"High",L2=5,"mediam",L2&lt;5,"low")</f>
        <v>High</v>
      </c>
      <c r="U2" s="1" t="str">
        <f>IF(L2&gt;5,"High",IF(L2=V1,"Low"))</f>
        <v>High</v>
      </c>
      <c r="Y2" s="3" t="s">
        <v>76</v>
      </c>
      <c r="Z2" s="1">
        <f>SUM(L2:L501)</f>
        <v>2553</v>
      </c>
      <c r="AB2" s="1" t="s">
        <v>21</v>
      </c>
      <c r="AD2" s="1" t="s">
        <v>15</v>
      </c>
    </row>
    <row r="3" spans="1:30" x14ac:dyDescent="0.3">
      <c r="A3" s="5">
        <v>10002</v>
      </c>
      <c r="B3" s="1">
        <v>1435</v>
      </c>
      <c r="C3" s="2">
        <v>45199</v>
      </c>
      <c r="D3" s="2">
        <v>45203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>
        <v>9</v>
      </c>
      <c r="M3" s="1">
        <v>2525.23</v>
      </c>
      <c r="N3" s="1">
        <v>5</v>
      </c>
      <c r="O3" s="1">
        <v>21590.720000000001</v>
      </c>
      <c r="P3" s="1">
        <f t="shared" ref="P3:P66" si="0">L3*M3</f>
        <v>22727.07</v>
      </c>
      <c r="Q3" s="10">
        <f t="shared" ref="Q3:Q66" si="1">O3*N3%</f>
        <v>1079.5360000000001</v>
      </c>
      <c r="R3" s="11">
        <f t="shared" ref="R3:R66" si="2">P3-Q3</f>
        <v>21647.534</v>
      </c>
      <c r="S3" s="1" t="str">
        <f t="shared" ref="S3:S66" si="3">IF(L3&gt;=5,"High","Low")</f>
        <v>High</v>
      </c>
      <c r="T3" s="1" t="str" cm="1">
        <f t="array" ref="T3">_xlfn.IFS(L3&gt;5,"High",L3=5,"mediam",L3&lt;5,"low")</f>
        <v>High</v>
      </c>
      <c r="U3" s="1" t="str">
        <f t="shared" ref="U3:U66" si="4">IF(L3&gt;5,"High",IF(L3="Mediam","Low"))</f>
        <v>High</v>
      </c>
      <c r="Y3" s="3" t="s">
        <v>77</v>
      </c>
      <c r="Z3">
        <f>SUMIF(K2:K501,"BrandA",L2:L501)</f>
        <v>511</v>
      </c>
      <c r="AB3" s="1" t="s">
        <v>28</v>
      </c>
      <c r="AD3" s="1" t="s">
        <v>22</v>
      </c>
    </row>
    <row r="4" spans="1:30" x14ac:dyDescent="0.3">
      <c r="A4" s="5">
        <v>10003</v>
      </c>
      <c r="B4" s="1">
        <v>1860</v>
      </c>
      <c r="C4" s="2">
        <v>45109</v>
      </c>
      <c r="D4" s="2">
        <v>45114</v>
      </c>
      <c r="E4" s="1" t="s">
        <v>15</v>
      </c>
      <c r="F4" s="1" t="s">
        <v>29</v>
      </c>
      <c r="G4" s="1" t="s">
        <v>30</v>
      </c>
      <c r="H4" s="1" t="s">
        <v>25</v>
      </c>
      <c r="I4" s="1" t="s">
        <v>31</v>
      </c>
      <c r="J4" s="1" t="s">
        <v>32</v>
      </c>
      <c r="K4" s="1" t="s">
        <v>33</v>
      </c>
      <c r="L4" s="1">
        <v>6</v>
      </c>
      <c r="M4" s="1">
        <v>3474.34</v>
      </c>
      <c r="N4" s="1">
        <v>15</v>
      </c>
      <c r="O4" s="1">
        <v>17719.13</v>
      </c>
      <c r="P4" s="1">
        <f t="shared" si="0"/>
        <v>20846.04</v>
      </c>
      <c r="Q4" s="10">
        <f t="shared" si="1"/>
        <v>2657.8695000000002</v>
      </c>
      <c r="R4" s="11">
        <f t="shared" si="2"/>
        <v>18188.1705</v>
      </c>
      <c r="S4" s="1" t="str">
        <f t="shared" si="3"/>
        <v>High</v>
      </c>
      <c r="T4" s="1" t="str" cm="1">
        <f t="array" ref="T4">_xlfn.IFS(L4&gt;5,"High",L4=5,"mediam",L4&lt;5,"low")</f>
        <v>High</v>
      </c>
      <c r="U4" s="1" t="str">
        <f t="shared" si="4"/>
        <v>High</v>
      </c>
      <c r="AB4" s="1" t="s">
        <v>33</v>
      </c>
      <c r="AD4" s="1" t="s">
        <v>34</v>
      </c>
    </row>
    <row r="5" spans="1:30" x14ac:dyDescent="0.3">
      <c r="A5" s="5">
        <v>10004</v>
      </c>
      <c r="B5" s="1">
        <v>1270</v>
      </c>
      <c r="C5" s="2">
        <v>45079</v>
      </c>
      <c r="D5" s="2">
        <v>45087</v>
      </c>
      <c r="E5" s="1" t="s">
        <v>34</v>
      </c>
      <c r="F5" s="1" t="s">
        <v>29</v>
      </c>
      <c r="G5" s="1" t="s">
        <v>24</v>
      </c>
      <c r="H5" s="1" t="s">
        <v>35</v>
      </c>
      <c r="I5" s="1" t="s">
        <v>26</v>
      </c>
      <c r="J5" s="1" t="s">
        <v>36</v>
      </c>
      <c r="K5" s="1" t="s">
        <v>21</v>
      </c>
      <c r="L5" s="1">
        <v>1</v>
      </c>
      <c r="M5" s="1">
        <v>1008.79</v>
      </c>
      <c r="N5" s="1">
        <v>15</v>
      </c>
      <c r="O5" s="1">
        <v>857.47</v>
      </c>
      <c r="P5" s="1">
        <f t="shared" si="0"/>
        <v>1008.79</v>
      </c>
      <c r="Q5" s="10">
        <f t="shared" si="1"/>
        <v>128.62049999999999</v>
      </c>
      <c r="R5" s="11">
        <f t="shared" si="2"/>
        <v>880.16949999999997</v>
      </c>
      <c r="S5" s="1" t="str">
        <f t="shared" si="3"/>
        <v>Low</v>
      </c>
      <c r="T5" s="1" t="str" cm="1">
        <f t="array" ref="T5">_xlfn.IFS(L5&gt;5,"High",L5=5,"mediam",L5&lt;5,"low")</f>
        <v>low</v>
      </c>
      <c r="U5" s="1" t="b">
        <f t="shared" si="4"/>
        <v>0</v>
      </c>
      <c r="Y5" s="3" t="s">
        <v>77</v>
      </c>
      <c r="Z5" t="s">
        <v>47</v>
      </c>
      <c r="AA5">
        <f>SUMIF(K4:K501,Z5,L4:L501)</f>
        <v>551</v>
      </c>
      <c r="AB5" s="1" t="s">
        <v>45</v>
      </c>
      <c r="AD5" s="1" t="s">
        <v>37</v>
      </c>
    </row>
    <row r="6" spans="1:30" x14ac:dyDescent="0.3">
      <c r="A6" s="5">
        <v>10005</v>
      </c>
      <c r="B6" s="1">
        <v>1106</v>
      </c>
      <c r="C6" s="2">
        <v>45241</v>
      </c>
      <c r="D6" s="2">
        <v>45244</v>
      </c>
      <c r="E6" s="1" t="s">
        <v>37</v>
      </c>
      <c r="F6" s="1" t="s">
        <v>38</v>
      </c>
      <c r="G6" s="1" t="s">
        <v>30</v>
      </c>
      <c r="H6" s="1" t="s">
        <v>18</v>
      </c>
      <c r="I6" s="1" t="s">
        <v>31</v>
      </c>
      <c r="J6" s="1" t="s">
        <v>39</v>
      </c>
      <c r="K6" s="1" t="s">
        <v>21</v>
      </c>
      <c r="L6" s="1">
        <v>7</v>
      </c>
      <c r="M6" s="1">
        <v>3511.47</v>
      </c>
      <c r="N6" s="1">
        <v>20</v>
      </c>
      <c r="O6" s="1">
        <v>19664.23</v>
      </c>
      <c r="P6" s="1">
        <f t="shared" si="0"/>
        <v>24580.289999999997</v>
      </c>
      <c r="Q6" s="10">
        <f t="shared" si="1"/>
        <v>3932.846</v>
      </c>
      <c r="R6" s="11">
        <f t="shared" si="2"/>
        <v>20647.443999999996</v>
      </c>
      <c r="S6" s="1" t="str">
        <f t="shared" si="3"/>
        <v>High</v>
      </c>
      <c r="T6" s="1" t="str" cm="1">
        <f t="array" ref="T6">_xlfn.IFS(L6&gt;5,"High",L6=5,"mediam",L6&lt;5,"low")</f>
        <v>High</v>
      </c>
      <c r="U6" s="1" t="str">
        <f t="shared" si="4"/>
        <v>High</v>
      </c>
      <c r="AB6" s="1" t="s">
        <v>47</v>
      </c>
      <c r="AD6" s="1" t="s">
        <v>40</v>
      </c>
    </row>
    <row r="7" spans="1:30" x14ac:dyDescent="0.3">
      <c r="A7" s="5">
        <v>10006</v>
      </c>
      <c r="B7" s="1">
        <v>1071</v>
      </c>
      <c r="C7" s="2">
        <v>45260</v>
      </c>
      <c r="D7" s="2">
        <v>45263</v>
      </c>
      <c r="E7" s="1" t="s">
        <v>40</v>
      </c>
      <c r="F7" s="1" t="s">
        <v>41</v>
      </c>
      <c r="G7" s="1" t="s">
        <v>24</v>
      </c>
      <c r="H7" s="1" t="s">
        <v>42</v>
      </c>
      <c r="I7" s="1" t="s">
        <v>19</v>
      </c>
      <c r="J7" s="1" t="s">
        <v>43</v>
      </c>
      <c r="K7" s="1" t="s">
        <v>33</v>
      </c>
      <c r="L7" s="1">
        <v>3</v>
      </c>
      <c r="M7" s="1">
        <v>3189.55</v>
      </c>
      <c r="N7" s="1">
        <v>10</v>
      </c>
      <c r="O7" s="1">
        <v>8611.7800000000007</v>
      </c>
      <c r="P7" s="1">
        <f t="shared" si="0"/>
        <v>9568.6500000000015</v>
      </c>
      <c r="Q7" s="10">
        <f t="shared" si="1"/>
        <v>861.17800000000011</v>
      </c>
      <c r="R7" s="11">
        <f t="shared" si="2"/>
        <v>8707.4720000000016</v>
      </c>
      <c r="S7" s="1" t="str">
        <f t="shared" si="3"/>
        <v>Low</v>
      </c>
      <c r="T7" s="1" t="str" cm="1">
        <f t="array" ref="T7">_xlfn.IFS(L7&gt;5,"High",L7=5,"mediam",L7&lt;5,"low")</f>
        <v>low</v>
      </c>
      <c r="U7" s="1" t="b">
        <f t="shared" si="4"/>
        <v>0</v>
      </c>
      <c r="Y7" s="8" t="s">
        <v>78</v>
      </c>
      <c r="Z7">
        <f>SUMPRODUCT(L2:L501,M2:M501)</f>
        <v>5134263.8099999949</v>
      </c>
      <c r="AD7" s="1" t="s">
        <v>46</v>
      </c>
    </row>
    <row r="8" spans="1:30" x14ac:dyDescent="0.3">
      <c r="A8" s="5">
        <v>10007</v>
      </c>
      <c r="B8" s="1">
        <v>1700</v>
      </c>
      <c r="C8" s="2">
        <v>45050</v>
      </c>
      <c r="D8" s="2">
        <v>45054</v>
      </c>
      <c r="E8" s="1" t="s">
        <v>34</v>
      </c>
      <c r="F8" s="1" t="s">
        <v>41</v>
      </c>
      <c r="G8" s="1" t="s">
        <v>17</v>
      </c>
      <c r="H8" s="1" t="s">
        <v>44</v>
      </c>
      <c r="I8" s="1" t="s">
        <v>31</v>
      </c>
      <c r="J8" s="1" t="s">
        <v>32</v>
      </c>
      <c r="K8" s="1" t="s">
        <v>45</v>
      </c>
      <c r="L8" s="1">
        <v>5</v>
      </c>
      <c r="M8" s="1">
        <v>3030.42</v>
      </c>
      <c r="N8" s="1">
        <v>10</v>
      </c>
      <c r="O8" s="1">
        <v>13636.89</v>
      </c>
      <c r="P8" s="1">
        <f t="shared" si="0"/>
        <v>15152.1</v>
      </c>
      <c r="Q8" s="10">
        <f t="shared" si="1"/>
        <v>1363.6890000000001</v>
      </c>
      <c r="R8" s="11">
        <f t="shared" si="2"/>
        <v>13788.411</v>
      </c>
      <c r="S8" s="1" t="str">
        <f t="shared" si="3"/>
        <v>High</v>
      </c>
      <c r="T8" s="1" t="str" cm="1">
        <f t="array" ref="T8">_xlfn.IFS(L8&gt;5,"High",L8=5,"mediam",L8&lt;5,"low")</f>
        <v>mediam</v>
      </c>
      <c r="U8" s="1" t="b">
        <f>IF(L8&gt;5,"High",IF(L8="Mediam","Low"))</f>
        <v>0</v>
      </c>
      <c r="AD8" s="1" t="s">
        <v>16</v>
      </c>
    </row>
    <row r="9" spans="1:30" x14ac:dyDescent="0.3">
      <c r="A9" s="5">
        <v>10008</v>
      </c>
      <c r="B9" s="1">
        <v>1020</v>
      </c>
      <c r="C9" s="2">
        <v>45040</v>
      </c>
      <c r="D9" s="2">
        <v>45041</v>
      </c>
      <c r="E9" s="1" t="s">
        <v>46</v>
      </c>
      <c r="F9" s="1" t="s">
        <v>16</v>
      </c>
      <c r="G9" s="1" t="s">
        <v>24</v>
      </c>
      <c r="H9" s="1" t="s">
        <v>18</v>
      </c>
      <c r="I9" s="1" t="s">
        <v>31</v>
      </c>
      <c r="J9" s="1" t="s">
        <v>32</v>
      </c>
      <c r="K9" s="1" t="s">
        <v>47</v>
      </c>
      <c r="L9" s="1">
        <v>4</v>
      </c>
      <c r="M9" s="1">
        <v>2310.83</v>
      </c>
      <c r="N9" s="1">
        <v>10</v>
      </c>
      <c r="O9" s="1">
        <v>8318.99</v>
      </c>
      <c r="P9" s="1">
        <f t="shared" si="0"/>
        <v>9243.32</v>
      </c>
      <c r="Q9" s="10">
        <f t="shared" si="1"/>
        <v>831.899</v>
      </c>
      <c r="R9" s="11">
        <f t="shared" si="2"/>
        <v>8411.4210000000003</v>
      </c>
      <c r="S9" s="1" t="str">
        <f t="shared" si="3"/>
        <v>Low</v>
      </c>
      <c r="T9" s="1" t="str" cm="1">
        <f t="array" ref="T9">_xlfn.IFS(L9&gt;5,"High",L9=5,"mediam",L9&lt;5,"low")</f>
        <v>low</v>
      </c>
      <c r="U9" s="1" t="b">
        <f t="shared" si="4"/>
        <v>0</v>
      </c>
      <c r="Y9" s="8" t="s">
        <v>79</v>
      </c>
      <c r="Z9" t="s">
        <v>21</v>
      </c>
      <c r="AA9" cm="1">
        <f t="array" ref="AA9">SUMPRODUCT(L2:L501,M2:M501,-- (K2:K501=Z9))</f>
        <v>1060998.0599999998</v>
      </c>
    </row>
    <row r="10" spans="1:30" x14ac:dyDescent="0.3">
      <c r="A10" s="5">
        <v>10009</v>
      </c>
      <c r="B10" s="1">
        <v>1614</v>
      </c>
      <c r="C10" s="2">
        <v>45204</v>
      </c>
      <c r="D10" s="2">
        <v>45213</v>
      </c>
      <c r="E10" s="1" t="s">
        <v>15</v>
      </c>
      <c r="F10" s="1" t="s">
        <v>29</v>
      </c>
      <c r="G10" s="1" t="s">
        <v>24</v>
      </c>
      <c r="H10" s="1" t="s">
        <v>25</v>
      </c>
      <c r="I10" s="1" t="s">
        <v>31</v>
      </c>
      <c r="J10" s="1" t="s">
        <v>48</v>
      </c>
      <c r="K10" s="1" t="s">
        <v>28</v>
      </c>
      <c r="L10" s="1">
        <v>5</v>
      </c>
      <c r="M10" s="1">
        <v>1098.04</v>
      </c>
      <c r="N10" s="1">
        <v>15</v>
      </c>
      <c r="O10" s="1">
        <v>4666.67</v>
      </c>
      <c r="P10" s="1">
        <f t="shared" si="0"/>
        <v>5490.2</v>
      </c>
      <c r="Q10" s="10">
        <f t="shared" si="1"/>
        <v>700.00049999999999</v>
      </c>
      <c r="R10" s="11">
        <f t="shared" si="2"/>
        <v>4790.1994999999997</v>
      </c>
      <c r="S10" s="1" t="str">
        <f t="shared" si="3"/>
        <v>High</v>
      </c>
      <c r="T10" s="1" t="str" cm="1">
        <f t="array" ref="T10">_xlfn.IFS(L10&gt;5,"High",L10=5,"mediam",L10&lt;5,"low")</f>
        <v>mediam</v>
      </c>
      <c r="U10" s="1" t="b">
        <f t="shared" si="4"/>
        <v>0</v>
      </c>
    </row>
    <row r="11" spans="1:30" x14ac:dyDescent="0.3">
      <c r="A11" s="5">
        <v>10010</v>
      </c>
      <c r="B11" s="1">
        <v>1121</v>
      </c>
      <c r="C11" s="2">
        <v>45139</v>
      </c>
      <c r="D11" s="2">
        <v>45147</v>
      </c>
      <c r="E11" s="1" t="s">
        <v>34</v>
      </c>
      <c r="F11" s="1" t="s">
        <v>38</v>
      </c>
      <c r="G11" s="1" t="s">
        <v>24</v>
      </c>
      <c r="H11" s="1" t="s">
        <v>35</v>
      </c>
      <c r="I11" s="1" t="s">
        <v>49</v>
      </c>
      <c r="J11" s="1" t="s">
        <v>50</v>
      </c>
      <c r="K11" s="1" t="s">
        <v>47</v>
      </c>
      <c r="L11" s="1">
        <v>5</v>
      </c>
      <c r="M11" s="1">
        <v>1780.66</v>
      </c>
      <c r="N11" s="1">
        <v>20</v>
      </c>
      <c r="O11" s="1">
        <v>7122.64</v>
      </c>
      <c r="P11" s="1">
        <f t="shared" si="0"/>
        <v>8903.3000000000011</v>
      </c>
      <c r="Q11" s="10">
        <f t="shared" si="1"/>
        <v>1424.5280000000002</v>
      </c>
      <c r="R11" s="11">
        <f t="shared" si="2"/>
        <v>7478.7720000000008</v>
      </c>
      <c r="S11" s="1" t="str">
        <f t="shared" si="3"/>
        <v>High</v>
      </c>
      <c r="T11" s="1" t="str" cm="1">
        <f t="array" ref="T11">_xlfn.IFS(L11&gt;5,"High",L11=5,"mediam",L11&lt;5,"low")</f>
        <v>mediam</v>
      </c>
      <c r="U11" s="1" t="b">
        <f t="shared" si="4"/>
        <v>0</v>
      </c>
      <c r="Y11" s="8" t="s">
        <v>80</v>
      </c>
      <c r="Z11" t="s">
        <v>47</v>
      </c>
      <c r="AA11" cm="1">
        <f t="array" ref="AA11">SUMPRODUCT(L2:L501,M2:M501,--(K2:K501=Z11))</f>
        <v>1149173.2900000003</v>
      </c>
    </row>
    <row r="12" spans="1:30" x14ac:dyDescent="0.3">
      <c r="A12" s="5">
        <v>10011</v>
      </c>
      <c r="B12" s="1">
        <v>1466</v>
      </c>
      <c r="C12" s="2">
        <v>45098</v>
      </c>
      <c r="D12" s="2">
        <v>45106</v>
      </c>
      <c r="E12" s="1" t="s">
        <v>34</v>
      </c>
      <c r="F12" s="1" t="s">
        <v>38</v>
      </c>
      <c r="G12" s="1" t="s">
        <v>17</v>
      </c>
      <c r="H12" s="1" t="s">
        <v>35</v>
      </c>
      <c r="I12" s="1" t="s">
        <v>49</v>
      </c>
      <c r="J12" s="1" t="s">
        <v>50</v>
      </c>
      <c r="K12" s="1" t="s">
        <v>33</v>
      </c>
      <c r="L12" s="1">
        <v>6</v>
      </c>
      <c r="M12" s="1">
        <v>3205.25</v>
      </c>
      <c r="N12" s="1">
        <v>0</v>
      </c>
      <c r="O12" s="1">
        <v>19231.5</v>
      </c>
      <c r="P12" s="1">
        <f t="shared" si="0"/>
        <v>19231.5</v>
      </c>
      <c r="Q12" s="10">
        <f t="shared" si="1"/>
        <v>0</v>
      </c>
      <c r="R12" s="11">
        <f t="shared" si="2"/>
        <v>19231.5</v>
      </c>
      <c r="S12" s="1" t="str">
        <f t="shared" si="3"/>
        <v>High</v>
      </c>
      <c r="T12" s="1" t="str" cm="1">
        <f t="array" ref="T12">_xlfn.IFS(L12&gt;5,"High",L12=5,"mediam",L12&lt;5,"low")</f>
        <v>High</v>
      </c>
      <c r="U12" s="1" t="str">
        <f t="shared" si="4"/>
        <v>High</v>
      </c>
    </row>
    <row r="13" spans="1:30" x14ac:dyDescent="0.3">
      <c r="A13" s="5">
        <v>10012</v>
      </c>
      <c r="B13" s="1">
        <v>1214</v>
      </c>
      <c r="C13" s="2">
        <v>45214</v>
      </c>
      <c r="D13" s="2">
        <v>45220</v>
      </c>
      <c r="E13" s="1" t="s">
        <v>46</v>
      </c>
      <c r="F13" s="1" t="s">
        <v>23</v>
      </c>
      <c r="G13" s="1" t="s">
        <v>24</v>
      </c>
      <c r="H13" s="1" t="s">
        <v>44</v>
      </c>
      <c r="I13" s="1" t="s">
        <v>49</v>
      </c>
      <c r="J13" s="1" t="s">
        <v>51</v>
      </c>
      <c r="K13" s="1" t="s">
        <v>21</v>
      </c>
      <c r="L13" s="1">
        <v>6</v>
      </c>
      <c r="M13" s="1">
        <v>272.35000000000002</v>
      </c>
      <c r="N13" s="1">
        <v>5</v>
      </c>
      <c r="O13" s="1">
        <v>1552.39</v>
      </c>
      <c r="P13" s="1">
        <f t="shared" si="0"/>
        <v>1634.1000000000001</v>
      </c>
      <c r="Q13" s="10">
        <f t="shared" si="1"/>
        <v>77.619500000000016</v>
      </c>
      <c r="R13" s="11">
        <f t="shared" si="2"/>
        <v>1556.4805000000001</v>
      </c>
      <c r="S13" s="1" t="str">
        <f t="shared" si="3"/>
        <v>High</v>
      </c>
      <c r="T13" s="1" t="str" cm="1">
        <f t="array" ref="T13">_xlfn.IFS(L13&gt;5,"High",L13=5,"mediam",L13&lt;5,"low")</f>
        <v>High</v>
      </c>
      <c r="U13" s="1" t="str">
        <f t="shared" si="4"/>
        <v>High</v>
      </c>
      <c r="Y13" s="8" t="s">
        <v>81</v>
      </c>
      <c r="Z13" t="s">
        <v>45</v>
      </c>
    </row>
    <row r="14" spans="1:30" x14ac:dyDescent="0.3">
      <c r="A14" s="5">
        <v>10013</v>
      </c>
      <c r="B14" s="1">
        <v>1330</v>
      </c>
      <c r="C14" s="2">
        <v>45100</v>
      </c>
      <c r="D14" s="2">
        <v>45107</v>
      </c>
      <c r="E14" s="1" t="s">
        <v>16</v>
      </c>
      <c r="F14" s="1" t="s">
        <v>23</v>
      </c>
      <c r="G14" s="1" t="s">
        <v>17</v>
      </c>
      <c r="H14" s="1" t="s">
        <v>35</v>
      </c>
      <c r="I14" s="1" t="s">
        <v>19</v>
      </c>
      <c r="J14" s="1" t="s">
        <v>43</v>
      </c>
      <c r="K14" s="1" t="s">
        <v>21</v>
      </c>
      <c r="L14" s="1">
        <v>8</v>
      </c>
      <c r="M14" s="1">
        <v>3160.9</v>
      </c>
      <c r="N14" s="1">
        <v>0</v>
      </c>
      <c r="O14" s="1">
        <v>25287.200000000001</v>
      </c>
      <c r="P14" s="1">
        <f t="shared" si="0"/>
        <v>25287.200000000001</v>
      </c>
      <c r="Q14" s="10">
        <f t="shared" si="1"/>
        <v>0</v>
      </c>
      <c r="R14" s="11">
        <f t="shared" si="2"/>
        <v>25287.200000000001</v>
      </c>
      <c r="S14" s="1" t="str">
        <f t="shared" si="3"/>
        <v>High</v>
      </c>
      <c r="T14" s="1" t="str" cm="1">
        <f t="array" ref="T14">_xlfn.IFS(L14&gt;5,"High",L14=5,"mediam",L14&lt;5,"low")</f>
        <v>High</v>
      </c>
      <c r="U14" s="1" t="str">
        <f t="shared" si="4"/>
        <v>High</v>
      </c>
    </row>
    <row r="15" spans="1:30" x14ac:dyDescent="0.3">
      <c r="A15" s="5">
        <v>10014</v>
      </c>
      <c r="B15" s="1">
        <v>1458</v>
      </c>
      <c r="C15" s="2">
        <v>45039</v>
      </c>
      <c r="D15" s="2">
        <v>45045</v>
      </c>
      <c r="E15" s="1" t="s">
        <v>37</v>
      </c>
      <c r="F15" s="1" t="s">
        <v>38</v>
      </c>
      <c r="G15" s="1" t="s">
        <v>30</v>
      </c>
      <c r="H15" s="1" t="s">
        <v>35</v>
      </c>
      <c r="I15" s="1" t="s">
        <v>26</v>
      </c>
      <c r="J15" s="1" t="s">
        <v>36</v>
      </c>
      <c r="K15" s="1" t="s">
        <v>28</v>
      </c>
      <c r="L15" s="1">
        <v>8</v>
      </c>
      <c r="M15" s="1">
        <v>1074.27</v>
      </c>
      <c r="N15" s="1">
        <v>15</v>
      </c>
      <c r="O15" s="1">
        <v>7305.04</v>
      </c>
      <c r="P15" s="1">
        <f t="shared" si="0"/>
        <v>8594.16</v>
      </c>
      <c r="Q15" s="10">
        <f t="shared" si="1"/>
        <v>1095.7559999999999</v>
      </c>
      <c r="R15" s="11">
        <f t="shared" si="2"/>
        <v>7498.4040000000005</v>
      </c>
      <c r="S15" s="1" t="str">
        <f t="shared" si="3"/>
        <v>High</v>
      </c>
      <c r="T15" s="1" t="str" cm="1">
        <f t="array" ref="T15">_xlfn.IFS(L15&gt;5,"High",L15=5,"mediam",L15&lt;5,"low")</f>
        <v>High</v>
      </c>
      <c r="U15" s="1" t="str">
        <f t="shared" si="4"/>
        <v>High</v>
      </c>
      <c r="Y15" s="8" t="s">
        <v>82</v>
      </c>
      <c r="Z15" t="s">
        <v>28</v>
      </c>
    </row>
    <row r="16" spans="1:30" x14ac:dyDescent="0.3">
      <c r="A16" s="5">
        <v>10015</v>
      </c>
      <c r="B16" s="1">
        <v>1087</v>
      </c>
      <c r="C16" s="2">
        <v>45048</v>
      </c>
      <c r="D16" s="2">
        <v>45057</v>
      </c>
      <c r="E16" s="1" t="s">
        <v>40</v>
      </c>
      <c r="F16" s="1" t="s">
        <v>23</v>
      </c>
      <c r="G16" s="1" t="s">
        <v>24</v>
      </c>
      <c r="H16" s="1" t="s">
        <v>18</v>
      </c>
      <c r="I16" s="1" t="s">
        <v>52</v>
      </c>
      <c r="J16" s="1" t="s">
        <v>53</v>
      </c>
      <c r="K16" s="1" t="s">
        <v>21</v>
      </c>
      <c r="L16" s="1">
        <v>9</v>
      </c>
      <c r="M16" s="1">
        <v>705.59</v>
      </c>
      <c r="N16" s="1">
        <v>10</v>
      </c>
      <c r="O16" s="1">
        <v>5715.28</v>
      </c>
      <c r="P16" s="1">
        <f t="shared" si="0"/>
        <v>6350.31</v>
      </c>
      <c r="Q16" s="10">
        <f t="shared" si="1"/>
        <v>571.52800000000002</v>
      </c>
      <c r="R16" s="11">
        <f t="shared" si="2"/>
        <v>5778.7820000000002</v>
      </c>
      <c r="S16" s="1" t="str">
        <f t="shared" si="3"/>
        <v>High</v>
      </c>
      <c r="T16" s="1" t="str" cm="1">
        <f t="array" ref="T16">_xlfn.IFS(L16&gt;5,"High",L16=5,"mediam",L16&lt;5,"low")</f>
        <v>High</v>
      </c>
      <c r="U16" s="1" t="str">
        <f t="shared" si="4"/>
        <v>High</v>
      </c>
    </row>
    <row r="17" spans="1:28" x14ac:dyDescent="0.3">
      <c r="A17" s="5">
        <v>10016</v>
      </c>
      <c r="B17" s="1">
        <v>1372</v>
      </c>
      <c r="C17" s="2">
        <v>44958</v>
      </c>
      <c r="D17" s="2">
        <v>44961</v>
      </c>
      <c r="E17" s="1" t="s">
        <v>22</v>
      </c>
      <c r="F17" s="1" t="s">
        <v>29</v>
      </c>
      <c r="G17" s="1" t="s">
        <v>17</v>
      </c>
      <c r="H17" s="1" t="s">
        <v>42</v>
      </c>
      <c r="I17" s="1" t="s">
        <v>31</v>
      </c>
      <c r="J17" s="1" t="s">
        <v>39</v>
      </c>
      <c r="K17" s="1" t="s">
        <v>21</v>
      </c>
      <c r="L17" s="1">
        <v>8</v>
      </c>
      <c r="M17" s="1">
        <v>595.45000000000005</v>
      </c>
      <c r="N17" s="1">
        <v>5</v>
      </c>
      <c r="O17" s="1">
        <v>4525.42</v>
      </c>
      <c r="P17" s="1">
        <f t="shared" si="0"/>
        <v>4763.6000000000004</v>
      </c>
      <c r="Q17" s="10">
        <f t="shared" si="1"/>
        <v>226.27100000000002</v>
      </c>
      <c r="R17" s="11">
        <f t="shared" si="2"/>
        <v>4537.3290000000006</v>
      </c>
      <c r="S17" s="1" t="str">
        <f t="shared" si="3"/>
        <v>High</v>
      </c>
      <c r="T17" s="1" t="str" cm="1">
        <f t="array" ref="T17">_xlfn.IFS(L17&gt;5,"High",L17=5,"mediam",L17&lt;5,"low")</f>
        <v>High</v>
      </c>
      <c r="U17" s="1" t="str">
        <f t="shared" si="4"/>
        <v>High</v>
      </c>
      <c r="Y17" s="8" t="s">
        <v>83</v>
      </c>
      <c r="Z17" t="s">
        <v>33</v>
      </c>
    </row>
    <row r="18" spans="1:28" x14ac:dyDescent="0.3">
      <c r="A18" s="5">
        <v>10017</v>
      </c>
      <c r="B18" s="1">
        <v>1099</v>
      </c>
      <c r="C18" s="2">
        <v>45148</v>
      </c>
      <c r="D18" s="2">
        <v>45151</v>
      </c>
      <c r="E18" s="1" t="s">
        <v>16</v>
      </c>
      <c r="F18" s="1" t="s">
        <v>54</v>
      </c>
      <c r="G18" s="1" t="s">
        <v>17</v>
      </c>
      <c r="H18" s="1" t="s">
        <v>44</v>
      </c>
      <c r="I18" s="1" t="s">
        <v>31</v>
      </c>
      <c r="J18" s="1" t="s">
        <v>39</v>
      </c>
      <c r="K18" s="1" t="s">
        <v>28</v>
      </c>
      <c r="L18" s="1">
        <v>2</v>
      </c>
      <c r="M18" s="1">
        <v>254.91</v>
      </c>
      <c r="N18" s="1">
        <v>15</v>
      </c>
      <c r="O18" s="1">
        <v>433.35</v>
      </c>
      <c r="P18" s="1">
        <f t="shared" si="0"/>
        <v>509.82</v>
      </c>
      <c r="Q18" s="10">
        <f t="shared" si="1"/>
        <v>65.002499999999998</v>
      </c>
      <c r="R18" s="11">
        <f t="shared" si="2"/>
        <v>444.8175</v>
      </c>
      <c r="S18" s="1" t="str">
        <f t="shared" si="3"/>
        <v>Low</v>
      </c>
      <c r="T18" s="1" t="str" cm="1">
        <f t="array" ref="T18">_xlfn.IFS(L18&gt;5,"High",L18=5,"mediam",L18&lt;5,"low")</f>
        <v>low</v>
      </c>
      <c r="U18" s="1" t="b">
        <f t="shared" si="4"/>
        <v>0</v>
      </c>
    </row>
    <row r="19" spans="1:28" x14ac:dyDescent="0.3">
      <c r="A19" s="5">
        <v>10018</v>
      </c>
      <c r="B19" s="1">
        <v>1871</v>
      </c>
      <c r="C19" s="2">
        <v>45045</v>
      </c>
      <c r="D19" s="2">
        <v>45048</v>
      </c>
      <c r="E19" s="1" t="s">
        <v>15</v>
      </c>
      <c r="F19" s="1" t="s">
        <v>29</v>
      </c>
      <c r="G19" s="1" t="s">
        <v>24</v>
      </c>
      <c r="H19" s="1" t="s">
        <v>18</v>
      </c>
      <c r="I19" s="1" t="s">
        <v>19</v>
      </c>
      <c r="J19" s="1" t="s">
        <v>55</v>
      </c>
      <c r="K19" s="1" t="s">
        <v>28</v>
      </c>
      <c r="L19" s="1">
        <v>1</v>
      </c>
      <c r="M19" s="1">
        <v>2165.81</v>
      </c>
      <c r="N19" s="1">
        <v>15</v>
      </c>
      <c r="O19" s="1">
        <v>1840.94</v>
      </c>
      <c r="P19" s="1">
        <f t="shared" si="0"/>
        <v>2165.81</v>
      </c>
      <c r="Q19" s="10">
        <f t="shared" si="1"/>
        <v>276.14100000000002</v>
      </c>
      <c r="R19" s="11">
        <f t="shared" si="2"/>
        <v>1889.6689999999999</v>
      </c>
      <c r="S19" s="1" t="str">
        <f t="shared" si="3"/>
        <v>Low</v>
      </c>
      <c r="T19" s="1" t="str" cm="1">
        <f t="array" ref="T19">_xlfn.IFS(L19&gt;5,"High",L19=5,"mediam",L19&lt;5,"low")</f>
        <v>low</v>
      </c>
      <c r="U19" s="1" t="b">
        <f t="shared" si="4"/>
        <v>0</v>
      </c>
    </row>
    <row r="20" spans="1:28" x14ac:dyDescent="0.3">
      <c r="A20" s="5">
        <v>10019</v>
      </c>
      <c r="B20" s="1">
        <v>1663</v>
      </c>
      <c r="C20" s="2">
        <v>44965</v>
      </c>
      <c r="D20" s="2">
        <v>44968</v>
      </c>
      <c r="E20" s="1" t="s">
        <v>34</v>
      </c>
      <c r="F20" s="1" t="s">
        <v>38</v>
      </c>
      <c r="G20" s="1" t="s">
        <v>30</v>
      </c>
      <c r="H20" s="1" t="s">
        <v>42</v>
      </c>
      <c r="I20" s="1" t="s">
        <v>31</v>
      </c>
      <c r="J20" s="1" t="s">
        <v>39</v>
      </c>
      <c r="K20" s="1" t="s">
        <v>33</v>
      </c>
      <c r="L20" s="1">
        <v>2</v>
      </c>
      <c r="M20" s="1">
        <v>990.3</v>
      </c>
      <c r="N20" s="1">
        <v>15</v>
      </c>
      <c r="O20" s="1">
        <v>1683.51</v>
      </c>
      <c r="P20" s="1">
        <f t="shared" si="0"/>
        <v>1980.6</v>
      </c>
      <c r="Q20" s="10">
        <f t="shared" si="1"/>
        <v>252.5265</v>
      </c>
      <c r="R20" s="11">
        <f t="shared" si="2"/>
        <v>1728.0735</v>
      </c>
      <c r="S20" s="1" t="str">
        <f t="shared" si="3"/>
        <v>Low</v>
      </c>
      <c r="T20" s="1" t="str" cm="1">
        <f t="array" ref="T20">_xlfn.IFS(L20&gt;5,"High",L20=5,"mediam",L20&lt;5,"low")</f>
        <v>low</v>
      </c>
      <c r="U20" s="1" t="b">
        <f t="shared" si="4"/>
        <v>0</v>
      </c>
      <c r="Y20" s="3" t="s">
        <v>4</v>
      </c>
      <c r="Z20" s="3" t="s">
        <v>10</v>
      </c>
      <c r="AA20" s="3" t="s">
        <v>84</v>
      </c>
      <c r="AB20" s="3" t="s">
        <v>85</v>
      </c>
    </row>
    <row r="21" spans="1:28" x14ac:dyDescent="0.3">
      <c r="A21" s="5">
        <v>10020</v>
      </c>
      <c r="B21" s="1">
        <v>1130</v>
      </c>
      <c r="C21" s="2">
        <v>45194</v>
      </c>
      <c r="D21" s="2">
        <v>45203</v>
      </c>
      <c r="E21" s="1" t="s">
        <v>46</v>
      </c>
      <c r="F21" s="1" t="s">
        <v>38</v>
      </c>
      <c r="G21" s="1" t="s">
        <v>17</v>
      </c>
      <c r="H21" s="1" t="s">
        <v>18</v>
      </c>
      <c r="I21" s="1" t="s">
        <v>49</v>
      </c>
      <c r="J21" s="1" t="s">
        <v>51</v>
      </c>
      <c r="K21" s="1" t="s">
        <v>21</v>
      </c>
      <c r="L21" s="1">
        <v>2</v>
      </c>
      <c r="M21" s="1">
        <v>3959.31</v>
      </c>
      <c r="N21" s="1">
        <v>5</v>
      </c>
      <c r="O21" s="1">
        <v>7522.69</v>
      </c>
      <c r="P21" s="1">
        <f t="shared" si="0"/>
        <v>7918.62</v>
      </c>
      <c r="Q21" s="10">
        <f t="shared" si="1"/>
        <v>376.1345</v>
      </c>
      <c r="R21" s="11">
        <f t="shared" si="2"/>
        <v>7542.4854999999998</v>
      </c>
      <c r="S21" s="1" t="str">
        <f t="shared" si="3"/>
        <v>Low</v>
      </c>
      <c r="T21" s="1" t="str" cm="1">
        <f t="array" ref="T21">_xlfn.IFS(L21&gt;5,"High",L21=5,"mediam",L21&lt;5,"low")</f>
        <v>low</v>
      </c>
      <c r="U21" s="1" t="b">
        <f t="shared" si="4"/>
        <v>0</v>
      </c>
      <c r="Y21" s="3" t="s">
        <v>37</v>
      </c>
      <c r="Z21" s="3" t="s">
        <v>21</v>
      </c>
      <c r="AA21" s="3">
        <f>AVERAGEIFS(L2:L501,E2:E501,Y21,K2:K501,Z21)</f>
        <v>6.333333333333333</v>
      </c>
      <c r="AB21" s="3">
        <f>SUMIFS(L2:L501,E2:E501,Y21,K2:K501,Z21)</f>
        <v>114</v>
      </c>
    </row>
    <row r="22" spans="1:28" x14ac:dyDescent="0.3">
      <c r="A22" s="5">
        <v>10021</v>
      </c>
      <c r="B22" s="1">
        <v>1661</v>
      </c>
      <c r="C22" s="2">
        <v>45159</v>
      </c>
      <c r="D22" s="2">
        <v>45163</v>
      </c>
      <c r="E22" s="1" t="s">
        <v>46</v>
      </c>
      <c r="F22" s="1" t="s">
        <v>29</v>
      </c>
      <c r="G22" s="1" t="s">
        <v>24</v>
      </c>
      <c r="H22" s="1" t="s">
        <v>18</v>
      </c>
      <c r="I22" s="1" t="s">
        <v>52</v>
      </c>
      <c r="J22" s="1" t="s">
        <v>56</v>
      </c>
      <c r="K22" s="1" t="s">
        <v>21</v>
      </c>
      <c r="L22" s="1">
        <v>3</v>
      </c>
      <c r="M22" s="1">
        <v>2361.58</v>
      </c>
      <c r="N22" s="1">
        <v>5</v>
      </c>
      <c r="O22" s="1">
        <v>6730.5</v>
      </c>
      <c r="P22" s="1">
        <f t="shared" si="0"/>
        <v>7084.74</v>
      </c>
      <c r="Q22" s="10">
        <f t="shared" si="1"/>
        <v>336.52500000000003</v>
      </c>
      <c r="R22" s="11">
        <f t="shared" si="2"/>
        <v>6748.2150000000001</v>
      </c>
      <c r="S22" s="1" t="str">
        <f t="shared" si="3"/>
        <v>Low</v>
      </c>
      <c r="T22" s="1" t="str" cm="1">
        <f t="array" ref="T22">_xlfn.IFS(L22&gt;5,"High",L22=5,"mediam",L22&lt;5,"low")</f>
        <v>low</v>
      </c>
      <c r="U22" s="1" t="b">
        <f t="shared" si="4"/>
        <v>0</v>
      </c>
    </row>
    <row r="23" spans="1:28" x14ac:dyDescent="0.3">
      <c r="A23" s="5">
        <v>10022</v>
      </c>
      <c r="B23" s="1">
        <v>1308</v>
      </c>
      <c r="C23" s="2">
        <v>44944</v>
      </c>
      <c r="D23" s="2">
        <v>44951</v>
      </c>
      <c r="E23" s="1" t="s">
        <v>37</v>
      </c>
      <c r="F23" s="1" t="s">
        <v>23</v>
      </c>
      <c r="G23" s="1" t="s">
        <v>30</v>
      </c>
      <c r="H23" s="1" t="s">
        <v>35</v>
      </c>
      <c r="I23" s="1" t="s">
        <v>57</v>
      </c>
      <c r="J23" s="1" t="s">
        <v>58</v>
      </c>
      <c r="K23" s="1" t="s">
        <v>33</v>
      </c>
      <c r="L23" s="1">
        <v>7</v>
      </c>
      <c r="M23" s="1">
        <v>680.86</v>
      </c>
      <c r="N23" s="1">
        <v>20</v>
      </c>
      <c r="O23" s="1">
        <v>3812.82</v>
      </c>
      <c r="P23" s="1">
        <f t="shared" si="0"/>
        <v>4766.0200000000004</v>
      </c>
      <c r="Q23" s="10">
        <f t="shared" si="1"/>
        <v>762.56400000000008</v>
      </c>
      <c r="R23" s="11">
        <f t="shared" si="2"/>
        <v>4003.4560000000001</v>
      </c>
      <c r="S23" s="1" t="str">
        <f t="shared" si="3"/>
        <v>High</v>
      </c>
      <c r="T23" s="1" t="str" cm="1">
        <f t="array" ref="T23">_xlfn.IFS(L23&gt;5,"High",L23=5,"mediam",L23&lt;5,"low")</f>
        <v>High</v>
      </c>
      <c r="U23" s="1" t="str">
        <f t="shared" si="4"/>
        <v>High</v>
      </c>
    </row>
    <row r="24" spans="1:28" x14ac:dyDescent="0.3">
      <c r="A24" s="5">
        <v>10023</v>
      </c>
      <c r="B24" s="1">
        <v>1769</v>
      </c>
      <c r="C24" s="2">
        <v>45075</v>
      </c>
      <c r="D24" s="2">
        <v>45084</v>
      </c>
      <c r="E24" s="1" t="s">
        <v>16</v>
      </c>
      <c r="F24" s="1" t="s">
        <v>23</v>
      </c>
      <c r="G24" s="1" t="s">
        <v>17</v>
      </c>
      <c r="H24" s="1" t="s">
        <v>42</v>
      </c>
      <c r="I24" s="1" t="s">
        <v>31</v>
      </c>
      <c r="J24" s="1" t="s">
        <v>32</v>
      </c>
      <c r="K24" s="1" t="s">
        <v>45</v>
      </c>
      <c r="L24" s="1">
        <v>2</v>
      </c>
      <c r="M24" s="1">
        <v>2801.74</v>
      </c>
      <c r="N24" s="1">
        <v>20</v>
      </c>
      <c r="O24" s="1">
        <v>4482.78</v>
      </c>
      <c r="P24" s="1">
        <f t="shared" si="0"/>
        <v>5603.48</v>
      </c>
      <c r="Q24" s="10">
        <f t="shared" si="1"/>
        <v>896.55600000000004</v>
      </c>
      <c r="R24" s="11">
        <f t="shared" si="2"/>
        <v>4706.9239999999991</v>
      </c>
      <c r="S24" s="1" t="str">
        <f t="shared" si="3"/>
        <v>Low</v>
      </c>
      <c r="T24" s="1" t="str" cm="1">
        <f t="array" ref="T24">_xlfn.IFS(L24&gt;5,"High",L24=5,"mediam",L24&lt;5,"low")</f>
        <v>low</v>
      </c>
      <c r="U24" s="1" t="b">
        <f t="shared" si="4"/>
        <v>0</v>
      </c>
      <c r="Y24" t="s">
        <v>86</v>
      </c>
      <c r="Z24" s="3" t="s">
        <v>21</v>
      </c>
      <c r="AA24">
        <f>COUNTIF(K2:K501,Z24)</f>
        <v>101</v>
      </c>
    </row>
    <row r="25" spans="1:28" x14ac:dyDescent="0.3">
      <c r="A25" s="5">
        <v>10024</v>
      </c>
      <c r="B25" s="1">
        <v>1343</v>
      </c>
      <c r="C25" s="2">
        <v>45075</v>
      </c>
      <c r="D25" s="2">
        <v>45082</v>
      </c>
      <c r="E25" s="1" t="s">
        <v>22</v>
      </c>
      <c r="F25" s="1" t="s">
        <v>41</v>
      </c>
      <c r="G25" s="1" t="s">
        <v>17</v>
      </c>
      <c r="H25" s="1" t="s">
        <v>44</v>
      </c>
      <c r="I25" s="1" t="s">
        <v>49</v>
      </c>
      <c r="J25" s="1" t="s">
        <v>51</v>
      </c>
      <c r="K25" s="1" t="s">
        <v>45</v>
      </c>
      <c r="L25" s="1">
        <v>1</v>
      </c>
      <c r="M25" s="1">
        <v>3606.31</v>
      </c>
      <c r="N25" s="1">
        <v>0</v>
      </c>
      <c r="O25" s="1">
        <v>3606.31</v>
      </c>
      <c r="P25" s="1">
        <f t="shared" si="0"/>
        <v>3606.31</v>
      </c>
      <c r="Q25" s="10">
        <f t="shared" si="1"/>
        <v>0</v>
      </c>
      <c r="R25" s="11">
        <f t="shared" si="2"/>
        <v>3606.31</v>
      </c>
      <c r="S25" s="1" t="str">
        <f t="shared" si="3"/>
        <v>Low</v>
      </c>
      <c r="T25" s="1" t="str" cm="1">
        <f t="array" ref="T25">_xlfn.IFS(L25&gt;5,"High",L25=5,"mediam",L25&lt;5,"low")</f>
        <v>low</v>
      </c>
      <c r="U25" s="1" t="b">
        <f t="shared" si="4"/>
        <v>0</v>
      </c>
    </row>
    <row r="26" spans="1:28" x14ac:dyDescent="0.3">
      <c r="A26" s="5">
        <v>10025</v>
      </c>
      <c r="B26" s="1">
        <v>1491</v>
      </c>
      <c r="C26" s="2">
        <v>45052</v>
      </c>
      <c r="D26" s="2">
        <v>45061</v>
      </c>
      <c r="E26" s="1" t="s">
        <v>37</v>
      </c>
      <c r="F26" s="1" t="s">
        <v>38</v>
      </c>
      <c r="G26" s="1" t="s">
        <v>30</v>
      </c>
      <c r="H26" s="1" t="s">
        <v>44</v>
      </c>
      <c r="I26" s="1" t="s">
        <v>57</v>
      </c>
      <c r="J26" s="1" t="s">
        <v>59</v>
      </c>
      <c r="K26" s="1" t="s">
        <v>45</v>
      </c>
      <c r="L26" s="1">
        <v>6</v>
      </c>
      <c r="M26" s="1">
        <v>3018.94</v>
      </c>
      <c r="N26" s="1">
        <v>5</v>
      </c>
      <c r="O26" s="1">
        <v>17207.96</v>
      </c>
      <c r="P26" s="1">
        <f t="shared" si="0"/>
        <v>18113.64</v>
      </c>
      <c r="Q26" s="10">
        <f t="shared" si="1"/>
        <v>860.39800000000002</v>
      </c>
      <c r="R26" s="11">
        <f t="shared" si="2"/>
        <v>17253.241999999998</v>
      </c>
      <c r="S26" s="1" t="str">
        <f t="shared" si="3"/>
        <v>High</v>
      </c>
      <c r="T26" s="1" t="str" cm="1">
        <f t="array" ref="T26">_xlfn.IFS(L26&gt;5,"High",L26=5,"mediam",L26&lt;5,"low")</f>
        <v>High</v>
      </c>
      <c r="U26" s="1" t="str">
        <f t="shared" si="4"/>
        <v>High</v>
      </c>
    </row>
    <row r="27" spans="1:28" x14ac:dyDescent="0.3">
      <c r="A27" s="5">
        <v>10026</v>
      </c>
      <c r="B27" s="1">
        <v>1413</v>
      </c>
      <c r="C27" s="2">
        <v>45228</v>
      </c>
      <c r="D27" s="2">
        <v>45231</v>
      </c>
      <c r="E27" s="1" t="s">
        <v>34</v>
      </c>
      <c r="F27" s="1" t="s">
        <v>16</v>
      </c>
      <c r="G27" s="1" t="s">
        <v>30</v>
      </c>
      <c r="H27" s="1" t="s">
        <v>42</v>
      </c>
      <c r="I27" s="1" t="s">
        <v>52</v>
      </c>
      <c r="J27" s="1" t="s">
        <v>60</v>
      </c>
      <c r="K27" s="1" t="s">
        <v>33</v>
      </c>
      <c r="L27" s="1">
        <v>9</v>
      </c>
      <c r="M27" s="1">
        <v>444.29</v>
      </c>
      <c r="N27" s="1">
        <v>5</v>
      </c>
      <c r="O27" s="1">
        <v>3798.68</v>
      </c>
      <c r="P27" s="1">
        <f t="shared" si="0"/>
        <v>3998.61</v>
      </c>
      <c r="Q27" s="10">
        <f t="shared" si="1"/>
        <v>189.934</v>
      </c>
      <c r="R27" s="11">
        <f t="shared" si="2"/>
        <v>3808.6759999999999</v>
      </c>
      <c r="S27" s="1" t="str">
        <f t="shared" si="3"/>
        <v>High</v>
      </c>
      <c r="T27" s="1" t="str" cm="1">
        <f t="array" ref="T27">_xlfn.IFS(L27&gt;5,"High",L27=5,"mediam",L27&lt;5,"low")</f>
        <v>High</v>
      </c>
      <c r="U27" s="1" t="str">
        <f t="shared" si="4"/>
        <v>High</v>
      </c>
      <c r="Y27" t="s">
        <v>10</v>
      </c>
      <c r="Z27" t="s">
        <v>87</v>
      </c>
      <c r="AA27" t="s">
        <v>88</v>
      </c>
    </row>
    <row r="28" spans="1:28" x14ac:dyDescent="0.3">
      <c r="A28" s="5">
        <v>10027</v>
      </c>
      <c r="B28" s="1">
        <v>1805</v>
      </c>
      <c r="C28" s="2">
        <v>45286</v>
      </c>
      <c r="D28" s="2">
        <v>45290</v>
      </c>
      <c r="E28" s="1" t="s">
        <v>37</v>
      </c>
      <c r="F28" s="1" t="s">
        <v>41</v>
      </c>
      <c r="G28" s="1" t="s">
        <v>24</v>
      </c>
      <c r="H28" s="1" t="s">
        <v>35</v>
      </c>
      <c r="I28" s="1" t="s">
        <v>57</v>
      </c>
      <c r="J28" s="1" t="s">
        <v>58</v>
      </c>
      <c r="K28" s="1" t="s">
        <v>21</v>
      </c>
      <c r="L28" s="1">
        <v>3</v>
      </c>
      <c r="M28" s="1">
        <v>3599.15</v>
      </c>
      <c r="N28" s="1">
        <v>5</v>
      </c>
      <c r="O28" s="1">
        <v>10257.58</v>
      </c>
      <c r="P28" s="1">
        <f t="shared" si="0"/>
        <v>10797.45</v>
      </c>
      <c r="Q28" s="10">
        <f t="shared" si="1"/>
        <v>512.87900000000002</v>
      </c>
      <c r="R28" s="11">
        <f t="shared" si="2"/>
        <v>10284.571</v>
      </c>
      <c r="S28" s="1" t="str">
        <f t="shared" si="3"/>
        <v>Low</v>
      </c>
      <c r="T28" s="1" t="str" cm="1">
        <f t="array" ref="T28">_xlfn.IFS(L28&gt;5,"High",L28=5,"mediam",L28&lt;5,"low")</f>
        <v>low</v>
      </c>
      <c r="U28" s="1" t="b">
        <f t="shared" si="4"/>
        <v>0</v>
      </c>
      <c r="Y28" t="s">
        <v>89</v>
      </c>
      <c r="Z28" t="s">
        <v>90</v>
      </c>
      <c r="AA28">
        <f>COUNTIFS(K2:K501,Y29,L2:L501,Z28)</f>
        <v>0</v>
      </c>
    </row>
    <row r="29" spans="1:28" x14ac:dyDescent="0.3">
      <c r="A29" s="5">
        <v>10028</v>
      </c>
      <c r="B29" s="1">
        <v>1385</v>
      </c>
      <c r="C29" s="2">
        <v>45164</v>
      </c>
      <c r="D29" s="2">
        <v>45172</v>
      </c>
      <c r="E29" s="1" t="s">
        <v>40</v>
      </c>
      <c r="F29" s="1" t="s">
        <v>23</v>
      </c>
      <c r="G29" s="1" t="s">
        <v>24</v>
      </c>
      <c r="H29" s="1" t="s">
        <v>25</v>
      </c>
      <c r="I29" s="1" t="s">
        <v>49</v>
      </c>
      <c r="J29" s="1" t="s">
        <v>51</v>
      </c>
      <c r="K29" s="1" t="s">
        <v>33</v>
      </c>
      <c r="L29" s="1">
        <v>6</v>
      </c>
      <c r="M29" s="1">
        <v>3206.63</v>
      </c>
      <c r="N29" s="1">
        <v>20</v>
      </c>
      <c r="O29" s="1">
        <v>15391.82</v>
      </c>
      <c r="P29" s="1">
        <f t="shared" si="0"/>
        <v>19239.78</v>
      </c>
      <c r="Q29" s="10">
        <f t="shared" si="1"/>
        <v>3078.364</v>
      </c>
      <c r="R29" s="11">
        <f t="shared" si="2"/>
        <v>16161.415999999999</v>
      </c>
      <c r="S29" s="1" t="str">
        <f t="shared" si="3"/>
        <v>High</v>
      </c>
      <c r="T29" s="1" t="str" cm="1">
        <f t="array" ref="T29">_xlfn.IFS(L29&gt;5,"High",L29=5,"mediam",L29&lt;5,"low")</f>
        <v>High</v>
      </c>
      <c r="U29" s="1" t="str">
        <f t="shared" si="4"/>
        <v>High</v>
      </c>
    </row>
    <row r="30" spans="1:28" x14ac:dyDescent="0.3">
      <c r="A30" s="5">
        <v>10029</v>
      </c>
      <c r="B30" s="1">
        <v>1191</v>
      </c>
      <c r="C30" s="2">
        <v>45061</v>
      </c>
      <c r="D30" s="2">
        <v>45067</v>
      </c>
      <c r="E30" s="1" t="s">
        <v>46</v>
      </c>
      <c r="F30" s="1" t="s">
        <v>29</v>
      </c>
      <c r="G30" s="1" t="s">
        <v>17</v>
      </c>
      <c r="H30" s="1" t="s">
        <v>18</v>
      </c>
      <c r="I30" s="1" t="s">
        <v>26</v>
      </c>
      <c r="J30" s="1" t="s">
        <v>27</v>
      </c>
      <c r="K30" s="1" t="s">
        <v>33</v>
      </c>
      <c r="L30" s="1">
        <v>3</v>
      </c>
      <c r="M30" s="1">
        <v>759.47</v>
      </c>
      <c r="N30" s="1">
        <v>15</v>
      </c>
      <c r="O30" s="1">
        <v>1936.65</v>
      </c>
      <c r="P30" s="1">
        <f t="shared" si="0"/>
        <v>2278.41</v>
      </c>
      <c r="Q30" s="10">
        <f t="shared" si="1"/>
        <v>290.4975</v>
      </c>
      <c r="R30" s="11">
        <f t="shared" si="2"/>
        <v>1987.9124999999999</v>
      </c>
      <c r="S30" s="1" t="str">
        <f t="shared" si="3"/>
        <v>Low</v>
      </c>
      <c r="T30" s="1" t="str" cm="1">
        <f t="array" ref="T30">_xlfn.IFS(L30&gt;5,"High",L30=5,"mediam",L30&lt;5,"low")</f>
        <v>low</v>
      </c>
      <c r="U30" s="1" t="b">
        <f t="shared" si="4"/>
        <v>0</v>
      </c>
      <c r="Y30" t="s">
        <v>10</v>
      </c>
    </row>
    <row r="31" spans="1:28" x14ac:dyDescent="0.3">
      <c r="A31" s="5">
        <v>10030</v>
      </c>
      <c r="B31" s="1">
        <v>1955</v>
      </c>
      <c r="C31" s="2">
        <v>45077</v>
      </c>
      <c r="D31" s="2">
        <v>45082</v>
      </c>
      <c r="E31" s="1" t="s">
        <v>46</v>
      </c>
      <c r="F31" s="1" t="s">
        <v>23</v>
      </c>
      <c r="G31" s="1" t="s">
        <v>30</v>
      </c>
      <c r="H31" s="1" t="s">
        <v>35</v>
      </c>
      <c r="I31" s="1" t="s">
        <v>26</v>
      </c>
      <c r="J31" s="1" t="s">
        <v>61</v>
      </c>
      <c r="K31" s="1" t="s">
        <v>45</v>
      </c>
      <c r="L31" s="1">
        <v>1</v>
      </c>
      <c r="M31" s="1">
        <v>349.38</v>
      </c>
      <c r="N31" s="1">
        <v>10</v>
      </c>
      <c r="O31" s="1">
        <v>314.44</v>
      </c>
      <c r="P31" s="1">
        <f t="shared" si="0"/>
        <v>349.38</v>
      </c>
      <c r="Q31" s="10">
        <f t="shared" si="1"/>
        <v>31.444000000000003</v>
      </c>
      <c r="R31" s="11">
        <f t="shared" si="2"/>
        <v>317.93599999999998</v>
      </c>
      <c r="S31" s="1" t="str">
        <f t="shared" si="3"/>
        <v>Low</v>
      </c>
      <c r="T31" s="1" t="str" cm="1">
        <f t="array" ref="T31">_xlfn.IFS(L31&gt;5,"High",L31=5,"mediam",L31&lt;5,"low")</f>
        <v>low</v>
      </c>
      <c r="U31" s="1" t="b">
        <f t="shared" si="4"/>
        <v>0</v>
      </c>
    </row>
    <row r="32" spans="1:28" x14ac:dyDescent="0.3">
      <c r="A32" s="5">
        <v>10031</v>
      </c>
      <c r="B32" s="1">
        <v>1276</v>
      </c>
      <c r="C32" s="2">
        <v>45162</v>
      </c>
      <c r="D32" s="2">
        <v>45166</v>
      </c>
      <c r="E32" s="1" t="s">
        <v>15</v>
      </c>
      <c r="F32" s="1" t="s">
        <v>29</v>
      </c>
      <c r="G32" s="1" t="s">
        <v>30</v>
      </c>
      <c r="H32" s="1" t="s">
        <v>42</v>
      </c>
      <c r="I32" s="1" t="s">
        <v>57</v>
      </c>
      <c r="J32" s="1" t="s">
        <v>62</v>
      </c>
      <c r="K32" s="1" t="s">
        <v>47</v>
      </c>
      <c r="L32" s="1">
        <v>5</v>
      </c>
      <c r="M32" s="1">
        <v>2295.65</v>
      </c>
      <c r="N32" s="1">
        <v>20</v>
      </c>
      <c r="O32" s="1">
        <v>9182.6</v>
      </c>
      <c r="P32" s="1">
        <f t="shared" si="0"/>
        <v>11478.25</v>
      </c>
      <c r="Q32" s="10">
        <f t="shared" si="1"/>
        <v>1836.5200000000002</v>
      </c>
      <c r="R32" s="11">
        <f t="shared" si="2"/>
        <v>9641.73</v>
      </c>
      <c r="S32" s="1" t="str">
        <f t="shared" si="3"/>
        <v>High</v>
      </c>
      <c r="T32" s="1" t="str" cm="1">
        <f t="array" ref="T32">_xlfn.IFS(L32&gt;5,"High",L32=5,"mediam",L32&lt;5,"low")</f>
        <v>mediam</v>
      </c>
      <c r="U32" s="1" t="b">
        <f t="shared" si="4"/>
        <v>0</v>
      </c>
    </row>
    <row r="33" spans="1:21" x14ac:dyDescent="0.3">
      <c r="A33" s="5">
        <v>10032</v>
      </c>
      <c r="B33" s="1">
        <v>1160</v>
      </c>
      <c r="C33" s="2">
        <v>45150</v>
      </c>
      <c r="D33" s="2">
        <v>45158</v>
      </c>
      <c r="E33" s="1" t="s">
        <v>15</v>
      </c>
      <c r="F33" s="1" t="s">
        <v>41</v>
      </c>
      <c r="G33" s="1" t="s">
        <v>30</v>
      </c>
      <c r="H33" s="1" t="s">
        <v>18</v>
      </c>
      <c r="I33" s="1" t="s">
        <v>19</v>
      </c>
      <c r="J33" s="1" t="s">
        <v>43</v>
      </c>
      <c r="K33" s="1" t="s">
        <v>21</v>
      </c>
      <c r="L33" s="1">
        <v>4</v>
      </c>
      <c r="M33" s="1">
        <v>750.74</v>
      </c>
      <c r="N33" s="1">
        <v>5</v>
      </c>
      <c r="O33" s="1">
        <v>2852.81</v>
      </c>
      <c r="P33" s="1">
        <f t="shared" si="0"/>
        <v>3002.96</v>
      </c>
      <c r="Q33" s="10">
        <f t="shared" si="1"/>
        <v>142.6405</v>
      </c>
      <c r="R33" s="11">
        <f t="shared" si="2"/>
        <v>2860.3195000000001</v>
      </c>
      <c r="S33" s="1" t="str">
        <f t="shared" si="3"/>
        <v>Low</v>
      </c>
      <c r="T33" s="1" t="str" cm="1">
        <f t="array" ref="T33">_xlfn.IFS(L33&gt;5,"High",L33=5,"mediam",L33&lt;5,"low")</f>
        <v>low</v>
      </c>
      <c r="U33" s="1" t="b">
        <f t="shared" si="4"/>
        <v>0</v>
      </c>
    </row>
    <row r="34" spans="1:21" x14ac:dyDescent="0.3">
      <c r="A34" s="5">
        <v>10033</v>
      </c>
      <c r="B34" s="1">
        <v>1459</v>
      </c>
      <c r="C34" s="2">
        <v>45129</v>
      </c>
      <c r="D34" s="2">
        <v>45130</v>
      </c>
      <c r="E34" s="1" t="s">
        <v>22</v>
      </c>
      <c r="F34" s="1" t="s">
        <v>38</v>
      </c>
      <c r="G34" s="1" t="s">
        <v>17</v>
      </c>
      <c r="H34" s="1" t="s">
        <v>44</v>
      </c>
      <c r="I34" s="1" t="s">
        <v>57</v>
      </c>
      <c r="J34" s="1" t="s">
        <v>59</v>
      </c>
      <c r="K34" s="1" t="s">
        <v>45</v>
      </c>
      <c r="L34" s="1">
        <v>7</v>
      </c>
      <c r="M34" s="1">
        <v>3363.18</v>
      </c>
      <c r="N34" s="1">
        <v>20</v>
      </c>
      <c r="O34" s="1">
        <v>18833.810000000001</v>
      </c>
      <c r="P34" s="1">
        <f t="shared" si="0"/>
        <v>23542.26</v>
      </c>
      <c r="Q34" s="10">
        <f t="shared" si="1"/>
        <v>3766.7620000000006</v>
      </c>
      <c r="R34" s="11">
        <f t="shared" si="2"/>
        <v>19775.498</v>
      </c>
      <c r="S34" s="1" t="str">
        <f t="shared" si="3"/>
        <v>High</v>
      </c>
      <c r="T34" s="1" t="str" cm="1">
        <f t="array" ref="T34">_xlfn.IFS(L34&gt;5,"High",L34=5,"mediam",L34&lt;5,"low")</f>
        <v>High</v>
      </c>
      <c r="U34" s="1" t="str">
        <f t="shared" si="4"/>
        <v>High</v>
      </c>
    </row>
    <row r="35" spans="1:21" x14ac:dyDescent="0.3">
      <c r="A35" s="5">
        <v>10034</v>
      </c>
      <c r="B35" s="1">
        <v>1313</v>
      </c>
      <c r="C35" s="2">
        <v>45182</v>
      </c>
      <c r="D35" s="2">
        <v>45191</v>
      </c>
      <c r="E35" s="1" t="s">
        <v>34</v>
      </c>
      <c r="F35" s="1" t="s">
        <v>23</v>
      </c>
      <c r="G35" s="1" t="s">
        <v>30</v>
      </c>
      <c r="H35" s="1" t="s">
        <v>25</v>
      </c>
      <c r="I35" s="1" t="s">
        <v>31</v>
      </c>
      <c r="J35" s="1" t="s">
        <v>48</v>
      </c>
      <c r="K35" s="1" t="s">
        <v>47</v>
      </c>
      <c r="L35" s="1">
        <v>6</v>
      </c>
      <c r="M35" s="1">
        <v>1529.59</v>
      </c>
      <c r="N35" s="1">
        <v>0</v>
      </c>
      <c r="O35" s="1">
        <v>9177.5400000000009</v>
      </c>
      <c r="P35" s="1">
        <f t="shared" si="0"/>
        <v>9177.5399999999991</v>
      </c>
      <c r="Q35" s="10">
        <f t="shared" si="1"/>
        <v>0</v>
      </c>
      <c r="R35" s="11">
        <f t="shared" si="2"/>
        <v>9177.5399999999991</v>
      </c>
      <c r="S35" s="1" t="str">
        <f t="shared" si="3"/>
        <v>High</v>
      </c>
      <c r="T35" s="1" t="str" cm="1">
        <f t="array" ref="T35">_xlfn.IFS(L35&gt;5,"High",L35=5,"mediam",L35&lt;5,"low")</f>
        <v>High</v>
      </c>
      <c r="U35" s="1" t="str">
        <f t="shared" si="4"/>
        <v>High</v>
      </c>
    </row>
    <row r="36" spans="1:21" x14ac:dyDescent="0.3">
      <c r="A36" s="5">
        <v>10035</v>
      </c>
      <c r="B36" s="1">
        <v>1021</v>
      </c>
      <c r="C36" s="2">
        <v>45012</v>
      </c>
      <c r="D36" s="2">
        <v>45013</v>
      </c>
      <c r="E36" s="1" t="s">
        <v>40</v>
      </c>
      <c r="F36" s="1" t="s">
        <v>29</v>
      </c>
      <c r="G36" s="1" t="s">
        <v>30</v>
      </c>
      <c r="H36" s="1" t="s">
        <v>44</v>
      </c>
      <c r="I36" s="1" t="s">
        <v>31</v>
      </c>
      <c r="J36" s="1" t="s">
        <v>48</v>
      </c>
      <c r="K36" s="1" t="s">
        <v>47</v>
      </c>
      <c r="L36" s="1">
        <v>7</v>
      </c>
      <c r="M36" s="1">
        <v>3664.64</v>
      </c>
      <c r="N36" s="1">
        <v>5</v>
      </c>
      <c r="O36" s="1">
        <v>24369.86</v>
      </c>
      <c r="P36" s="1">
        <f t="shared" si="0"/>
        <v>25652.48</v>
      </c>
      <c r="Q36" s="10">
        <f t="shared" si="1"/>
        <v>1218.4930000000002</v>
      </c>
      <c r="R36" s="11">
        <f t="shared" si="2"/>
        <v>24433.987000000001</v>
      </c>
      <c r="S36" s="1" t="str">
        <f t="shared" si="3"/>
        <v>High</v>
      </c>
      <c r="T36" s="1" t="str" cm="1">
        <f t="array" ref="T36">_xlfn.IFS(L36&gt;5,"High",L36=5,"mediam",L36&lt;5,"low")</f>
        <v>High</v>
      </c>
      <c r="U36" s="1" t="str">
        <f t="shared" si="4"/>
        <v>High</v>
      </c>
    </row>
    <row r="37" spans="1:21" x14ac:dyDescent="0.3">
      <c r="A37" s="5">
        <v>10036</v>
      </c>
      <c r="B37" s="1">
        <v>1252</v>
      </c>
      <c r="C37" s="2">
        <v>45076</v>
      </c>
      <c r="D37" s="2">
        <v>45084</v>
      </c>
      <c r="E37" s="1" t="s">
        <v>16</v>
      </c>
      <c r="F37" s="1" t="s">
        <v>38</v>
      </c>
      <c r="G37" s="1" t="s">
        <v>17</v>
      </c>
      <c r="H37" s="1" t="s">
        <v>42</v>
      </c>
      <c r="I37" s="1" t="s">
        <v>26</v>
      </c>
      <c r="J37" s="1" t="s">
        <v>27</v>
      </c>
      <c r="K37" s="1" t="s">
        <v>28</v>
      </c>
      <c r="L37" s="1">
        <v>5</v>
      </c>
      <c r="M37" s="1">
        <v>2327.9</v>
      </c>
      <c r="N37" s="1">
        <v>0</v>
      </c>
      <c r="O37" s="1">
        <v>11639.5</v>
      </c>
      <c r="P37" s="1">
        <f t="shared" si="0"/>
        <v>11639.5</v>
      </c>
      <c r="Q37" s="10">
        <f t="shared" si="1"/>
        <v>0</v>
      </c>
      <c r="R37" s="11">
        <f t="shared" si="2"/>
        <v>11639.5</v>
      </c>
      <c r="S37" s="1" t="str">
        <f t="shared" si="3"/>
        <v>High</v>
      </c>
      <c r="T37" s="1" t="str" cm="1">
        <f t="array" ref="T37">_xlfn.IFS(L37&gt;5,"High",L37=5,"mediam",L37&lt;5,"low")</f>
        <v>mediam</v>
      </c>
      <c r="U37" s="1" t="b">
        <f t="shared" si="4"/>
        <v>0</v>
      </c>
    </row>
    <row r="38" spans="1:21" x14ac:dyDescent="0.3">
      <c r="A38" s="5">
        <v>10037</v>
      </c>
      <c r="B38" s="1">
        <v>1747</v>
      </c>
      <c r="C38" s="2">
        <v>45161</v>
      </c>
      <c r="D38" s="2">
        <v>45165</v>
      </c>
      <c r="E38" s="1" t="s">
        <v>37</v>
      </c>
      <c r="F38" s="1" t="s">
        <v>16</v>
      </c>
      <c r="G38" s="1" t="s">
        <v>24</v>
      </c>
      <c r="H38" s="1" t="s">
        <v>18</v>
      </c>
      <c r="I38" s="1" t="s">
        <v>19</v>
      </c>
      <c r="J38" s="1" t="s">
        <v>55</v>
      </c>
      <c r="K38" s="1" t="s">
        <v>21</v>
      </c>
      <c r="L38" s="1">
        <v>4</v>
      </c>
      <c r="M38" s="1">
        <v>853.29</v>
      </c>
      <c r="N38" s="1">
        <v>5</v>
      </c>
      <c r="O38" s="1">
        <v>3242.5</v>
      </c>
      <c r="P38" s="1">
        <f t="shared" si="0"/>
        <v>3413.16</v>
      </c>
      <c r="Q38" s="10">
        <f t="shared" si="1"/>
        <v>162.125</v>
      </c>
      <c r="R38" s="11">
        <f t="shared" si="2"/>
        <v>3251.0349999999999</v>
      </c>
      <c r="S38" s="1" t="str">
        <f t="shared" si="3"/>
        <v>Low</v>
      </c>
      <c r="T38" s="1" t="str" cm="1">
        <f t="array" ref="T38">_xlfn.IFS(L38&gt;5,"High",L38=5,"mediam",L38&lt;5,"low")</f>
        <v>low</v>
      </c>
      <c r="U38" s="1" t="b">
        <f t="shared" si="4"/>
        <v>0</v>
      </c>
    </row>
    <row r="39" spans="1:21" x14ac:dyDescent="0.3">
      <c r="A39" s="5">
        <v>10038</v>
      </c>
      <c r="B39" s="1">
        <v>1856</v>
      </c>
      <c r="C39" s="2">
        <v>45271</v>
      </c>
      <c r="D39" s="2">
        <v>45280</v>
      </c>
      <c r="E39" s="1" t="s">
        <v>22</v>
      </c>
      <c r="F39" s="1" t="s">
        <v>29</v>
      </c>
      <c r="G39" s="1" t="s">
        <v>24</v>
      </c>
      <c r="H39" s="1" t="s">
        <v>42</v>
      </c>
      <c r="I39" s="1" t="s">
        <v>49</v>
      </c>
      <c r="J39" s="1" t="s">
        <v>63</v>
      </c>
      <c r="K39" s="1" t="s">
        <v>47</v>
      </c>
      <c r="L39" s="1">
        <v>7</v>
      </c>
      <c r="M39" s="1">
        <v>687.46</v>
      </c>
      <c r="N39" s="1">
        <v>20</v>
      </c>
      <c r="O39" s="1">
        <v>3849.78</v>
      </c>
      <c r="P39" s="1">
        <f t="shared" si="0"/>
        <v>4812.22</v>
      </c>
      <c r="Q39" s="10">
        <f t="shared" si="1"/>
        <v>769.95600000000013</v>
      </c>
      <c r="R39" s="11">
        <f t="shared" si="2"/>
        <v>4042.2640000000001</v>
      </c>
      <c r="S39" s="1" t="str">
        <f t="shared" si="3"/>
        <v>High</v>
      </c>
      <c r="T39" s="1" t="str" cm="1">
        <f t="array" ref="T39">_xlfn.IFS(L39&gt;5,"High",L39=5,"mediam",L39&lt;5,"low")</f>
        <v>High</v>
      </c>
      <c r="U39" s="1" t="str">
        <f t="shared" si="4"/>
        <v>High</v>
      </c>
    </row>
    <row r="40" spans="1:21" x14ac:dyDescent="0.3">
      <c r="A40" s="5">
        <v>10039</v>
      </c>
      <c r="B40" s="1">
        <v>1560</v>
      </c>
      <c r="C40" s="2">
        <v>44948</v>
      </c>
      <c r="D40" s="2">
        <v>44953</v>
      </c>
      <c r="E40" s="1" t="s">
        <v>34</v>
      </c>
      <c r="F40" s="1" t="s">
        <v>41</v>
      </c>
      <c r="G40" s="1" t="s">
        <v>17</v>
      </c>
      <c r="H40" s="1" t="s">
        <v>18</v>
      </c>
      <c r="I40" s="1" t="s">
        <v>31</v>
      </c>
      <c r="J40" s="1" t="s">
        <v>48</v>
      </c>
      <c r="K40" s="1" t="s">
        <v>45</v>
      </c>
      <c r="L40" s="1">
        <v>7</v>
      </c>
      <c r="M40" s="1">
        <v>2369.42</v>
      </c>
      <c r="N40" s="1">
        <v>15</v>
      </c>
      <c r="O40" s="1">
        <v>14098.05</v>
      </c>
      <c r="P40" s="1">
        <f t="shared" si="0"/>
        <v>16585.940000000002</v>
      </c>
      <c r="Q40" s="10">
        <f t="shared" si="1"/>
        <v>2114.7075</v>
      </c>
      <c r="R40" s="11">
        <f t="shared" si="2"/>
        <v>14471.232500000002</v>
      </c>
      <c r="S40" s="1" t="str">
        <f t="shared" si="3"/>
        <v>High</v>
      </c>
      <c r="T40" s="1" t="str" cm="1">
        <f t="array" ref="T40">_xlfn.IFS(L40&gt;5,"High",L40=5,"mediam",L40&lt;5,"low")</f>
        <v>High</v>
      </c>
      <c r="U40" s="1" t="str">
        <f t="shared" si="4"/>
        <v>High</v>
      </c>
    </row>
    <row r="41" spans="1:21" x14ac:dyDescent="0.3">
      <c r="A41" s="5">
        <v>10040</v>
      </c>
      <c r="B41" s="1">
        <v>1474</v>
      </c>
      <c r="C41" s="2">
        <v>45274</v>
      </c>
      <c r="D41" s="2">
        <v>45277</v>
      </c>
      <c r="E41" s="1" t="s">
        <v>15</v>
      </c>
      <c r="F41" s="1" t="s">
        <v>16</v>
      </c>
      <c r="G41" s="1" t="s">
        <v>30</v>
      </c>
      <c r="H41" s="1" t="s">
        <v>35</v>
      </c>
      <c r="I41" s="1" t="s">
        <v>26</v>
      </c>
      <c r="J41" s="1" t="s">
        <v>27</v>
      </c>
      <c r="K41" s="1" t="s">
        <v>28</v>
      </c>
      <c r="L41" s="1">
        <v>6</v>
      </c>
      <c r="M41" s="1">
        <v>3083.25</v>
      </c>
      <c r="N41" s="1">
        <v>10</v>
      </c>
      <c r="O41" s="1">
        <v>16649.55</v>
      </c>
      <c r="P41" s="1">
        <f t="shared" si="0"/>
        <v>18499.5</v>
      </c>
      <c r="Q41" s="10">
        <f t="shared" si="1"/>
        <v>1664.9549999999999</v>
      </c>
      <c r="R41" s="11">
        <f t="shared" si="2"/>
        <v>16834.544999999998</v>
      </c>
      <c r="S41" s="1" t="str">
        <f t="shared" si="3"/>
        <v>High</v>
      </c>
      <c r="T41" s="1" t="str" cm="1">
        <f t="array" ref="T41">_xlfn.IFS(L41&gt;5,"High",L41=5,"mediam",L41&lt;5,"low")</f>
        <v>High</v>
      </c>
      <c r="U41" s="1" t="str">
        <f t="shared" si="4"/>
        <v>High</v>
      </c>
    </row>
    <row r="42" spans="1:21" x14ac:dyDescent="0.3">
      <c r="A42" s="5">
        <v>10041</v>
      </c>
      <c r="B42" s="1">
        <v>1058</v>
      </c>
      <c r="C42" s="2">
        <v>45211</v>
      </c>
      <c r="D42" s="2">
        <v>45220</v>
      </c>
      <c r="E42" s="1" t="s">
        <v>37</v>
      </c>
      <c r="F42" s="1" t="s">
        <v>16</v>
      </c>
      <c r="G42" s="1" t="s">
        <v>17</v>
      </c>
      <c r="H42" s="1" t="s">
        <v>25</v>
      </c>
      <c r="I42" s="1" t="s">
        <v>52</v>
      </c>
      <c r="J42" s="1" t="s">
        <v>64</v>
      </c>
      <c r="K42" s="1" t="s">
        <v>21</v>
      </c>
      <c r="L42" s="1">
        <v>8</v>
      </c>
      <c r="M42" s="1">
        <v>3158.8</v>
      </c>
      <c r="N42" s="1">
        <v>0</v>
      </c>
      <c r="O42" s="1">
        <v>25270.400000000001</v>
      </c>
      <c r="P42" s="1">
        <f t="shared" si="0"/>
        <v>25270.400000000001</v>
      </c>
      <c r="Q42" s="10">
        <f t="shared" si="1"/>
        <v>0</v>
      </c>
      <c r="R42" s="11">
        <f t="shared" si="2"/>
        <v>25270.400000000001</v>
      </c>
      <c r="S42" s="1" t="str">
        <f t="shared" si="3"/>
        <v>High</v>
      </c>
      <c r="T42" s="1" t="str" cm="1">
        <f t="array" ref="T42">_xlfn.IFS(L42&gt;5,"High",L42=5,"mediam",L42&lt;5,"low")</f>
        <v>High</v>
      </c>
      <c r="U42" s="1" t="str">
        <f t="shared" si="4"/>
        <v>High</v>
      </c>
    </row>
    <row r="43" spans="1:21" x14ac:dyDescent="0.3">
      <c r="A43" s="5">
        <v>10042</v>
      </c>
      <c r="B43" s="1">
        <v>1510</v>
      </c>
      <c r="C43" s="2">
        <v>45195</v>
      </c>
      <c r="D43" s="2">
        <v>45204</v>
      </c>
      <c r="E43" s="1" t="s">
        <v>15</v>
      </c>
      <c r="F43" s="1" t="s">
        <v>54</v>
      </c>
      <c r="G43" s="1" t="s">
        <v>24</v>
      </c>
      <c r="H43" s="1" t="s">
        <v>35</v>
      </c>
      <c r="I43" s="1" t="s">
        <v>26</v>
      </c>
      <c r="J43" s="1" t="s">
        <v>27</v>
      </c>
      <c r="K43" s="1" t="s">
        <v>33</v>
      </c>
      <c r="L43" s="1">
        <v>4</v>
      </c>
      <c r="M43" s="1">
        <v>1211.67</v>
      </c>
      <c r="N43" s="1">
        <v>20</v>
      </c>
      <c r="O43" s="1">
        <v>3877.34</v>
      </c>
      <c r="P43" s="1">
        <f t="shared" si="0"/>
        <v>4846.68</v>
      </c>
      <c r="Q43" s="10">
        <f t="shared" si="1"/>
        <v>775.46800000000007</v>
      </c>
      <c r="R43" s="11">
        <f t="shared" si="2"/>
        <v>4071.2120000000004</v>
      </c>
      <c r="S43" s="1" t="str">
        <f t="shared" si="3"/>
        <v>Low</v>
      </c>
      <c r="T43" s="1" t="str" cm="1">
        <f t="array" ref="T43">_xlfn.IFS(L43&gt;5,"High",L43=5,"mediam",L43&lt;5,"low")</f>
        <v>low</v>
      </c>
      <c r="U43" s="1" t="b">
        <f t="shared" si="4"/>
        <v>0</v>
      </c>
    </row>
    <row r="44" spans="1:21" x14ac:dyDescent="0.3">
      <c r="A44" s="5">
        <v>10043</v>
      </c>
      <c r="B44" s="1">
        <v>1681</v>
      </c>
      <c r="C44" s="2">
        <v>45184</v>
      </c>
      <c r="D44" s="2">
        <v>45188</v>
      </c>
      <c r="E44" s="1" t="s">
        <v>37</v>
      </c>
      <c r="F44" s="1" t="s">
        <v>23</v>
      </c>
      <c r="G44" s="1" t="s">
        <v>24</v>
      </c>
      <c r="H44" s="1" t="s">
        <v>35</v>
      </c>
      <c r="I44" s="1" t="s">
        <v>31</v>
      </c>
      <c r="J44" s="1" t="s">
        <v>48</v>
      </c>
      <c r="K44" s="1" t="s">
        <v>45</v>
      </c>
      <c r="L44" s="1">
        <v>5</v>
      </c>
      <c r="M44" s="1">
        <v>936.35</v>
      </c>
      <c r="N44" s="1">
        <v>15</v>
      </c>
      <c r="O44" s="1">
        <v>3979.49</v>
      </c>
      <c r="P44" s="1">
        <f t="shared" si="0"/>
        <v>4681.75</v>
      </c>
      <c r="Q44" s="10">
        <f t="shared" si="1"/>
        <v>596.92349999999999</v>
      </c>
      <c r="R44" s="11">
        <f t="shared" si="2"/>
        <v>4084.8265000000001</v>
      </c>
      <c r="S44" s="1" t="str">
        <f t="shared" si="3"/>
        <v>High</v>
      </c>
      <c r="T44" s="1" t="str" cm="1">
        <f t="array" ref="T44">_xlfn.IFS(L44&gt;5,"High",L44=5,"mediam",L44&lt;5,"low")</f>
        <v>mediam</v>
      </c>
      <c r="U44" s="1" t="b">
        <f t="shared" si="4"/>
        <v>0</v>
      </c>
    </row>
    <row r="45" spans="1:21" x14ac:dyDescent="0.3">
      <c r="A45" s="5">
        <v>10044</v>
      </c>
      <c r="B45" s="1">
        <v>1475</v>
      </c>
      <c r="C45" s="2">
        <v>44955</v>
      </c>
      <c r="D45" s="2">
        <v>44959</v>
      </c>
      <c r="E45" s="1" t="s">
        <v>16</v>
      </c>
      <c r="F45" s="1" t="s">
        <v>29</v>
      </c>
      <c r="G45" s="1" t="s">
        <v>17</v>
      </c>
      <c r="H45" s="1" t="s">
        <v>42</v>
      </c>
      <c r="I45" s="1" t="s">
        <v>31</v>
      </c>
      <c r="J45" s="1" t="s">
        <v>48</v>
      </c>
      <c r="K45" s="1" t="s">
        <v>47</v>
      </c>
      <c r="L45" s="1">
        <v>4</v>
      </c>
      <c r="M45" s="1">
        <v>214.51</v>
      </c>
      <c r="N45" s="1">
        <v>20</v>
      </c>
      <c r="O45" s="1">
        <v>686.43</v>
      </c>
      <c r="P45" s="1">
        <f t="shared" si="0"/>
        <v>858.04</v>
      </c>
      <c r="Q45" s="10">
        <f t="shared" si="1"/>
        <v>137.286</v>
      </c>
      <c r="R45" s="11">
        <f t="shared" si="2"/>
        <v>720.75399999999991</v>
      </c>
      <c r="S45" s="1" t="str">
        <f t="shared" si="3"/>
        <v>Low</v>
      </c>
      <c r="T45" s="1" t="str" cm="1">
        <f t="array" ref="T45">_xlfn.IFS(L45&gt;5,"High",L45=5,"mediam",L45&lt;5,"low")</f>
        <v>low</v>
      </c>
      <c r="U45" s="1" t="b">
        <f t="shared" si="4"/>
        <v>0</v>
      </c>
    </row>
    <row r="46" spans="1:21" x14ac:dyDescent="0.3">
      <c r="A46" s="5">
        <v>10045</v>
      </c>
      <c r="B46" s="1">
        <v>1699</v>
      </c>
      <c r="C46" s="2">
        <v>45139</v>
      </c>
      <c r="D46" s="2">
        <v>45147</v>
      </c>
      <c r="E46" s="1" t="s">
        <v>34</v>
      </c>
      <c r="F46" s="1" t="s">
        <v>16</v>
      </c>
      <c r="G46" s="1" t="s">
        <v>17</v>
      </c>
      <c r="H46" s="1" t="s">
        <v>25</v>
      </c>
      <c r="I46" s="1" t="s">
        <v>26</v>
      </c>
      <c r="J46" s="1" t="s">
        <v>61</v>
      </c>
      <c r="K46" s="1" t="s">
        <v>47</v>
      </c>
      <c r="L46" s="1">
        <v>1</v>
      </c>
      <c r="M46" s="1">
        <v>2764.92</v>
      </c>
      <c r="N46" s="1">
        <v>0</v>
      </c>
      <c r="O46" s="1">
        <v>2764.92</v>
      </c>
      <c r="P46" s="1">
        <f t="shared" si="0"/>
        <v>2764.92</v>
      </c>
      <c r="Q46" s="10">
        <f t="shared" si="1"/>
        <v>0</v>
      </c>
      <c r="R46" s="11">
        <f t="shared" si="2"/>
        <v>2764.92</v>
      </c>
      <c r="S46" s="1" t="str">
        <f t="shared" si="3"/>
        <v>Low</v>
      </c>
      <c r="T46" s="1" t="str" cm="1">
        <f t="array" ref="T46">_xlfn.IFS(L46&gt;5,"High",L46=5,"mediam",L46&lt;5,"low")</f>
        <v>low</v>
      </c>
      <c r="U46" s="1" t="b">
        <f t="shared" si="4"/>
        <v>0</v>
      </c>
    </row>
    <row r="47" spans="1:21" x14ac:dyDescent="0.3">
      <c r="A47" s="5">
        <v>10046</v>
      </c>
      <c r="B47" s="1">
        <v>1975</v>
      </c>
      <c r="C47" s="2">
        <v>45209</v>
      </c>
      <c r="D47" s="2">
        <v>45211</v>
      </c>
      <c r="E47" s="1" t="s">
        <v>37</v>
      </c>
      <c r="F47" s="1" t="s">
        <v>54</v>
      </c>
      <c r="G47" s="1" t="s">
        <v>24</v>
      </c>
      <c r="H47" s="1" t="s">
        <v>18</v>
      </c>
      <c r="I47" s="1" t="s">
        <v>49</v>
      </c>
      <c r="J47" s="1" t="s">
        <v>51</v>
      </c>
      <c r="K47" s="1" t="s">
        <v>45</v>
      </c>
      <c r="L47" s="1">
        <v>8</v>
      </c>
      <c r="M47" s="1">
        <v>444.79</v>
      </c>
      <c r="N47" s="1">
        <v>10</v>
      </c>
      <c r="O47" s="1">
        <v>3202.49</v>
      </c>
      <c r="P47" s="1">
        <f t="shared" si="0"/>
        <v>3558.32</v>
      </c>
      <c r="Q47" s="10">
        <f t="shared" si="1"/>
        <v>320.24900000000002</v>
      </c>
      <c r="R47" s="11">
        <f t="shared" si="2"/>
        <v>3238.0709999999999</v>
      </c>
      <c r="S47" s="1" t="str">
        <f t="shared" si="3"/>
        <v>High</v>
      </c>
      <c r="T47" s="1" t="str" cm="1">
        <f t="array" ref="T47">_xlfn.IFS(L47&gt;5,"High",L47=5,"mediam",L47&lt;5,"low")</f>
        <v>High</v>
      </c>
      <c r="U47" s="1" t="str">
        <f t="shared" si="4"/>
        <v>High</v>
      </c>
    </row>
    <row r="48" spans="1:21" x14ac:dyDescent="0.3">
      <c r="A48" s="5">
        <v>10047</v>
      </c>
      <c r="B48" s="1">
        <v>1782</v>
      </c>
      <c r="C48" s="2">
        <v>44976</v>
      </c>
      <c r="D48" s="2">
        <v>44985</v>
      </c>
      <c r="E48" s="1" t="s">
        <v>40</v>
      </c>
      <c r="F48" s="1" t="s">
        <v>41</v>
      </c>
      <c r="G48" s="1" t="s">
        <v>17</v>
      </c>
      <c r="H48" s="1" t="s">
        <v>18</v>
      </c>
      <c r="I48" s="1" t="s">
        <v>57</v>
      </c>
      <c r="J48" s="1" t="s">
        <v>62</v>
      </c>
      <c r="K48" s="1" t="s">
        <v>47</v>
      </c>
      <c r="L48" s="1">
        <v>1</v>
      </c>
      <c r="M48" s="1">
        <v>1769.93</v>
      </c>
      <c r="N48" s="1">
        <v>20</v>
      </c>
      <c r="O48" s="1">
        <v>1415.94</v>
      </c>
      <c r="P48" s="1">
        <f t="shared" si="0"/>
        <v>1769.93</v>
      </c>
      <c r="Q48" s="10">
        <f t="shared" si="1"/>
        <v>283.18800000000005</v>
      </c>
      <c r="R48" s="11">
        <f t="shared" si="2"/>
        <v>1486.742</v>
      </c>
      <c r="S48" s="1" t="str">
        <f t="shared" si="3"/>
        <v>Low</v>
      </c>
      <c r="T48" s="1" t="str" cm="1">
        <f t="array" ref="T48">_xlfn.IFS(L48&gt;5,"High",L48=5,"mediam",L48&lt;5,"low")</f>
        <v>low</v>
      </c>
      <c r="U48" s="1" t="b">
        <f t="shared" si="4"/>
        <v>0</v>
      </c>
    </row>
    <row r="49" spans="1:21" x14ac:dyDescent="0.3">
      <c r="A49" s="5">
        <v>10048</v>
      </c>
      <c r="B49" s="1">
        <v>1189</v>
      </c>
      <c r="C49" s="2">
        <v>45021</v>
      </c>
      <c r="D49" s="2">
        <v>45027</v>
      </c>
      <c r="E49" s="1" t="s">
        <v>22</v>
      </c>
      <c r="F49" s="1" t="s">
        <v>38</v>
      </c>
      <c r="G49" s="1" t="s">
        <v>24</v>
      </c>
      <c r="H49" s="1" t="s">
        <v>44</v>
      </c>
      <c r="I49" s="1" t="s">
        <v>31</v>
      </c>
      <c r="J49" s="1" t="s">
        <v>65</v>
      </c>
      <c r="K49" s="1" t="s">
        <v>28</v>
      </c>
      <c r="L49" s="1">
        <v>5</v>
      </c>
      <c r="M49" s="1">
        <v>2466.48</v>
      </c>
      <c r="N49" s="1">
        <v>5</v>
      </c>
      <c r="O49" s="1">
        <v>11715.78</v>
      </c>
      <c r="P49" s="1">
        <f t="shared" si="0"/>
        <v>12332.4</v>
      </c>
      <c r="Q49" s="10">
        <f t="shared" si="1"/>
        <v>585.7890000000001</v>
      </c>
      <c r="R49" s="11">
        <f t="shared" si="2"/>
        <v>11746.610999999999</v>
      </c>
      <c r="S49" s="1" t="str">
        <f t="shared" si="3"/>
        <v>High</v>
      </c>
      <c r="T49" s="1" t="str" cm="1">
        <f t="array" ref="T49">_xlfn.IFS(L49&gt;5,"High",L49=5,"mediam",L49&lt;5,"low")</f>
        <v>mediam</v>
      </c>
      <c r="U49" s="1" t="b">
        <f t="shared" si="4"/>
        <v>0</v>
      </c>
    </row>
    <row r="50" spans="1:21" x14ac:dyDescent="0.3">
      <c r="A50" s="5">
        <v>10049</v>
      </c>
      <c r="B50" s="1">
        <v>1957</v>
      </c>
      <c r="C50" s="2">
        <v>45014</v>
      </c>
      <c r="D50" s="2">
        <v>45023</v>
      </c>
      <c r="E50" s="1" t="s">
        <v>46</v>
      </c>
      <c r="F50" s="1" t="s">
        <v>29</v>
      </c>
      <c r="G50" s="1" t="s">
        <v>17</v>
      </c>
      <c r="H50" s="1" t="s">
        <v>18</v>
      </c>
      <c r="I50" s="1" t="s">
        <v>26</v>
      </c>
      <c r="J50" s="1" t="s">
        <v>27</v>
      </c>
      <c r="K50" s="1" t="s">
        <v>21</v>
      </c>
      <c r="L50" s="1">
        <v>6</v>
      </c>
      <c r="M50" s="1">
        <v>3757.87</v>
      </c>
      <c r="N50" s="1">
        <v>15</v>
      </c>
      <c r="O50" s="1">
        <v>19165.14</v>
      </c>
      <c r="P50" s="1">
        <f t="shared" si="0"/>
        <v>22547.22</v>
      </c>
      <c r="Q50" s="10">
        <f t="shared" si="1"/>
        <v>2874.7709999999997</v>
      </c>
      <c r="R50" s="11">
        <f t="shared" si="2"/>
        <v>19672.449000000001</v>
      </c>
      <c r="S50" s="1" t="str">
        <f t="shared" si="3"/>
        <v>High</v>
      </c>
      <c r="T50" s="1" t="str" cm="1">
        <f t="array" ref="T50">_xlfn.IFS(L50&gt;5,"High",L50=5,"mediam",L50&lt;5,"low")</f>
        <v>High</v>
      </c>
      <c r="U50" s="1" t="str">
        <f t="shared" si="4"/>
        <v>High</v>
      </c>
    </row>
    <row r="51" spans="1:21" x14ac:dyDescent="0.3">
      <c r="A51" s="5">
        <v>10050</v>
      </c>
      <c r="B51" s="1">
        <v>1686</v>
      </c>
      <c r="C51" s="2">
        <v>44970</v>
      </c>
      <c r="D51" s="2">
        <v>44978</v>
      </c>
      <c r="E51" s="1" t="s">
        <v>40</v>
      </c>
      <c r="F51" s="1" t="s">
        <v>16</v>
      </c>
      <c r="G51" s="1" t="s">
        <v>17</v>
      </c>
      <c r="H51" s="1" t="s">
        <v>42</v>
      </c>
      <c r="I51" s="1" t="s">
        <v>26</v>
      </c>
      <c r="J51" s="1" t="s">
        <v>61</v>
      </c>
      <c r="K51" s="1" t="s">
        <v>28</v>
      </c>
      <c r="L51" s="1">
        <v>6</v>
      </c>
      <c r="M51" s="1">
        <v>1350.44</v>
      </c>
      <c r="N51" s="1">
        <v>20</v>
      </c>
      <c r="O51" s="1">
        <v>6482.11</v>
      </c>
      <c r="P51" s="1">
        <f t="shared" si="0"/>
        <v>8102.64</v>
      </c>
      <c r="Q51" s="10">
        <f t="shared" si="1"/>
        <v>1296.422</v>
      </c>
      <c r="R51" s="11">
        <f t="shared" si="2"/>
        <v>6806.2180000000008</v>
      </c>
      <c r="S51" s="1" t="str">
        <f t="shared" si="3"/>
        <v>High</v>
      </c>
      <c r="T51" s="1" t="str" cm="1">
        <f t="array" ref="T51">_xlfn.IFS(L51&gt;5,"High",L51=5,"mediam",L51&lt;5,"low")</f>
        <v>High</v>
      </c>
      <c r="U51" s="1" t="str">
        <f t="shared" si="4"/>
        <v>High</v>
      </c>
    </row>
    <row r="52" spans="1:21" x14ac:dyDescent="0.3">
      <c r="A52" s="5">
        <v>10051</v>
      </c>
      <c r="B52" s="1">
        <v>1957</v>
      </c>
      <c r="C52" s="2">
        <v>45204</v>
      </c>
      <c r="D52" s="2">
        <v>45211</v>
      </c>
      <c r="E52" s="1" t="s">
        <v>40</v>
      </c>
      <c r="F52" s="1" t="s">
        <v>23</v>
      </c>
      <c r="G52" s="1" t="s">
        <v>17</v>
      </c>
      <c r="H52" s="1" t="s">
        <v>35</v>
      </c>
      <c r="I52" s="1" t="s">
        <v>19</v>
      </c>
      <c r="J52" s="1" t="s">
        <v>66</v>
      </c>
      <c r="K52" s="1" t="s">
        <v>47</v>
      </c>
      <c r="L52" s="1">
        <v>5</v>
      </c>
      <c r="M52" s="1">
        <v>1111.6199999999999</v>
      </c>
      <c r="N52" s="1">
        <v>15</v>
      </c>
      <c r="O52" s="1">
        <v>4724.3900000000003</v>
      </c>
      <c r="P52" s="1">
        <f t="shared" si="0"/>
        <v>5558.0999999999995</v>
      </c>
      <c r="Q52" s="10">
        <f t="shared" si="1"/>
        <v>708.6585</v>
      </c>
      <c r="R52" s="11">
        <f t="shared" si="2"/>
        <v>4849.441499999999</v>
      </c>
      <c r="S52" s="1" t="str">
        <f t="shared" si="3"/>
        <v>High</v>
      </c>
      <c r="T52" s="1" t="str" cm="1">
        <f t="array" ref="T52">_xlfn.IFS(L52&gt;5,"High",L52=5,"mediam",L52&lt;5,"low")</f>
        <v>mediam</v>
      </c>
      <c r="U52" s="1" t="b">
        <f t="shared" si="4"/>
        <v>0</v>
      </c>
    </row>
    <row r="53" spans="1:21" x14ac:dyDescent="0.3">
      <c r="A53" s="5">
        <v>10052</v>
      </c>
      <c r="B53" s="1">
        <v>1562</v>
      </c>
      <c r="C53" s="2">
        <v>45097</v>
      </c>
      <c r="D53" s="2">
        <v>45098</v>
      </c>
      <c r="E53" s="1" t="s">
        <v>22</v>
      </c>
      <c r="F53" s="1" t="s">
        <v>54</v>
      </c>
      <c r="G53" s="1" t="s">
        <v>24</v>
      </c>
      <c r="H53" s="1" t="s">
        <v>35</v>
      </c>
      <c r="I53" s="1" t="s">
        <v>57</v>
      </c>
      <c r="J53" s="1" t="s">
        <v>62</v>
      </c>
      <c r="K53" s="1" t="s">
        <v>33</v>
      </c>
      <c r="L53" s="1">
        <v>3</v>
      </c>
      <c r="M53" s="1">
        <v>2668.52</v>
      </c>
      <c r="N53" s="1">
        <v>5</v>
      </c>
      <c r="O53" s="1">
        <v>7605.28</v>
      </c>
      <c r="P53" s="1">
        <f t="shared" si="0"/>
        <v>8005.5599999999995</v>
      </c>
      <c r="Q53" s="10">
        <f t="shared" si="1"/>
        <v>380.26400000000001</v>
      </c>
      <c r="R53" s="11">
        <f t="shared" si="2"/>
        <v>7625.2959999999994</v>
      </c>
      <c r="S53" s="1" t="str">
        <f t="shared" si="3"/>
        <v>Low</v>
      </c>
      <c r="T53" s="1" t="str" cm="1">
        <f t="array" ref="T53">_xlfn.IFS(L53&gt;5,"High",L53=5,"mediam",L53&lt;5,"low")</f>
        <v>low</v>
      </c>
      <c r="U53" s="1" t="b">
        <f t="shared" si="4"/>
        <v>0</v>
      </c>
    </row>
    <row r="54" spans="1:21" x14ac:dyDescent="0.3">
      <c r="A54" s="5">
        <v>10053</v>
      </c>
      <c r="B54" s="1">
        <v>1875</v>
      </c>
      <c r="C54" s="2">
        <v>45115</v>
      </c>
      <c r="D54" s="2">
        <v>45118</v>
      </c>
      <c r="E54" s="1" t="s">
        <v>46</v>
      </c>
      <c r="F54" s="1" t="s">
        <v>16</v>
      </c>
      <c r="G54" s="1" t="s">
        <v>17</v>
      </c>
      <c r="H54" s="1" t="s">
        <v>35</v>
      </c>
      <c r="I54" s="1" t="s">
        <v>52</v>
      </c>
      <c r="J54" s="1" t="s">
        <v>64</v>
      </c>
      <c r="K54" s="1" t="s">
        <v>21</v>
      </c>
      <c r="L54" s="1">
        <v>5</v>
      </c>
      <c r="M54" s="1">
        <v>2534.0700000000002</v>
      </c>
      <c r="N54" s="1">
        <v>10</v>
      </c>
      <c r="O54" s="1">
        <v>11403.31</v>
      </c>
      <c r="P54" s="1">
        <f t="shared" si="0"/>
        <v>12670.35</v>
      </c>
      <c r="Q54" s="10">
        <f t="shared" si="1"/>
        <v>1140.3309999999999</v>
      </c>
      <c r="R54" s="11">
        <f t="shared" si="2"/>
        <v>11530.019</v>
      </c>
      <c r="S54" s="1" t="str">
        <f t="shared" si="3"/>
        <v>High</v>
      </c>
      <c r="T54" s="1" t="str" cm="1">
        <f t="array" ref="T54">_xlfn.IFS(L54&gt;5,"High",L54=5,"mediam",L54&lt;5,"low")</f>
        <v>mediam</v>
      </c>
      <c r="U54" s="1" t="b">
        <f t="shared" si="4"/>
        <v>0</v>
      </c>
    </row>
    <row r="55" spans="1:21" x14ac:dyDescent="0.3">
      <c r="A55" s="5">
        <v>10054</v>
      </c>
      <c r="B55" s="1">
        <v>1566</v>
      </c>
      <c r="C55" s="2">
        <v>45279</v>
      </c>
      <c r="D55" s="2">
        <v>45281</v>
      </c>
      <c r="E55" s="1" t="s">
        <v>40</v>
      </c>
      <c r="F55" s="1" t="s">
        <v>23</v>
      </c>
      <c r="G55" s="1" t="s">
        <v>24</v>
      </c>
      <c r="H55" s="1" t="s">
        <v>25</v>
      </c>
      <c r="I55" s="1" t="s">
        <v>49</v>
      </c>
      <c r="J55" s="1" t="s">
        <v>50</v>
      </c>
      <c r="K55" s="1" t="s">
        <v>21</v>
      </c>
      <c r="L55" s="1">
        <v>8</v>
      </c>
      <c r="M55" s="1">
        <v>1428.62</v>
      </c>
      <c r="N55" s="1">
        <v>10</v>
      </c>
      <c r="O55" s="1">
        <v>10286.06</v>
      </c>
      <c r="P55" s="1">
        <f t="shared" si="0"/>
        <v>11428.96</v>
      </c>
      <c r="Q55" s="10">
        <f t="shared" si="1"/>
        <v>1028.606</v>
      </c>
      <c r="R55" s="11">
        <f t="shared" si="2"/>
        <v>10400.353999999999</v>
      </c>
      <c r="S55" s="1" t="str">
        <f t="shared" si="3"/>
        <v>High</v>
      </c>
      <c r="T55" s="1" t="str" cm="1">
        <f t="array" ref="T55">_xlfn.IFS(L55&gt;5,"High",L55=5,"mediam",L55&lt;5,"low")</f>
        <v>High</v>
      </c>
      <c r="U55" s="1" t="str">
        <f t="shared" si="4"/>
        <v>High</v>
      </c>
    </row>
    <row r="56" spans="1:21" x14ac:dyDescent="0.3">
      <c r="A56" s="5">
        <v>10055</v>
      </c>
      <c r="B56" s="1">
        <v>1243</v>
      </c>
      <c r="C56" s="2">
        <v>45110</v>
      </c>
      <c r="D56" s="2">
        <v>45115</v>
      </c>
      <c r="E56" s="1" t="s">
        <v>37</v>
      </c>
      <c r="F56" s="1" t="s">
        <v>16</v>
      </c>
      <c r="G56" s="1" t="s">
        <v>24</v>
      </c>
      <c r="H56" s="1" t="s">
        <v>18</v>
      </c>
      <c r="I56" s="1" t="s">
        <v>52</v>
      </c>
      <c r="J56" s="1" t="s">
        <v>64</v>
      </c>
      <c r="K56" s="1" t="s">
        <v>45</v>
      </c>
      <c r="L56" s="1">
        <v>2</v>
      </c>
      <c r="M56" s="1">
        <v>3723.19</v>
      </c>
      <c r="N56" s="1">
        <v>5</v>
      </c>
      <c r="O56" s="1">
        <v>7074.06</v>
      </c>
      <c r="P56" s="1">
        <f t="shared" si="0"/>
        <v>7446.38</v>
      </c>
      <c r="Q56" s="10">
        <f t="shared" si="1"/>
        <v>353.70300000000003</v>
      </c>
      <c r="R56" s="11">
        <f t="shared" si="2"/>
        <v>7092.6769999999997</v>
      </c>
      <c r="S56" s="1" t="str">
        <f t="shared" si="3"/>
        <v>Low</v>
      </c>
      <c r="T56" s="1" t="str" cm="1">
        <f t="array" ref="T56">_xlfn.IFS(L56&gt;5,"High",L56=5,"mediam",L56&lt;5,"low")</f>
        <v>low</v>
      </c>
      <c r="U56" s="1" t="b">
        <f t="shared" si="4"/>
        <v>0</v>
      </c>
    </row>
    <row r="57" spans="1:21" x14ac:dyDescent="0.3">
      <c r="A57" s="5">
        <v>10056</v>
      </c>
      <c r="B57" s="1">
        <v>1831</v>
      </c>
      <c r="C57" s="2">
        <v>44929</v>
      </c>
      <c r="D57" s="2">
        <v>44934</v>
      </c>
      <c r="E57" s="1" t="s">
        <v>37</v>
      </c>
      <c r="F57" s="1" t="s">
        <v>29</v>
      </c>
      <c r="G57" s="1" t="s">
        <v>17</v>
      </c>
      <c r="H57" s="1" t="s">
        <v>42</v>
      </c>
      <c r="I57" s="1" t="s">
        <v>57</v>
      </c>
      <c r="J57" s="1" t="s">
        <v>62</v>
      </c>
      <c r="K57" s="1" t="s">
        <v>45</v>
      </c>
      <c r="L57" s="1">
        <v>6</v>
      </c>
      <c r="M57" s="1">
        <v>3402.72</v>
      </c>
      <c r="N57" s="1">
        <v>15</v>
      </c>
      <c r="O57" s="1">
        <v>17353.87</v>
      </c>
      <c r="P57" s="1">
        <f t="shared" si="0"/>
        <v>20416.32</v>
      </c>
      <c r="Q57" s="10">
        <f t="shared" si="1"/>
        <v>2603.0804999999996</v>
      </c>
      <c r="R57" s="11">
        <f t="shared" si="2"/>
        <v>17813.2395</v>
      </c>
      <c r="S57" s="1" t="str">
        <f t="shared" si="3"/>
        <v>High</v>
      </c>
      <c r="T57" s="1" t="str" cm="1">
        <f t="array" ref="T57">_xlfn.IFS(L57&gt;5,"High",L57=5,"mediam",L57&lt;5,"low")</f>
        <v>High</v>
      </c>
      <c r="U57" s="1" t="str">
        <f t="shared" si="4"/>
        <v>High</v>
      </c>
    </row>
    <row r="58" spans="1:21" x14ac:dyDescent="0.3">
      <c r="A58" s="5">
        <v>10057</v>
      </c>
      <c r="B58" s="1">
        <v>1504</v>
      </c>
      <c r="C58" s="2">
        <v>45117</v>
      </c>
      <c r="D58" s="2">
        <v>45122</v>
      </c>
      <c r="E58" s="1" t="s">
        <v>37</v>
      </c>
      <c r="F58" s="1" t="s">
        <v>29</v>
      </c>
      <c r="G58" s="1" t="s">
        <v>17</v>
      </c>
      <c r="H58" s="1" t="s">
        <v>25</v>
      </c>
      <c r="I58" s="1" t="s">
        <v>57</v>
      </c>
      <c r="J58" s="1" t="s">
        <v>58</v>
      </c>
      <c r="K58" s="1" t="s">
        <v>33</v>
      </c>
      <c r="L58" s="1">
        <v>9</v>
      </c>
      <c r="M58" s="1">
        <v>1012.33</v>
      </c>
      <c r="N58" s="1">
        <v>20</v>
      </c>
      <c r="O58" s="1">
        <v>7288.78</v>
      </c>
      <c r="P58" s="1">
        <f t="shared" si="0"/>
        <v>9110.9700000000012</v>
      </c>
      <c r="Q58" s="10">
        <f t="shared" si="1"/>
        <v>1457.7560000000001</v>
      </c>
      <c r="R58" s="11">
        <f t="shared" si="2"/>
        <v>7653.2140000000009</v>
      </c>
      <c r="S58" s="1" t="str">
        <f t="shared" si="3"/>
        <v>High</v>
      </c>
      <c r="T58" s="1" t="str" cm="1">
        <f t="array" ref="T58">_xlfn.IFS(L58&gt;5,"High",L58=5,"mediam",L58&lt;5,"low")</f>
        <v>High</v>
      </c>
      <c r="U58" s="1" t="str">
        <f t="shared" si="4"/>
        <v>High</v>
      </c>
    </row>
    <row r="59" spans="1:21" x14ac:dyDescent="0.3">
      <c r="A59" s="5">
        <v>10058</v>
      </c>
      <c r="B59" s="1">
        <v>1130</v>
      </c>
      <c r="C59" s="2">
        <v>45044</v>
      </c>
      <c r="D59" s="2">
        <v>45048</v>
      </c>
      <c r="E59" s="1" t="s">
        <v>46</v>
      </c>
      <c r="F59" s="1" t="s">
        <v>29</v>
      </c>
      <c r="G59" s="1" t="s">
        <v>24</v>
      </c>
      <c r="H59" s="1" t="s">
        <v>44</v>
      </c>
      <c r="I59" s="1" t="s">
        <v>57</v>
      </c>
      <c r="J59" s="1" t="s">
        <v>59</v>
      </c>
      <c r="K59" s="1" t="s">
        <v>21</v>
      </c>
      <c r="L59" s="1">
        <v>8</v>
      </c>
      <c r="M59" s="1">
        <v>1070.7</v>
      </c>
      <c r="N59" s="1">
        <v>5</v>
      </c>
      <c r="O59" s="1">
        <v>8137.32</v>
      </c>
      <c r="P59" s="1">
        <f t="shared" si="0"/>
        <v>8565.6</v>
      </c>
      <c r="Q59" s="10">
        <f t="shared" si="1"/>
        <v>406.86599999999999</v>
      </c>
      <c r="R59" s="11">
        <f t="shared" si="2"/>
        <v>8158.7340000000004</v>
      </c>
      <c r="S59" s="1" t="str">
        <f t="shared" si="3"/>
        <v>High</v>
      </c>
      <c r="T59" s="1" t="str" cm="1">
        <f t="array" ref="T59">_xlfn.IFS(L59&gt;5,"High",L59=5,"mediam",L59&lt;5,"low")</f>
        <v>High</v>
      </c>
      <c r="U59" s="1" t="str">
        <f t="shared" si="4"/>
        <v>High</v>
      </c>
    </row>
    <row r="60" spans="1:21" x14ac:dyDescent="0.3">
      <c r="A60" s="5">
        <v>10059</v>
      </c>
      <c r="B60" s="1">
        <v>1484</v>
      </c>
      <c r="C60" s="2">
        <v>44945</v>
      </c>
      <c r="D60" s="2">
        <v>44950</v>
      </c>
      <c r="E60" s="1" t="s">
        <v>40</v>
      </c>
      <c r="F60" s="1" t="s">
        <v>41</v>
      </c>
      <c r="G60" s="1" t="s">
        <v>24</v>
      </c>
      <c r="H60" s="1" t="s">
        <v>42</v>
      </c>
      <c r="I60" s="1" t="s">
        <v>52</v>
      </c>
      <c r="J60" s="1" t="s">
        <v>64</v>
      </c>
      <c r="K60" s="1" t="s">
        <v>33</v>
      </c>
      <c r="L60" s="1">
        <v>8</v>
      </c>
      <c r="M60" s="1">
        <v>2122.36</v>
      </c>
      <c r="N60" s="1">
        <v>0</v>
      </c>
      <c r="O60" s="1">
        <v>16978.88</v>
      </c>
      <c r="P60" s="1">
        <f t="shared" si="0"/>
        <v>16978.88</v>
      </c>
      <c r="Q60" s="10">
        <f t="shared" si="1"/>
        <v>0</v>
      </c>
      <c r="R60" s="11">
        <f t="shared" si="2"/>
        <v>16978.88</v>
      </c>
      <c r="S60" s="1" t="str">
        <f t="shared" si="3"/>
        <v>High</v>
      </c>
      <c r="T60" s="1" t="str" cm="1">
        <f t="array" ref="T60">_xlfn.IFS(L60&gt;5,"High",L60=5,"mediam",L60&lt;5,"low")</f>
        <v>High</v>
      </c>
      <c r="U60" s="1" t="str">
        <f t="shared" si="4"/>
        <v>High</v>
      </c>
    </row>
    <row r="61" spans="1:21" x14ac:dyDescent="0.3">
      <c r="A61" s="5">
        <v>10060</v>
      </c>
      <c r="B61" s="1">
        <v>1818</v>
      </c>
      <c r="C61" s="2">
        <v>44949</v>
      </c>
      <c r="D61" s="2">
        <v>44952</v>
      </c>
      <c r="E61" s="1" t="s">
        <v>46</v>
      </c>
      <c r="F61" s="1" t="s">
        <v>41</v>
      </c>
      <c r="G61" s="1" t="s">
        <v>30</v>
      </c>
      <c r="H61" s="1" t="s">
        <v>42</v>
      </c>
      <c r="I61" s="1" t="s">
        <v>57</v>
      </c>
      <c r="J61" s="1" t="s">
        <v>62</v>
      </c>
      <c r="K61" s="1" t="s">
        <v>45</v>
      </c>
      <c r="L61" s="1">
        <v>8</v>
      </c>
      <c r="M61" s="1">
        <v>3128.25</v>
      </c>
      <c r="N61" s="1">
        <v>15</v>
      </c>
      <c r="O61" s="1">
        <v>21272.1</v>
      </c>
      <c r="P61" s="1">
        <f t="shared" si="0"/>
        <v>25026</v>
      </c>
      <c r="Q61" s="10">
        <f t="shared" si="1"/>
        <v>3190.8149999999996</v>
      </c>
      <c r="R61" s="11">
        <f t="shared" si="2"/>
        <v>21835.185000000001</v>
      </c>
      <c r="S61" s="1" t="str">
        <f t="shared" si="3"/>
        <v>High</v>
      </c>
      <c r="T61" s="1" t="str" cm="1">
        <f t="array" ref="T61">_xlfn.IFS(L61&gt;5,"High",L61=5,"mediam",L61&lt;5,"low")</f>
        <v>High</v>
      </c>
      <c r="U61" s="1" t="str">
        <f t="shared" si="4"/>
        <v>High</v>
      </c>
    </row>
    <row r="62" spans="1:21" x14ac:dyDescent="0.3">
      <c r="A62" s="5">
        <v>10061</v>
      </c>
      <c r="B62" s="1">
        <v>1646</v>
      </c>
      <c r="C62" s="2">
        <v>44956</v>
      </c>
      <c r="D62" s="2">
        <v>44957</v>
      </c>
      <c r="E62" s="1" t="s">
        <v>37</v>
      </c>
      <c r="F62" s="1" t="s">
        <v>54</v>
      </c>
      <c r="G62" s="1" t="s">
        <v>24</v>
      </c>
      <c r="H62" s="1" t="s">
        <v>42</v>
      </c>
      <c r="I62" s="1" t="s">
        <v>26</v>
      </c>
      <c r="J62" s="1" t="s">
        <v>36</v>
      </c>
      <c r="K62" s="1" t="s">
        <v>45</v>
      </c>
      <c r="L62" s="1">
        <v>7</v>
      </c>
      <c r="M62" s="1">
        <v>319.56</v>
      </c>
      <c r="N62" s="1">
        <v>10</v>
      </c>
      <c r="O62" s="1">
        <v>2013.23</v>
      </c>
      <c r="P62" s="1">
        <f t="shared" si="0"/>
        <v>2236.92</v>
      </c>
      <c r="Q62" s="10">
        <f t="shared" si="1"/>
        <v>201.32300000000001</v>
      </c>
      <c r="R62" s="11">
        <f t="shared" si="2"/>
        <v>2035.597</v>
      </c>
      <c r="S62" s="1" t="str">
        <f t="shared" si="3"/>
        <v>High</v>
      </c>
      <c r="T62" s="1" t="str" cm="1">
        <f t="array" ref="T62">_xlfn.IFS(L62&gt;5,"High",L62=5,"mediam",L62&lt;5,"low")</f>
        <v>High</v>
      </c>
      <c r="U62" s="1" t="str">
        <f t="shared" si="4"/>
        <v>High</v>
      </c>
    </row>
    <row r="63" spans="1:21" x14ac:dyDescent="0.3">
      <c r="A63" s="5">
        <v>10062</v>
      </c>
      <c r="B63" s="1">
        <v>1020</v>
      </c>
      <c r="C63" s="2">
        <v>45221</v>
      </c>
      <c r="D63" s="2">
        <v>45226</v>
      </c>
      <c r="E63" s="1" t="s">
        <v>22</v>
      </c>
      <c r="F63" s="1" t="s">
        <v>29</v>
      </c>
      <c r="G63" s="1" t="s">
        <v>30</v>
      </c>
      <c r="H63" s="1" t="s">
        <v>35</v>
      </c>
      <c r="I63" s="1" t="s">
        <v>52</v>
      </c>
      <c r="J63" s="1" t="s">
        <v>56</v>
      </c>
      <c r="K63" s="1" t="s">
        <v>21</v>
      </c>
      <c r="L63" s="1">
        <v>8</v>
      </c>
      <c r="M63" s="1">
        <v>2819.34</v>
      </c>
      <c r="N63" s="1">
        <v>5</v>
      </c>
      <c r="O63" s="1">
        <v>21426.98</v>
      </c>
      <c r="P63" s="1">
        <f t="shared" si="0"/>
        <v>22554.720000000001</v>
      </c>
      <c r="Q63" s="10">
        <f t="shared" si="1"/>
        <v>1071.3489999999999</v>
      </c>
      <c r="R63" s="11">
        <f t="shared" si="2"/>
        <v>21483.371000000003</v>
      </c>
      <c r="S63" s="1" t="str">
        <f t="shared" si="3"/>
        <v>High</v>
      </c>
      <c r="T63" s="1" t="str" cm="1">
        <f t="array" ref="T63">_xlfn.IFS(L63&gt;5,"High",L63=5,"mediam",L63&lt;5,"low")</f>
        <v>High</v>
      </c>
      <c r="U63" s="1" t="str">
        <f t="shared" si="4"/>
        <v>High</v>
      </c>
    </row>
    <row r="64" spans="1:21" x14ac:dyDescent="0.3">
      <c r="A64" s="5">
        <v>10063</v>
      </c>
      <c r="B64" s="1">
        <v>1840</v>
      </c>
      <c r="C64" s="2">
        <v>45034</v>
      </c>
      <c r="D64" s="2">
        <v>45043</v>
      </c>
      <c r="E64" s="1" t="s">
        <v>40</v>
      </c>
      <c r="F64" s="1" t="s">
        <v>23</v>
      </c>
      <c r="G64" s="1" t="s">
        <v>30</v>
      </c>
      <c r="H64" s="1" t="s">
        <v>42</v>
      </c>
      <c r="I64" s="1" t="s">
        <v>57</v>
      </c>
      <c r="J64" s="1" t="s">
        <v>62</v>
      </c>
      <c r="K64" s="1" t="s">
        <v>28</v>
      </c>
      <c r="L64" s="1">
        <v>6</v>
      </c>
      <c r="M64" s="1">
        <v>2645.71</v>
      </c>
      <c r="N64" s="1">
        <v>10</v>
      </c>
      <c r="O64" s="1">
        <v>14286.83</v>
      </c>
      <c r="P64" s="1">
        <f t="shared" si="0"/>
        <v>15874.26</v>
      </c>
      <c r="Q64" s="10">
        <f t="shared" si="1"/>
        <v>1428.683</v>
      </c>
      <c r="R64" s="11">
        <f t="shared" si="2"/>
        <v>14445.577000000001</v>
      </c>
      <c r="S64" s="1" t="str">
        <f t="shared" si="3"/>
        <v>High</v>
      </c>
      <c r="T64" s="1" t="str" cm="1">
        <f t="array" ref="T64">_xlfn.IFS(L64&gt;5,"High",L64=5,"mediam",L64&lt;5,"low")</f>
        <v>High</v>
      </c>
      <c r="U64" s="1" t="str">
        <f t="shared" si="4"/>
        <v>High</v>
      </c>
    </row>
    <row r="65" spans="1:21" x14ac:dyDescent="0.3">
      <c r="A65" s="5">
        <v>10064</v>
      </c>
      <c r="B65" s="1">
        <v>1166</v>
      </c>
      <c r="C65" s="2">
        <v>45207</v>
      </c>
      <c r="D65" s="2">
        <v>45216</v>
      </c>
      <c r="E65" s="1" t="s">
        <v>40</v>
      </c>
      <c r="F65" s="1" t="s">
        <v>16</v>
      </c>
      <c r="G65" s="1" t="s">
        <v>30</v>
      </c>
      <c r="H65" s="1" t="s">
        <v>18</v>
      </c>
      <c r="I65" s="1" t="s">
        <v>26</v>
      </c>
      <c r="J65" s="1" t="s">
        <v>36</v>
      </c>
      <c r="K65" s="1" t="s">
        <v>47</v>
      </c>
      <c r="L65" s="1">
        <v>2</v>
      </c>
      <c r="M65" s="1">
        <v>1041.2</v>
      </c>
      <c r="N65" s="1">
        <v>15</v>
      </c>
      <c r="O65" s="1">
        <v>1770.04</v>
      </c>
      <c r="P65" s="1">
        <f t="shared" si="0"/>
        <v>2082.4</v>
      </c>
      <c r="Q65" s="10">
        <f t="shared" si="1"/>
        <v>265.50599999999997</v>
      </c>
      <c r="R65" s="11">
        <f t="shared" si="2"/>
        <v>1816.8940000000002</v>
      </c>
      <c r="S65" s="1" t="str">
        <f t="shared" si="3"/>
        <v>Low</v>
      </c>
      <c r="T65" s="1" t="str" cm="1">
        <f t="array" ref="T65">_xlfn.IFS(L65&gt;5,"High",L65=5,"mediam",L65&lt;5,"low")</f>
        <v>low</v>
      </c>
      <c r="U65" s="1" t="b">
        <f t="shared" si="4"/>
        <v>0</v>
      </c>
    </row>
    <row r="66" spans="1:21" x14ac:dyDescent="0.3">
      <c r="A66" s="5">
        <v>10065</v>
      </c>
      <c r="B66" s="1">
        <v>1273</v>
      </c>
      <c r="C66" s="2">
        <v>45054</v>
      </c>
      <c r="D66" s="2">
        <v>45058</v>
      </c>
      <c r="E66" s="1" t="s">
        <v>15</v>
      </c>
      <c r="F66" s="1" t="s">
        <v>38</v>
      </c>
      <c r="G66" s="1" t="s">
        <v>17</v>
      </c>
      <c r="H66" s="1" t="s">
        <v>42</v>
      </c>
      <c r="I66" s="1" t="s">
        <v>19</v>
      </c>
      <c r="J66" s="1" t="s">
        <v>43</v>
      </c>
      <c r="K66" s="1" t="s">
        <v>45</v>
      </c>
      <c r="L66" s="1">
        <v>2</v>
      </c>
      <c r="M66" s="1">
        <v>2773.21</v>
      </c>
      <c r="N66" s="1">
        <v>10</v>
      </c>
      <c r="O66" s="1">
        <v>4991.78</v>
      </c>
      <c r="P66" s="1">
        <f t="shared" si="0"/>
        <v>5546.42</v>
      </c>
      <c r="Q66" s="10">
        <f t="shared" si="1"/>
        <v>499.178</v>
      </c>
      <c r="R66" s="11">
        <f t="shared" si="2"/>
        <v>5047.2420000000002</v>
      </c>
      <c r="S66" s="1" t="str">
        <f t="shared" si="3"/>
        <v>Low</v>
      </c>
      <c r="T66" s="1" t="str" cm="1">
        <f t="array" ref="T66">_xlfn.IFS(L66&gt;5,"High",L66=5,"mediam",L66&lt;5,"low")</f>
        <v>low</v>
      </c>
      <c r="U66" s="1" t="b">
        <f t="shared" si="4"/>
        <v>0</v>
      </c>
    </row>
    <row r="67" spans="1:21" x14ac:dyDescent="0.3">
      <c r="A67" s="5">
        <v>10066</v>
      </c>
      <c r="B67" s="1">
        <v>1387</v>
      </c>
      <c r="C67" s="2">
        <v>45155</v>
      </c>
      <c r="D67" s="2">
        <v>45158</v>
      </c>
      <c r="E67" s="1" t="s">
        <v>15</v>
      </c>
      <c r="F67" s="1" t="s">
        <v>23</v>
      </c>
      <c r="G67" s="1" t="s">
        <v>17</v>
      </c>
      <c r="H67" s="1" t="s">
        <v>35</v>
      </c>
      <c r="I67" s="1" t="s">
        <v>57</v>
      </c>
      <c r="J67" s="1" t="s">
        <v>67</v>
      </c>
      <c r="K67" s="1" t="s">
        <v>45</v>
      </c>
      <c r="L67" s="1">
        <v>8</v>
      </c>
      <c r="M67" s="1">
        <v>3769.71</v>
      </c>
      <c r="N67" s="1">
        <v>5</v>
      </c>
      <c r="O67" s="1">
        <v>28649.8</v>
      </c>
      <c r="P67" s="1">
        <f t="shared" ref="P67:P130" si="5">L67*M67</f>
        <v>30157.68</v>
      </c>
      <c r="Q67" s="10">
        <f t="shared" ref="Q67:Q130" si="6">O67*N67%</f>
        <v>1432.49</v>
      </c>
      <c r="R67" s="11">
        <f t="shared" ref="R67:R130" si="7">P67-Q67</f>
        <v>28725.19</v>
      </c>
      <c r="S67" s="1" t="str">
        <f t="shared" ref="S67:S130" si="8">IF(L67&gt;=5,"High","Low")</f>
        <v>High</v>
      </c>
      <c r="T67" s="1" t="str" cm="1">
        <f t="array" ref="T67">_xlfn.IFS(L67&gt;5,"High",L67=5,"mediam",L67&lt;5,"low")</f>
        <v>High</v>
      </c>
      <c r="U67" s="1" t="str">
        <f t="shared" ref="U67:U130" si="9">IF(L67&gt;5,"High",IF(L67="Mediam","Low"))</f>
        <v>High</v>
      </c>
    </row>
    <row r="68" spans="1:21" x14ac:dyDescent="0.3">
      <c r="A68" s="5">
        <v>10067</v>
      </c>
      <c r="B68" s="1">
        <v>1600</v>
      </c>
      <c r="C68" s="2">
        <v>45037</v>
      </c>
      <c r="D68" s="2">
        <v>45038</v>
      </c>
      <c r="E68" s="1" t="s">
        <v>16</v>
      </c>
      <c r="F68" s="1" t="s">
        <v>41</v>
      </c>
      <c r="G68" s="1" t="s">
        <v>24</v>
      </c>
      <c r="H68" s="1" t="s">
        <v>42</v>
      </c>
      <c r="I68" s="1" t="s">
        <v>52</v>
      </c>
      <c r="J68" s="1" t="s">
        <v>64</v>
      </c>
      <c r="K68" s="1" t="s">
        <v>28</v>
      </c>
      <c r="L68" s="1">
        <v>1</v>
      </c>
      <c r="M68" s="1">
        <v>330.13</v>
      </c>
      <c r="N68" s="1">
        <v>15</v>
      </c>
      <c r="O68" s="1">
        <v>280.61</v>
      </c>
      <c r="P68" s="1">
        <f t="shared" si="5"/>
        <v>330.13</v>
      </c>
      <c r="Q68" s="10">
        <f t="shared" si="6"/>
        <v>42.091500000000003</v>
      </c>
      <c r="R68" s="11">
        <f t="shared" si="7"/>
        <v>288.0385</v>
      </c>
      <c r="S68" s="1" t="str">
        <f t="shared" si="8"/>
        <v>Low</v>
      </c>
      <c r="T68" s="1" t="str" cm="1">
        <f t="array" ref="T68">_xlfn.IFS(L68&gt;5,"High",L68=5,"mediam",L68&lt;5,"low")</f>
        <v>low</v>
      </c>
      <c r="U68" s="1" t="b">
        <f t="shared" si="9"/>
        <v>0</v>
      </c>
    </row>
    <row r="69" spans="1:21" x14ac:dyDescent="0.3">
      <c r="A69" s="5">
        <v>10068</v>
      </c>
      <c r="B69" s="1">
        <v>1315</v>
      </c>
      <c r="C69" s="2">
        <v>45062</v>
      </c>
      <c r="D69" s="2">
        <v>45064</v>
      </c>
      <c r="E69" s="1" t="s">
        <v>34</v>
      </c>
      <c r="F69" s="1" t="s">
        <v>41</v>
      </c>
      <c r="G69" s="1" t="s">
        <v>30</v>
      </c>
      <c r="H69" s="1" t="s">
        <v>44</v>
      </c>
      <c r="I69" s="1" t="s">
        <v>31</v>
      </c>
      <c r="J69" s="1" t="s">
        <v>48</v>
      </c>
      <c r="K69" s="1" t="s">
        <v>28</v>
      </c>
      <c r="L69" s="1">
        <v>6</v>
      </c>
      <c r="M69" s="1">
        <v>1380.66</v>
      </c>
      <c r="N69" s="1">
        <v>0</v>
      </c>
      <c r="O69" s="1">
        <v>8283.9599999999991</v>
      </c>
      <c r="P69" s="1">
        <f t="shared" si="5"/>
        <v>8283.9600000000009</v>
      </c>
      <c r="Q69" s="10">
        <f t="shared" si="6"/>
        <v>0</v>
      </c>
      <c r="R69" s="11">
        <f t="shared" si="7"/>
        <v>8283.9600000000009</v>
      </c>
      <c r="S69" s="1" t="str">
        <f t="shared" si="8"/>
        <v>High</v>
      </c>
      <c r="T69" s="1" t="str" cm="1">
        <f t="array" ref="T69">_xlfn.IFS(L69&gt;5,"High",L69=5,"mediam",L69&lt;5,"low")</f>
        <v>High</v>
      </c>
      <c r="U69" s="1" t="str">
        <f t="shared" si="9"/>
        <v>High</v>
      </c>
    </row>
    <row r="70" spans="1:21" x14ac:dyDescent="0.3">
      <c r="A70" s="5">
        <v>10069</v>
      </c>
      <c r="B70" s="1">
        <v>1013</v>
      </c>
      <c r="C70" s="2">
        <v>45288</v>
      </c>
      <c r="D70" s="2">
        <v>45296</v>
      </c>
      <c r="E70" s="1" t="s">
        <v>15</v>
      </c>
      <c r="F70" s="1" t="s">
        <v>23</v>
      </c>
      <c r="G70" s="1" t="s">
        <v>17</v>
      </c>
      <c r="H70" s="1" t="s">
        <v>44</v>
      </c>
      <c r="I70" s="1" t="s">
        <v>57</v>
      </c>
      <c r="J70" s="1" t="s">
        <v>62</v>
      </c>
      <c r="K70" s="1" t="s">
        <v>33</v>
      </c>
      <c r="L70" s="1">
        <v>6</v>
      </c>
      <c r="M70" s="1">
        <v>1836.98</v>
      </c>
      <c r="N70" s="1">
        <v>5</v>
      </c>
      <c r="O70" s="1">
        <v>10470.790000000001</v>
      </c>
      <c r="P70" s="1">
        <f t="shared" si="5"/>
        <v>11021.880000000001</v>
      </c>
      <c r="Q70" s="10">
        <f t="shared" si="6"/>
        <v>523.53950000000009</v>
      </c>
      <c r="R70" s="11">
        <f t="shared" si="7"/>
        <v>10498.3405</v>
      </c>
      <c r="S70" s="1" t="str">
        <f t="shared" si="8"/>
        <v>High</v>
      </c>
      <c r="T70" s="1" t="str" cm="1">
        <f t="array" ref="T70">_xlfn.IFS(L70&gt;5,"High",L70=5,"mediam",L70&lt;5,"low")</f>
        <v>High</v>
      </c>
      <c r="U70" s="1" t="str">
        <f t="shared" si="9"/>
        <v>High</v>
      </c>
    </row>
    <row r="71" spans="1:21" x14ac:dyDescent="0.3">
      <c r="A71" s="5">
        <v>10070</v>
      </c>
      <c r="B71" s="1">
        <v>1241</v>
      </c>
      <c r="C71" s="2">
        <v>45112</v>
      </c>
      <c r="D71" s="2">
        <v>45113</v>
      </c>
      <c r="E71" s="1" t="s">
        <v>46</v>
      </c>
      <c r="F71" s="1" t="s">
        <v>41</v>
      </c>
      <c r="G71" s="1" t="s">
        <v>17</v>
      </c>
      <c r="H71" s="1" t="s">
        <v>35</v>
      </c>
      <c r="I71" s="1" t="s">
        <v>31</v>
      </c>
      <c r="J71" s="1" t="s">
        <v>39</v>
      </c>
      <c r="K71" s="1" t="s">
        <v>33</v>
      </c>
      <c r="L71" s="1">
        <v>4</v>
      </c>
      <c r="M71" s="1">
        <v>3612.15</v>
      </c>
      <c r="N71" s="1">
        <v>20</v>
      </c>
      <c r="O71" s="1">
        <v>11558.88</v>
      </c>
      <c r="P71" s="1">
        <f t="shared" si="5"/>
        <v>14448.6</v>
      </c>
      <c r="Q71" s="10">
        <f t="shared" si="6"/>
        <v>2311.7759999999998</v>
      </c>
      <c r="R71" s="11">
        <f t="shared" si="7"/>
        <v>12136.824000000001</v>
      </c>
      <c r="S71" s="1" t="str">
        <f t="shared" si="8"/>
        <v>Low</v>
      </c>
      <c r="T71" s="1" t="str" cm="1">
        <f t="array" ref="T71">_xlfn.IFS(L71&gt;5,"High",L71=5,"mediam",L71&lt;5,"low")</f>
        <v>low</v>
      </c>
      <c r="U71" s="1" t="b">
        <f t="shared" si="9"/>
        <v>0</v>
      </c>
    </row>
    <row r="72" spans="1:21" x14ac:dyDescent="0.3">
      <c r="A72" s="5">
        <v>10071</v>
      </c>
      <c r="B72" s="1">
        <v>1776</v>
      </c>
      <c r="C72" s="2">
        <v>45070</v>
      </c>
      <c r="D72" s="2">
        <v>45078</v>
      </c>
      <c r="E72" s="1" t="s">
        <v>15</v>
      </c>
      <c r="F72" s="1" t="s">
        <v>29</v>
      </c>
      <c r="G72" s="1" t="s">
        <v>17</v>
      </c>
      <c r="H72" s="1" t="s">
        <v>18</v>
      </c>
      <c r="I72" s="1" t="s">
        <v>26</v>
      </c>
      <c r="J72" s="1" t="s">
        <v>61</v>
      </c>
      <c r="K72" s="1" t="s">
        <v>47</v>
      </c>
      <c r="L72" s="1">
        <v>3</v>
      </c>
      <c r="M72" s="1">
        <v>3854.71</v>
      </c>
      <c r="N72" s="1">
        <v>5</v>
      </c>
      <c r="O72" s="1">
        <v>10985.92</v>
      </c>
      <c r="P72" s="1">
        <f t="shared" si="5"/>
        <v>11564.130000000001</v>
      </c>
      <c r="Q72" s="10">
        <f t="shared" si="6"/>
        <v>549.29600000000005</v>
      </c>
      <c r="R72" s="11">
        <f t="shared" si="7"/>
        <v>11014.834000000001</v>
      </c>
      <c r="S72" s="1" t="str">
        <f t="shared" si="8"/>
        <v>Low</v>
      </c>
      <c r="T72" s="1" t="str" cm="1">
        <f t="array" ref="T72">_xlfn.IFS(L72&gt;5,"High",L72=5,"mediam",L72&lt;5,"low")</f>
        <v>low</v>
      </c>
      <c r="U72" s="1" t="b">
        <f t="shared" si="9"/>
        <v>0</v>
      </c>
    </row>
    <row r="73" spans="1:21" x14ac:dyDescent="0.3">
      <c r="A73" s="5">
        <v>10072</v>
      </c>
      <c r="B73" s="1">
        <v>1345</v>
      </c>
      <c r="C73" s="2">
        <v>44998</v>
      </c>
      <c r="D73" s="2">
        <v>45005</v>
      </c>
      <c r="E73" s="1" t="s">
        <v>16</v>
      </c>
      <c r="F73" s="1" t="s">
        <v>54</v>
      </c>
      <c r="G73" s="1" t="s">
        <v>17</v>
      </c>
      <c r="H73" s="1" t="s">
        <v>18</v>
      </c>
      <c r="I73" s="1" t="s">
        <v>19</v>
      </c>
      <c r="J73" s="1" t="s">
        <v>55</v>
      </c>
      <c r="K73" s="1" t="s">
        <v>47</v>
      </c>
      <c r="L73" s="1">
        <v>3</v>
      </c>
      <c r="M73" s="1">
        <v>1859.84</v>
      </c>
      <c r="N73" s="1">
        <v>15</v>
      </c>
      <c r="O73" s="1">
        <v>4742.59</v>
      </c>
      <c r="P73" s="1">
        <f t="shared" si="5"/>
        <v>5579.5199999999995</v>
      </c>
      <c r="Q73" s="10">
        <f t="shared" si="6"/>
        <v>711.38850000000002</v>
      </c>
      <c r="R73" s="11">
        <f t="shared" si="7"/>
        <v>4868.1314999999995</v>
      </c>
      <c r="S73" s="1" t="str">
        <f t="shared" si="8"/>
        <v>Low</v>
      </c>
      <c r="T73" s="1" t="str" cm="1">
        <f t="array" ref="T73">_xlfn.IFS(L73&gt;5,"High",L73=5,"mediam",L73&lt;5,"low")</f>
        <v>low</v>
      </c>
      <c r="U73" s="1" t="b">
        <f t="shared" si="9"/>
        <v>0</v>
      </c>
    </row>
    <row r="74" spans="1:21" x14ac:dyDescent="0.3">
      <c r="A74" s="5">
        <v>10073</v>
      </c>
      <c r="B74" s="1">
        <v>1564</v>
      </c>
      <c r="C74" s="2">
        <v>45055</v>
      </c>
      <c r="D74" s="2">
        <v>45063</v>
      </c>
      <c r="E74" s="1" t="s">
        <v>40</v>
      </c>
      <c r="F74" s="1" t="s">
        <v>16</v>
      </c>
      <c r="G74" s="1" t="s">
        <v>17</v>
      </c>
      <c r="H74" s="1" t="s">
        <v>25</v>
      </c>
      <c r="I74" s="1" t="s">
        <v>49</v>
      </c>
      <c r="J74" s="1" t="s">
        <v>68</v>
      </c>
      <c r="K74" s="1" t="s">
        <v>21</v>
      </c>
      <c r="L74" s="1">
        <v>1</v>
      </c>
      <c r="M74" s="1">
        <v>3037.61</v>
      </c>
      <c r="N74" s="1">
        <v>5</v>
      </c>
      <c r="O74" s="1">
        <v>2885.73</v>
      </c>
      <c r="P74" s="1">
        <f t="shared" si="5"/>
        <v>3037.61</v>
      </c>
      <c r="Q74" s="10">
        <f t="shared" si="6"/>
        <v>144.28650000000002</v>
      </c>
      <c r="R74" s="11">
        <f t="shared" si="7"/>
        <v>2893.3235</v>
      </c>
      <c r="S74" s="1" t="str">
        <f t="shared" si="8"/>
        <v>Low</v>
      </c>
      <c r="T74" s="1" t="str" cm="1">
        <f t="array" ref="T74">_xlfn.IFS(L74&gt;5,"High",L74=5,"mediam",L74&lt;5,"low")</f>
        <v>low</v>
      </c>
      <c r="U74" s="1" t="b">
        <f t="shared" si="9"/>
        <v>0</v>
      </c>
    </row>
    <row r="75" spans="1:21" x14ac:dyDescent="0.3">
      <c r="A75" s="5">
        <v>10074</v>
      </c>
      <c r="B75" s="1">
        <v>1897</v>
      </c>
      <c r="C75" s="2">
        <v>45290</v>
      </c>
      <c r="D75" s="2">
        <v>45296</v>
      </c>
      <c r="E75" s="1" t="s">
        <v>16</v>
      </c>
      <c r="F75" s="1" t="s">
        <v>54</v>
      </c>
      <c r="G75" s="1" t="s">
        <v>30</v>
      </c>
      <c r="H75" s="1" t="s">
        <v>35</v>
      </c>
      <c r="I75" s="1" t="s">
        <v>19</v>
      </c>
      <c r="J75" s="1" t="s">
        <v>43</v>
      </c>
      <c r="K75" s="1" t="s">
        <v>33</v>
      </c>
      <c r="L75" s="1">
        <v>3</v>
      </c>
      <c r="M75" s="1">
        <v>2196.89</v>
      </c>
      <c r="N75" s="1">
        <v>0</v>
      </c>
      <c r="O75" s="1">
        <v>6590.67</v>
      </c>
      <c r="P75" s="1">
        <f t="shared" si="5"/>
        <v>6590.67</v>
      </c>
      <c r="Q75" s="10">
        <f t="shared" si="6"/>
        <v>0</v>
      </c>
      <c r="R75" s="11">
        <f t="shared" si="7"/>
        <v>6590.67</v>
      </c>
      <c r="S75" s="1" t="str">
        <f t="shared" si="8"/>
        <v>Low</v>
      </c>
      <c r="T75" s="1" t="str" cm="1">
        <f t="array" ref="T75">_xlfn.IFS(L75&gt;5,"High",L75=5,"mediam",L75&lt;5,"low")</f>
        <v>low</v>
      </c>
      <c r="U75" s="1" t="b">
        <f t="shared" si="9"/>
        <v>0</v>
      </c>
    </row>
    <row r="76" spans="1:21" x14ac:dyDescent="0.3">
      <c r="A76" s="5">
        <v>10075</v>
      </c>
      <c r="B76" s="1">
        <v>1339</v>
      </c>
      <c r="C76" s="2">
        <v>45187</v>
      </c>
      <c r="D76" s="2">
        <v>45196</v>
      </c>
      <c r="E76" s="1" t="s">
        <v>40</v>
      </c>
      <c r="F76" s="1" t="s">
        <v>16</v>
      </c>
      <c r="G76" s="1" t="s">
        <v>30</v>
      </c>
      <c r="H76" s="1" t="s">
        <v>42</v>
      </c>
      <c r="I76" s="1" t="s">
        <v>57</v>
      </c>
      <c r="J76" s="1" t="s">
        <v>58</v>
      </c>
      <c r="K76" s="1" t="s">
        <v>45</v>
      </c>
      <c r="L76" s="1">
        <v>4</v>
      </c>
      <c r="M76" s="1">
        <v>2220.46</v>
      </c>
      <c r="N76" s="1">
        <v>0</v>
      </c>
      <c r="O76" s="1">
        <v>8881.84</v>
      </c>
      <c r="P76" s="1">
        <f t="shared" si="5"/>
        <v>8881.84</v>
      </c>
      <c r="Q76" s="10">
        <f t="shared" si="6"/>
        <v>0</v>
      </c>
      <c r="R76" s="11">
        <f t="shared" si="7"/>
        <v>8881.84</v>
      </c>
      <c r="S76" s="1" t="str">
        <f t="shared" si="8"/>
        <v>Low</v>
      </c>
      <c r="T76" s="1" t="str" cm="1">
        <f t="array" ref="T76">_xlfn.IFS(L76&gt;5,"High",L76=5,"mediam",L76&lt;5,"low")</f>
        <v>low</v>
      </c>
      <c r="U76" s="1" t="b">
        <f t="shared" si="9"/>
        <v>0</v>
      </c>
    </row>
    <row r="77" spans="1:21" x14ac:dyDescent="0.3">
      <c r="A77" s="5">
        <v>10076</v>
      </c>
      <c r="B77" s="1">
        <v>1091</v>
      </c>
      <c r="C77" s="2">
        <v>44929</v>
      </c>
      <c r="D77" s="2">
        <v>44932</v>
      </c>
      <c r="E77" s="1" t="s">
        <v>22</v>
      </c>
      <c r="F77" s="1" t="s">
        <v>16</v>
      </c>
      <c r="G77" s="1" t="s">
        <v>30</v>
      </c>
      <c r="H77" s="1" t="s">
        <v>35</v>
      </c>
      <c r="I77" s="1" t="s">
        <v>31</v>
      </c>
      <c r="J77" s="1" t="s">
        <v>39</v>
      </c>
      <c r="K77" s="1" t="s">
        <v>33</v>
      </c>
      <c r="L77" s="1">
        <v>5</v>
      </c>
      <c r="M77" s="1">
        <v>1220.68</v>
      </c>
      <c r="N77" s="1">
        <v>20</v>
      </c>
      <c r="O77" s="1">
        <v>4882.72</v>
      </c>
      <c r="P77" s="1">
        <f t="shared" si="5"/>
        <v>6103.4000000000005</v>
      </c>
      <c r="Q77" s="10">
        <f t="shared" si="6"/>
        <v>976.5440000000001</v>
      </c>
      <c r="R77" s="11">
        <f t="shared" si="7"/>
        <v>5126.8560000000007</v>
      </c>
      <c r="S77" s="1" t="str">
        <f t="shared" si="8"/>
        <v>High</v>
      </c>
      <c r="T77" s="1" t="str" cm="1">
        <f t="array" ref="T77">_xlfn.IFS(L77&gt;5,"High",L77=5,"mediam",L77&lt;5,"low")</f>
        <v>mediam</v>
      </c>
      <c r="U77" s="1" t="b">
        <f t="shared" si="9"/>
        <v>0</v>
      </c>
    </row>
    <row r="78" spans="1:21" x14ac:dyDescent="0.3">
      <c r="A78" s="5">
        <v>10077</v>
      </c>
      <c r="B78" s="1">
        <v>1366</v>
      </c>
      <c r="C78" s="2">
        <v>45030</v>
      </c>
      <c r="D78" s="2">
        <v>45034</v>
      </c>
      <c r="E78" s="1" t="s">
        <v>22</v>
      </c>
      <c r="F78" s="1" t="s">
        <v>54</v>
      </c>
      <c r="G78" s="1" t="s">
        <v>30</v>
      </c>
      <c r="H78" s="1" t="s">
        <v>25</v>
      </c>
      <c r="I78" s="1" t="s">
        <v>31</v>
      </c>
      <c r="J78" s="1" t="s">
        <v>32</v>
      </c>
      <c r="K78" s="1" t="s">
        <v>45</v>
      </c>
      <c r="L78" s="1">
        <v>3</v>
      </c>
      <c r="M78" s="1">
        <v>985.28</v>
      </c>
      <c r="N78" s="1">
        <v>10</v>
      </c>
      <c r="O78" s="1">
        <v>2660.26</v>
      </c>
      <c r="P78" s="1">
        <f t="shared" si="5"/>
        <v>2955.84</v>
      </c>
      <c r="Q78" s="10">
        <f t="shared" si="6"/>
        <v>266.02600000000001</v>
      </c>
      <c r="R78" s="11">
        <f t="shared" si="7"/>
        <v>2689.8140000000003</v>
      </c>
      <c r="S78" s="1" t="str">
        <f t="shared" si="8"/>
        <v>Low</v>
      </c>
      <c r="T78" s="1" t="str" cm="1">
        <f t="array" ref="T78">_xlfn.IFS(L78&gt;5,"High",L78=5,"mediam",L78&lt;5,"low")</f>
        <v>low</v>
      </c>
      <c r="U78" s="1" t="b">
        <f t="shared" si="9"/>
        <v>0</v>
      </c>
    </row>
    <row r="79" spans="1:21" x14ac:dyDescent="0.3">
      <c r="A79" s="5">
        <v>10078</v>
      </c>
      <c r="B79" s="1">
        <v>1955</v>
      </c>
      <c r="C79" s="2">
        <v>45150</v>
      </c>
      <c r="D79" s="2">
        <v>45156</v>
      </c>
      <c r="E79" s="1" t="s">
        <v>40</v>
      </c>
      <c r="F79" s="1" t="s">
        <v>23</v>
      </c>
      <c r="G79" s="1" t="s">
        <v>24</v>
      </c>
      <c r="H79" s="1" t="s">
        <v>35</v>
      </c>
      <c r="I79" s="1" t="s">
        <v>52</v>
      </c>
      <c r="J79" s="1" t="s">
        <v>60</v>
      </c>
      <c r="K79" s="1" t="s">
        <v>28</v>
      </c>
      <c r="L79" s="1">
        <v>6</v>
      </c>
      <c r="M79" s="1">
        <v>1258.82</v>
      </c>
      <c r="N79" s="1">
        <v>15</v>
      </c>
      <c r="O79" s="1">
        <v>6419.98</v>
      </c>
      <c r="P79" s="1">
        <f t="shared" si="5"/>
        <v>7552.92</v>
      </c>
      <c r="Q79" s="10">
        <f t="shared" si="6"/>
        <v>962.99699999999984</v>
      </c>
      <c r="R79" s="11">
        <f t="shared" si="7"/>
        <v>6589.9230000000007</v>
      </c>
      <c r="S79" s="1" t="str">
        <f t="shared" si="8"/>
        <v>High</v>
      </c>
      <c r="T79" s="1" t="str" cm="1">
        <f t="array" ref="T79">_xlfn.IFS(L79&gt;5,"High",L79=5,"mediam",L79&lt;5,"low")</f>
        <v>High</v>
      </c>
      <c r="U79" s="1" t="str">
        <f t="shared" si="9"/>
        <v>High</v>
      </c>
    </row>
    <row r="80" spans="1:21" x14ac:dyDescent="0.3">
      <c r="A80" s="5">
        <v>10079</v>
      </c>
      <c r="B80" s="1">
        <v>1454</v>
      </c>
      <c r="C80" s="2">
        <v>45246</v>
      </c>
      <c r="D80" s="2">
        <v>45254</v>
      </c>
      <c r="E80" s="1" t="s">
        <v>34</v>
      </c>
      <c r="F80" s="1" t="s">
        <v>16</v>
      </c>
      <c r="G80" s="1" t="s">
        <v>30</v>
      </c>
      <c r="H80" s="1" t="s">
        <v>35</v>
      </c>
      <c r="I80" s="1" t="s">
        <v>31</v>
      </c>
      <c r="J80" s="1" t="s">
        <v>32</v>
      </c>
      <c r="K80" s="1" t="s">
        <v>33</v>
      </c>
      <c r="L80" s="1">
        <v>5</v>
      </c>
      <c r="M80" s="1">
        <v>2291.86</v>
      </c>
      <c r="N80" s="1">
        <v>15</v>
      </c>
      <c r="O80" s="1">
        <v>9740.4</v>
      </c>
      <c r="P80" s="1">
        <f t="shared" si="5"/>
        <v>11459.300000000001</v>
      </c>
      <c r="Q80" s="10">
        <f t="shared" si="6"/>
        <v>1461.06</v>
      </c>
      <c r="R80" s="11">
        <f t="shared" si="7"/>
        <v>9998.2400000000016</v>
      </c>
      <c r="S80" s="1" t="str">
        <f t="shared" si="8"/>
        <v>High</v>
      </c>
      <c r="T80" s="1" t="str" cm="1">
        <f t="array" ref="T80">_xlfn.IFS(L80&gt;5,"High",L80=5,"mediam",L80&lt;5,"low")</f>
        <v>mediam</v>
      </c>
      <c r="U80" s="1" t="b">
        <f t="shared" si="9"/>
        <v>0</v>
      </c>
    </row>
    <row r="81" spans="1:21" x14ac:dyDescent="0.3">
      <c r="A81" s="5">
        <v>10080</v>
      </c>
      <c r="B81" s="1">
        <v>1427</v>
      </c>
      <c r="C81" s="2">
        <v>45288</v>
      </c>
      <c r="D81" s="2">
        <v>45293</v>
      </c>
      <c r="E81" s="1" t="s">
        <v>15</v>
      </c>
      <c r="F81" s="1" t="s">
        <v>54</v>
      </c>
      <c r="G81" s="1" t="s">
        <v>17</v>
      </c>
      <c r="H81" s="1" t="s">
        <v>25</v>
      </c>
      <c r="I81" s="1" t="s">
        <v>52</v>
      </c>
      <c r="J81" s="1" t="s">
        <v>56</v>
      </c>
      <c r="K81" s="1" t="s">
        <v>28</v>
      </c>
      <c r="L81" s="1">
        <v>3</v>
      </c>
      <c r="M81" s="1">
        <v>262.25</v>
      </c>
      <c r="N81" s="1">
        <v>10</v>
      </c>
      <c r="O81" s="1">
        <v>708.07</v>
      </c>
      <c r="P81" s="1">
        <f t="shared" si="5"/>
        <v>786.75</v>
      </c>
      <c r="Q81" s="10">
        <f t="shared" si="6"/>
        <v>70.807000000000002</v>
      </c>
      <c r="R81" s="11">
        <f t="shared" si="7"/>
        <v>715.94299999999998</v>
      </c>
      <c r="S81" s="1" t="str">
        <f t="shared" si="8"/>
        <v>Low</v>
      </c>
      <c r="T81" s="1" t="str" cm="1">
        <f t="array" ref="T81">_xlfn.IFS(L81&gt;5,"High",L81=5,"mediam",L81&lt;5,"low")</f>
        <v>low</v>
      </c>
      <c r="U81" s="1" t="b">
        <f t="shared" si="9"/>
        <v>0</v>
      </c>
    </row>
    <row r="82" spans="1:21" x14ac:dyDescent="0.3">
      <c r="A82" s="5">
        <v>10081</v>
      </c>
      <c r="B82" s="1">
        <v>1508</v>
      </c>
      <c r="C82" s="2">
        <v>45280</v>
      </c>
      <c r="D82" s="2">
        <v>45283</v>
      </c>
      <c r="E82" s="1" t="s">
        <v>46</v>
      </c>
      <c r="F82" s="1" t="s">
        <v>16</v>
      </c>
      <c r="G82" s="1" t="s">
        <v>30</v>
      </c>
      <c r="H82" s="1" t="s">
        <v>18</v>
      </c>
      <c r="I82" s="1" t="s">
        <v>26</v>
      </c>
      <c r="J82" s="1" t="s">
        <v>27</v>
      </c>
      <c r="K82" s="1" t="s">
        <v>47</v>
      </c>
      <c r="L82" s="1">
        <v>6</v>
      </c>
      <c r="M82" s="1">
        <v>3642.91</v>
      </c>
      <c r="N82" s="1">
        <v>0</v>
      </c>
      <c r="O82" s="1">
        <v>21857.46</v>
      </c>
      <c r="P82" s="1">
        <f t="shared" si="5"/>
        <v>21857.46</v>
      </c>
      <c r="Q82" s="10">
        <f t="shared" si="6"/>
        <v>0</v>
      </c>
      <c r="R82" s="11">
        <f t="shared" si="7"/>
        <v>21857.46</v>
      </c>
      <c r="S82" s="1" t="str">
        <f t="shared" si="8"/>
        <v>High</v>
      </c>
      <c r="T82" s="1" t="str" cm="1">
        <f t="array" ref="T82">_xlfn.IFS(L82&gt;5,"High",L82=5,"mediam",L82&lt;5,"low")</f>
        <v>High</v>
      </c>
      <c r="U82" s="1" t="str">
        <f t="shared" si="9"/>
        <v>High</v>
      </c>
    </row>
    <row r="83" spans="1:21" x14ac:dyDescent="0.3">
      <c r="A83" s="5">
        <v>10082</v>
      </c>
      <c r="B83" s="1">
        <v>1775</v>
      </c>
      <c r="C83" s="2">
        <v>44936</v>
      </c>
      <c r="D83" s="2">
        <v>44942</v>
      </c>
      <c r="E83" s="1" t="s">
        <v>46</v>
      </c>
      <c r="F83" s="1" t="s">
        <v>38</v>
      </c>
      <c r="G83" s="1" t="s">
        <v>24</v>
      </c>
      <c r="H83" s="1" t="s">
        <v>42</v>
      </c>
      <c r="I83" s="1" t="s">
        <v>49</v>
      </c>
      <c r="J83" s="1" t="s">
        <v>63</v>
      </c>
      <c r="K83" s="1" t="s">
        <v>47</v>
      </c>
      <c r="L83" s="1">
        <v>6</v>
      </c>
      <c r="M83" s="1">
        <v>751.69</v>
      </c>
      <c r="N83" s="1">
        <v>0</v>
      </c>
      <c r="O83" s="1">
        <v>4510.1400000000003</v>
      </c>
      <c r="P83" s="1">
        <f t="shared" si="5"/>
        <v>4510.1400000000003</v>
      </c>
      <c r="Q83" s="10">
        <f t="shared" si="6"/>
        <v>0</v>
      </c>
      <c r="R83" s="11">
        <f t="shared" si="7"/>
        <v>4510.1400000000003</v>
      </c>
      <c r="S83" s="1" t="str">
        <f t="shared" si="8"/>
        <v>High</v>
      </c>
      <c r="T83" s="1" t="str" cm="1">
        <f t="array" ref="T83">_xlfn.IFS(L83&gt;5,"High",L83=5,"mediam",L83&lt;5,"low")</f>
        <v>High</v>
      </c>
      <c r="U83" s="1" t="str">
        <f t="shared" si="9"/>
        <v>High</v>
      </c>
    </row>
    <row r="84" spans="1:21" x14ac:dyDescent="0.3">
      <c r="A84" s="5">
        <v>10083</v>
      </c>
      <c r="B84" s="1">
        <v>1942</v>
      </c>
      <c r="C84" s="2">
        <v>45228</v>
      </c>
      <c r="D84" s="2">
        <v>45232</v>
      </c>
      <c r="E84" s="1" t="s">
        <v>37</v>
      </c>
      <c r="F84" s="1" t="s">
        <v>23</v>
      </c>
      <c r="G84" s="1" t="s">
        <v>17</v>
      </c>
      <c r="H84" s="1" t="s">
        <v>25</v>
      </c>
      <c r="I84" s="1" t="s">
        <v>57</v>
      </c>
      <c r="J84" s="1" t="s">
        <v>62</v>
      </c>
      <c r="K84" s="1" t="s">
        <v>21</v>
      </c>
      <c r="L84" s="1">
        <v>8</v>
      </c>
      <c r="M84" s="1">
        <v>997.34</v>
      </c>
      <c r="N84" s="1">
        <v>5</v>
      </c>
      <c r="O84" s="1">
        <v>7579.78</v>
      </c>
      <c r="P84" s="1">
        <f t="shared" si="5"/>
        <v>7978.72</v>
      </c>
      <c r="Q84" s="10">
        <f t="shared" si="6"/>
        <v>378.98900000000003</v>
      </c>
      <c r="R84" s="11">
        <f t="shared" si="7"/>
        <v>7599.7309999999998</v>
      </c>
      <c r="S84" s="1" t="str">
        <f t="shared" si="8"/>
        <v>High</v>
      </c>
      <c r="T84" s="1" t="str" cm="1">
        <f t="array" ref="T84">_xlfn.IFS(L84&gt;5,"High",L84=5,"mediam",L84&lt;5,"low")</f>
        <v>High</v>
      </c>
      <c r="U84" s="1" t="str">
        <f t="shared" si="9"/>
        <v>High</v>
      </c>
    </row>
    <row r="85" spans="1:21" x14ac:dyDescent="0.3">
      <c r="A85" s="5">
        <v>10084</v>
      </c>
      <c r="B85" s="1">
        <v>1034</v>
      </c>
      <c r="C85" s="2">
        <v>45157</v>
      </c>
      <c r="D85" s="2">
        <v>45166</v>
      </c>
      <c r="E85" s="1" t="s">
        <v>40</v>
      </c>
      <c r="F85" s="1" t="s">
        <v>29</v>
      </c>
      <c r="G85" s="1" t="s">
        <v>30</v>
      </c>
      <c r="H85" s="1" t="s">
        <v>44</v>
      </c>
      <c r="I85" s="1" t="s">
        <v>52</v>
      </c>
      <c r="J85" s="1" t="s">
        <v>56</v>
      </c>
      <c r="K85" s="1" t="s">
        <v>33</v>
      </c>
      <c r="L85" s="1">
        <v>2</v>
      </c>
      <c r="M85" s="1">
        <v>2145.36</v>
      </c>
      <c r="N85" s="1">
        <v>20</v>
      </c>
      <c r="O85" s="1">
        <v>3432.58</v>
      </c>
      <c r="P85" s="1">
        <f t="shared" si="5"/>
        <v>4290.72</v>
      </c>
      <c r="Q85" s="10">
        <f t="shared" si="6"/>
        <v>686.51600000000008</v>
      </c>
      <c r="R85" s="11">
        <f t="shared" si="7"/>
        <v>3604.2040000000002</v>
      </c>
      <c r="S85" s="1" t="str">
        <f t="shared" si="8"/>
        <v>Low</v>
      </c>
      <c r="T85" s="1" t="str" cm="1">
        <f t="array" ref="T85">_xlfn.IFS(L85&gt;5,"High",L85=5,"mediam",L85&lt;5,"low")</f>
        <v>low</v>
      </c>
      <c r="U85" s="1" t="b">
        <f t="shared" si="9"/>
        <v>0</v>
      </c>
    </row>
    <row r="86" spans="1:21" x14ac:dyDescent="0.3">
      <c r="A86" s="5">
        <v>10085</v>
      </c>
      <c r="B86" s="1">
        <v>1205</v>
      </c>
      <c r="C86" s="2">
        <v>45145</v>
      </c>
      <c r="D86" s="2">
        <v>45148</v>
      </c>
      <c r="E86" s="1" t="s">
        <v>46</v>
      </c>
      <c r="F86" s="1" t="s">
        <v>16</v>
      </c>
      <c r="G86" s="1" t="s">
        <v>30</v>
      </c>
      <c r="H86" s="1" t="s">
        <v>18</v>
      </c>
      <c r="I86" s="1" t="s">
        <v>49</v>
      </c>
      <c r="J86" s="1" t="s">
        <v>50</v>
      </c>
      <c r="K86" s="1" t="s">
        <v>28</v>
      </c>
      <c r="L86" s="1">
        <v>1</v>
      </c>
      <c r="M86" s="1">
        <v>2883.94</v>
      </c>
      <c r="N86" s="1">
        <v>20</v>
      </c>
      <c r="O86" s="1">
        <v>2307.15</v>
      </c>
      <c r="P86" s="1">
        <f t="shared" si="5"/>
        <v>2883.94</v>
      </c>
      <c r="Q86" s="10">
        <f t="shared" si="6"/>
        <v>461.43000000000006</v>
      </c>
      <c r="R86" s="11">
        <f t="shared" si="7"/>
        <v>2422.5100000000002</v>
      </c>
      <c r="S86" s="1" t="str">
        <f t="shared" si="8"/>
        <v>Low</v>
      </c>
      <c r="T86" s="1" t="str" cm="1">
        <f t="array" ref="T86">_xlfn.IFS(L86&gt;5,"High",L86=5,"mediam",L86&lt;5,"low")</f>
        <v>low</v>
      </c>
      <c r="U86" s="1" t="b">
        <f t="shared" si="9"/>
        <v>0</v>
      </c>
    </row>
    <row r="87" spans="1:21" x14ac:dyDescent="0.3">
      <c r="A87" s="5">
        <v>10086</v>
      </c>
      <c r="B87" s="1">
        <v>1080</v>
      </c>
      <c r="C87" s="2">
        <v>44992</v>
      </c>
      <c r="D87" s="2">
        <v>44996</v>
      </c>
      <c r="E87" s="1" t="s">
        <v>34</v>
      </c>
      <c r="F87" s="1" t="s">
        <v>38</v>
      </c>
      <c r="G87" s="1" t="s">
        <v>30</v>
      </c>
      <c r="H87" s="1" t="s">
        <v>44</v>
      </c>
      <c r="I87" s="1" t="s">
        <v>31</v>
      </c>
      <c r="J87" s="1" t="s">
        <v>65</v>
      </c>
      <c r="K87" s="1" t="s">
        <v>45</v>
      </c>
      <c r="L87" s="1">
        <v>4</v>
      </c>
      <c r="M87" s="1">
        <v>518.55999999999995</v>
      </c>
      <c r="N87" s="1">
        <v>20</v>
      </c>
      <c r="O87" s="1">
        <v>1659.39</v>
      </c>
      <c r="P87" s="1">
        <f t="shared" si="5"/>
        <v>2074.2399999999998</v>
      </c>
      <c r="Q87" s="10">
        <f t="shared" si="6"/>
        <v>331.87800000000004</v>
      </c>
      <c r="R87" s="11">
        <f t="shared" si="7"/>
        <v>1742.3619999999996</v>
      </c>
      <c r="S87" s="1" t="str">
        <f t="shared" si="8"/>
        <v>Low</v>
      </c>
      <c r="T87" s="1" t="str" cm="1">
        <f t="array" ref="T87">_xlfn.IFS(L87&gt;5,"High",L87=5,"mediam",L87&lt;5,"low")</f>
        <v>low</v>
      </c>
      <c r="U87" s="1" t="b">
        <f t="shared" si="9"/>
        <v>0</v>
      </c>
    </row>
    <row r="88" spans="1:21" x14ac:dyDescent="0.3">
      <c r="A88" s="5">
        <v>10087</v>
      </c>
      <c r="B88" s="1">
        <v>1931</v>
      </c>
      <c r="C88" s="2">
        <v>45038</v>
      </c>
      <c r="D88" s="2">
        <v>45045</v>
      </c>
      <c r="E88" s="1" t="s">
        <v>40</v>
      </c>
      <c r="F88" s="1" t="s">
        <v>29</v>
      </c>
      <c r="G88" s="1" t="s">
        <v>17</v>
      </c>
      <c r="H88" s="1" t="s">
        <v>18</v>
      </c>
      <c r="I88" s="1" t="s">
        <v>31</v>
      </c>
      <c r="J88" s="1" t="s">
        <v>39</v>
      </c>
      <c r="K88" s="1" t="s">
        <v>47</v>
      </c>
      <c r="L88" s="1">
        <v>7</v>
      </c>
      <c r="M88" s="1">
        <v>1373.12</v>
      </c>
      <c r="N88" s="1">
        <v>5</v>
      </c>
      <c r="O88" s="1">
        <v>9131.25</v>
      </c>
      <c r="P88" s="1">
        <f t="shared" si="5"/>
        <v>9611.84</v>
      </c>
      <c r="Q88" s="10">
        <f t="shared" si="6"/>
        <v>456.5625</v>
      </c>
      <c r="R88" s="11">
        <f t="shared" si="7"/>
        <v>9155.2775000000001</v>
      </c>
      <c r="S88" s="1" t="str">
        <f t="shared" si="8"/>
        <v>High</v>
      </c>
      <c r="T88" s="1" t="str" cm="1">
        <f t="array" ref="T88">_xlfn.IFS(L88&gt;5,"High",L88=5,"mediam",L88&lt;5,"low")</f>
        <v>High</v>
      </c>
      <c r="U88" s="1" t="str">
        <f t="shared" si="9"/>
        <v>High</v>
      </c>
    </row>
    <row r="89" spans="1:21" x14ac:dyDescent="0.3">
      <c r="A89" s="5">
        <v>10088</v>
      </c>
      <c r="B89" s="1">
        <v>1561</v>
      </c>
      <c r="C89" s="2">
        <v>44939</v>
      </c>
      <c r="D89" s="2">
        <v>44946</v>
      </c>
      <c r="E89" s="1" t="s">
        <v>34</v>
      </c>
      <c r="F89" s="1" t="s">
        <v>29</v>
      </c>
      <c r="G89" s="1" t="s">
        <v>17</v>
      </c>
      <c r="H89" s="1" t="s">
        <v>42</v>
      </c>
      <c r="I89" s="1" t="s">
        <v>49</v>
      </c>
      <c r="J89" s="1" t="s">
        <v>63</v>
      </c>
      <c r="K89" s="1" t="s">
        <v>47</v>
      </c>
      <c r="L89" s="1">
        <v>3</v>
      </c>
      <c r="M89" s="1">
        <v>3879.4</v>
      </c>
      <c r="N89" s="1">
        <v>20</v>
      </c>
      <c r="O89" s="1">
        <v>9310.56</v>
      </c>
      <c r="P89" s="1">
        <f t="shared" si="5"/>
        <v>11638.2</v>
      </c>
      <c r="Q89" s="10">
        <f t="shared" si="6"/>
        <v>1862.1120000000001</v>
      </c>
      <c r="R89" s="11">
        <f t="shared" si="7"/>
        <v>9776.0879999999997</v>
      </c>
      <c r="S89" s="1" t="str">
        <f t="shared" si="8"/>
        <v>Low</v>
      </c>
      <c r="T89" s="1" t="str" cm="1">
        <f t="array" ref="T89">_xlfn.IFS(L89&gt;5,"High",L89=5,"mediam",L89&lt;5,"low")</f>
        <v>low</v>
      </c>
      <c r="U89" s="1" t="b">
        <f t="shared" si="9"/>
        <v>0</v>
      </c>
    </row>
    <row r="90" spans="1:21" x14ac:dyDescent="0.3">
      <c r="A90" s="5">
        <v>10089</v>
      </c>
      <c r="B90" s="1">
        <v>1871</v>
      </c>
      <c r="C90" s="2">
        <v>45012</v>
      </c>
      <c r="D90" s="2">
        <v>45016</v>
      </c>
      <c r="E90" s="1" t="s">
        <v>46</v>
      </c>
      <c r="F90" s="1" t="s">
        <v>16</v>
      </c>
      <c r="G90" s="1" t="s">
        <v>24</v>
      </c>
      <c r="H90" s="1" t="s">
        <v>42</v>
      </c>
      <c r="I90" s="1" t="s">
        <v>31</v>
      </c>
      <c r="J90" s="1" t="s">
        <v>48</v>
      </c>
      <c r="K90" s="1" t="s">
        <v>45</v>
      </c>
      <c r="L90" s="1">
        <v>3</v>
      </c>
      <c r="M90" s="1">
        <v>1160.02</v>
      </c>
      <c r="N90" s="1">
        <v>10</v>
      </c>
      <c r="O90" s="1">
        <v>3132.05</v>
      </c>
      <c r="P90" s="1">
        <f t="shared" si="5"/>
        <v>3480.06</v>
      </c>
      <c r="Q90" s="10">
        <f t="shared" si="6"/>
        <v>313.20500000000004</v>
      </c>
      <c r="R90" s="11">
        <f t="shared" si="7"/>
        <v>3166.855</v>
      </c>
      <c r="S90" s="1" t="str">
        <f t="shared" si="8"/>
        <v>Low</v>
      </c>
      <c r="T90" s="1" t="str" cm="1">
        <f t="array" ref="T90">_xlfn.IFS(L90&gt;5,"High",L90=5,"mediam",L90&lt;5,"low")</f>
        <v>low</v>
      </c>
      <c r="U90" s="1" t="b">
        <f t="shared" si="9"/>
        <v>0</v>
      </c>
    </row>
    <row r="91" spans="1:21" x14ac:dyDescent="0.3">
      <c r="A91" s="5">
        <v>10090</v>
      </c>
      <c r="B91" s="1">
        <v>1387</v>
      </c>
      <c r="C91" s="2">
        <v>45160</v>
      </c>
      <c r="D91" s="2">
        <v>45166</v>
      </c>
      <c r="E91" s="1" t="s">
        <v>46</v>
      </c>
      <c r="F91" s="1" t="s">
        <v>54</v>
      </c>
      <c r="G91" s="1" t="s">
        <v>17</v>
      </c>
      <c r="H91" s="1" t="s">
        <v>35</v>
      </c>
      <c r="I91" s="1" t="s">
        <v>26</v>
      </c>
      <c r="J91" s="1" t="s">
        <v>27</v>
      </c>
      <c r="K91" s="1" t="s">
        <v>28</v>
      </c>
      <c r="L91" s="1">
        <v>5</v>
      </c>
      <c r="M91" s="1">
        <v>1355.24</v>
      </c>
      <c r="N91" s="1">
        <v>5</v>
      </c>
      <c r="O91" s="1">
        <v>6437.39</v>
      </c>
      <c r="P91" s="1">
        <f t="shared" si="5"/>
        <v>6776.2</v>
      </c>
      <c r="Q91" s="10">
        <f t="shared" si="6"/>
        <v>321.86950000000002</v>
      </c>
      <c r="R91" s="11">
        <f t="shared" si="7"/>
        <v>6454.3305</v>
      </c>
      <c r="S91" s="1" t="str">
        <f t="shared" si="8"/>
        <v>High</v>
      </c>
      <c r="T91" s="1" t="str" cm="1">
        <f t="array" ref="T91">_xlfn.IFS(L91&gt;5,"High",L91=5,"mediam",L91&lt;5,"low")</f>
        <v>mediam</v>
      </c>
      <c r="U91" s="1" t="b">
        <f t="shared" si="9"/>
        <v>0</v>
      </c>
    </row>
    <row r="92" spans="1:21" x14ac:dyDescent="0.3">
      <c r="A92" s="5">
        <v>10091</v>
      </c>
      <c r="B92" s="1">
        <v>1001</v>
      </c>
      <c r="C92" s="2">
        <v>45016</v>
      </c>
      <c r="D92" s="2">
        <v>45019</v>
      </c>
      <c r="E92" s="1" t="s">
        <v>37</v>
      </c>
      <c r="F92" s="1" t="s">
        <v>16</v>
      </c>
      <c r="G92" s="1" t="s">
        <v>17</v>
      </c>
      <c r="H92" s="1" t="s">
        <v>44</v>
      </c>
      <c r="I92" s="1" t="s">
        <v>26</v>
      </c>
      <c r="J92" s="1" t="s">
        <v>27</v>
      </c>
      <c r="K92" s="1" t="s">
        <v>28</v>
      </c>
      <c r="L92" s="1">
        <v>5</v>
      </c>
      <c r="M92" s="1">
        <v>3370.52</v>
      </c>
      <c r="N92" s="1">
        <v>10</v>
      </c>
      <c r="O92" s="1">
        <v>15167.34</v>
      </c>
      <c r="P92" s="1">
        <f t="shared" si="5"/>
        <v>16852.599999999999</v>
      </c>
      <c r="Q92" s="10">
        <f t="shared" si="6"/>
        <v>1516.7340000000002</v>
      </c>
      <c r="R92" s="11">
        <f t="shared" si="7"/>
        <v>15335.865999999998</v>
      </c>
      <c r="S92" s="1" t="str">
        <f t="shared" si="8"/>
        <v>High</v>
      </c>
      <c r="T92" s="1" t="str" cm="1">
        <f t="array" ref="T92">_xlfn.IFS(L92&gt;5,"High",L92=5,"mediam",L92&lt;5,"low")</f>
        <v>mediam</v>
      </c>
      <c r="U92" s="1" t="b">
        <f t="shared" si="9"/>
        <v>0</v>
      </c>
    </row>
    <row r="93" spans="1:21" x14ac:dyDescent="0.3">
      <c r="A93" s="5">
        <v>10092</v>
      </c>
      <c r="B93" s="1">
        <v>1389</v>
      </c>
      <c r="C93" s="2">
        <v>45240</v>
      </c>
      <c r="D93" s="2">
        <v>45246</v>
      </c>
      <c r="E93" s="1" t="s">
        <v>46</v>
      </c>
      <c r="F93" s="1" t="s">
        <v>38</v>
      </c>
      <c r="G93" s="1" t="s">
        <v>30</v>
      </c>
      <c r="H93" s="1" t="s">
        <v>18</v>
      </c>
      <c r="I93" s="1" t="s">
        <v>49</v>
      </c>
      <c r="J93" s="1" t="s">
        <v>50</v>
      </c>
      <c r="K93" s="1" t="s">
        <v>33</v>
      </c>
      <c r="L93" s="1">
        <v>3</v>
      </c>
      <c r="M93" s="1">
        <v>343.33</v>
      </c>
      <c r="N93" s="1">
        <v>5</v>
      </c>
      <c r="O93" s="1">
        <v>978.49</v>
      </c>
      <c r="P93" s="1">
        <f t="shared" si="5"/>
        <v>1029.99</v>
      </c>
      <c r="Q93" s="10">
        <f t="shared" si="6"/>
        <v>48.924500000000002</v>
      </c>
      <c r="R93" s="11">
        <f t="shared" si="7"/>
        <v>981.06550000000004</v>
      </c>
      <c r="S93" s="1" t="str">
        <f t="shared" si="8"/>
        <v>Low</v>
      </c>
      <c r="T93" s="1" t="str" cm="1">
        <f t="array" ref="T93">_xlfn.IFS(L93&gt;5,"High",L93=5,"mediam",L93&lt;5,"low")</f>
        <v>low</v>
      </c>
      <c r="U93" s="1" t="b">
        <f t="shared" si="9"/>
        <v>0</v>
      </c>
    </row>
    <row r="94" spans="1:21" x14ac:dyDescent="0.3">
      <c r="A94" s="5">
        <v>10093</v>
      </c>
      <c r="B94" s="1">
        <v>1565</v>
      </c>
      <c r="C94" s="2">
        <v>44980</v>
      </c>
      <c r="D94" s="2">
        <v>44982</v>
      </c>
      <c r="E94" s="1" t="s">
        <v>40</v>
      </c>
      <c r="F94" s="1" t="s">
        <v>29</v>
      </c>
      <c r="G94" s="1" t="s">
        <v>17</v>
      </c>
      <c r="H94" s="1" t="s">
        <v>42</v>
      </c>
      <c r="I94" s="1" t="s">
        <v>52</v>
      </c>
      <c r="J94" s="1" t="s">
        <v>56</v>
      </c>
      <c r="K94" s="1" t="s">
        <v>33</v>
      </c>
      <c r="L94" s="1">
        <v>9</v>
      </c>
      <c r="M94" s="1">
        <v>1938.76</v>
      </c>
      <c r="N94" s="1">
        <v>20</v>
      </c>
      <c r="O94" s="1">
        <v>13959.07</v>
      </c>
      <c r="P94" s="1">
        <f t="shared" si="5"/>
        <v>17448.84</v>
      </c>
      <c r="Q94" s="10">
        <f t="shared" si="6"/>
        <v>2791.8140000000003</v>
      </c>
      <c r="R94" s="11">
        <f t="shared" si="7"/>
        <v>14657.026</v>
      </c>
      <c r="S94" s="1" t="str">
        <f t="shared" si="8"/>
        <v>High</v>
      </c>
      <c r="T94" s="1" t="str" cm="1">
        <f t="array" ref="T94">_xlfn.IFS(L94&gt;5,"High",L94=5,"mediam",L94&lt;5,"low")</f>
        <v>High</v>
      </c>
      <c r="U94" s="1" t="str">
        <f t="shared" si="9"/>
        <v>High</v>
      </c>
    </row>
    <row r="95" spans="1:21" x14ac:dyDescent="0.3">
      <c r="A95" s="5">
        <v>10094</v>
      </c>
      <c r="B95" s="1">
        <v>1105</v>
      </c>
      <c r="C95" s="2">
        <v>44938</v>
      </c>
      <c r="D95" s="2">
        <v>44946</v>
      </c>
      <c r="E95" s="1" t="s">
        <v>22</v>
      </c>
      <c r="F95" s="1" t="s">
        <v>16</v>
      </c>
      <c r="G95" s="1" t="s">
        <v>30</v>
      </c>
      <c r="H95" s="1" t="s">
        <v>25</v>
      </c>
      <c r="I95" s="1" t="s">
        <v>52</v>
      </c>
      <c r="J95" s="1" t="s">
        <v>60</v>
      </c>
      <c r="K95" s="1" t="s">
        <v>21</v>
      </c>
      <c r="L95" s="1">
        <v>4</v>
      </c>
      <c r="M95" s="1">
        <v>1611.52</v>
      </c>
      <c r="N95" s="1">
        <v>10</v>
      </c>
      <c r="O95" s="1">
        <v>5801.47</v>
      </c>
      <c r="P95" s="1">
        <f t="shared" si="5"/>
        <v>6446.08</v>
      </c>
      <c r="Q95" s="10">
        <f t="shared" si="6"/>
        <v>580.14700000000005</v>
      </c>
      <c r="R95" s="11">
        <f t="shared" si="7"/>
        <v>5865.933</v>
      </c>
      <c r="S95" s="1" t="str">
        <f t="shared" si="8"/>
        <v>Low</v>
      </c>
      <c r="T95" s="1" t="str" cm="1">
        <f t="array" ref="T95">_xlfn.IFS(L95&gt;5,"High",L95=5,"mediam",L95&lt;5,"low")</f>
        <v>low</v>
      </c>
      <c r="U95" s="1" t="b">
        <f t="shared" si="9"/>
        <v>0</v>
      </c>
    </row>
    <row r="96" spans="1:21" x14ac:dyDescent="0.3">
      <c r="A96" s="5">
        <v>10095</v>
      </c>
      <c r="B96" s="1">
        <v>1771</v>
      </c>
      <c r="C96" s="2">
        <v>45135</v>
      </c>
      <c r="D96" s="2">
        <v>45137</v>
      </c>
      <c r="E96" s="1" t="s">
        <v>40</v>
      </c>
      <c r="F96" s="1" t="s">
        <v>54</v>
      </c>
      <c r="G96" s="1" t="s">
        <v>30</v>
      </c>
      <c r="H96" s="1" t="s">
        <v>42</v>
      </c>
      <c r="I96" s="1" t="s">
        <v>49</v>
      </c>
      <c r="J96" s="1" t="s">
        <v>50</v>
      </c>
      <c r="K96" s="1" t="s">
        <v>47</v>
      </c>
      <c r="L96" s="1">
        <v>3</v>
      </c>
      <c r="M96" s="1">
        <v>1368.86</v>
      </c>
      <c r="N96" s="1">
        <v>10</v>
      </c>
      <c r="O96" s="1">
        <v>3695.92</v>
      </c>
      <c r="P96" s="1">
        <f t="shared" si="5"/>
        <v>4106.58</v>
      </c>
      <c r="Q96" s="10">
        <f t="shared" si="6"/>
        <v>369.59200000000004</v>
      </c>
      <c r="R96" s="11">
        <f t="shared" si="7"/>
        <v>3736.9879999999998</v>
      </c>
      <c r="S96" s="1" t="str">
        <f t="shared" si="8"/>
        <v>Low</v>
      </c>
      <c r="T96" s="1" t="str" cm="1">
        <f t="array" ref="T96">_xlfn.IFS(L96&gt;5,"High",L96=5,"mediam",L96&lt;5,"low")</f>
        <v>low</v>
      </c>
      <c r="U96" s="1" t="b">
        <f t="shared" si="9"/>
        <v>0</v>
      </c>
    </row>
    <row r="97" spans="1:21" x14ac:dyDescent="0.3">
      <c r="A97" s="5">
        <v>10096</v>
      </c>
      <c r="B97" s="1">
        <v>1821</v>
      </c>
      <c r="C97" s="2">
        <v>44940</v>
      </c>
      <c r="D97" s="2">
        <v>44947</v>
      </c>
      <c r="E97" s="1" t="s">
        <v>40</v>
      </c>
      <c r="F97" s="1" t="s">
        <v>16</v>
      </c>
      <c r="G97" s="1" t="s">
        <v>17</v>
      </c>
      <c r="H97" s="1" t="s">
        <v>25</v>
      </c>
      <c r="I97" s="1" t="s">
        <v>52</v>
      </c>
      <c r="J97" s="1" t="s">
        <v>60</v>
      </c>
      <c r="K97" s="1" t="s">
        <v>33</v>
      </c>
      <c r="L97" s="1">
        <v>2</v>
      </c>
      <c r="M97" s="1">
        <v>1249.94</v>
      </c>
      <c r="N97" s="1">
        <v>10</v>
      </c>
      <c r="O97" s="1">
        <v>2249.89</v>
      </c>
      <c r="P97" s="1">
        <f t="shared" si="5"/>
        <v>2499.88</v>
      </c>
      <c r="Q97" s="10">
        <f t="shared" si="6"/>
        <v>224.989</v>
      </c>
      <c r="R97" s="11">
        <f t="shared" si="7"/>
        <v>2274.8910000000001</v>
      </c>
      <c r="S97" s="1" t="str">
        <f t="shared" si="8"/>
        <v>Low</v>
      </c>
      <c r="T97" s="1" t="str" cm="1">
        <f t="array" ref="T97">_xlfn.IFS(L97&gt;5,"High",L97=5,"mediam",L97&lt;5,"low")</f>
        <v>low</v>
      </c>
      <c r="U97" s="1" t="b">
        <f t="shared" si="9"/>
        <v>0</v>
      </c>
    </row>
    <row r="98" spans="1:21" x14ac:dyDescent="0.3">
      <c r="A98" s="5">
        <v>10097</v>
      </c>
      <c r="B98" s="1">
        <v>1476</v>
      </c>
      <c r="C98" s="2">
        <v>45047</v>
      </c>
      <c r="D98" s="2">
        <v>45056</v>
      </c>
      <c r="E98" s="1" t="s">
        <v>37</v>
      </c>
      <c r="F98" s="1" t="s">
        <v>23</v>
      </c>
      <c r="G98" s="1" t="s">
        <v>24</v>
      </c>
      <c r="H98" s="1" t="s">
        <v>18</v>
      </c>
      <c r="I98" s="1" t="s">
        <v>52</v>
      </c>
      <c r="J98" s="1" t="s">
        <v>60</v>
      </c>
      <c r="K98" s="1" t="s">
        <v>28</v>
      </c>
      <c r="L98" s="1">
        <v>9</v>
      </c>
      <c r="M98" s="1">
        <v>501.79</v>
      </c>
      <c r="N98" s="1">
        <v>5</v>
      </c>
      <c r="O98" s="1">
        <v>4290.3</v>
      </c>
      <c r="P98" s="1">
        <f t="shared" si="5"/>
        <v>4516.1100000000006</v>
      </c>
      <c r="Q98" s="10">
        <f t="shared" si="6"/>
        <v>214.51500000000001</v>
      </c>
      <c r="R98" s="11">
        <f t="shared" si="7"/>
        <v>4301.5950000000003</v>
      </c>
      <c r="S98" s="1" t="str">
        <f t="shared" si="8"/>
        <v>High</v>
      </c>
      <c r="T98" s="1" t="str" cm="1">
        <f t="array" ref="T98">_xlfn.IFS(L98&gt;5,"High",L98=5,"mediam",L98&lt;5,"low")</f>
        <v>High</v>
      </c>
      <c r="U98" s="1" t="str">
        <f t="shared" si="9"/>
        <v>High</v>
      </c>
    </row>
    <row r="99" spans="1:21" x14ac:dyDescent="0.3">
      <c r="A99" s="5">
        <v>10098</v>
      </c>
      <c r="B99" s="1">
        <v>1702</v>
      </c>
      <c r="C99" s="2">
        <v>44946</v>
      </c>
      <c r="D99" s="2">
        <v>44947</v>
      </c>
      <c r="E99" s="1" t="s">
        <v>37</v>
      </c>
      <c r="F99" s="1" t="s">
        <v>54</v>
      </c>
      <c r="G99" s="1" t="s">
        <v>24</v>
      </c>
      <c r="H99" s="1" t="s">
        <v>42</v>
      </c>
      <c r="I99" s="1" t="s">
        <v>26</v>
      </c>
      <c r="J99" s="1" t="s">
        <v>36</v>
      </c>
      <c r="K99" s="1" t="s">
        <v>45</v>
      </c>
      <c r="L99" s="1">
        <v>4</v>
      </c>
      <c r="M99" s="1">
        <v>1362.08</v>
      </c>
      <c r="N99" s="1">
        <v>15</v>
      </c>
      <c r="O99" s="1">
        <v>4631.07</v>
      </c>
      <c r="P99" s="1">
        <f t="shared" si="5"/>
        <v>5448.32</v>
      </c>
      <c r="Q99" s="10">
        <f t="shared" si="6"/>
        <v>694.66049999999996</v>
      </c>
      <c r="R99" s="11">
        <f t="shared" si="7"/>
        <v>4753.6594999999998</v>
      </c>
      <c r="S99" s="1" t="str">
        <f t="shared" si="8"/>
        <v>Low</v>
      </c>
      <c r="T99" s="1" t="str" cm="1">
        <f t="array" ref="T99">_xlfn.IFS(L99&gt;5,"High",L99=5,"mediam",L99&lt;5,"low")</f>
        <v>low</v>
      </c>
      <c r="U99" s="1" t="b">
        <f t="shared" si="9"/>
        <v>0</v>
      </c>
    </row>
    <row r="100" spans="1:21" x14ac:dyDescent="0.3">
      <c r="A100" s="5">
        <v>10099</v>
      </c>
      <c r="B100" s="1">
        <v>1401</v>
      </c>
      <c r="C100" s="2">
        <v>45001</v>
      </c>
      <c r="D100" s="2">
        <v>45009</v>
      </c>
      <c r="E100" s="1" t="s">
        <v>46</v>
      </c>
      <c r="F100" s="1" t="s">
        <v>38</v>
      </c>
      <c r="G100" s="1" t="s">
        <v>17</v>
      </c>
      <c r="H100" s="1" t="s">
        <v>42</v>
      </c>
      <c r="I100" s="1" t="s">
        <v>52</v>
      </c>
      <c r="J100" s="1" t="s">
        <v>53</v>
      </c>
      <c r="K100" s="1" t="s">
        <v>28</v>
      </c>
      <c r="L100" s="1">
        <v>3</v>
      </c>
      <c r="M100" s="1">
        <v>315.75</v>
      </c>
      <c r="N100" s="1">
        <v>20</v>
      </c>
      <c r="O100" s="1">
        <v>757.8</v>
      </c>
      <c r="P100" s="1">
        <f t="shared" si="5"/>
        <v>947.25</v>
      </c>
      <c r="Q100" s="10">
        <f t="shared" si="6"/>
        <v>151.56</v>
      </c>
      <c r="R100" s="11">
        <f t="shared" si="7"/>
        <v>795.69</v>
      </c>
      <c r="S100" s="1" t="str">
        <f t="shared" si="8"/>
        <v>Low</v>
      </c>
      <c r="T100" s="1" t="str" cm="1">
        <f t="array" ref="T100">_xlfn.IFS(L100&gt;5,"High",L100=5,"mediam",L100&lt;5,"low")</f>
        <v>low</v>
      </c>
      <c r="U100" s="1" t="b">
        <f t="shared" si="9"/>
        <v>0</v>
      </c>
    </row>
    <row r="101" spans="1:21" x14ac:dyDescent="0.3">
      <c r="A101" s="5">
        <v>10100</v>
      </c>
      <c r="B101" s="1">
        <v>1729</v>
      </c>
      <c r="C101" s="2">
        <v>45169</v>
      </c>
      <c r="D101" s="2">
        <v>45176</v>
      </c>
      <c r="E101" s="1" t="s">
        <v>16</v>
      </c>
      <c r="F101" s="1" t="s">
        <v>29</v>
      </c>
      <c r="G101" s="1" t="s">
        <v>24</v>
      </c>
      <c r="H101" s="1" t="s">
        <v>18</v>
      </c>
      <c r="I101" s="1" t="s">
        <v>19</v>
      </c>
      <c r="J101" s="1" t="s">
        <v>43</v>
      </c>
      <c r="K101" s="1" t="s">
        <v>47</v>
      </c>
      <c r="L101" s="1">
        <v>7</v>
      </c>
      <c r="M101" s="1">
        <v>3156.71</v>
      </c>
      <c r="N101" s="1">
        <v>10</v>
      </c>
      <c r="O101" s="1">
        <v>19887.27</v>
      </c>
      <c r="P101" s="1">
        <f t="shared" si="5"/>
        <v>22096.97</v>
      </c>
      <c r="Q101" s="10">
        <f t="shared" si="6"/>
        <v>1988.7270000000001</v>
      </c>
      <c r="R101" s="11">
        <f t="shared" si="7"/>
        <v>20108.243000000002</v>
      </c>
      <c r="S101" s="1" t="str">
        <f t="shared" si="8"/>
        <v>High</v>
      </c>
      <c r="T101" s="1" t="str" cm="1">
        <f t="array" ref="T101">_xlfn.IFS(L101&gt;5,"High",L101=5,"mediam",L101&lt;5,"low")</f>
        <v>High</v>
      </c>
      <c r="U101" s="1" t="str">
        <f t="shared" si="9"/>
        <v>High</v>
      </c>
    </row>
    <row r="102" spans="1:21" x14ac:dyDescent="0.3">
      <c r="A102" s="5">
        <v>10101</v>
      </c>
      <c r="B102" s="1">
        <v>1555</v>
      </c>
      <c r="C102" s="2">
        <v>45149</v>
      </c>
      <c r="D102" s="2">
        <v>45155</v>
      </c>
      <c r="E102" s="1" t="s">
        <v>16</v>
      </c>
      <c r="F102" s="1" t="s">
        <v>16</v>
      </c>
      <c r="G102" s="1" t="s">
        <v>30</v>
      </c>
      <c r="H102" s="1" t="s">
        <v>42</v>
      </c>
      <c r="I102" s="1" t="s">
        <v>57</v>
      </c>
      <c r="J102" s="1" t="s">
        <v>59</v>
      </c>
      <c r="K102" s="1" t="s">
        <v>28</v>
      </c>
      <c r="L102" s="1">
        <v>8</v>
      </c>
      <c r="M102" s="1">
        <v>1683.18</v>
      </c>
      <c r="N102" s="1">
        <v>15</v>
      </c>
      <c r="O102" s="1">
        <v>11445.62</v>
      </c>
      <c r="P102" s="1">
        <f t="shared" si="5"/>
        <v>13465.44</v>
      </c>
      <c r="Q102" s="10">
        <f t="shared" si="6"/>
        <v>1716.8430000000001</v>
      </c>
      <c r="R102" s="11">
        <f t="shared" si="7"/>
        <v>11748.597</v>
      </c>
      <c r="S102" s="1" t="str">
        <f t="shared" si="8"/>
        <v>High</v>
      </c>
      <c r="T102" s="1" t="str" cm="1">
        <f t="array" ref="T102">_xlfn.IFS(L102&gt;5,"High",L102=5,"mediam",L102&lt;5,"low")</f>
        <v>High</v>
      </c>
      <c r="U102" s="1" t="str">
        <f t="shared" si="9"/>
        <v>High</v>
      </c>
    </row>
    <row r="103" spans="1:21" x14ac:dyDescent="0.3">
      <c r="A103" s="5">
        <v>10102</v>
      </c>
      <c r="B103" s="1">
        <v>1161</v>
      </c>
      <c r="C103" s="2">
        <v>44996</v>
      </c>
      <c r="D103" s="2">
        <v>45002</v>
      </c>
      <c r="E103" s="1" t="s">
        <v>37</v>
      </c>
      <c r="F103" s="1" t="s">
        <v>54</v>
      </c>
      <c r="G103" s="1" t="s">
        <v>30</v>
      </c>
      <c r="H103" s="1" t="s">
        <v>25</v>
      </c>
      <c r="I103" s="1" t="s">
        <v>31</v>
      </c>
      <c r="J103" s="1" t="s">
        <v>39</v>
      </c>
      <c r="K103" s="1" t="s">
        <v>21</v>
      </c>
      <c r="L103" s="1">
        <v>2</v>
      </c>
      <c r="M103" s="1">
        <v>1859.03</v>
      </c>
      <c r="N103" s="1">
        <v>20</v>
      </c>
      <c r="O103" s="1">
        <v>2974.45</v>
      </c>
      <c r="P103" s="1">
        <f t="shared" si="5"/>
        <v>3718.06</v>
      </c>
      <c r="Q103" s="10">
        <f t="shared" si="6"/>
        <v>594.89</v>
      </c>
      <c r="R103" s="11">
        <f t="shared" si="7"/>
        <v>3123.17</v>
      </c>
      <c r="S103" s="1" t="str">
        <f t="shared" si="8"/>
        <v>Low</v>
      </c>
      <c r="T103" s="1" t="str" cm="1">
        <f t="array" ref="T103">_xlfn.IFS(L103&gt;5,"High",L103=5,"mediam",L103&lt;5,"low")</f>
        <v>low</v>
      </c>
      <c r="U103" s="1" t="b">
        <f t="shared" si="9"/>
        <v>0</v>
      </c>
    </row>
    <row r="104" spans="1:21" x14ac:dyDescent="0.3">
      <c r="A104" s="5">
        <v>10103</v>
      </c>
      <c r="B104" s="1">
        <v>1201</v>
      </c>
      <c r="C104" s="2">
        <v>45238</v>
      </c>
      <c r="D104" s="2">
        <v>45244</v>
      </c>
      <c r="E104" s="1" t="s">
        <v>46</v>
      </c>
      <c r="F104" s="1" t="s">
        <v>23</v>
      </c>
      <c r="G104" s="1" t="s">
        <v>17</v>
      </c>
      <c r="H104" s="1" t="s">
        <v>42</v>
      </c>
      <c r="I104" s="1" t="s">
        <v>19</v>
      </c>
      <c r="J104" s="1" t="s">
        <v>20</v>
      </c>
      <c r="K104" s="1" t="s">
        <v>47</v>
      </c>
      <c r="L104" s="1">
        <v>7</v>
      </c>
      <c r="M104" s="1">
        <v>3590.34</v>
      </c>
      <c r="N104" s="1">
        <v>20</v>
      </c>
      <c r="O104" s="1">
        <v>20105.900000000001</v>
      </c>
      <c r="P104" s="1">
        <f t="shared" si="5"/>
        <v>25132.38</v>
      </c>
      <c r="Q104" s="10">
        <f t="shared" si="6"/>
        <v>4021.1800000000003</v>
      </c>
      <c r="R104" s="11">
        <f t="shared" si="7"/>
        <v>21111.200000000001</v>
      </c>
      <c r="S104" s="1" t="str">
        <f t="shared" si="8"/>
        <v>High</v>
      </c>
      <c r="T104" s="1" t="str" cm="1">
        <f t="array" ref="T104">_xlfn.IFS(L104&gt;5,"High",L104=5,"mediam",L104&lt;5,"low")</f>
        <v>High</v>
      </c>
      <c r="U104" s="1" t="str">
        <f t="shared" si="9"/>
        <v>High</v>
      </c>
    </row>
    <row r="105" spans="1:21" x14ac:dyDescent="0.3">
      <c r="A105" s="5">
        <v>10104</v>
      </c>
      <c r="B105" s="1">
        <v>1957</v>
      </c>
      <c r="C105" s="2">
        <v>45137</v>
      </c>
      <c r="D105" s="2">
        <v>45146</v>
      </c>
      <c r="E105" s="1" t="s">
        <v>16</v>
      </c>
      <c r="F105" s="1" t="s">
        <v>54</v>
      </c>
      <c r="G105" s="1" t="s">
        <v>24</v>
      </c>
      <c r="H105" s="1" t="s">
        <v>44</v>
      </c>
      <c r="I105" s="1" t="s">
        <v>52</v>
      </c>
      <c r="J105" s="1" t="s">
        <v>53</v>
      </c>
      <c r="K105" s="1" t="s">
        <v>45</v>
      </c>
      <c r="L105" s="1">
        <v>5</v>
      </c>
      <c r="M105" s="1">
        <v>2683.51</v>
      </c>
      <c r="N105" s="1">
        <v>10</v>
      </c>
      <c r="O105" s="1">
        <v>12075.79</v>
      </c>
      <c r="P105" s="1">
        <f t="shared" si="5"/>
        <v>13417.550000000001</v>
      </c>
      <c r="Q105" s="10">
        <f t="shared" si="6"/>
        <v>1207.5790000000002</v>
      </c>
      <c r="R105" s="11">
        <f t="shared" si="7"/>
        <v>12209.971000000001</v>
      </c>
      <c r="S105" s="1" t="str">
        <f t="shared" si="8"/>
        <v>High</v>
      </c>
      <c r="T105" s="1" t="str" cm="1">
        <f t="array" ref="T105">_xlfn.IFS(L105&gt;5,"High",L105=5,"mediam",L105&lt;5,"low")</f>
        <v>mediam</v>
      </c>
      <c r="U105" s="1" t="b">
        <f t="shared" si="9"/>
        <v>0</v>
      </c>
    </row>
    <row r="106" spans="1:21" x14ac:dyDescent="0.3">
      <c r="A106" s="5">
        <v>10105</v>
      </c>
      <c r="B106" s="1">
        <v>1995</v>
      </c>
      <c r="C106" s="2">
        <v>45027</v>
      </c>
      <c r="D106" s="2">
        <v>45029</v>
      </c>
      <c r="E106" s="1" t="s">
        <v>46</v>
      </c>
      <c r="F106" s="1" t="s">
        <v>41</v>
      </c>
      <c r="G106" s="1" t="s">
        <v>24</v>
      </c>
      <c r="H106" s="1" t="s">
        <v>35</v>
      </c>
      <c r="I106" s="1" t="s">
        <v>26</v>
      </c>
      <c r="J106" s="1" t="s">
        <v>27</v>
      </c>
      <c r="K106" s="1" t="s">
        <v>21</v>
      </c>
      <c r="L106" s="1">
        <v>5</v>
      </c>
      <c r="M106" s="1">
        <v>181.03</v>
      </c>
      <c r="N106" s="1">
        <v>10</v>
      </c>
      <c r="O106" s="1">
        <v>814.63</v>
      </c>
      <c r="P106" s="1">
        <f t="shared" si="5"/>
        <v>905.15</v>
      </c>
      <c r="Q106" s="10">
        <f t="shared" si="6"/>
        <v>81.463000000000008</v>
      </c>
      <c r="R106" s="11">
        <f t="shared" si="7"/>
        <v>823.68700000000001</v>
      </c>
      <c r="S106" s="1" t="str">
        <f t="shared" si="8"/>
        <v>High</v>
      </c>
      <c r="T106" s="1" t="str" cm="1">
        <f t="array" ref="T106">_xlfn.IFS(L106&gt;5,"High",L106=5,"mediam",L106&lt;5,"low")</f>
        <v>mediam</v>
      </c>
      <c r="U106" s="1" t="b">
        <f t="shared" si="9"/>
        <v>0</v>
      </c>
    </row>
    <row r="107" spans="1:21" x14ac:dyDescent="0.3">
      <c r="A107" s="5">
        <v>10106</v>
      </c>
      <c r="B107" s="1">
        <v>1269</v>
      </c>
      <c r="C107" s="2">
        <v>45112</v>
      </c>
      <c r="D107" s="2">
        <v>45113</v>
      </c>
      <c r="E107" s="1" t="s">
        <v>46</v>
      </c>
      <c r="F107" s="1" t="s">
        <v>23</v>
      </c>
      <c r="G107" s="1" t="s">
        <v>30</v>
      </c>
      <c r="H107" s="1" t="s">
        <v>25</v>
      </c>
      <c r="I107" s="1" t="s">
        <v>49</v>
      </c>
      <c r="J107" s="1" t="s">
        <v>63</v>
      </c>
      <c r="K107" s="1" t="s">
        <v>47</v>
      </c>
      <c r="L107" s="1">
        <v>3</v>
      </c>
      <c r="M107" s="1">
        <v>3781.22</v>
      </c>
      <c r="N107" s="1">
        <v>5</v>
      </c>
      <c r="O107" s="1">
        <v>10776.48</v>
      </c>
      <c r="P107" s="1">
        <f t="shared" si="5"/>
        <v>11343.66</v>
      </c>
      <c r="Q107" s="10">
        <f t="shared" si="6"/>
        <v>538.82399999999996</v>
      </c>
      <c r="R107" s="11">
        <f t="shared" si="7"/>
        <v>10804.835999999999</v>
      </c>
      <c r="S107" s="1" t="str">
        <f t="shared" si="8"/>
        <v>Low</v>
      </c>
      <c r="T107" s="1" t="str" cm="1">
        <f t="array" ref="T107">_xlfn.IFS(L107&gt;5,"High",L107=5,"mediam",L107&lt;5,"low")</f>
        <v>low</v>
      </c>
      <c r="U107" s="1" t="b">
        <f t="shared" si="9"/>
        <v>0</v>
      </c>
    </row>
    <row r="108" spans="1:21" x14ac:dyDescent="0.3">
      <c r="A108" s="5">
        <v>10107</v>
      </c>
      <c r="B108" s="1">
        <v>1862</v>
      </c>
      <c r="C108" s="2">
        <v>45058</v>
      </c>
      <c r="D108" s="2">
        <v>45064</v>
      </c>
      <c r="E108" s="1" t="s">
        <v>46</v>
      </c>
      <c r="F108" s="1" t="s">
        <v>38</v>
      </c>
      <c r="G108" s="1" t="s">
        <v>17</v>
      </c>
      <c r="H108" s="1" t="s">
        <v>44</v>
      </c>
      <c r="I108" s="1" t="s">
        <v>52</v>
      </c>
      <c r="J108" s="1" t="s">
        <v>60</v>
      </c>
      <c r="K108" s="1" t="s">
        <v>45</v>
      </c>
      <c r="L108" s="1">
        <v>5</v>
      </c>
      <c r="M108" s="1">
        <v>1063.01</v>
      </c>
      <c r="N108" s="1">
        <v>15</v>
      </c>
      <c r="O108" s="1">
        <v>4517.79</v>
      </c>
      <c r="P108" s="1">
        <f t="shared" si="5"/>
        <v>5315.05</v>
      </c>
      <c r="Q108" s="10">
        <f t="shared" si="6"/>
        <v>677.66849999999999</v>
      </c>
      <c r="R108" s="11">
        <f t="shared" si="7"/>
        <v>4637.3815000000004</v>
      </c>
      <c r="S108" s="1" t="str">
        <f t="shared" si="8"/>
        <v>High</v>
      </c>
      <c r="T108" s="1" t="str" cm="1">
        <f t="array" ref="T108">_xlfn.IFS(L108&gt;5,"High",L108=5,"mediam",L108&lt;5,"low")</f>
        <v>mediam</v>
      </c>
      <c r="U108" s="1" t="b">
        <f t="shared" si="9"/>
        <v>0</v>
      </c>
    </row>
    <row r="109" spans="1:21" x14ac:dyDescent="0.3">
      <c r="A109" s="5">
        <v>10108</v>
      </c>
      <c r="B109" s="1">
        <v>1815</v>
      </c>
      <c r="C109" s="2">
        <v>45037</v>
      </c>
      <c r="D109" s="2">
        <v>45045</v>
      </c>
      <c r="E109" s="1" t="s">
        <v>15</v>
      </c>
      <c r="F109" s="1" t="s">
        <v>29</v>
      </c>
      <c r="G109" s="1" t="s">
        <v>24</v>
      </c>
      <c r="H109" s="1" t="s">
        <v>18</v>
      </c>
      <c r="I109" s="1" t="s">
        <v>26</v>
      </c>
      <c r="J109" s="1" t="s">
        <v>36</v>
      </c>
      <c r="K109" s="1" t="s">
        <v>21</v>
      </c>
      <c r="L109" s="1">
        <v>2</v>
      </c>
      <c r="M109" s="1">
        <v>564.30999999999995</v>
      </c>
      <c r="N109" s="1">
        <v>15</v>
      </c>
      <c r="O109" s="1">
        <v>959.33</v>
      </c>
      <c r="P109" s="1">
        <f t="shared" si="5"/>
        <v>1128.6199999999999</v>
      </c>
      <c r="Q109" s="10">
        <f t="shared" si="6"/>
        <v>143.89949999999999</v>
      </c>
      <c r="R109" s="11">
        <f t="shared" si="7"/>
        <v>984.7204999999999</v>
      </c>
      <c r="S109" s="1" t="str">
        <f t="shared" si="8"/>
        <v>Low</v>
      </c>
      <c r="T109" s="1" t="str" cm="1">
        <f t="array" ref="T109">_xlfn.IFS(L109&gt;5,"High",L109=5,"mediam",L109&lt;5,"low")</f>
        <v>low</v>
      </c>
      <c r="U109" s="1" t="b">
        <f t="shared" si="9"/>
        <v>0</v>
      </c>
    </row>
    <row r="110" spans="1:21" x14ac:dyDescent="0.3">
      <c r="A110" s="5">
        <v>10109</v>
      </c>
      <c r="B110" s="1">
        <v>1270</v>
      </c>
      <c r="C110" s="2">
        <v>45058</v>
      </c>
      <c r="D110" s="2">
        <v>45061</v>
      </c>
      <c r="E110" s="1" t="s">
        <v>40</v>
      </c>
      <c r="F110" s="1" t="s">
        <v>38</v>
      </c>
      <c r="G110" s="1" t="s">
        <v>17</v>
      </c>
      <c r="H110" s="1" t="s">
        <v>25</v>
      </c>
      <c r="I110" s="1" t="s">
        <v>57</v>
      </c>
      <c r="J110" s="1" t="s">
        <v>59</v>
      </c>
      <c r="K110" s="1" t="s">
        <v>21</v>
      </c>
      <c r="L110" s="1">
        <v>4</v>
      </c>
      <c r="M110" s="1">
        <v>3107.29</v>
      </c>
      <c r="N110" s="1">
        <v>10</v>
      </c>
      <c r="O110" s="1">
        <v>11186.24</v>
      </c>
      <c r="P110" s="1">
        <f t="shared" si="5"/>
        <v>12429.16</v>
      </c>
      <c r="Q110" s="10">
        <f t="shared" si="6"/>
        <v>1118.624</v>
      </c>
      <c r="R110" s="11">
        <f t="shared" si="7"/>
        <v>11310.536</v>
      </c>
      <c r="S110" s="1" t="str">
        <f t="shared" si="8"/>
        <v>Low</v>
      </c>
      <c r="T110" s="1" t="str" cm="1">
        <f t="array" ref="T110">_xlfn.IFS(L110&gt;5,"High",L110=5,"mediam",L110&lt;5,"low")</f>
        <v>low</v>
      </c>
      <c r="U110" s="1" t="b">
        <f t="shared" si="9"/>
        <v>0</v>
      </c>
    </row>
    <row r="111" spans="1:21" x14ac:dyDescent="0.3">
      <c r="A111" s="5">
        <v>10110</v>
      </c>
      <c r="B111" s="1">
        <v>1455</v>
      </c>
      <c r="C111" s="2">
        <v>44946</v>
      </c>
      <c r="D111" s="2">
        <v>44947</v>
      </c>
      <c r="E111" s="1" t="s">
        <v>46</v>
      </c>
      <c r="F111" s="1" t="s">
        <v>16</v>
      </c>
      <c r="G111" s="1" t="s">
        <v>24</v>
      </c>
      <c r="H111" s="1" t="s">
        <v>35</v>
      </c>
      <c r="I111" s="1" t="s">
        <v>52</v>
      </c>
      <c r="J111" s="1" t="s">
        <v>56</v>
      </c>
      <c r="K111" s="1" t="s">
        <v>47</v>
      </c>
      <c r="L111" s="1">
        <v>6</v>
      </c>
      <c r="M111" s="1">
        <v>2076.84</v>
      </c>
      <c r="N111" s="1">
        <v>20</v>
      </c>
      <c r="O111" s="1">
        <v>9968.83</v>
      </c>
      <c r="P111" s="1">
        <f t="shared" si="5"/>
        <v>12461.04</v>
      </c>
      <c r="Q111" s="10">
        <f t="shared" si="6"/>
        <v>1993.7660000000001</v>
      </c>
      <c r="R111" s="11">
        <f t="shared" si="7"/>
        <v>10467.274000000001</v>
      </c>
      <c r="S111" s="1" t="str">
        <f t="shared" si="8"/>
        <v>High</v>
      </c>
      <c r="T111" s="1" t="str" cm="1">
        <f t="array" ref="T111">_xlfn.IFS(L111&gt;5,"High",L111=5,"mediam",L111&lt;5,"low")</f>
        <v>High</v>
      </c>
      <c r="U111" s="1" t="str">
        <f t="shared" si="9"/>
        <v>High</v>
      </c>
    </row>
    <row r="112" spans="1:21" x14ac:dyDescent="0.3">
      <c r="A112" s="5">
        <v>10111</v>
      </c>
      <c r="B112" s="1">
        <v>1461</v>
      </c>
      <c r="C112" s="2">
        <v>44950</v>
      </c>
      <c r="D112" s="2">
        <v>44959</v>
      </c>
      <c r="E112" s="1" t="s">
        <v>15</v>
      </c>
      <c r="F112" s="1" t="s">
        <v>54</v>
      </c>
      <c r="G112" s="1" t="s">
        <v>30</v>
      </c>
      <c r="H112" s="1" t="s">
        <v>35</v>
      </c>
      <c r="I112" s="1" t="s">
        <v>49</v>
      </c>
      <c r="J112" s="1" t="s">
        <v>68</v>
      </c>
      <c r="K112" s="1" t="s">
        <v>33</v>
      </c>
      <c r="L112" s="1">
        <v>1</v>
      </c>
      <c r="M112" s="1">
        <v>1820.02</v>
      </c>
      <c r="N112" s="1">
        <v>10</v>
      </c>
      <c r="O112" s="1">
        <v>1638.02</v>
      </c>
      <c r="P112" s="1">
        <f t="shared" si="5"/>
        <v>1820.02</v>
      </c>
      <c r="Q112" s="10">
        <f t="shared" si="6"/>
        <v>163.80200000000002</v>
      </c>
      <c r="R112" s="11">
        <f t="shared" si="7"/>
        <v>1656.2179999999998</v>
      </c>
      <c r="S112" s="1" t="str">
        <f t="shared" si="8"/>
        <v>Low</v>
      </c>
      <c r="T112" s="1" t="str" cm="1">
        <f t="array" ref="T112">_xlfn.IFS(L112&gt;5,"High",L112=5,"mediam",L112&lt;5,"low")</f>
        <v>low</v>
      </c>
      <c r="U112" s="1" t="b">
        <f t="shared" si="9"/>
        <v>0</v>
      </c>
    </row>
    <row r="113" spans="1:21" x14ac:dyDescent="0.3">
      <c r="A113" s="5">
        <v>10112</v>
      </c>
      <c r="B113" s="1">
        <v>1726</v>
      </c>
      <c r="C113" s="2">
        <v>45153</v>
      </c>
      <c r="D113" s="2">
        <v>45154</v>
      </c>
      <c r="E113" s="1" t="s">
        <v>37</v>
      </c>
      <c r="F113" s="1" t="s">
        <v>41</v>
      </c>
      <c r="G113" s="1" t="s">
        <v>30</v>
      </c>
      <c r="H113" s="1" t="s">
        <v>18</v>
      </c>
      <c r="I113" s="1" t="s">
        <v>26</v>
      </c>
      <c r="J113" s="1" t="s">
        <v>36</v>
      </c>
      <c r="K113" s="1" t="s">
        <v>21</v>
      </c>
      <c r="L113" s="1">
        <v>4</v>
      </c>
      <c r="M113" s="1">
        <v>1110.5899999999999</v>
      </c>
      <c r="N113" s="1">
        <v>20</v>
      </c>
      <c r="O113" s="1">
        <v>3553.89</v>
      </c>
      <c r="P113" s="1">
        <f t="shared" si="5"/>
        <v>4442.3599999999997</v>
      </c>
      <c r="Q113" s="10">
        <f t="shared" si="6"/>
        <v>710.77800000000002</v>
      </c>
      <c r="R113" s="11">
        <f t="shared" si="7"/>
        <v>3731.5819999999994</v>
      </c>
      <c r="S113" s="1" t="str">
        <f t="shared" si="8"/>
        <v>Low</v>
      </c>
      <c r="T113" s="1" t="str" cm="1">
        <f t="array" ref="T113">_xlfn.IFS(L113&gt;5,"High",L113=5,"mediam",L113&lt;5,"low")</f>
        <v>low</v>
      </c>
      <c r="U113" s="1" t="b">
        <f t="shared" si="9"/>
        <v>0</v>
      </c>
    </row>
    <row r="114" spans="1:21" x14ac:dyDescent="0.3">
      <c r="A114" s="5">
        <v>10113</v>
      </c>
      <c r="B114" s="1">
        <v>1251</v>
      </c>
      <c r="C114" s="2">
        <v>45080</v>
      </c>
      <c r="D114" s="2">
        <v>45083</v>
      </c>
      <c r="E114" s="1" t="s">
        <v>16</v>
      </c>
      <c r="F114" s="1" t="s">
        <v>23</v>
      </c>
      <c r="G114" s="1" t="s">
        <v>17</v>
      </c>
      <c r="H114" s="1" t="s">
        <v>18</v>
      </c>
      <c r="I114" s="1" t="s">
        <v>26</v>
      </c>
      <c r="J114" s="1" t="s">
        <v>61</v>
      </c>
      <c r="K114" s="1" t="s">
        <v>21</v>
      </c>
      <c r="L114" s="1">
        <v>6</v>
      </c>
      <c r="M114" s="1">
        <v>2257.77</v>
      </c>
      <c r="N114" s="1">
        <v>20</v>
      </c>
      <c r="O114" s="1">
        <v>10837.3</v>
      </c>
      <c r="P114" s="1">
        <f t="shared" si="5"/>
        <v>13546.619999999999</v>
      </c>
      <c r="Q114" s="10">
        <f t="shared" si="6"/>
        <v>2167.46</v>
      </c>
      <c r="R114" s="11">
        <f t="shared" si="7"/>
        <v>11379.16</v>
      </c>
      <c r="S114" s="1" t="str">
        <f t="shared" si="8"/>
        <v>High</v>
      </c>
      <c r="T114" s="1" t="str" cm="1">
        <f t="array" ref="T114">_xlfn.IFS(L114&gt;5,"High",L114=5,"mediam",L114&lt;5,"low")</f>
        <v>High</v>
      </c>
      <c r="U114" s="1" t="str">
        <f t="shared" si="9"/>
        <v>High</v>
      </c>
    </row>
    <row r="115" spans="1:21" x14ac:dyDescent="0.3">
      <c r="A115" s="5">
        <v>10114</v>
      </c>
      <c r="B115" s="1">
        <v>1701</v>
      </c>
      <c r="C115" s="2">
        <v>45219</v>
      </c>
      <c r="D115" s="2">
        <v>45227</v>
      </c>
      <c r="E115" s="1" t="s">
        <v>40</v>
      </c>
      <c r="F115" s="1" t="s">
        <v>23</v>
      </c>
      <c r="G115" s="1" t="s">
        <v>30</v>
      </c>
      <c r="H115" s="1" t="s">
        <v>25</v>
      </c>
      <c r="I115" s="1" t="s">
        <v>26</v>
      </c>
      <c r="J115" s="1" t="s">
        <v>69</v>
      </c>
      <c r="K115" s="1" t="s">
        <v>45</v>
      </c>
      <c r="L115" s="1">
        <v>9</v>
      </c>
      <c r="M115" s="1">
        <v>1206.3800000000001</v>
      </c>
      <c r="N115" s="1">
        <v>10</v>
      </c>
      <c r="O115" s="1">
        <v>9771.68</v>
      </c>
      <c r="P115" s="1">
        <f t="shared" si="5"/>
        <v>10857.420000000002</v>
      </c>
      <c r="Q115" s="10">
        <f t="shared" si="6"/>
        <v>977.16800000000012</v>
      </c>
      <c r="R115" s="11">
        <f t="shared" si="7"/>
        <v>9880.2520000000022</v>
      </c>
      <c r="S115" s="1" t="str">
        <f t="shared" si="8"/>
        <v>High</v>
      </c>
      <c r="T115" s="1" t="str" cm="1">
        <f t="array" ref="T115">_xlfn.IFS(L115&gt;5,"High",L115=5,"mediam",L115&lt;5,"low")</f>
        <v>High</v>
      </c>
      <c r="U115" s="1" t="str">
        <f t="shared" si="9"/>
        <v>High</v>
      </c>
    </row>
    <row r="116" spans="1:21" x14ac:dyDescent="0.3">
      <c r="A116" s="5">
        <v>10115</v>
      </c>
      <c r="B116" s="1">
        <v>1295</v>
      </c>
      <c r="C116" s="2">
        <v>45156</v>
      </c>
      <c r="D116" s="2">
        <v>45159</v>
      </c>
      <c r="E116" s="1" t="s">
        <v>22</v>
      </c>
      <c r="F116" s="1" t="s">
        <v>54</v>
      </c>
      <c r="G116" s="1" t="s">
        <v>24</v>
      </c>
      <c r="H116" s="1" t="s">
        <v>42</v>
      </c>
      <c r="I116" s="1" t="s">
        <v>57</v>
      </c>
      <c r="J116" s="1" t="s">
        <v>62</v>
      </c>
      <c r="K116" s="1" t="s">
        <v>28</v>
      </c>
      <c r="L116" s="1">
        <v>2</v>
      </c>
      <c r="M116" s="1">
        <v>3621.09</v>
      </c>
      <c r="N116" s="1">
        <v>0</v>
      </c>
      <c r="O116" s="1">
        <v>7242.18</v>
      </c>
      <c r="P116" s="1">
        <f t="shared" si="5"/>
        <v>7242.18</v>
      </c>
      <c r="Q116" s="10">
        <f t="shared" si="6"/>
        <v>0</v>
      </c>
      <c r="R116" s="11">
        <f t="shared" si="7"/>
        <v>7242.18</v>
      </c>
      <c r="S116" s="1" t="str">
        <f t="shared" si="8"/>
        <v>Low</v>
      </c>
      <c r="T116" s="1" t="str" cm="1">
        <f t="array" ref="T116">_xlfn.IFS(L116&gt;5,"High",L116=5,"mediam",L116&lt;5,"low")</f>
        <v>low</v>
      </c>
      <c r="U116" s="1" t="b">
        <f t="shared" si="9"/>
        <v>0</v>
      </c>
    </row>
    <row r="117" spans="1:21" x14ac:dyDescent="0.3">
      <c r="A117" s="5">
        <v>10116</v>
      </c>
      <c r="B117" s="1">
        <v>1724</v>
      </c>
      <c r="C117" s="2">
        <v>45236</v>
      </c>
      <c r="D117" s="2">
        <v>45240</v>
      </c>
      <c r="E117" s="1" t="s">
        <v>16</v>
      </c>
      <c r="F117" s="1" t="s">
        <v>41</v>
      </c>
      <c r="G117" s="1" t="s">
        <v>30</v>
      </c>
      <c r="H117" s="1" t="s">
        <v>18</v>
      </c>
      <c r="I117" s="1" t="s">
        <v>52</v>
      </c>
      <c r="J117" s="1" t="s">
        <v>60</v>
      </c>
      <c r="K117" s="1" t="s">
        <v>47</v>
      </c>
      <c r="L117" s="1">
        <v>7</v>
      </c>
      <c r="M117" s="1">
        <v>978.54</v>
      </c>
      <c r="N117" s="1">
        <v>15</v>
      </c>
      <c r="O117" s="1">
        <v>5822.31</v>
      </c>
      <c r="P117" s="1">
        <f t="shared" si="5"/>
        <v>6849.78</v>
      </c>
      <c r="Q117" s="10">
        <f t="shared" si="6"/>
        <v>873.34649999999999</v>
      </c>
      <c r="R117" s="11">
        <f t="shared" si="7"/>
        <v>5976.4335000000001</v>
      </c>
      <c r="S117" s="1" t="str">
        <f t="shared" si="8"/>
        <v>High</v>
      </c>
      <c r="T117" s="1" t="str" cm="1">
        <f t="array" ref="T117">_xlfn.IFS(L117&gt;5,"High",L117=5,"mediam",L117&lt;5,"low")</f>
        <v>High</v>
      </c>
      <c r="U117" s="1" t="str">
        <f t="shared" si="9"/>
        <v>High</v>
      </c>
    </row>
    <row r="118" spans="1:21" x14ac:dyDescent="0.3">
      <c r="A118" s="5">
        <v>10117</v>
      </c>
      <c r="B118" s="1">
        <v>1719</v>
      </c>
      <c r="C118" s="2">
        <v>45285</v>
      </c>
      <c r="D118" s="2">
        <v>45293</v>
      </c>
      <c r="E118" s="1" t="s">
        <v>40</v>
      </c>
      <c r="F118" s="1" t="s">
        <v>54</v>
      </c>
      <c r="G118" s="1" t="s">
        <v>17</v>
      </c>
      <c r="H118" s="1" t="s">
        <v>42</v>
      </c>
      <c r="I118" s="1" t="s">
        <v>57</v>
      </c>
      <c r="J118" s="1" t="s">
        <v>58</v>
      </c>
      <c r="K118" s="1" t="s">
        <v>47</v>
      </c>
      <c r="L118" s="1">
        <v>6</v>
      </c>
      <c r="M118" s="1">
        <v>3554.77</v>
      </c>
      <c r="N118" s="1">
        <v>20</v>
      </c>
      <c r="O118" s="1">
        <v>17062.900000000001</v>
      </c>
      <c r="P118" s="1">
        <f t="shared" si="5"/>
        <v>21328.62</v>
      </c>
      <c r="Q118" s="10">
        <f t="shared" si="6"/>
        <v>3412.5800000000004</v>
      </c>
      <c r="R118" s="11">
        <f t="shared" si="7"/>
        <v>17916.039999999997</v>
      </c>
      <c r="S118" s="1" t="str">
        <f t="shared" si="8"/>
        <v>High</v>
      </c>
      <c r="T118" s="1" t="str" cm="1">
        <f t="array" ref="T118">_xlfn.IFS(L118&gt;5,"High",L118=5,"mediam",L118&lt;5,"low")</f>
        <v>High</v>
      </c>
      <c r="U118" s="1" t="str">
        <f t="shared" si="9"/>
        <v>High</v>
      </c>
    </row>
    <row r="119" spans="1:21" x14ac:dyDescent="0.3">
      <c r="A119" s="5">
        <v>10118</v>
      </c>
      <c r="B119" s="1">
        <v>1748</v>
      </c>
      <c r="C119" s="2">
        <v>45128</v>
      </c>
      <c r="D119" s="2">
        <v>45129</v>
      </c>
      <c r="E119" s="1" t="s">
        <v>22</v>
      </c>
      <c r="F119" s="1" t="s">
        <v>16</v>
      </c>
      <c r="G119" s="1" t="s">
        <v>17</v>
      </c>
      <c r="H119" s="1" t="s">
        <v>44</v>
      </c>
      <c r="I119" s="1" t="s">
        <v>31</v>
      </c>
      <c r="J119" s="1" t="s">
        <v>48</v>
      </c>
      <c r="K119" s="1" t="s">
        <v>33</v>
      </c>
      <c r="L119" s="1">
        <v>2</v>
      </c>
      <c r="M119" s="1">
        <v>2303.71</v>
      </c>
      <c r="N119" s="1">
        <v>20</v>
      </c>
      <c r="O119" s="1">
        <v>3685.94</v>
      </c>
      <c r="P119" s="1">
        <f t="shared" si="5"/>
        <v>4607.42</v>
      </c>
      <c r="Q119" s="10">
        <f t="shared" si="6"/>
        <v>737.1880000000001</v>
      </c>
      <c r="R119" s="11">
        <f t="shared" si="7"/>
        <v>3870.232</v>
      </c>
      <c r="S119" s="1" t="str">
        <f t="shared" si="8"/>
        <v>Low</v>
      </c>
      <c r="T119" s="1" t="str" cm="1">
        <f t="array" ref="T119">_xlfn.IFS(L119&gt;5,"High",L119=5,"mediam",L119&lt;5,"low")</f>
        <v>low</v>
      </c>
      <c r="U119" s="1" t="b">
        <f t="shared" si="9"/>
        <v>0</v>
      </c>
    </row>
    <row r="120" spans="1:21" x14ac:dyDescent="0.3">
      <c r="A120" s="5">
        <v>10119</v>
      </c>
      <c r="B120" s="1">
        <v>1337</v>
      </c>
      <c r="C120" s="2">
        <v>44964</v>
      </c>
      <c r="D120" s="2">
        <v>44970</v>
      </c>
      <c r="E120" s="1" t="s">
        <v>16</v>
      </c>
      <c r="F120" s="1" t="s">
        <v>38</v>
      </c>
      <c r="G120" s="1" t="s">
        <v>17</v>
      </c>
      <c r="H120" s="1" t="s">
        <v>35</v>
      </c>
      <c r="I120" s="1" t="s">
        <v>31</v>
      </c>
      <c r="J120" s="1" t="s">
        <v>32</v>
      </c>
      <c r="K120" s="1" t="s">
        <v>33</v>
      </c>
      <c r="L120" s="1">
        <v>8</v>
      </c>
      <c r="M120" s="1">
        <v>3339.68</v>
      </c>
      <c r="N120" s="1">
        <v>0</v>
      </c>
      <c r="O120" s="1">
        <v>26717.439999999999</v>
      </c>
      <c r="P120" s="1">
        <f t="shared" si="5"/>
        <v>26717.439999999999</v>
      </c>
      <c r="Q120" s="10">
        <f t="shared" si="6"/>
        <v>0</v>
      </c>
      <c r="R120" s="11">
        <f t="shared" si="7"/>
        <v>26717.439999999999</v>
      </c>
      <c r="S120" s="1" t="str">
        <f t="shared" si="8"/>
        <v>High</v>
      </c>
      <c r="T120" s="1" t="str" cm="1">
        <f t="array" ref="T120">_xlfn.IFS(L120&gt;5,"High",L120=5,"mediam",L120&lt;5,"low")</f>
        <v>High</v>
      </c>
      <c r="U120" s="1" t="str">
        <f t="shared" si="9"/>
        <v>High</v>
      </c>
    </row>
    <row r="121" spans="1:21" x14ac:dyDescent="0.3">
      <c r="A121" s="5">
        <v>10120</v>
      </c>
      <c r="B121" s="1">
        <v>1878</v>
      </c>
      <c r="C121" s="2">
        <v>45186</v>
      </c>
      <c r="D121" s="2">
        <v>45187</v>
      </c>
      <c r="E121" s="1" t="s">
        <v>40</v>
      </c>
      <c r="F121" s="1" t="s">
        <v>23</v>
      </c>
      <c r="G121" s="1" t="s">
        <v>24</v>
      </c>
      <c r="H121" s="1" t="s">
        <v>42</v>
      </c>
      <c r="I121" s="1" t="s">
        <v>52</v>
      </c>
      <c r="J121" s="1" t="s">
        <v>53</v>
      </c>
      <c r="K121" s="1" t="s">
        <v>47</v>
      </c>
      <c r="L121" s="1">
        <v>7</v>
      </c>
      <c r="M121" s="1">
        <v>2894.46</v>
      </c>
      <c r="N121" s="1">
        <v>5</v>
      </c>
      <c r="O121" s="1">
        <v>19248.16</v>
      </c>
      <c r="P121" s="1">
        <f t="shared" si="5"/>
        <v>20261.22</v>
      </c>
      <c r="Q121" s="10">
        <f t="shared" si="6"/>
        <v>962.40800000000002</v>
      </c>
      <c r="R121" s="11">
        <f t="shared" si="7"/>
        <v>19298.812000000002</v>
      </c>
      <c r="S121" s="1" t="str">
        <f t="shared" si="8"/>
        <v>High</v>
      </c>
      <c r="T121" s="1" t="str" cm="1">
        <f t="array" ref="T121">_xlfn.IFS(L121&gt;5,"High",L121=5,"mediam",L121&lt;5,"low")</f>
        <v>High</v>
      </c>
      <c r="U121" s="1" t="str">
        <f t="shared" si="9"/>
        <v>High</v>
      </c>
    </row>
    <row r="122" spans="1:21" x14ac:dyDescent="0.3">
      <c r="A122" s="5">
        <v>10121</v>
      </c>
      <c r="B122" s="1">
        <v>1052</v>
      </c>
      <c r="C122" s="2">
        <v>45114</v>
      </c>
      <c r="D122" s="2">
        <v>45115</v>
      </c>
      <c r="E122" s="1" t="s">
        <v>16</v>
      </c>
      <c r="F122" s="1" t="s">
        <v>16</v>
      </c>
      <c r="G122" s="1" t="s">
        <v>24</v>
      </c>
      <c r="H122" s="1" t="s">
        <v>35</v>
      </c>
      <c r="I122" s="1" t="s">
        <v>57</v>
      </c>
      <c r="J122" s="1" t="s">
        <v>62</v>
      </c>
      <c r="K122" s="1" t="s">
        <v>33</v>
      </c>
      <c r="L122" s="1">
        <v>5</v>
      </c>
      <c r="M122" s="1">
        <v>2832.28</v>
      </c>
      <c r="N122" s="1">
        <v>0</v>
      </c>
      <c r="O122" s="1">
        <v>14161.4</v>
      </c>
      <c r="P122" s="1">
        <f t="shared" si="5"/>
        <v>14161.400000000001</v>
      </c>
      <c r="Q122" s="10">
        <f t="shared" si="6"/>
        <v>0</v>
      </c>
      <c r="R122" s="11">
        <f t="shared" si="7"/>
        <v>14161.400000000001</v>
      </c>
      <c r="S122" s="1" t="str">
        <f t="shared" si="8"/>
        <v>High</v>
      </c>
      <c r="T122" s="1" t="str" cm="1">
        <f t="array" ref="T122">_xlfn.IFS(L122&gt;5,"High",L122=5,"mediam",L122&lt;5,"low")</f>
        <v>mediam</v>
      </c>
      <c r="U122" s="1" t="b">
        <f t="shared" si="9"/>
        <v>0</v>
      </c>
    </row>
    <row r="123" spans="1:21" x14ac:dyDescent="0.3">
      <c r="A123" s="5">
        <v>10122</v>
      </c>
      <c r="B123" s="1">
        <v>1791</v>
      </c>
      <c r="C123" s="2">
        <v>44983</v>
      </c>
      <c r="D123" s="2">
        <v>44991</v>
      </c>
      <c r="E123" s="1" t="s">
        <v>16</v>
      </c>
      <c r="F123" s="1" t="s">
        <v>38</v>
      </c>
      <c r="G123" s="1" t="s">
        <v>24</v>
      </c>
      <c r="H123" s="1" t="s">
        <v>42</v>
      </c>
      <c r="I123" s="1" t="s">
        <v>49</v>
      </c>
      <c r="J123" s="1" t="s">
        <v>63</v>
      </c>
      <c r="K123" s="1" t="s">
        <v>45</v>
      </c>
      <c r="L123" s="1">
        <v>5</v>
      </c>
      <c r="M123" s="1">
        <v>1398.73</v>
      </c>
      <c r="N123" s="1">
        <v>0</v>
      </c>
      <c r="O123" s="1">
        <v>6993.65</v>
      </c>
      <c r="P123" s="1">
        <f t="shared" si="5"/>
        <v>6993.65</v>
      </c>
      <c r="Q123" s="10">
        <f t="shared" si="6"/>
        <v>0</v>
      </c>
      <c r="R123" s="11">
        <f t="shared" si="7"/>
        <v>6993.65</v>
      </c>
      <c r="S123" s="1" t="str">
        <f t="shared" si="8"/>
        <v>High</v>
      </c>
      <c r="T123" s="1" t="str" cm="1">
        <f t="array" ref="T123">_xlfn.IFS(L123&gt;5,"High",L123=5,"mediam",L123&lt;5,"low")</f>
        <v>mediam</v>
      </c>
      <c r="U123" s="1" t="b">
        <f t="shared" si="9"/>
        <v>0</v>
      </c>
    </row>
    <row r="124" spans="1:21" x14ac:dyDescent="0.3">
      <c r="A124" s="5">
        <v>10123</v>
      </c>
      <c r="B124" s="1">
        <v>1921</v>
      </c>
      <c r="C124" s="2">
        <v>44946</v>
      </c>
      <c r="D124" s="2">
        <v>44950</v>
      </c>
      <c r="E124" s="1" t="s">
        <v>22</v>
      </c>
      <c r="F124" s="1" t="s">
        <v>16</v>
      </c>
      <c r="G124" s="1" t="s">
        <v>24</v>
      </c>
      <c r="H124" s="1" t="s">
        <v>44</v>
      </c>
      <c r="I124" s="1" t="s">
        <v>26</v>
      </c>
      <c r="J124" s="1" t="s">
        <v>69</v>
      </c>
      <c r="K124" s="1" t="s">
        <v>47</v>
      </c>
      <c r="L124" s="1">
        <v>7</v>
      </c>
      <c r="M124" s="1">
        <v>1050.5</v>
      </c>
      <c r="N124" s="1">
        <v>20</v>
      </c>
      <c r="O124" s="1">
        <v>5882.8</v>
      </c>
      <c r="P124" s="1">
        <f t="shared" si="5"/>
        <v>7353.5</v>
      </c>
      <c r="Q124" s="10">
        <f t="shared" si="6"/>
        <v>1176.5600000000002</v>
      </c>
      <c r="R124" s="11">
        <f t="shared" si="7"/>
        <v>6176.94</v>
      </c>
      <c r="S124" s="1" t="str">
        <f t="shared" si="8"/>
        <v>High</v>
      </c>
      <c r="T124" s="1" t="str" cm="1">
        <f t="array" ref="T124">_xlfn.IFS(L124&gt;5,"High",L124=5,"mediam",L124&lt;5,"low")</f>
        <v>High</v>
      </c>
      <c r="U124" s="1" t="str">
        <f t="shared" si="9"/>
        <v>High</v>
      </c>
    </row>
    <row r="125" spans="1:21" x14ac:dyDescent="0.3">
      <c r="A125" s="5">
        <v>10124</v>
      </c>
      <c r="B125" s="1">
        <v>1216</v>
      </c>
      <c r="C125" s="2">
        <v>45199</v>
      </c>
      <c r="D125" s="2">
        <v>45200</v>
      </c>
      <c r="E125" s="1" t="s">
        <v>16</v>
      </c>
      <c r="F125" s="1" t="s">
        <v>41</v>
      </c>
      <c r="G125" s="1" t="s">
        <v>24</v>
      </c>
      <c r="H125" s="1" t="s">
        <v>18</v>
      </c>
      <c r="I125" s="1" t="s">
        <v>26</v>
      </c>
      <c r="J125" s="1" t="s">
        <v>61</v>
      </c>
      <c r="K125" s="1" t="s">
        <v>33</v>
      </c>
      <c r="L125" s="1">
        <v>9</v>
      </c>
      <c r="M125" s="1">
        <v>961.91</v>
      </c>
      <c r="N125" s="1">
        <v>15</v>
      </c>
      <c r="O125" s="1">
        <v>7358.61</v>
      </c>
      <c r="P125" s="1">
        <f t="shared" si="5"/>
        <v>8657.19</v>
      </c>
      <c r="Q125" s="10">
        <f t="shared" si="6"/>
        <v>1103.7914999999998</v>
      </c>
      <c r="R125" s="11">
        <f t="shared" si="7"/>
        <v>7553.3985000000011</v>
      </c>
      <c r="S125" s="1" t="str">
        <f t="shared" si="8"/>
        <v>High</v>
      </c>
      <c r="T125" s="1" t="str" cm="1">
        <f t="array" ref="T125">_xlfn.IFS(L125&gt;5,"High",L125=5,"mediam",L125&lt;5,"low")</f>
        <v>High</v>
      </c>
      <c r="U125" s="1" t="str">
        <f t="shared" si="9"/>
        <v>High</v>
      </c>
    </row>
    <row r="126" spans="1:21" x14ac:dyDescent="0.3">
      <c r="A126" s="5">
        <v>10125</v>
      </c>
      <c r="B126" s="1">
        <v>1763</v>
      </c>
      <c r="C126" s="2">
        <v>45045</v>
      </c>
      <c r="D126" s="2">
        <v>45052</v>
      </c>
      <c r="E126" s="1" t="s">
        <v>16</v>
      </c>
      <c r="F126" s="1" t="s">
        <v>23</v>
      </c>
      <c r="G126" s="1" t="s">
        <v>30</v>
      </c>
      <c r="H126" s="1" t="s">
        <v>44</v>
      </c>
      <c r="I126" s="1" t="s">
        <v>52</v>
      </c>
      <c r="J126" s="1" t="s">
        <v>64</v>
      </c>
      <c r="K126" s="1" t="s">
        <v>47</v>
      </c>
      <c r="L126" s="1">
        <v>9</v>
      </c>
      <c r="M126" s="1">
        <v>3450.19</v>
      </c>
      <c r="N126" s="1">
        <v>0</v>
      </c>
      <c r="O126" s="1">
        <v>31051.71</v>
      </c>
      <c r="P126" s="1">
        <f t="shared" si="5"/>
        <v>31051.71</v>
      </c>
      <c r="Q126" s="10">
        <f t="shared" si="6"/>
        <v>0</v>
      </c>
      <c r="R126" s="11">
        <f t="shared" si="7"/>
        <v>31051.71</v>
      </c>
      <c r="S126" s="1" t="str">
        <f t="shared" si="8"/>
        <v>High</v>
      </c>
      <c r="T126" s="1" t="str" cm="1">
        <f t="array" ref="T126">_xlfn.IFS(L126&gt;5,"High",L126=5,"mediam",L126&lt;5,"low")</f>
        <v>High</v>
      </c>
      <c r="U126" s="1" t="str">
        <f t="shared" si="9"/>
        <v>High</v>
      </c>
    </row>
    <row r="127" spans="1:21" x14ac:dyDescent="0.3">
      <c r="A127" s="5">
        <v>10126</v>
      </c>
      <c r="B127" s="1">
        <v>1187</v>
      </c>
      <c r="C127" s="2">
        <v>44997</v>
      </c>
      <c r="D127" s="2">
        <v>45002</v>
      </c>
      <c r="E127" s="1" t="s">
        <v>22</v>
      </c>
      <c r="F127" s="1" t="s">
        <v>54</v>
      </c>
      <c r="G127" s="1" t="s">
        <v>24</v>
      </c>
      <c r="H127" s="1" t="s">
        <v>18</v>
      </c>
      <c r="I127" s="1" t="s">
        <v>31</v>
      </c>
      <c r="J127" s="1" t="s">
        <v>48</v>
      </c>
      <c r="K127" s="1" t="s">
        <v>28</v>
      </c>
      <c r="L127" s="1">
        <v>9</v>
      </c>
      <c r="M127" s="1">
        <v>3308.64</v>
      </c>
      <c r="N127" s="1">
        <v>5</v>
      </c>
      <c r="O127" s="1">
        <v>28288.87</v>
      </c>
      <c r="P127" s="1">
        <f t="shared" si="5"/>
        <v>29777.759999999998</v>
      </c>
      <c r="Q127" s="10">
        <f t="shared" si="6"/>
        <v>1414.4435000000001</v>
      </c>
      <c r="R127" s="11">
        <f t="shared" si="7"/>
        <v>28363.316499999997</v>
      </c>
      <c r="S127" s="1" t="str">
        <f t="shared" si="8"/>
        <v>High</v>
      </c>
      <c r="T127" s="1" t="str" cm="1">
        <f t="array" ref="T127">_xlfn.IFS(L127&gt;5,"High",L127=5,"mediam",L127&lt;5,"low")</f>
        <v>High</v>
      </c>
      <c r="U127" s="1" t="str">
        <f t="shared" si="9"/>
        <v>High</v>
      </c>
    </row>
    <row r="128" spans="1:21" x14ac:dyDescent="0.3">
      <c r="A128" s="5">
        <v>10127</v>
      </c>
      <c r="B128" s="1">
        <v>1379</v>
      </c>
      <c r="C128" s="2">
        <v>44930</v>
      </c>
      <c r="D128" s="2">
        <v>44935</v>
      </c>
      <c r="E128" s="1" t="s">
        <v>37</v>
      </c>
      <c r="F128" s="1" t="s">
        <v>54</v>
      </c>
      <c r="G128" s="1" t="s">
        <v>24</v>
      </c>
      <c r="H128" s="1" t="s">
        <v>18</v>
      </c>
      <c r="I128" s="1" t="s">
        <v>31</v>
      </c>
      <c r="J128" s="1" t="s">
        <v>39</v>
      </c>
      <c r="K128" s="1" t="s">
        <v>21</v>
      </c>
      <c r="L128" s="1">
        <v>6</v>
      </c>
      <c r="M128" s="1">
        <v>1846.21</v>
      </c>
      <c r="N128" s="1">
        <v>10</v>
      </c>
      <c r="O128" s="1">
        <v>9969.5300000000007</v>
      </c>
      <c r="P128" s="1">
        <f t="shared" si="5"/>
        <v>11077.26</v>
      </c>
      <c r="Q128" s="10">
        <f t="shared" si="6"/>
        <v>996.95300000000009</v>
      </c>
      <c r="R128" s="11">
        <f t="shared" si="7"/>
        <v>10080.307000000001</v>
      </c>
      <c r="S128" s="1" t="str">
        <f t="shared" si="8"/>
        <v>High</v>
      </c>
      <c r="T128" s="1" t="str" cm="1">
        <f t="array" ref="T128">_xlfn.IFS(L128&gt;5,"High",L128=5,"mediam",L128&lt;5,"low")</f>
        <v>High</v>
      </c>
      <c r="U128" s="1" t="str">
        <f t="shared" si="9"/>
        <v>High</v>
      </c>
    </row>
    <row r="129" spans="1:21" x14ac:dyDescent="0.3">
      <c r="A129" s="5">
        <v>10128</v>
      </c>
      <c r="B129" s="1">
        <v>1492</v>
      </c>
      <c r="C129" s="2">
        <v>45147</v>
      </c>
      <c r="D129" s="2">
        <v>45148</v>
      </c>
      <c r="E129" s="1" t="s">
        <v>46</v>
      </c>
      <c r="F129" s="1" t="s">
        <v>38</v>
      </c>
      <c r="G129" s="1" t="s">
        <v>30</v>
      </c>
      <c r="H129" s="1" t="s">
        <v>35</v>
      </c>
      <c r="I129" s="1" t="s">
        <v>26</v>
      </c>
      <c r="J129" s="1" t="s">
        <v>61</v>
      </c>
      <c r="K129" s="1" t="s">
        <v>47</v>
      </c>
      <c r="L129" s="1">
        <v>6</v>
      </c>
      <c r="M129" s="1">
        <v>659.76</v>
      </c>
      <c r="N129" s="1">
        <v>0</v>
      </c>
      <c r="O129" s="1">
        <v>3958.56</v>
      </c>
      <c r="P129" s="1">
        <f t="shared" si="5"/>
        <v>3958.56</v>
      </c>
      <c r="Q129" s="10">
        <f t="shared" si="6"/>
        <v>0</v>
      </c>
      <c r="R129" s="11">
        <f t="shared" si="7"/>
        <v>3958.56</v>
      </c>
      <c r="S129" s="1" t="str">
        <f t="shared" si="8"/>
        <v>High</v>
      </c>
      <c r="T129" s="1" t="str" cm="1">
        <f t="array" ref="T129">_xlfn.IFS(L129&gt;5,"High",L129=5,"mediam",L129&lt;5,"low")</f>
        <v>High</v>
      </c>
      <c r="U129" s="1" t="str">
        <f t="shared" si="9"/>
        <v>High</v>
      </c>
    </row>
    <row r="130" spans="1:21" x14ac:dyDescent="0.3">
      <c r="A130" s="5">
        <v>10129</v>
      </c>
      <c r="B130" s="1">
        <v>1040</v>
      </c>
      <c r="C130" s="2">
        <v>44940</v>
      </c>
      <c r="D130" s="2">
        <v>44946</v>
      </c>
      <c r="E130" s="1" t="s">
        <v>34</v>
      </c>
      <c r="F130" s="1" t="s">
        <v>29</v>
      </c>
      <c r="G130" s="1" t="s">
        <v>24</v>
      </c>
      <c r="H130" s="1" t="s">
        <v>44</v>
      </c>
      <c r="I130" s="1" t="s">
        <v>52</v>
      </c>
      <c r="J130" s="1" t="s">
        <v>56</v>
      </c>
      <c r="K130" s="1" t="s">
        <v>21</v>
      </c>
      <c r="L130" s="1">
        <v>3</v>
      </c>
      <c r="M130" s="1">
        <v>1621.67</v>
      </c>
      <c r="N130" s="1">
        <v>0</v>
      </c>
      <c r="O130" s="1">
        <v>4865.01</v>
      </c>
      <c r="P130" s="1">
        <f t="shared" si="5"/>
        <v>4865.01</v>
      </c>
      <c r="Q130" s="10">
        <f t="shared" si="6"/>
        <v>0</v>
      </c>
      <c r="R130" s="11">
        <f t="shared" si="7"/>
        <v>4865.01</v>
      </c>
      <c r="S130" s="1" t="str">
        <f t="shared" si="8"/>
        <v>Low</v>
      </c>
      <c r="T130" s="1" t="str" cm="1">
        <f t="array" ref="T130">_xlfn.IFS(L130&gt;5,"High",L130=5,"mediam",L130&lt;5,"low")</f>
        <v>low</v>
      </c>
      <c r="U130" s="1" t="b">
        <f t="shared" si="9"/>
        <v>0</v>
      </c>
    </row>
    <row r="131" spans="1:21" x14ac:dyDescent="0.3">
      <c r="A131" s="5">
        <v>10130</v>
      </c>
      <c r="B131" s="1">
        <v>1156</v>
      </c>
      <c r="C131" s="2">
        <v>44929</v>
      </c>
      <c r="D131" s="2">
        <v>44938</v>
      </c>
      <c r="E131" s="1" t="s">
        <v>15</v>
      </c>
      <c r="F131" s="1" t="s">
        <v>41</v>
      </c>
      <c r="G131" s="1" t="s">
        <v>17</v>
      </c>
      <c r="H131" s="1" t="s">
        <v>42</v>
      </c>
      <c r="I131" s="1" t="s">
        <v>57</v>
      </c>
      <c r="J131" s="1" t="s">
        <v>62</v>
      </c>
      <c r="K131" s="1" t="s">
        <v>33</v>
      </c>
      <c r="L131" s="1">
        <v>1</v>
      </c>
      <c r="M131" s="1">
        <v>2534.4699999999998</v>
      </c>
      <c r="N131" s="1">
        <v>5</v>
      </c>
      <c r="O131" s="1">
        <v>2407.75</v>
      </c>
      <c r="P131" s="1">
        <f t="shared" ref="P131:P194" si="10">L131*M131</f>
        <v>2534.4699999999998</v>
      </c>
      <c r="Q131" s="10">
        <f t="shared" ref="Q131:Q194" si="11">O131*N131%</f>
        <v>120.3875</v>
      </c>
      <c r="R131" s="11">
        <f t="shared" ref="R131:R194" si="12">P131-Q131</f>
        <v>2414.0825</v>
      </c>
      <c r="S131" s="1" t="str">
        <f t="shared" ref="S131:S194" si="13">IF(L131&gt;=5,"High","Low")</f>
        <v>Low</v>
      </c>
      <c r="T131" s="1" t="str" cm="1">
        <f t="array" ref="T131">_xlfn.IFS(L131&gt;5,"High",L131=5,"mediam",L131&lt;5,"low")</f>
        <v>low</v>
      </c>
      <c r="U131" s="1" t="b">
        <f t="shared" ref="U131:U194" si="14">IF(L131&gt;5,"High",IF(L131="Mediam","Low"))</f>
        <v>0</v>
      </c>
    </row>
    <row r="132" spans="1:21" x14ac:dyDescent="0.3">
      <c r="A132" s="5">
        <v>10131</v>
      </c>
      <c r="B132" s="1">
        <v>1014</v>
      </c>
      <c r="C132" s="2">
        <v>45142</v>
      </c>
      <c r="D132" s="2">
        <v>45151</v>
      </c>
      <c r="E132" s="1" t="s">
        <v>34</v>
      </c>
      <c r="F132" s="1" t="s">
        <v>38</v>
      </c>
      <c r="G132" s="1" t="s">
        <v>24</v>
      </c>
      <c r="H132" s="1" t="s">
        <v>44</v>
      </c>
      <c r="I132" s="1" t="s">
        <v>31</v>
      </c>
      <c r="J132" s="1" t="s">
        <v>32</v>
      </c>
      <c r="K132" s="1" t="s">
        <v>21</v>
      </c>
      <c r="L132" s="1">
        <v>7</v>
      </c>
      <c r="M132" s="1">
        <v>1899.45</v>
      </c>
      <c r="N132" s="1">
        <v>15</v>
      </c>
      <c r="O132" s="1">
        <v>11301.73</v>
      </c>
      <c r="P132" s="1">
        <f t="shared" si="10"/>
        <v>13296.15</v>
      </c>
      <c r="Q132" s="10">
        <f t="shared" si="11"/>
        <v>1695.2594999999999</v>
      </c>
      <c r="R132" s="11">
        <f t="shared" si="12"/>
        <v>11600.8905</v>
      </c>
      <c r="S132" s="1" t="str">
        <f t="shared" si="13"/>
        <v>High</v>
      </c>
      <c r="T132" s="1" t="str" cm="1">
        <f t="array" ref="T132">_xlfn.IFS(L132&gt;5,"High",L132=5,"mediam",L132&lt;5,"low")</f>
        <v>High</v>
      </c>
      <c r="U132" s="1" t="str">
        <f t="shared" si="14"/>
        <v>High</v>
      </c>
    </row>
    <row r="133" spans="1:21" x14ac:dyDescent="0.3">
      <c r="A133" s="5">
        <v>10132</v>
      </c>
      <c r="B133" s="1">
        <v>1812</v>
      </c>
      <c r="C133" s="2">
        <v>45155</v>
      </c>
      <c r="D133" s="2">
        <v>45163</v>
      </c>
      <c r="E133" s="1" t="s">
        <v>34</v>
      </c>
      <c r="F133" s="1" t="s">
        <v>29</v>
      </c>
      <c r="G133" s="1" t="s">
        <v>24</v>
      </c>
      <c r="H133" s="1" t="s">
        <v>35</v>
      </c>
      <c r="I133" s="1" t="s">
        <v>57</v>
      </c>
      <c r="J133" s="1" t="s">
        <v>58</v>
      </c>
      <c r="K133" s="1" t="s">
        <v>47</v>
      </c>
      <c r="L133" s="1">
        <v>4</v>
      </c>
      <c r="M133" s="1">
        <v>3153.73</v>
      </c>
      <c r="N133" s="1">
        <v>0</v>
      </c>
      <c r="O133" s="1">
        <v>12614.92</v>
      </c>
      <c r="P133" s="1">
        <f t="shared" si="10"/>
        <v>12614.92</v>
      </c>
      <c r="Q133" s="10">
        <f t="shared" si="11"/>
        <v>0</v>
      </c>
      <c r="R133" s="11">
        <f t="shared" si="12"/>
        <v>12614.92</v>
      </c>
      <c r="S133" s="1" t="str">
        <f t="shared" si="13"/>
        <v>Low</v>
      </c>
      <c r="T133" s="1" t="str" cm="1">
        <f t="array" ref="T133">_xlfn.IFS(L133&gt;5,"High",L133=5,"mediam",L133&lt;5,"low")</f>
        <v>low</v>
      </c>
      <c r="U133" s="1" t="b">
        <f t="shared" si="14"/>
        <v>0</v>
      </c>
    </row>
    <row r="134" spans="1:21" x14ac:dyDescent="0.3">
      <c r="A134" s="5">
        <v>10133</v>
      </c>
      <c r="B134" s="1">
        <v>1064</v>
      </c>
      <c r="C134" s="2">
        <v>45262</v>
      </c>
      <c r="D134" s="2">
        <v>45267</v>
      </c>
      <c r="E134" s="1" t="s">
        <v>40</v>
      </c>
      <c r="F134" s="1" t="s">
        <v>16</v>
      </c>
      <c r="G134" s="1" t="s">
        <v>17</v>
      </c>
      <c r="H134" s="1" t="s">
        <v>18</v>
      </c>
      <c r="I134" s="1" t="s">
        <v>31</v>
      </c>
      <c r="J134" s="1" t="s">
        <v>48</v>
      </c>
      <c r="K134" s="1" t="s">
        <v>28</v>
      </c>
      <c r="L134" s="1">
        <v>1</v>
      </c>
      <c r="M134" s="1">
        <v>3990.85</v>
      </c>
      <c r="N134" s="1">
        <v>0</v>
      </c>
      <c r="O134" s="1">
        <v>3990.85</v>
      </c>
      <c r="P134" s="1">
        <f t="shared" si="10"/>
        <v>3990.85</v>
      </c>
      <c r="Q134" s="10">
        <f t="shared" si="11"/>
        <v>0</v>
      </c>
      <c r="R134" s="11">
        <f t="shared" si="12"/>
        <v>3990.85</v>
      </c>
      <c r="S134" s="1" t="str">
        <f t="shared" si="13"/>
        <v>Low</v>
      </c>
      <c r="T134" s="1" t="str" cm="1">
        <f t="array" ref="T134">_xlfn.IFS(L134&gt;5,"High",L134=5,"mediam",L134&lt;5,"low")</f>
        <v>low</v>
      </c>
      <c r="U134" s="1" t="b">
        <f t="shared" si="14"/>
        <v>0</v>
      </c>
    </row>
    <row r="135" spans="1:21" x14ac:dyDescent="0.3">
      <c r="A135" s="5">
        <v>10134</v>
      </c>
      <c r="B135" s="1">
        <v>1856</v>
      </c>
      <c r="C135" s="2">
        <v>45112</v>
      </c>
      <c r="D135" s="2">
        <v>45113</v>
      </c>
      <c r="E135" s="1" t="s">
        <v>46</v>
      </c>
      <c r="F135" s="1" t="s">
        <v>41</v>
      </c>
      <c r="G135" s="1" t="s">
        <v>17</v>
      </c>
      <c r="H135" s="1" t="s">
        <v>35</v>
      </c>
      <c r="I135" s="1" t="s">
        <v>31</v>
      </c>
      <c r="J135" s="1" t="s">
        <v>65</v>
      </c>
      <c r="K135" s="1" t="s">
        <v>33</v>
      </c>
      <c r="L135" s="1">
        <v>8</v>
      </c>
      <c r="M135" s="1">
        <v>885.86</v>
      </c>
      <c r="N135" s="1">
        <v>15</v>
      </c>
      <c r="O135" s="1">
        <v>6023.85</v>
      </c>
      <c r="P135" s="1">
        <f t="shared" si="10"/>
        <v>7086.88</v>
      </c>
      <c r="Q135" s="10">
        <f t="shared" si="11"/>
        <v>903.57749999999999</v>
      </c>
      <c r="R135" s="11">
        <f t="shared" si="12"/>
        <v>6183.3024999999998</v>
      </c>
      <c r="S135" s="1" t="str">
        <f t="shared" si="13"/>
        <v>High</v>
      </c>
      <c r="T135" s="1" t="str" cm="1">
        <f t="array" ref="T135">_xlfn.IFS(L135&gt;5,"High",L135=5,"mediam",L135&lt;5,"low")</f>
        <v>High</v>
      </c>
      <c r="U135" s="1" t="str">
        <f t="shared" si="14"/>
        <v>High</v>
      </c>
    </row>
    <row r="136" spans="1:21" x14ac:dyDescent="0.3">
      <c r="A136" s="5">
        <v>10135</v>
      </c>
      <c r="B136" s="1">
        <v>1838</v>
      </c>
      <c r="C136" s="2">
        <v>44981</v>
      </c>
      <c r="D136" s="2">
        <v>44990</v>
      </c>
      <c r="E136" s="1" t="s">
        <v>40</v>
      </c>
      <c r="F136" s="1" t="s">
        <v>16</v>
      </c>
      <c r="G136" s="1" t="s">
        <v>17</v>
      </c>
      <c r="H136" s="1" t="s">
        <v>25</v>
      </c>
      <c r="I136" s="1" t="s">
        <v>19</v>
      </c>
      <c r="J136" s="1" t="s">
        <v>43</v>
      </c>
      <c r="K136" s="1" t="s">
        <v>47</v>
      </c>
      <c r="L136" s="1">
        <v>6</v>
      </c>
      <c r="M136" s="1">
        <v>1919.66</v>
      </c>
      <c r="N136" s="1">
        <v>5</v>
      </c>
      <c r="O136" s="1">
        <v>10942.06</v>
      </c>
      <c r="P136" s="1">
        <f t="shared" si="10"/>
        <v>11517.960000000001</v>
      </c>
      <c r="Q136" s="10">
        <f t="shared" si="11"/>
        <v>547.10299999999995</v>
      </c>
      <c r="R136" s="11">
        <f t="shared" si="12"/>
        <v>10970.857000000002</v>
      </c>
      <c r="S136" s="1" t="str">
        <f t="shared" si="13"/>
        <v>High</v>
      </c>
      <c r="T136" s="1" t="str" cm="1">
        <f t="array" ref="T136">_xlfn.IFS(L136&gt;5,"High",L136=5,"mediam",L136&lt;5,"low")</f>
        <v>High</v>
      </c>
      <c r="U136" s="1" t="str">
        <f t="shared" si="14"/>
        <v>High</v>
      </c>
    </row>
    <row r="137" spans="1:21" x14ac:dyDescent="0.3">
      <c r="A137" s="5">
        <v>10136</v>
      </c>
      <c r="B137" s="1">
        <v>1520</v>
      </c>
      <c r="C137" s="2">
        <v>45180</v>
      </c>
      <c r="D137" s="2">
        <v>45181</v>
      </c>
      <c r="E137" s="1" t="s">
        <v>46</v>
      </c>
      <c r="F137" s="1" t="s">
        <v>23</v>
      </c>
      <c r="G137" s="1" t="s">
        <v>17</v>
      </c>
      <c r="H137" s="1" t="s">
        <v>25</v>
      </c>
      <c r="I137" s="1" t="s">
        <v>31</v>
      </c>
      <c r="J137" s="1" t="s">
        <v>39</v>
      </c>
      <c r="K137" s="1" t="s">
        <v>33</v>
      </c>
      <c r="L137" s="1">
        <v>6</v>
      </c>
      <c r="M137" s="1">
        <v>1809.29</v>
      </c>
      <c r="N137" s="1">
        <v>0</v>
      </c>
      <c r="O137" s="1">
        <v>10855.74</v>
      </c>
      <c r="P137" s="1">
        <f t="shared" si="10"/>
        <v>10855.74</v>
      </c>
      <c r="Q137" s="10">
        <f t="shared" si="11"/>
        <v>0</v>
      </c>
      <c r="R137" s="11">
        <f t="shared" si="12"/>
        <v>10855.74</v>
      </c>
      <c r="S137" s="1" t="str">
        <f t="shared" si="13"/>
        <v>High</v>
      </c>
      <c r="T137" s="1" t="str" cm="1">
        <f t="array" ref="T137">_xlfn.IFS(L137&gt;5,"High",L137=5,"mediam",L137&lt;5,"low")</f>
        <v>High</v>
      </c>
      <c r="U137" s="1" t="str">
        <f t="shared" si="14"/>
        <v>High</v>
      </c>
    </row>
    <row r="138" spans="1:21" x14ac:dyDescent="0.3">
      <c r="A138" s="5">
        <v>10137</v>
      </c>
      <c r="B138" s="1">
        <v>1343</v>
      </c>
      <c r="C138" s="2">
        <v>44950</v>
      </c>
      <c r="D138" s="2">
        <v>44958</v>
      </c>
      <c r="E138" s="1" t="s">
        <v>22</v>
      </c>
      <c r="F138" s="1" t="s">
        <v>41</v>
      </c>
      <c r="G138" s="1" t="s">
        <v>24</v>
      </c>
      <c r="H138" s="1" t="s">
        <v>42</v>
      </c>
      <c r="I138" s="1" t="s">
        <v>49</v>
      </c>
      <c r="J138" s="1" t="s">
        <v>50</v>
      </c>
      <c r="K138" s="1" t="s">
        <v>45</v>
      </c>
      <c r="L138" s="1">
        <v>2</v>
      </c>
      <c r="M138" s="1">
        <v>1322.3</v>
      </c>
      <c r="N138" s="1">
        <v>15</v>
      </c>
      <c r="O138" s="1">
        <v>2247.91</v>
      </c>
      <c r="P138" s="1">
        <f t="shared" si="10"/>
        <v>2644.6</v>
      </c>
      <c r="Q138" s="10">
        <f t="shared" si="11"/>
        <v>337.18649999999997</v>
      </c>
      <c r="R138" s="11">
        <f t="shared" si="12"/>
        <v>2307.4135000000001</v>
      </c>
      <c r="S138" s="1" t="str">
        <f t="shared" si="13"/>
        <v>Low</v>
      </c>
      <c r="T138" s="1" t="str" cm="1">
        <f t="array" ref="T138">_xlfn.IFS(L138&gt;5,"High",L138=5,"mediam",L138&lt;5,"low")</f>
        <v>low</v>
      </c>
      <c r="U138" s="1" t="b">
        <f t="shared" si="14"/>
        <v>0</v>
      </c>
    </row>
    <row r="139" spans="1:21" x14ac:dyDescent="0.3">
      <c r="A139" s="5">
        <v>10138</v>
      </c>
      <c r="B139" s="1">
        <v>1128</v>
      </c>
      <c r="C139" s="2">
        <v>45088</v>
      </c>
      <c r="D139" s="2">
        <v>45093</v>
      </c>
      <c r="E139" s="1" t="s">
        <v>22</v>
      </c>
      <c r="F139" s="1" t="s">
        <v>29</v>
      </c>
      <c r="G139" s="1" t="s">
        <v>17</v>
      </c>
      <c r="H139" s="1" t="s">
        <v>35</v>
      </c>
      <c r="I139" s="1" t="s">
        <v>52</v>
      </c>
      <c r="J139" s="1" t="s">
        <v>53</v>
      </c>
      <c r="K139" s="1" t="s">
        <v>21</v>
      </c>
      <c r="L139" s="1">
        <v>1</v>
      </c>
      <c r="M139" s="1">
        <v>912.67</v>
      </c>
      <c r="N139" s="1">
        <v>0</v>
      </c>
      <c r="O139" s="1">
        <v>912.67</v>
      </c>
      <c r="P139" s="1">
        <f t="shared" si="10"/>
        <v>912.67</v>
      </c>
      <c r="Q139" s="10">
        <f t="shared" si="11"/>
        <v>0</v>
      </c>
      <c r="R139" s="11">
        <f t="shared" si="12"/>
        <v>912.67</v>
      </c>
      <c r="S139" s="1" t="str">
        <f t="shared" si="13"/>
        <v>Low</v>
      </c>
      <c r="T139" s="1" t="str" cm="1">
        <f t="array" ref="T139">_xlfn.IFS(L139&gt;5,"High",L139=5,"mediam",L139&lt;5,"low")</f>
        <v>low</v>
      </c>
      <c r="U139" s="1" t="b">
        <f t="shared" si="14"/>
        <v>0</v>
      </c>
    </row>
    <row r="140" spans="1:21" x14ac:dyDescent="0.3">
      <c r="A140" s="5">
        <v>10139</v>
      </c>
      <c r="B140" s="1">
        <v>1647</v>
      </c>
      <c r="C140" s="2">
        <v>45084</v>
      </c>
      <c r="D140" s="2">
        <v>45087</v>
      </c>
      <c r="E140" s="1" t="s">
        <v>46</v>
      </c>
      <c r="F140" s="1" t="s">
        <v>23</v>
      </c>
      <c r="G140" s="1" t="s">
        <v>17</v>
      </c>
      <c r="H140" s="1" t="s">
        <v>42</v>
      </c>
      <c r="I140" s="1" t="s">
        <v>52</v>
      </c>
      <c r="J140" s="1" t="s">
        <v>53</v>
      </c>
      <c r="K140" s="1" t="s">
        <v>45</v>
      </c>
      <c r="L140" s="1">
        <v>2</v>
      </c>
      <c r="M140" s="1">
        <v>402.91</v>
      </c>
      <c r="N140" s="1">
        <v>10</v>
      </c>
      <c r="O140" s="1">
        <v>725.24</v>
      </c>
      <c r="P140" s="1">
        <f t="shared" si="10"/>
        <v>805.82</v>
      </c>
      <c r="Q140" s="10">
        <f t="shared" si="11"/>
        <v>72.524000000000001</v>
      </c>
      <c r="R140" s="11">
        <f t="shared" si="12"/>
        <v>733.29600000000005</v>
      </c>
      <c r="S140" s="1" t="str">
        <f t="shared" si="13"/>
        <v>Low</v>
      </c>
      <c r="T140" s="1" t="str" cm="1">
        <f t="array" ref="T140">_xlfn.IFS(L140&gt;5,"High",L140=5,"mediam",L140&lt;5,"low")</f>
        <v>low</v>
      </c>
      <c r="U140" s="1" t="b">
        <f t="shared" si="14"/>
        <v>0</v>
      </c>
    </row>
    <row r="141" spans="1:21" x14ac:dyDescent="0.3">
      <c r="A141" s="5">
        <v>10140</v>
      </c>
      <c r="B141" s="1">
        <v>1471</v>
      </c>
      <c r="C141" s="2">
        <v>45008</v>
      </c>
      <c r="D141" s="2">
        <v>45015</v>
      </c>
      <c r="E141" s="1" t="s">
        <v>16</v>
      </c>
      <c r="F141" s="1" t="s">
        <v>54</v>
      </c>
      <c r="G141" s="1" t="s">
        <v>30</v>
      </c>
      <c r="H141" s="1" t="s">
        <v>42</v>
      </c>
      <c r="I141" s="1" t="s">
        <v>57</v>
      </c>
      <c r="J141" s="1" t="s">
        <v>59</v>
      </c>
      <c r="K141" s="1" t="s">
        <v>47</v>
      </c>
      <c r="L141" s="1">
        <v>4</v>
      </c>
      <c r="M141" s="1">
        <v>3565.41</v>
      </c>
      <c r="N141" s="1">
        <v>20</v>
      </c>
      <c r="O141" s="1">
        <v>11409.31</v>
      </c>
      <c r="P141" s="1">
        <f t="shared" si="10"/>
        <v>14261.64</v>
      </c>
      <c r="Q141" s="10">
        <f t="shared" si="11"/>
        <v>2281.8620000000001</v>
      </c>
      <c r="R141" s="11">
        <f t="shared" si="12"/>
        <v>11979.777999999998</v>
      </c>
      <c r="S141" s="1" t="str">
        <f t="shared" si="13"/>
        <v>Low</v>
      </c>
      <c r="T141" s="1" t="str" cm="1">
        <f t="array" ref="T141">_xlfn.IFS(L141&gt;5,"High",L141=5,"mediam",L141&lt;5,"low")</f>
        <v>low</v>
      </c>
      <c r="U141" s="1" t="b">
        <f t="shared" si="14"/>
        <v>0</v>
      </c>
    </row>
    <row r="142" spans="1:21" x14ac:dyDescent="0.3">
      <c r="A142" s="5">
        <v>10141</v>
      </c>
      <c r="B142" s="1">
        <v>1062</v>
      </c>
      <c r="C142" s="2">
        <v>45085</v>
      </c>
      <c r="D142" s="2">
        <v>45092</v>
      </c>
      <c r="E142" s="1" t="s">
        <v>37</v>
      </c>
      <c r="F142" s="1" t="s">
        <v>29</v>
      </c>
      <c r="G142" s="1" t="s">
        <v>17</v>
      </c>
      <c r="H142" s="1" t="s">
        <v>25</v>
      </c>
      <c r="I142" s="1" t="s">
        <v>31</v>
      </c>
      <c r="J142" s="1" t="s">
        <v>39</v>
      </c>
      <c r="K142" s="1" t="s">
        <v>28</v>
      </c>
      <c r="L142" s="1">
        <v>2</v>
      </c>
      <c r="M142" s="1">
        <v>1766.42</v>
      </c>
      <c r="N142" s="1">
        <v>10</v>
      </c>
      <c r="O142" s="1">
        <v>3179.56</v>
      </c>
      <c r="P142" s="1">
        <f t="shared" si="10"/>
        <v>3532.84</v>
      </c>
      <c r="Q142" s="10">
        <f t="shared" si="11"/>
        <v>317.95600000000002</v>
      </c>
      <c r="R142" s="11">
        <f t="shared" si="12"/>
        <v>3214.884</v>
      </c>
      <c r="S142" s="1" t="str">
        <f t="shared" si="13"/>
        <v>Low</v>
      </c>
      <c r="T142" s="1" t="str" cm="1">
        <f t="array" ref="T142">_xlfn.IFS(L142&gt;5,"High",L142=5,"mediam",L142&lt;5,"low")</f>
        <v>low</v>
      </c>
      <c r="U142" s="1" t="b">
        <f t="shared" si="14"/>
        <v>0</v>
      </c>
    </row>
    <row r="143" spans="1:21" x14ac:dyDescent="0.3">
      <c r="A143" s="5">
        <v>10142</v>
      </c>
      <c r="B143" s="1">
        <v>1138</v>
      </c>
      <c r="C143" s="2">
        <v>45114</v>
      </c>
      <c r="D143" s="2">
        <v>45123</v>
      </c>
      <c r="E143" s="1" t="s">
        <v>16</v>
      </c>
      <c r="F143" s="1" t="s">
        <v>38</v>
      </c>
      <c r="G143" s="1" t="s">
        <v>17</v>
      </c>
      <c r="H143" s="1" t="s">
        <v>42</v>
      </c>
      <c r="I143" s="1" t="s">
        <v>49</v>
      </c>
      <c r="J143" s="1" t="s">
        <v>51</v>
      </c>
      <c r="K143" s="1" t="s">
        <v>33</v>
      </c>
      <c r="L143" s="1">
        <v>1</v>
      </c>
      <c r="M143" s="1">
        <v>2063.0500000000002</v>
      </c>
      <c r="N143" s="1">
        <v>0</v>
      </c>
      <c r="O143" s="1">
        <v>2063.0500000000002</v>
      </c>
      <c r="P143" s="1">
        <f t="shared" si="10"/>
        <v>2063.0500000000002</v>
      </c>
      <c r="Q143" s="10">
        <f t="shared" si="11"/>
        <v>0</v>
      </c>
      <c r="R143" s="11">
        <f t="shared" si="12"/>
        <v>2063.0500000000002</v>
      </c>
      <c r="S143" s="1" t="str">
        <f t="shared" si="13"/>
        <v>Low</v>
      </c>
      <c r="T143" s="1" t="str" cm="1">
        <f t="array" ref="T143">_xlfn.IFS(L143&gt;5,"High",L143=5,"mediam",L143&lt;5,"low")</f>
        <v>low</v>
      </c>
      <c r="U143" s="1" t="b">
        <f t="shared" si="14"/>
        <v>0</v>
      </c>
    </row>
    <row r="144" spans="1:21" x14ac:dyDescent="0.3">
      <c r="A144" s="5">
        <v>10143</v>
      </c>
      <c r="B144" s="1">
        <v>1498</v>
      </c>
      <c r="C144" s="2">
        <v>44986</v>
      </c>
      <c r="D144" s="2">
        <v>44993</v>
      </c>
      <c r="E144" s="1" t="s">
        <v>37</v>
      </c>
      <c r="F144" s="1" t="s">
        <v>54</v>
      </c>
      <c r="G144" s="1" t="s">
        <v>30</v>
      </c>
      <c r="H144" s="1" t="s">
        <v>25</v>
      </c>
      <c r="I144" s="1" t="s">
        <v>57</v>
      </c>
      <c r="J144" s="1" t="s">
        <v>58</v>
      </c>
      <c r="K144" s="1" t="s">
        <v>21</v>
      </c>
      <c r="L144" s="1">
        <v>7</v>
      </c>
      <c r="M144" s="1">
        <v>3680.23</v>
      </c>
      <c r="N144" s="1">
        <v>5</v>
      </c>
      <c r="O144" s="1">
        <v>24473.53</v>
      </c>
      <c r="P144" s="1">
        <f t="shared" si="10"/>
        <v>25761.61</v>
      </c>
      <c r="Q144" s="10">
        <f t="shared" si="11"/>
        <v>1223.6765</v>
      </c>
      <c r="R144" s="11">
        <f t="shared" si="12"/>
        <v>24537.933499999999</v>
      </c>
      <c r="S144" s="1" t="str">
        <f t="shared" si="13"/>
        <v>High</v>
      </c>
      <c r="T144" s="1" t="str" cm="1">
        <f t="array" ref="T144">_xlfn.IFS(L144&gt;5,"High",L144=5,"mediam",L144&lt;5,"low")</f>
        <v>High</v>
      </c>
      <c r="U144" s="1" t="str">
        <f t="shared" si="14"/>
        <v>High</v>
      </c>
    </row>
    <row r="145" spans="1:21" x14ac:dyDescent="0.3">
      <c r="A145" s="5">
        <v>10144</v>
      </c>
      <c r="B145" s="1">
        <v>1592</v>
      </c>
      <c r="C145" s="2">
        <v>45231</v>
      </c>
      <c r="D145" s="2">
        <v>45234</v>
      </c>
      <c r="E145" s="1" t="s">
        <v>40</v>
      </c>
      <c r="F145" s="1" t="s">
        <v>54</v>
      </c>
      <c r="G145" s="1" t="s">
        <v>30</v>
      </c>
      <c r="H145" s="1" t="s">
        <v>18</v>
      </c>
      <c r="I145" s="1" t="s">
        <v>19</v>
      </c>
      <c r="J145" s="1" t="s">
        <v>55</v>
      </c>
      <c r="K145" s="1" t="s">
        <v>33</v>
      </c>
      <c r="L145" s="1">
        <v>8</v>
      </c>
      <c r="M145" s="1">
        <v>3138.72</v>
      </c>
      <c r="N145" s="1">
        <v>20</v>
      </c>
      <c r="O145" s="1">
        <v>20087.810000000001</v>
      </c>
      <c r="P145" s="1">
        <f t="shared" si="10"/>
        <v>25109.759999999998</v>
      </c>
      <c r="Q145" s="10">
        <f t="shared" si="11"/>
        <v>4017.5620000000004</v>
      </c>
      <c r="R145" s="11">
        <f t="shared" si="12"/>
        <v>21092.197999999997</v>
      </c>
      <c r="S145" s="1" t="str">
        <f t="shared" si="13"/>
        <v>High</v>
      </c>
      <c r="T145" s="1" t="str" cm="1">
        <f t="array" ref="T145">_xlfn.IFS(L145&gt;5,"High",L145=5,"mediam",L145&lt;5,"low")</f>
        <v>High</v>
      </c>
      <c r="U145" s="1" t="str">
        <f t="shared" si="14"/>
        <v>High</v>
      </c>
    </row>
    <row r="146" spans="1:21" x14ac:dyDescent="0.3">
      <c r="A146" s="5">
        <v>10145</v>
      </c>
      <c r="B146" s="1">
        <v>1391</v>
      </c>
      <c r="C146" s="2">
        <v>45245</v>
      </c>
      <c r="D146" s="2">
        <v>45246</v>
      </c>
      <c r="E146" s="1" t="s">
        <v>37</v>
      </c>
      <c r="F146" s="1" t="s">
        <v>38</v>
      </c>
      <c r="G146" s="1" t="s">
        <v>24</v>
      </c>
      <c r="H146" s="1" t="s">
        <v>35</v>
      </c>
      <c r="I146" s="1" t="s">
        <v>57</v>
      </c>
      <c r="J146" s="1" t="s">
        <v>59</v>
      </c>
      <c r="K146" s="1" t="s">
        <v>47</v>
      </c>
      <c r="L146" s="1">
        <v>6</v>
      </c>
      <c r="M146" s="1">
        <v>652.42999999999995</v>
      </c>
      <c r="N146" s="1">
        <v>10</v>
      </c>
      <c r="O146" s="1">
        <v>3523.12</v>
      </c>
      <c r="P146" s="1">
        <f t="shared" si="10"/>
        <v>3914.58</v>
      </c>
      <c r="Q146" s="10">
        <f t="shared" si="11"/>
        <v>352.31200000000001</v>
      </c>
      <c r="R146" s="11">
        <f t="shared" si="12"/>
        <v>3562.268</v>
      </c>
      <c r="S146" s="1" t="str">
        <f t="shared" si="13"/>
        <v>High</v>
      </c>
      <c r="T146" s="1" t="str" cm="1">
        <f t="array" ref="T146">_xlfn.IFS(L146&gt;5,"High",L146=5,"mediam",L146&lt;5,"low")</f>
        <v>High</v>
      </c>
      <c r="U146" s="1" t="str">
        <f t="shared" si="14"/>
        <v>High</v>
      </c>
    </row>
    <row r="147" spans="1:21" x14ac:dyDescent="0.3">
      <c r="A147" s="5">
        <v>10146</v>
      </c>
      <c r="B147" s="1">
        <v>1674</v>
      </c>
      <c r="C147" s="2">
        <v>45137</v>
      </c>
      <c r="D147" s="2">
        <v>45145</v>
      </c>
      <c r="E147" s="1" t="s">
        <v>40</v>
      </c>
      <c r="F147" s="1" t="s">
        <v>41</v>
      </c>
      <c r="G147" s="1" t="s">
        <v>30</v>
      </c>
      <c r="H147" s="1" t="s">
        <v>42</v>
      </c>
      <c r="I147" s="1" t="s">
        <v>57</v>
      </c>
      <c r="J147" s="1" t="s">
        <v>62</v>
      </c>
      <c r="K147" s="1" t="s">
        <v>33</v>
      </c>
      <c r="L147" s="1">
        <v>4</v>
      </c>
      <c r="M147" s="1">
        <v>2326.87</v>
      </c>
      <c r="N147" s="1">
        <v>15</v>
      </c>
      <c r="O147" s="1">
        <v>7911.36</v>
      </c>
      <c r="P147" s="1">
        <f t="shared" si="10"/>
        <v>9307.48</v>
      </c>
      <c r="Q147" s="10">
        <f t="shared" si="11"/>
        <v>1186.704</v>
      </c>
      <c r="R147" s="11">
        <f t="shared" si="12"/>
        <v>8120.7759999999998</v>
      </c>
      <c r="S147" s="1" t="str">
        <f t="shared" si="13"/>
        <v>Low</v>
      </c>
      <c r="T147" s="1" t="str" cm="1">
        <f t="array" ref="T147">_xlfn.IFS(L147&gt;5,"High",L147=5,"mediam",L147&lt;5,"low")</f>
        <v>low</v>
      </c>
      <c r="U147" s="1" t="b">
        <f t="shared" si="14"/>
        <v>0</v>
      </c>
    </row>
    <row r="148" spans="1:21" x14ac:dyDescent="0.3">
      <c r="A148" s="5">
        <v>10147</v>
      </c>
      <c r="B148" s="1">
        <v>1418</v>
      </c>
      <c r="C148" s="2">
        <v>45078</v>
      </c>
      <c r="D148" s="2">
        <v>45081</v>
      </c>
      <c r="E148" s="1" t="s">
        <v>22</v>
      </c>
      <c r="F148" s="1" t="s">
        <v>54</v>
      </c>
      <c r="G148" s="1" t="s">
        <v>24</v>
      </c>
      <c r="H148" s="1" t="s">
        <v>25</v>
      </c>
      <c r="I148" s="1" t="s">
        <v>31</v>
      </c>
      <c r="J148" s="1" t="s">
        <v>48</v>
      </c>
      <c r="K148" s="1" t="s">
        <v>21</v>
      </c>
      <c r="L148" s="1">
        <v>6</v>
      </c>
      <c r="M148" s="1">
        <v>1852.67</v>
      </c>
      <c r="N148" s="1">
        <v>5</v>
      </c>
      <c r="O148" s="1">
        <v>10560.22</v>
      </c>
      <c r="P148" s="1">
        <f t="shared" si="10"/>
        <v>11116.02</v>
      </c>
      <c r="Q148" s="10">
        <f t="shared" si="11"/>
        <v>528.01099999999997</v>
      </c>
      <c r="R148" s="11">
        <f t="shared" si="12"/>
        <v>10588.009</v>
      </c>
      <c r="S148" s="1" t="str">
        <f t="shared" si="13"/>
        <v>High</v>
      </c>
      <c r="T148" s="1" t="str" cm="1">
        <f t="array" ref="T148">_xlfn.IFS(L148&gt;5,"High",L148=5,"mediam",L148&lt;5,"low")</f>
        <v>High</v>
      </c>
      <c r="U148" s="1" t="str">
        <f t="shared" si="14"/>
        <v>High</v>
      </c>
    </row>
    <row r="149" spans="1:21" x14ac:dyDescent="0.3">
      <c r="A149" s="5">
        <v>10148</v>
      </c>
      <c r="B149" s="1">
        <v>1288</v>
      </c>
      <c r="C149" s="2">
        <v>45035</v>
      </c>
      <c r="D149" s="2">
        <v>45043</v>
      </c>
      <c r="E149" s="1" t="s">
        <v>34</v>
      </c>
      <c r="F149" s="1" t="s">
        <v>29</v>
      </c>
      <c r="G149" s="1" t="s">
        <v>30</v>
      </c>
      <c r="H149" s="1" t="s">
        <v>44</v>
      </c>
      <c r="I149" s="1" t="s">
        <v>19</v>
      </c>
      <c r="J149" s="1" t="s">
        <v>20</v>
      </c>
      <c r="K149" s="1" t="s">
        <v>47</v>
      </c>
      <c r="L149" s="1">
        <v>3</v>
      </c>
      <c r="M149" s="1">
        <v>3219.26</v>
      </c>
      <c r="N149" s="1">
        <v>10</v>
      </c>
      <c r="O149" s="1">
        <v>8692</v>
      </c>
      <c r="P149" s="1">
        <f t="shared" si="10"/>
        <v>9657.7800000000007</v>
      </c>
      <c r="Q149" s="10">
        <f t="shared" si="11"/>
        <v>869.2</v>
      </c>
      <c r="R149" s="11">
        <f t="shared" si="12"/>
        <v>8788.58</v>
      </c>
      <c r="S149" s="1" t="str">
        <f t="shared" si="13"/>
        <v>Low</v>
      </c>
      <c r="T149" s="1" t="str" cm="1">
        <f t="array" ref="T149">_xlfn.IFS(L149&gt;5,"High",L149=5,"mediam",L149&lt;5,"low")</f>
        <v>low</v>
      </c>
      <c r="U149" s="1" t="b">
        <f t="shared" si="14"/>
        <v>0</v>
      </c>
    </row>
    <row r="150" spans="1:21" x14ac:dyDescent="0.3">
      <c r="A150" s="5">
        <v>10149</v>
      </c>
      <c r="B150" s="1">
        <v>1378</v>
      </c>
      <c r="C150" s="2">
        <v>45002</v>
      </c>
      <c r="D150" s="2">
        <v>45010</v>
      </c>
      <c r="E150" s="1" t="s">
        <v>22</v>
      </c>
      <c r="F150" s="1" t="s">
        <v>23</v>
      </c>
      <c r="G150" s="1" t="s">
        <v>30</v>
      </c>
      <c r="H150" s="1" t="s">
        <v>42</v>
      </c>
      <c r="I150" s="1" t="s">
        <v>57</v>
      </c>
      <c r="J150" s="1" t="s">
        <v>62</v>
      </c>
      <c r="K150" s="1" t="s">
        <v>33</v>
      </c>
      <c r="L150" s="1">
        <v>8</v>
      </c>
      <c r="M150" s="1">
        <v>2938.3</v>
      </c>
      <c r="N150" s="1">
        <v>15</v>
      </c>
      <c r="O150" s="1">
        <v>19980.439999999999</v>
      </c>
      <c r="P150" s="1">
        <f t="shared" si="10"/>
        <v>23506.400000000001</v>
      </c>
      <c r="Q150" s="10">
        <f t="shared" si="11"/>
        <v>2997.0659999999998</v>
      </c>
      <c r="R150" s="11">
        <f t="shared" si="12"/>
        <v>20509.334000000003</v>
      </c>
      <c r="S150" s="1" t="str">
        <f t="shared" si="13"/>
        <v>High</v>
      </c>
      <c r="T150" s="1" t="str" cm="1">
        <f t="array" ref="T150">_xlfn.IFS(L150&gt;5,"High",L150=5,"mediam",L150&lt;5,"low")</f>
        <v>High</v>
      </c>
      <c r="U150" s="1" t="str">
        <f t="shared" si="14"/>
        <v>High</v>
      </c>
    </row>
    <row r="151" spans="1:21" x14ac:dyDescent="0.3">
      <c r="A151" s="5">
        <v>10150</v>
      </c>
      <c r="B151" s="1">
        <v>1772</v>
      </c>
      <c r="C151" s="2">
        <v>44956</v>
      </c>
      <c r="D151" s="2">
        <v>44961</v>
      </c>
      <c r="E151" s="1" t="s">
        <v>22</v>
      </c>
      <c r="F151" s="1" t="s">
        <v>54</v>
      </c>
      <c r="G151" s="1" t="s">
        <v>24</v>
      </c>
      <c r="H151" s="1" t="s">
        <v>18</v>
      </c>
      <c r="I151" s="1" t="s">
        <v>49</v>
      </c>
      <c r="J151" s="1" t="s">
        <v>51</v>
      </c>
      <c r="K151" s="1" t="s">
        <v>28</v>
      </c>
      <c r="L151" s="1">
        <v>2</v>
      </c>
      <c r="M151" s="1">
        <v>2808.06</v>
      </c>
      <c r="N151" s="1">
        <v>0</v>
      </c>
      <c r="O151" s="1">
        <v>5616.12</v>
      </c>
      <c r="P151" s="1">
        <f t="shared" si="10"/>
        <v>5616.12</v>
      </c>
      <c r="Q151" s="10">
        <f t="shared" si="11"/>
        <v>0</v>
      </c>
      <c r="R151" s="11">
        <f t="shared" si="12"/>
        <v>5616.12</v>
      </c>
      <c r="S151" s="1" t="str">
        <f t="shared" si="13"/>
        <v>Low</v>
      </c>
      <c r="T151" s="1" t="str" cm="1">
        <f t="array" ref="T151">_xlfn.IFS(L151&gt;5,"High",L151=5,"mediam",L151&lt;5,"low")</f>
        <v>low</v>
      </c>
      <c r="U151" s="1" t="b">
        <f t="shared" si="14"/>
        <v>0</v>
      </c>
    </row>
    <row r="152" spans="1:21" x14ac:dyDescent="0.3">
      <c r="A152" s="5">
        <v>10151</v>
      </c>
      <c r="B152" s="1">
        <v>1489</v>
      </c>
      <c r="C152" s="2">
        <v>45240</v>
      </c>
      <c r="D152" s="2">
        <v>45241</v>
      </c>
      <c r="E152" s="1" t="s">
        <v>34</v>
      </c>
      <c r="F152" s="1" t="s">
        <v>29</v>
      </c>
      <c r="G152" s="1" t="s">
        <v>30</v>
      </c>
      <c r="H152" s="1" t="s">
        <v>18</v>
      </c>
      <c r="I152" s="1" t="s">
        <v>49</v>
      </c>
      <c r="J152" s="1" t="s">
        <v>63</v>
      </c>
      <c r="K152" s="1" t="s">
        <v>47</v>
      </c>
      <c r="L152" s="1">
        <v>5</v>
      </c>
      <c r="M152" s="1">
        <v>1461.1</v>
      </c>
      <c r="N152" s="1">
        <v>15</v>
      </c>
      <c r="O152" s="1">
        <v>6209.68</v>
      </c>
      <c r="P152" s="1">
        <f t="shared" si="10"/>
        <v>7305.5</v>
      </c>
      <c r="Q152" s="10">
        <f t="shared" si="11"/>
        <v>931.452</v>
      </c>
      <c r="R152" s="11">
        <f t="shared" si="12"/>
        <v>6374.0479999999998</v>
      </c>
      <c r="S152" s="1" t="str">
        <f t="shared" si="13"/>
        <v>High</v>
      </c>
      <c r="T152" s="1" t="str" cm="1">
        <f t="array" ref="T152">_xlfn.IFS(L152&gt;5,"High",L152=5,"mediam",L152&lt;5,"low")</f>
        <v>mediam</v>
      </c>
      <c r="U152" s="1" t="b">
        <f t="shared" si="14"/>
        <v>0</v>
      </c>
    </row>
    <row r="153" spans="1:21" x14ac:dyDescent="0.3">
      <c r="A153" s="5">
        <v>10152</v>
      </c>
      <c r="B153" s="1">
        <v>1230</v>
      </c>
      <c r="C153" s="2">
        <v>45043</v>
      </c>
      <c r="D153" s="2">
        <v>45050</v>
      </c>
      <c r="E153" s="1" t="s">
        <v>37</v>
      </c>
      <c r="F153" s="1" t="s">
        <v>16</v>
      </c>
      <c r="G153" s="1" t="s">
        <v>24</v>
      </c>
      <c r="H153" s="1" t="s">
        <v>44</v>
      </c>
      <c r="I153" s="1" t="s">
        <v>52</v>
      </c>
      <c r="J153" s="1" t="s">
        <v>56</v>
      </c>
      <c r="K153" s="1" t="s">
        <v>47</v>
      </c>
      <c r="L153" s="1">
        <v>1</v>
      </c>
      <c r="M153" s="1">
        <v>3249.11</v>
      </c>
      <c r="N153" s="1">
        <v>10</v>
      </c>
      <c r="O153" s="1">
        <v>2924.2</v>
      </c>
      <c r="P153" s="1">
        <f t="shared" si="10"/>
        <v>3249.11</v>
      </c>
      <c r="Q153" s="10">
        <f t="shared" si="11"/>
        <v>292.42</v>
      </c>
      <c r="R153" s="11">
        <f t="shared" si="12"/>
        <v>2956.69</v>
      </c>
      <c r="S153" s="1" t="str">
        <f t="shared" si="13"/>
        <v>Low</v>
      </c>
      <c r="T153" s="1" t="str" cm="1">
        <f t="array" ref="T153">_xlfn.IFS(L153&gt;5,"High",L153=5,"mediam",L153&lt;5,"low")</f>
        <v>low</v>
      </c>
      <c r="U153" s="1" t="b">
        <f t="shared" si="14"/>
        <v>0</v>
      </c>
    </row>
    <row r="154" spans="1:21" x14ac:dyDescent="0.3">
      <c r="A154" s="5">
        <v>10153</v>
      </c>
      <c r="B154" s="1">
        <v>1040</v>
      </c>
      <c r="C154" s="2">
        <v>45282</v>
      </c>
      <c r="D154" s="2">
        <v>45287</v>
      </c>
      <c r="E154" s="1" t="s">
        <v>37</v>
      </c>
      <c r="F154" s="1" t="s">
        <v>29</v>
      </c>
      <c r="G154" s="1" t="s">
        <v>30</v>
      </c>
      <c r="H154" s="1" t="s">
        <v>25</v>
      </c>
      <c r="I154" s="1" t="s">
        <v>19</v>
      </c>
      <c r="J154" s="1" t="s">
        <v>66</v>
      </c>
      <c r="K154" s="1" t="s">
        <v>28</v>
      </c>
      <c r="L154" s="1">
        <v>6</v>
      </c>
      <c r="M154" s="1">
        <v>351.71</v>
      </c>
      <c r="N154" s="1">
        <v>10</v>
      </c>
      <c r="O154" s="1">
        <v>1899.23</v>
      </c>
      <c r="P154" s="1">
        <f t="shared" si="10"/>
        <v>2110.2599999999998</v>
      </c>
      <c r="Q154" s="10">
        <f t="shared" si="11"/>
        <v>189.923</v>
      </c>
      <c r="R154" s="11">
        <f t="shared" si="12"/>
        <v>1920.3369999999998</v>
      </c>
      <c r="S154" s="1" t="str">
        <f t="shared" si="13"/>
        <v>High</v>
      </c>
      <c r="T154" s="1" t="str" cm="1">
        <f t="array" ref="T154">_xlfn.IFS(L154&gt;5,"High",L154=5,"mediam",L154&lt;5,"low")</f>
        <v>High</v>
      </c>
      <c r="U154" s="1" t="str">
        <f t="shared" si="14"/>
        <v>High</v>
      </c>
    </row>
    <row r="155" spans="1:21" x14ac:dyDescent="0.3">
      <c r="A155" s="5">
        <v>10154</v>
      </c>
      <c r="B155" s="1">
        <v>1027</v>
      </c>
      <c r="C155" s="2">
        <v>45118</v>
      </c>
      <c r="D155" s="2">
        <v>45126</v>
      </c>
      <c r="E155" s="1" t="s">
        <v>40</v>
      </c>
      <c r="F155" s="1" t="s">
        <v>23</v>
      </c>
      <c r="G155" s="1" t="s">
        <v>17</v>
      </c>
      <c r="H155" s="1" t="s">
        <v>42</v>
      </c>
      <c r="I155" s="1" t="s">
        <v>19</v>
      </c>
      <c r="J155" s="1" t="s">
        <v>43</v>
      </c>
      <c r="K155" s="1" t="s">
        <v>45</v>
      </c>
      <c r="L155" s="1">
        <v>2</v>
      </c>
      <c r="M155" s="1">
        <v>764.56</v>
      </c>
      <c r="N155" s="1">
        <v>0</v>
      </c>
      <c r="O155" s="1">
        <v>1529.12</v>
      </c>
      <c r="P155" s="1">
        <f t="shared" si="10"/>
        <v>1529.12</v>
      </c>
      <c r="Q155" s="10">
        <f t="shared" si="11"/>
        <v>0</v>
      </c>
      <c r="R155" s="11">
        <f t="shared" si="12"/>
        <v>1529.12</v>
      </c>
      <c r="S155" s="1" t="str">
        <f t="shared" si="13"/>
        <v>Low</v>
      </c>
      <c r="T155" s="1" t="str" cm="1">
        <f t="array" ref="T155">_xlfn.IFS(L155&gt;5,"High",L155=5,"mediam",L155&lt;5,"low")</f>
        <v>low</v>
      </c>
      <c r="U155" s="1" t="b">
        <f t="shared" si="14"/>
        <v>0</v>
      </c>
    </row>
    <row r="156" spans="1:21" x14ac:dyDescent="0.3">
      <c r="A156" s="5">
        <v>10155</v>
      </c>
      <c r="B156" s="1">
        <v>1134</v>
      </c>
      <c r="C156" s="2">
        <v>44945</v>
      </c>
      <c r="D156" s="2">
        <v>44954</v>
      </c>
      <c r="E156" s="1" t="s">
        <v>16</v>
      </c>
      <c r="F156" s="1" t="s">
        <v>29</v>
      </c>
      <c r="G156" s="1" t="s">
        <v>30</v>
      </c>
      <c r="H156" s="1" t="s">
        <v>25</v>
      </c>
      <c r="I156" s="1" t="s">
        <v>52</v>
      </c>
      <c r="J156" s="1" t="s">
        <v>56</v>
      </c>
      <c r="K156" s="1" t="s">
        <v>21</v>
      </c>
      <c r="L156" s="1">
        <v>4</v>
      </c>
      <c r="M156" s="1">
        <v>1442.15</v>
      </c>
      <c r="N156" s="1">
        <v>15</v>
      </c>
      <c r="O156" s="1">
        <v>4903.3100000000004</v>
      </c>
      <c r="P156" s="1">
        <f t="shared" si="10"/>
        <v>5768.6</v>
      </c>
      <c r="Q156" s="10">
        <f t="shared" si="11"/>
        <v>735.49650000000008</v>
      </c>
      <c r="R156" s="11">
        <f t="shared" si="12"/>
        <v>5033.1035000000002</v>
      </c>
      <c r="S156" s="1" t="str">
        <f t="shared" si="13"/>
        <v>Low</v>
      </c>
      <c r="T156" s="1" t="str" cm="1">
        <f t="array" ref="T156">_xlfn.IFS(L156&gt;5,"High",L156=5,"mediam",L156&lt;5,"low")</f>
        <v>low</v>
      </c>
      <c r="U156" s="1" t="b">
        <f t="shared" si="14"/>
        <v>0</v>
      </c>
    </row>
    <row r="157" spans="1:21" x14ac:dyDescent="0.3">
      <c r="A157" s="5">
        <v>10156</v>
      </c>
      <c r="B157" s="1">
        <v>1200</v>
      </c>
      <c r="C157" s="2">
        <v>45099</v>
      </c>
      <c r="D157" s="2">
        <v>45106</v>
      </c>
      <c r="E157" s="1" t="s">
        <v>40</v>
      </c>
      <c r="F157" s="1" t="s">
        <v>38</v>
      </c>
      <c r="G157" s="1" t="s">
        <v>24</v>
      </c>
      <c r="H157" s="1" t="s">
        <v>18</v>
      </c>
      <c r="I157" s="1" t="s">
        <v>57</v>
      </c>
      <c r="J157" s="1" t="s">
        <v>59</v>
      </c>
      <c r="K157" s="1" t="s">
        <v>45</v>
      </c>
      <c r="L157" s="1">
        <v>6</v>
      </c>
      <c r="M157" s="1">
        <v>445.71</v>
      </c>
      <c r="N157" s="1">
        <v>15</v>
      </c>
      <c r="O157" s="1">
        <v>2273.12</v>
      </c>
      <c r="P157" s="1">
        <f t="shared" si="10"/>
        <v>2674.2599999999998</v>
      </c>
      <c r="Q157" s="10">
        <f t="shared" si="11"/>
        <v>340.96799999999996</v>
      </c>
      <c r="R157" s="11">
        <f t="shared" si="12"/>
        <v>2333.2919999999999</v>
      </c>
      <c r="S157" s="1" t="str">
        <f t="shared" si="13"/>
        <v>High</v>
      </c>
      <c r="T157" s="1" t="str" cm="1">
        <f t="array" ref="T157">_xlfn.IFS(L157&gt;5,"High",L157=5,"mediam",L157&lt;5,"low")</f>
        <v>High</v>
      </c>
      <c r="U157" s="1" t="str">
        <f t="shared" si="14"/>
        <v>High</v>
      </c>
    </row>
    <row r="158" spans="1:21" x14ac:dyDescent="0.3">
      <c r="A158" s="5">
        <v>10157</v>
      </c>
      <c r="B158" s="1">
        <v>1839</v>
      </c>
      <c r="C158" s="2">
        <v>45154</v>
      </c>
      <c r="D158" s="2">
        <v>45161</v>
      </c>
      <c r="E158" s="1" t="s">
        <v>16</v>
      </c>
      <c r="F158" s="1" t="s">
        <v>23</v>
      </c>
      <c r="G158" s="1" t="s">
        <v>30</v>
      </c>
      <c r="H158" s="1" t="s">
        <v>25</v>
      </c>
      <c r="I158" s="1" t="s">
        <v>19</v>
      </c>
      <c r="J158" s="1" t="s">
        <v>20</v>
      </c>
      <c r="K158" s="1" t="s">
        <v>33</v>
      </c>
      <c r="L158" s="1">
        <v>8</v>
      </c>
      <c r="M158" s="1">
        <v>1054.73</v>
      </c>
      <c r="N158" s="1">
        <v>0</v>
      </c>
      <c r="O158" s="1">
        <v>8437.84</v>
      </c>
      <c r="P158" s="1">
        <f t="shared" si="10"/>
        <v>8437.84</v>
      </c>
      <c r="Q158" s="10">
        <f t="shared" si="11"/>
        <v>0</v>
      </c>
      <c r="R158" s="11">
        <f t="shared" si="12"/>
        <v>8437.84</v>
      </c>
      <c r="S158" s="1" t="str">
        <f t="shared" si="13"/>
        <v>High</v>
      </c>
      <c r="T158" s="1" t="str" cm="1">
        <f t="array" ref="T158">_xlfn.IFS(L158&gt;5,"High",L158=5,"mediam",L158&lt;5,"low")</f>
        <v>High</v>
      </c>
      <c r="U158" s="1" t="str">
        <f t="shared" si="14"/>
        <v>High</v>
      </c>
    </row>
    <row r="159" spans="1:21" x14ac:dyDescent="0.3">
      <c r="A159" s="5">
        <v>10158</v>
      </c>
      <c r="B159" s="1">
        <v>1779</v>
      </c>
      <c r="C159" s="2">
        <v>45276</v>
      </c>
      <c r="D159" s="2">
        <v>45277</v>
      </c>
      <c r="E159" s="1" t="s">
        <v>22</v>
      </c>
      <c r="F159" s="1" t="s">
        <v>41</v>
      </c>
      <c r="G159" s="1" t="s">
        <v>24</v>
      </c>
      <c r="H159" s="1" t="s">
        <v>18</v>
      </c>
      <c r="I159" s="1" t="s">
        <v>49</v>
      </c>
      <c r="J159" s="1" t="s">
        <v>63</v>
      </c>
      <c r="K159" s="1" t="s">
        <v>28</v>
      </c>
      <c r="L159" s="1">
        <v>8</v>
      </c>
      <c r="M159" s="1">
        <v>3346.08</v>
      </c>
      <c r="N159" s="1">
        <v>15</v>
      </c>
      <c r="O159" s="1">
        <v>22753.34</v>
      </c>
      <c r="P159" s="1">
        <f t="shared" si="10"/>
        <v>26768.639999999999</v>
      </c>
      <c r="Q159" s="10">
        <f t="shared" si="11"/>
        <v>3413.0009999999997</v>
      </c>
      <c r="R159" s="11">
        <f t="shared" si="12"/>
        <v>23355.638999999999</v>
      </c>
      <c r="S159" s="1" t="str">
        <f t="shared" si="13"/>
        <v>High</v>
      </c>
      <c r="T159" s="1" t="str" cm="1">
        <f t="array" ref="T159">_xlfn.IFS(L159&gt;5,"High",L159=5,"mediam",L159&lt;5,"low")</f>
        <v>High</v>
      </c>
      <c r="U159" s="1" t="str">
        <f t="shared" si="14"/>
        <v>High</v>
      </c>
    </row>
    <row r="160" spans="1:21" x14ac:dyDescent="0.3">
      <c r="A160" s="5">
        <v>10159</v>
      </c>
      <c r="B160" s="1">
        <v>1929</v>
      </c>
      <c r="C160" s="2">
        <v>45109</v>
      </c>
      <c r="D160" s="2">
        <v>45113</v>
      </c>
      <c r="E160" s="1" t="s">
        <v>34</v>
      </c>
      <c r="F160" s="1" t="s">
        <v>16</v>
      </c>
      <c r="G160" s="1" t="s">
        <v>24</v>
      </c>
      <c r="H160" s="1" t="s">
        <v>25</v>
      </c>
      <c r="I160" s="1" t="s">
        <v>49</v>
      </c>
      <c r="J160" s="1" t="s">
        <v>68</v>
      </c>
      <c r="K160" s="1" t="s">
        <v>45</v>
      </c>
      <c r="L160" s="1">
        <v>6</v>
      </c>
      <c r="M160" s="1">
        <v>3800.77</v>
      </c>
      <c r="N160" s="1">
        <v>0</v>
      </c>
      <c r="O160" s="1">
        <v>22804.62</v>
      </c>
      <c r="P160" s="1">
        <f t="shared" si="10"/>
        <v>22804.62</v>
      </c>
      <c r="Q160" s="10">
        <f t="shared" si="11"/>
        <v>0</v>
      </c>
      <c r="R160" s="11">
        <f t="shared" si="12"/>
        <v>22804.62</v>
      </c>
      <c r="S160" s="1" t="str">
        <f t="shared" si="13"/>
        <v>High</v>
      </c>
      <c r="T160" s="1" t="str" cm="1">
        <f t="array" ref="T160">_xlfn.IFS(L160&gt;5,"High",L160=5,"mediam",L160&lt;5,"low")</f>
        <v>High</v>
      </c>
      <c r="U160" s="1" t="str">
        <f t="shared" si="14"/>
        <v>High</v>
      </c>
    </row>
    <row r="161" spans="1:21" x14ac:dyDescent="0.3">
      <c r="A161" s="5">
        <v>10160</v>
      </c>
      <c r="B161" s="1">
        <v>1032</v>
      </c>
      <c r="C161" s="2">
        <v>45039</v>
      </c>
      <c r="D161" s="2">
        <v>45041</v>
      </c>
      <c r="E161" s="1" t="s">
        <v>22</v>
      </c>
      <c r="F161" s="1" t="s">
        <v>38</v>
      </c>
      <c r="G161" s="1" t="s">
        <v>17</v>
      </c>
      <c r="H161" s="1" t="s">
        <v>44</v>
      </c>
      <c r="I161" s="1" t="s">
        <v>31</v>
      </c>
      <c r="J161" s="1" t="s">
        <v>48</v>
      </c>
      <c r="K161" s="1" t="s">
        <v>47</v>
      </c>
      <c r="L161" s="1">
        <v>4</v>
      </c>
      <c r="M161" s="1">
        <v>1322.72</v>
      </c>
      <c r="N161" s="1">
        <v>5</v>
      </c>
      <c r="O161" s="1">
        <v>5026.34</v>
      </c>
      <c r="P161" s="1">
        <f t="shared" si="10"/>
        <v>5290.88</v>
      </c>
      <c r="Q161" s="10">
        <f t="shared" si="11"/>
        <v>251.31700000000001</v>
      </c>
      <c r="R161" s="11">
        <f t="shared" si="12"/>
        <v>5039.5630000000001</v>
      </c>
      <c r="S161" s="1" t="str">
        <f t="shared" si="13"/>
        <v>Low</v>
      </c>
      <c r="T161" s="1" t="str" cm="1">
        <f t="array" ref="T161">_xlfn.IFS(L161&gt;5,"High",L161=5,"mediam",L161&lt;5,"low")</f>
        <v>low</v>
      </c>
      <c r="U161" s="1" t="b">
        <f t="shared" si="14"/>
        <v>0</v>
      </c>
    </row>
    <row r="162" spans="1:21" x14ac:dyDescent="0.3">
      <c r="A162" s="5">
        <v>10161</v>
      </c>
      <c r="B162" s="1">
        <v>1047</v>
      </c>
      <c r="C162" s="2">
        <v>45109</v>
      </c>
      <c r="D162" s="2">
        <v>45111</v>
      </c>
      <c r="E162" s="1" t="s">
        <v>46</v>
      </c>
      <c r="F162" s="1" t="s">
        <v>41</v>
      </c>
      <c r="G162" s="1" t="s">
        <v>17</v>
      </c>
      <c r="H162" s="1" t="s">
        <v>35</v>
      </c>
      <c r="I162" s="1" t="s">
        <v>19</v>
      </c>
      <c r="J162" s="1" t="s">
        <v>20</v>
      </c>
      <c r="K162" s="1" t="s">
        <v>33</v>
      </c>
      <c r="L162" s="1">
        <v>8</v>
      </c>
      <c r="M162" s="1">
        <v>1168.3900000000001</v>
      </c>
      <c r="N162" s="1">
        <v>10</v>
      </c>
      <c r="O162" s="1">
        <v>8412.41</v>
      </c>
      <c r="P162" s="1">
        <f t="shared" si="10"/>
        <v>9347.1200000000008</v>
      </c>
      <c r="Q162" s="10">
        <f t="shared" si="11"/>
        <v>841.24099999999999</v>
      </c>
      <c r="R162" s="11">
        <f t="shared" si="12"/>
        <v>8505.8790000000008</v>
      </c>
      <c r="S162" s="1" t="str">
        <f t="shared" si="13"/>
        <v>High</v>
      </c>
      <c r="T162" s="1" t="str" cm="1">
        <f t="array" ref="T162">_xlfn.IFS(L162&gt;5,"High",L162=5,"mediam",L162&lt;5,"low")</f>
        <v>High</v>
      </c>
      <c r="U162" s="1" t="str">
        <f t="shared" si="14"/>
        <v>High</v>
      </c>
    </row>
    <row r="163" spans="1:21" x14ac:dyDescent="0.3">
      <c r="A163" s="5">
        <v>10162</v>
      </c>
      <c r="B163" s="1">
        <v>1502</v>
      </c>
      <c r="C163" s="2">
        <v>45072</v>
      </c>
      <c r="D163" s="2">
        <v>45074</v>
      </c>
      <c r="E163" s="1" t="s">
        <v>37</v>
      </c>
      <c r="F163" s="1" t="s">
        <v>29</v>
      </c>
      <c r="G163" s="1" t="s">
        <v>24</v>
      </c>
      <c r="H163" s="1" t="s">
        <v>44</v>
      </c>
      <c r="I163" s="1" t="s">
        <v>57</v>
      </c>
      <c r="J163" s="1" t="s">
        <v>58</v>
      </c>
      <c r="K163" s="1" t="s">
        <v>33</v>
      </c>
      <c r="L163" s="1">
        <v>8</v>
      </c>
      <c r="M163" s="1">
        <v>1227.5899999999999</v>
      </c>
      <c r="N163" s="1">
        <v>5</v>
      </c>
      <c r="O163" s="1">
        <v>9329.68</v>
      </c>
      <c r="P163" s="1">
        <f t="shared" si="10"/>
        <v>9820.7199999999993</v>
      </c>
      <c r="Q163" s="10">
        <f t="shared" si="11"/>
        <v>466.48400000000004</v>
      </c>
      <c r="R163" s="11">
        <f t="shared" si="12"/>
        <v>9354.235999999999</v>
      </c>
      <c r="S163" s="1" t="str">
        <f t="shared" si="13"/>
        <v>High</v>
      </c>
      <c r="T163" s="1" t="str" cm="1">
        <f t="array" ref="T163">_xlfn.IFS(L163&gt;5,"High",L163=5,"mediam",L163&lt;5,"low")</f>
        <v>High</v>
      </c>
      <c r="U163" s="1" t="str">
        <f t="shared" si="14"/>
        <v>High</v>
      </c>
    </row>
    <row r="164" spans="1:21" x14ac:dyDescent="0.3">
      <c r="A164" s="5">
        <v>10163</v>
      </c>
      <c r="B164" s="1">
        <v>1406</v>
      </c>
      <c r="C164" s="2">
        <v>45245</v>
      </c>
      <c r="D164" s="2">
        <v>45249</v>
      </c>
      <c r="E164" s="1" t="s">
        <v>16</v>
      </c>
      <c r="F164" s="1" t="s">
        <v>23</v>
      </c>
      <c r="G164" s="1" t="s">
        <v>30</v>
      </c>
      <c r="H164" s="1" t="s">
        <v>44</v>
      </c>
      <c r="I164" s="1" t="s">
        <v>52</v>
      </c>
      <c r="J164" s="1" t="s">
        <v>53</v>
      </c>
      <c r="K164" s="1" t="s">
        <v>45</v>
      </c>
      <c r="L164" s="1">
        <v>1</v>
      </c>
      <c r="M164" s="1">
        <v>1219.22</v>
      </c>
      <c r="N164" s="1">
        <v>20</v>
      </c>
      <c r="O164" s="1">
        <v>975.38</v>
      </c>
      <c r="P164" s="1">
        <f t="shared" si="10"/>
        <v>1219.22</v>
      </c>
      <c r="Q164" s="10">
        <f t="shared" si="11"/>
        <v>195.07600000000002</v>
      </c>
      <c r="R164" s="11">
        <f t="shared" si="12"/>
        <v>1024.144</v>
      </c>
      <c r="S164" s="1" t="str">
        <f t="shared" si="13"/>
        <v>Low</v>
      </c>
      <c r="T164" s="1" t="str" cm="1">
        <f t="array" ref="T164">_xlfn.IFS(L164&gt;5,"High",L164=5,"mediam",L164&lt;5,"low")</f>
        <v>low</v>
      </c>
      <c r="U164" s="1" t="b">
        <f t="shared" si="14"/>
        <v>0</v>
      </c>
    </row>
    <row r="165" spans="1:21" x14ac:dyDescent="0.3">
      <c r="A165" s="5">
        <v>10164</v>
      </c>
      <c r="B165" s="1">
        <v>1573</v>
      </c>
      <c r="C165" s="2">
        <v>45042</v>
      </c>
      <c r="D165" s="2">
        <v>45043</v>
      </c>
      <c r="E165" s="1" t="s">
        <v>40</v>
      </c>
      <c r="F165" s="1" t="s">
        <v>16</v>
      </c>
      <c r="G165" s="1" t="s">
        <v>24</v>
      </c>
      <c r="H165" s="1" t="s">
        <v>35</v>
      </c>
      <c r="I165" s="1" t="s">
        <v>52</v>
      </c>
      <c r="J165" s="1" t="s">
        <v>64</v>
      </c>
      <c r="K165" s="1" t="s">
        <v>45</v>
      </c>
      <c r="L165" s="1">
        <v>4</v>
      </c>
      <c r="M165" s="1">
        <v>288.33</v>
      </c>
      <c r="N165" s="1">
        <v>20</v>
      </c>
      <c r="O165" s="1">
        <v>922.66</v>
      </c>
      <c r="P165" s="1">
        <f t="shared" si="10"/>
        <v>1153.32</v>
      </c>
      <c r="Q165" s="10">
        <f t="shared" si="11"/>
        <v>184.53200000000001</v>
      </c>
      <c r="R165" s="11">
        <f t="shared" si="12"/>
        <v>968.7879999999999</v>
      </c>
      <c r="S165" s="1" t="str">
        <f t="shared" si="13"/>
        <v>Low</v>
      </c>
      <c r="T165" s="1" t="str" cm="1">
        <f t="array" ref="T165">_xlfn.IFS(L165&gt;5,"High",L165=5,"mediam",L165&lt;5,"low")</f>
        <v>low</v>
      </c>
      <c r="U165" s="1" t="b">
        <f t="shared" si="14"/>
        <v>0</v>
      </c>
    </row>
    <row r="166" spans="1:21" x14ac:dyDescent="0.3">
      <c r="A166" s="5">
        <v>10165</v>
      </c>
      <c r="B166" s="1">
        <v>1727</v>
      </c>
      <c r="C166" s="2">
        <v>45039</v>
      </c>
      <c r="D166" s="2">
        <v>45043</v>
      </c>
      <c r="E166" s="1" t="s">
        <v>34</v>
      </c>
      <c r="F166" s="1" t="s">
        <v>38</v>
      </c>
      <c r="G166" s="1" t="s">
        <v>24</v>
      </c>
      <c r="H166" s="1" t="s">
        <v>35</v>
      </c>
      <c r="I166" s="1" t="s">
        <v>57</v>
      </c>
      <c r="J166" s="1" t="s">
        <v>62</v>
      </c>
      <c r="K166" s="1" t="s">
        <v>28</v>
      </c>
      <c r="L166" s="1">
        <v>4</v>
      </c>
      <c r="M166" s="1">
        <v>3718.63</v>
      </c>
      <c r="N166" s="1">
        <v>20</v>
      </c>
      <c r="O166" s="1">
        <v>11899.62</v>
      </c>
      <c r="P166" s="1">
        <f t="shared" si="10"/>
        <v>14874.52</v>
      </c>
      <c r="Q166" s="10">
        <f t="shared" si="11"/>
        <v>2379.9240000000004</v>
      </c>
      <c r="R166" s="11">
        <f t="shared" si="12"/>
        <v>12494.596</v>
      </c>
      <c r="S166" s="1" t="str">
        <f t="shared" si="13"/>
        <v>Low</v>
      </c>
      <c r="T166" s="1" t="str" cm="1">
        <f t="array" ref="T166">_xlfn.IFS(L166&gt;5,"High",L166=5,"mediam",L166&lt;5,"low")</f>
        <v>low</v>
      </c>
      <c r="U166" s="1" t="b">
        <f t="shared" si="14"/>
        <v>0</v>
      </c>
    </row>
    <row r="167" spans="1:21" x14ac:dyDescent="0.3">
      <c r="A167" s="5">
        <v>10166</v>
      </c>
      <c r="B167" s="1">
        <v>1804</v>
      </c>
      <c r="C167" s="2">
        <v>45177</v>
      </c>
      <c r="D167" s="2">
        <v>45179</v>
      </c>
      <c r="E167" s="1" t="s">
        <v>16</v>
      </c>
      <c r="F167" s="1" t="s">
        <v>41</v>
      </c>
      <c r="G167" s="1" t="s">
        <v>30</v>
      </c>
      <c r="H167" s="1" t="s">
        <v>42</v>
      </c>
      <c r="I167" s="1" t="s">
        <v>26</v>
      </c>
      <c r="J167" s="1" t="s">
        <v>27</v>
      </c>
      <c r="K167" s="1" t="s">
        <v>21</v>
      </c>
      <c r="L167" s="1">
        <v>7</v>
      </c>
      <c r="M167" s="1">
        <v>972.74</v>
      </c>
      <c r="N167" s="1">
        <v>0</v>
      </c>
      <c r="O167" s="1">
        <v>6809.18</v>
      </c>
      <c r="P167" s="1">
        <f t="shared" si="10"/>
        <v>6809.18</v>
      </c>
      <c r="Q167" s="10">
        <f t="shared" si="11"/>
        <v>0</v>
      </c>
      <c r="R167" s="11">
        <f t="shared" si="12"/>
        <v>6809.18</v>
      </c>
      <c r="S167" s="1" t="str">
        <f t="shared" si="13"/>
        <v>High</v>
      </c>
      <c r="T167" s="1" t="str" cm="1">
        <f t="array" ref="T167">_xlfn.IFS(L167&gt;5,"High",L167=5,"mediam",L167&lt;5,"low")</f>
        <v>High</v>
      </c>
      <c r="U167" s="1" t="str">
        <f t="shared" si="14"/>
        <v>High</v>
      </c>
    </row>
    <row r="168" spans="1:21" x14ac:dyDescent="0.3">
      <c r="A168" s="5">
        <v>10167</v>
      </c>
      <c r="B168" s="1">
        <v>1098</v>
      </c>
      <c r="C168" s="2">
        <v>45177</v>
      </c>
      <c r="D168" s="2">
        <v>45182</v>
      </c>
      <c r="E168" s="1" t="s">
        <v>40</v>
      </c>
      <c r="F168" s="1" t="s">
        <v>41</v>
      </c>
      <c r="G168" s="1" t="s">
        <v>30</v>
      </c>
      <c r="H168" s="1" t="s">
        <v>42</v>
      </c>
      <c r="I168" s="1" t="s">
        <v>31</v>
      </c>
      <c r="J168" s="1" t="s">
        <v>32</v>
      </c>
      <c r="K168" s="1" t="s">
        <v>45</v>
      </c>
      <c r="L168" s="1">
        <v>7</v>
      </c>
      <c r="M168" s="1">
        <v>1767.02</v>
      </c>
      <c r="N168" s="1">
        <v>15</v>
      </c>
      <c r="O168" s="1">
        <v>10513.77</v>
      </c>
      <c r="P168" s="1">
        <f t="shared" si="10"/>
        <v>12369.14</v>
      </c>
      <c r="Q168" s="10">
        <f t="shared" si="11"/>
        <v>1577.0654999999999</v>
      </c>
      <c r="R168" s="11">
        <f t="shared" si="12"/>
        <v>10792.074499999999</v>
      </c>
      <c r="S168" s="1" t="str">
        <f t="shared" si="13"/>
        <v>High</v>
      </c>
      <c r="T168" s="1" t="str" cm="1">
        <f t="array" ref="T168">_xlfn.IFS(L168&gt;5,"High",L168=5,"mediam",L168&lt;5,"low")</f>
        <v>High</v>
      </c>
      <c r="U168" s="1" t="str">
        <f t="shared" si="14"/>
        <v>High</v>
      </c>
    </row>
    <row r="169" spans="1:21" x14ac:dyDescent="0.3">
      <c r="A169" s="5">
        <v>10168</v>
      </c>
      <c r="B169" s="1">
        <v>1683</v>
      </c>
      <c r="C169" s="2">
        <v>45229</v>
      </c>
      <c r="D169" s="2">
        <v>45232</v>
      </c>
      <c r="E169" s="1" t="s">
        <v>37</v>
      </c>
      <c r="F169" s="1" t="s">
        <v>16</v>
      </c>
      <c r="G169" s="1" t="s">
        <v>30</v>
      </c>
      <c r="H169" s="1" t="s">
        <v>44</v>
      </c>
      <c r="I169" s="1" t="s">
        <v>52</v>
      </c>
      <c r="J169" s="1" t="s">
        <v>56</v>
      </c>
      <c r="K169" s="1" t="s">
        <v>45</v>
      </c>
      <c r="L169" s="1">
        <v>8</v>
      </c>
      <c r="M169" s="1">
        <v>187.29</v>
      </c>
      <c r="N169" s="1">
        <v>5</v>
      </c>
      <c r="O169" s="1">
        <v>1423.4</v>
      </c>
      <c r="P169" s="1">
        <f t="shared" si="10"/>
        <v>1498.32</v>
      </c>
      <c r="Q169" s="10">
        <f t="shared" si="11"/>
        <v>71.17</v>
      </c>
      <c r="R169" s="11">
        <f t="shared" si="12"/>
        <v>1427.1499999999999</v>
      </c>
      <c r="S169" s="1" t="str">
        <f t="shared" si="13"/>
        <v>High</v>
      </c>
      <c r="T169" s="1" t="str" cm="1">
        <f t="array" ref="T169">_xlfn.IFS(L169&gt;5,"High",L169=5,"mediam",L169&lt;5,"low")</f>
        <v>High</v>
      </c>
      <c r="U169" s="1" t="str">
        <f t="shared" si="14"/>
        <v>High</v>
      </c>
    </row>
    <row r="170" spans="1:21" x14ac:dyDescent="0.3">
      <c r="A170" s="5">
        <v>10169</v>
      </c>
      <c r="B170" s="1">
        <v>1871</v>
      </c>
      <c r="C170" s="2">
        <v>45239</v>
      </c>
      <c r="D170" s="2">
        <v>45247</v>
      </c>
      <c r="E170" s="1" t="s">
        <v>22</v>
      </c>
      <c r="F170" s="1" t="s">
        <v>29</v>
      </c>
      <c r="G170" s="1" t="s">
        <v>30</v>
      </c>
      <c r="H170" s="1" t="s">
        <v>44</v>
      </c>
      <c r="I170" s="1" t="s">
        <v>19</v>
      </c>
      <c r="J170" s="1" t="s">
        <v>55</v>
      </c>
      <c r="K170" s="1" t="s">
        <v>47</v>
      </c>
      <c r="L170" s="1">
        <v>5</v>
      </c>
      <c r="M170" s="1">
        <v>3453.13</v>
      </c>
      <c r="N170" s="1">
        <v>5</v>
      </c>
      <c r="O170" s="1">
        <v>16402.37</v>
      </c>
      <c r="P170" s="1">
        <f t="shared" si="10"/>
        <v>17265.650000000001</v>
      </c>
      <c r="Q170" s="10">
        <f t="shared" si="11"/>
        <v>820.11850000000004</v>
      </c>
      <c r="R170" s="11">
        <f t="shared" si="12"/>
        <v>16445.531500000001</v>
      </c>
      <c r="S170" s="1" t="str">
        <f t="shared" si="13"/>
        <v>High</v>
      </c>
      <c r="T170" s="1" t="str" cm="1">
        <f t="array" ref="T170">_xlfn.IFS(L170&gt;5,"High",L170=5,"mediam",L170&lt;5,"low")</f>
        <v>mediam</v>
      </c>
      <c r="U170" s="1" t="b">
        <f t="shared" si="14"/>
        <v>0</v>
      </c>
    </row>
    <row r="171" spans="1:21" x14ac:dyDescent="0.3">
      <c r="A171" s="5">
        <v>10170</v>
      </c>
      <c r="B171" s="1">
        <v>1725</v>
      </c>
      <c r="C171" s="2">
        <v>45044</v>
      </c>
      <c r="D171" s="2">
        <v>45048</v>
      </c>
      <c r="E171" s="1" t="s">
        <v>37</v>
      </c>
      <c r="F171" s="1" t="s">
        <v>16</v>
      </c>
      <c r="G171" s="1" t="s">
        <v>24</v>
      </c>
      <c r="H171" s="1" t="s">
        <v>18</v>
      </c>
      <c r="I171" s="1" t="s">
        <v>31</v>
      </c>
      <c r="J171" s="1" t="s">
        <v>65</v>
      </c>
      <c r="K171" s="1" t="s">
        <v>33</v>
      </c>
      <c r="L171" s="1">
        <v>7</v>
      </c>
      <c r="M171" s="1">
        <v>2964.96</v>
      </c>
      <c r="N171" s="1">
        <v>5</v>
      </c>
      <c r="O171" s="1">
        <v>19716.98</v>
      </c>
      <c r="P171" s="1">
        <f t="shared" si="10"/>
        <v>20754.72</v>
      </c>
      <c r="Q171" s="10">
        <f t="shared" si="11"/>
        <v>985.84900000000005</v>
      </c>
      <c r="R171" s="11">
        <f t="shared" si="12"/>
        <v>19768.871000000003</v>
      </c>
      <c r="S171" s="1" t="str">
        <f t="shared" si="13"/>
        <v>High</v>
      </c>
      <c r="T171" s="1" t="str" cm="1">
        <f t="array" ref="T171">_xlfn.IFS(L171&gt;5,"High",L171=5,"mediam",L171&lt;5,"low")</f>
        <v>High</v>
      </c>
      <c r="U171" s="1" t="str">
        <f t="shared" si="14"/>
        <v>High</v>
      </c>
    </row>
    <row r="172" spans="1:21" x14ac:dyDescent="0.3">
      <c r="A172" s="5">
        <v>10171</v>
      </c>
      <c r="B172" s="1">
        <v>1986</v>
      </c>
      <c r="C172" s="2">
        <v>45227</v>
      </c>
      <c r="D172" s="2">
        <v>45228</v>
      </c>
      <c r="E172" s="1" t="s">
        <v>15</v>
      </c>
      <c r="F172" s="1" t="s">
        <v>41</v>
      </c>
      <c r="G172" s="1" t="s">
        <v>24</v>
      </c>
      <c r="H172" s="1" t="s">
        <v>18</v>
      </c>
      <c r="I172" s="1" t="s">
        <v>19</v>
      </c>
      <c r="J172" s="1" t="s">
        <v>43</v>
      </c>
      <c r="K172" s="1" t="s">
        <v>21</v>
      </c>
      <c r="L172" s="1">
        <v>8</v>
      </c>
      <c r="M172" s="1">
        <v>3795.01</v>
      </c>
      <c r="N172" s="1">
        <v>5</v>
      </c>
      <c r="O172" s="1">
        <v>28842.080000000002</v>
      </c>
      <c r="P172" s="1">
        <f t="shared" si="10"/>
        <v>30360.080000000002</v>
      </c>
      <c r="Q172" s="10">
        <f t="shared" si="11"/>
        <v>1442.1040000000003</v>
      </c>
      <c r="R172" s="11">
        <f t="shared" si="12"/>
        <v>28917.976000000002</v>
      </c>
      <c r="S172" s="1" t="str">
        <f t="shared" si="13"/>
        <v>High</v>
      </c>
      <c r="T172" s="1" t="str" cm="1">
        <f t="array" ref="T172">_xlfn.IFS(L172&gt;5,"High",L172=5,"mediam",L172&lt;5,"low")</f>
        <v>High</v>
      </c>
      <c r="U172" s="1" t="str">
        <f t="shared" si="14"/>
        <v>High</v>
      </c>
    </row>
    <row r="173" spans="1:21" x14ac:dyDescent="0.3">
      <c r="A173" s="5">
        <v>10172</v>
      </c>
      <c r="B173" s="1">
        <v>1546</v>
      </c>
      <c r="C173" s="2">
        <v>45087</v>
      </c>
      <c r="D173" s="2">
        <v>45088</v>
      </c>
      <c r="E173" s="1" t="s">
        <v>46</v>
      </c>
      <c r="F173" s="1" t="s">
        <v>54</v>
      </c>
      <c r="G173" s="1" t="s">
        <v>17</v>
      </c>
      <c r="H173" s="1" t="s">
        <v>42</v>
      </c>
      <c r="I173" s="1" t="s">
        <v>49</v>
      </c>
      <c r="J173" s="1" t="s">
        <v>63</v>
      </c>
      <c r="K173" s="1" t="s">
        <v>47</v>
      </c>
      <c r="L173" s="1">
        <v>9</v>
      </c>
      <c r="M173" s="1">
        <v>3159.22</v>
      </c>
      <c r="N173" s="1">
        <v>20</v>
      </c>
      <c r="O173" s="1">
        <v>22746.38</v>
      </c>
      <c r="P173" s="1">
        <f t="shared" si="10"/>
        <v>28432.98</v>
      </c>
      <c r="Q173" s="10">
        <f t="shared" si="11"/>
        <v>4549.2760000000007</v>
      </c>
      <c r="R173" s="11">
        <f t="shared" si="12"/>
        <v>23883.703999999998</v>
      </c>
      <c r="S173" s="1" t="str">
        <f t="shared" si="13"/>
        <v>High</v>
      </c>
      <c r="T173" s="1" t="str" cm="1">
        <f t="array" ref="T173">_xlfn.IFS(L173&gt;5,"High",L173=5,"mediam",L173&lt;5,"low")</f>
        <v>High</v>
      </c>
      <c r="U173" s="1" t="str">
        <f t="shared" si="14"/>
        <v>High</v>
      </c>
    </row>
    <row r="174" spans="1:21" x14ac:dyDescent="0.3">
      <c r="A174" s="5">
        <v>10173</v>
      </c>
      <c r="B174" s="1">
        <v>1960</v>
      </c>
      <c r="C174" s="2">
        <v>45124</v>
      </c>
      <c r="D174" s="2">
        <v>45127</v>
      </c>
      <c r="E174" s="1" t="s">
        <v>15</v>
      </c>
      <c r="F174" s="1" t="s">
        <v>38</v>
      </c>
      <c r="G174" s="1" t="s">
        <v>24</v>
      </c>
      <c r="H174" s="1" t="s">
        <v>42</v>
      </c>
      <c r="I174" s="1" t="s">
        <v>31</v>
      </c>
      <c r="J174" s="1" t="s">
        <v>65</v>
      </c>
      <c r="K174" s="1" t="s">
        <v>28</v>
      </c>
      <c r="L174" s="1">
        <v>3</v>
      </c>
      <c r="M174" s="1">
        <v>1357.77</v>
      </c>
      <c r="N174" s="1">
        <v>5</v>
      </c>
      <c r="O174" s="1">
        <v>3869.64</v>
      </c>
      <c r="P174" s="1">
        <f t="shared" si="10"/>
        <v>4073.31</v>
      </c>
      <c r="Q174" s="10">
        <f t="shared" si="11"/>
        <v>193.482</v>
      </c>
      <c r="R174" s="11">
        <f t="shared" si="12"/>
        <v>3879.828</v>
      </c>
      <c r="S174" s="1" t="str">
        <f t="shared" si="13"/>
        <v>Low</v>
      </c>
      <c r="T174" s="1" t="str" cm="1">
        <f t="array" ref="T174">_xlfn.IFS(L174&gt;5,"High",L174=5,"mediam",L174&lt;5,"low")</f>
        <v>low</v>
      </c>
      <c r="U174" s="1" t="b">
        <f t="shared" si="14"/>
        <v>0</v>
      </c>
    </row>
    <row r="175" spans="1:21" x14ac:dyDescent="0.3">
      <c r="A175" s="5">
        <v>10174</v>
      </c>
      <c r="B175" s="1">
        <v>1738</v>
      </c>
      <c r="C175" s="2">
        <v>45186</v>
      </c>
      <c r="D175" s="2">
        <v>45195</v>
      </c>
      <c r="E175" s="1" t="s">
        <v>34</v>
      </c>
      <c r="F175" s="1" t="s">
        <v>16</v>
      </c>
      <c r="G175" s="1" t="s">
        <v>30</v>
      </c>
      <c r="H175" s="1" t="s">
        <v>18</v>
      </c>
      <c r="I175" s="1" t="s">
        <v>52</v>
      </c>
      <c r="J175" s="1" t="s">
        <v>53</v>
      </c>
      <c r="K175" s="1" t="s">
        <v>28</v>
      </c>
      <c r="L175" s="1">
        <v>3</v>
      </c>
      <c r="M175" s="1">
        <v>1104.31</v>
      </c>
      <c r="N175" s="1">
        <v>15</v>
      </c>
      <c r="O175" s="1">
        <v>2815.99</v>
      </c>
      <c r="P175" s="1">
        <f t="shared" si="10"/>
        <v>3312.93</v>
      </c>
      <c r="Q175" s="10">
        <f t="shared" si="11"/>
        <v>422.39849999999996</v>
      </c>
      <c r="R175" s="11">
        <f t="shared" si="12"/>
        <v>2890.5315000000001</v>
      </c>
      <c r="S175" s="1" t="str">
        <f t="shared" si="13"/>
        <v>Low</v>
      </c>
      <c r="T175" s="1" t="str" cm="1">
        <f t="array" ref="T175">_xlfn.IFS(L175&gt;5,"High",L175=5,"mediam",L175&lt;5,"low")</f>
        <v>low</v>
      </c>
      <c r="U175" s="1" t="b">
        <f t="shared" si="14"/>
        <v>0</v>
      </c>
    </row>
    <row r="176" spans="1:21" x14ac:dyDescent="0.3">
      <c r="A176" s="5">
        <v>10175</v>
      </c>
      <c r="B176" s="1">
        <v>1612</v>
      </c>
      <c r="C176" s="2">
        <v>45074</v>
      </c>
      <c r="D176" s="2">
        <v>45081</v>
      </c>
      <c r="E176" s="1" t="s">
        <v>16</v>
      </c>
      <c r="F176" s="1" t="s">
        <v>41</v>
      </c>
      <c r="G176" s="1" t="s">
        <v>17</v>
      </c>
      <c r="H176" s="1" t="s">
        <v>18</v>
      </c>
      <c r="I176" s="1" t="s">
        <v>31</v>
      </c>
      <c r="J176" s="1" t="s">
        <v>32</v>
      </c>
      <c r="K176" s="1" t="s">
        <v>45</v>
      </c>
      <c r="L176" s="1">
        <v>4</v>
      </c>
      <c r="M176" s="1">
        <v>2836.21</v>
      </c>
      <c r="N176" s="1">
        <v>20</v>
      </c>
      <c r="O176" s="1">
        <v>9075.8700000000008</v>
      </c>
      <c r="P176" s="1">
        <f t="shared" si="10"/>
        <v>11344.84</v>
      </c>
      <c r="Q176" s="10">
        <f t="shared" si="11"/>
        <v>1815.1740000000002</v>
      </c>
      <c r="R176" s="11">
        <f t="shared" si="12"/>
        <v>9529.6659999999993</v>
      </c>
      <c r="S176" s="1" t="str">
        <f t="shared" si="13"/>
        <v>Low</v>
      </c>
      <c r="T176" s="1" t="str" cm="1">
        <f t="array" ref="T176">_xlfn.IFS(L176&gt;5,"High",L176=5,"mediam",L176&lt;5,"low")</f>
        <v>low</v>
      </c>
      <c r="U176" s="1" t="b">
        <f t="shared" si="14"/>
        <v>0</v>
      </c>
    </row>
    <row r="177" spans="1:21" x14ac:dyDescent="0.3">
      <c r="A177" s="5">
        <v>10176</v>
      </c>
      <c r="B177" s="1">
        <v>1942</v>
      </c>
      <c r="C177" s="2">
        <v>45166</v>
      </c>
      <c r="D177" s="2">
        <v>45168</v>
      </c>
      <c r="E177" s="1" t="s">
        <v>34</v>
      </c>
      <c r="F177" s="1" t="s">
        <v>29</v>
      </c>
      <c r="G177" s="1" t="s">
        <v>30</v>
      </c>
      <c r="H177" s="1" t="s">
        <v>25</v>
      </c>
      <c r="I177" s="1" t="s">
        <v>31</v>
      </c>
      <c r="J177" s="1" t="s">
        <v>39</v>
      </c>
      <c r="K177" s="1" t="s">
        <v>45</v>
      </c>
      <c r="L177" s="1">
        <v>5</v>
      </c>
      <c r="M177" s="1">
        <v>1551.83</v>
      </c>
      <c r="N177" s="1">
        <v>5</v>
      </c>
      <c r="O177" s="1">
        <v>7371.19</v>
      </c>
      <c r="P177" s="1">
        <f t="shared" si="10"/>
        <v>7759.15</v>
      </c>
      <c r="Q177" s="10">
        <f t="shared" si="11"/>
        <v>368.55950000000001</v>
      </c>
      <c r="R177" s="11">
        <f t="shared" si="12"/>
        <v>7390.5904999999993</v>
      </c>
      <c r="S177" s="1" t="str">
        <f t="shared" si="13"/>
        <v>High</v>
      </c>
      <c r="T177" s="1" t="str" cm="1">
        <f t="array" ref="T177">_xlfn.IFS(L177&gt;5,"High",L177=5,"mediam",L177&lt;5,"low")</f>
        <v>mediam</v>
      </c>
      <c r="U177" s="1" t="b">
        <f t="shared" si="14"/>
        <v>0</v>
      </c>
    </row>
    <row r="178" spans="1:21" x14ac:dyDescent="0.3">
      <c r="A178" s="5">
        <v>10177</v>
      </c>
      <c r="B178" s="1">
        <v>1461</v>
      </c>
      <c r="C178" s="2">
        <v>44973</v>
      </c>
      <c r="D178" s="2">
        <v>44982</v>
      </c>
      <c r="E178" s="1" t="s">
        <v>22</v>
      </c>
      <c r="F178" s="1" t="s">
        <v>41</v>
      </c>
      <c r="G178" s="1" t="s">
        <v>24</v>
      </c>
      <c r="H178" s="1" t="s">
        <v>25</v>
      </c>
      <c r="I178" s="1" t="s">
        <v>31</v>
      </c>
      <c r="J178" s="1" t="s">
        <v>32</v>
      </c>
      <c r="K178" s="1" t="s">
        <v>28</v>
      </c>
      <c r="L178" s="1">
        <v>1</v>
      </c>
      <c r="M178" s="1">
        <v>2329.9299999999998</v>
      </c>
      <c r="N178" s="1">
        <v>0</v>
      </c>
      <c r="O178" s="1">
        <v>2329.9299999999998</v>
      </c>
      <c r="P178" s="1">
        <f t="shared" si="10"/>
        <v>2329.9299999999998</v>
      </c>
      <c r="Q178" s="10">
        <f t="shared" si="11"/>
        <v>0</v>
      </c>
      <c r="R178" s="11">
        <f t="shared" si="12"/>
        <v>2329.9299999999998</v>
      </c>
      <c r="S178" s="1" t="str">
        <f t="shared" si="13"/>
        <v>Low</v>
      </c>
      <c r="T178" s="1" t="str" cm="1">
        <f t="array" ref="T178">_xlfn.IFS(L178&gt;5,"High",L178=5,"mediam",L178&lt;5,"low")</f>
        <v>low</v>
      </c>
      <c r="U178" s="1" t="b">
        <f t="shared" si="14"/>
        <v>0</v>
      </c>
    </row>
    <row r="179" spans="1:21" x14ac:dyDescent="0.3">
      <c r="A179" s="5">
        <v>10178</v>
      </c>
      <c r="B179" s="1">
        <v>1642</v>
      </c>
      <c r="C179" s="2">
        <v>45124</v>
      </c>
      <c r="D179" s="2">
        <v>45126</v>
      </c>
      <c r="E179" s="1" t="s">
        <v>40</v>
      </c>
      <c r="F179" s="1" t="s">
        <v>29</v>
      </c>
      <c r="G179" s="1" t="s">
        <v>17</v>
      </c>
      <c r="H179" s="1" t="s">
        <v>18</v>
      </c>
      <c r="I179" s="1" t="s">
        <v>26</v>
      </c>
      <c r="J179" s="1" t="s">
        <v>61</v>
      </c>
      <c r="K179" s="1" t="s">
        <v>45</v>
      </c>
      <c r="L179" s="1">
        <v>7</v>
      </c>
      <c r="M179" s="1">
        <v>174.09</v>
      </c>
      <c r="N179" s="1">
        <v>10</v>
      </c>
      <c r="O179" s="1">
        <v>1096.77</v>
      </c>
      <c r="P179" s="1">
        <f t="shared" si="10"/>
        <v>1218.6300000000001</v>
      </c>
      <c r="Q179" s="10">
        <f t="shared" si="11"/>
        <v>109.67700000000001</v>
      </c>
      <c r="R179" s="11">
        <f t="shared" si="12"/>
        <v>1108.9530000000002</v>
      </c>
      <c r="S179" s="1" t="str">
        <f t="shared" si="13"/>
        <v>High</v>
      </c>
      <c r="T179" s="1" t="str" cm="1">
        <f t="array" ref="T179">_xlfn.IFS(L179&gt;5,"High",L179=5,"mediam",L179&lt;5,"low")</f>
        <v>High</v>
      </c>
      <c r="U179" s="1" t="str">
        <f t="shared" si="14"/>
        <v>High</v>
      </c>
    </row>
    <row r="180" spans="1:21" x14ac:dyDescent="0.3">
      <c r="A180" s="5">
        <v>10179</v>
      </c>
      <c r="B180" s="1">
        <v>1768</v>
      </c>
      <c r="C180" s="2">
        <v>44973</v>
      </c>
      <c r="D180" s="2">
        <v>44976</v>
      </c>
      <c r="E180" s="1" t="s">
        <v>37</v>
      </c>
      <c r="F180" s="1" t="s">
        <v>16</v>
      </c>
      <c r="G180" s="1" t="s">
        <v>30</v>
      </c>
      <c r="H180" s="1" t="s">
        <v>25</v>
      </c>
      <c r="I180" s="1" t="s">
        <v>31</v>
      </c>
      <c r="J180" s="1" t="s">
        <v>32</v>
      </c>
      <c r="K180" s="1" t="s">
        <v>21</v>
      </c>
      <c r="L180" s="1">
        <v>9</v>
      </c>
      <c r="M180" s="1">
        <v>388.26</v>
      </c>
      <c r="N180" s="1">
        <v>10</v>
      </c>
      <c r="O180" s="1">
        <v>3144.91</v>
      </c>
      <c r="P180" s="1">
        <f t="shared" si="10"/>
        <v>3494.34</v>
      </c>
      <c r="Q180" s="10">
        <f t="shared" si="11"/>
        <v>314.49099999999999</v>
      </c>
      <c r="R180" s="11">
        <f t="shared" si="12"/>
        <v>3179.8490000000002</v>
      </c>
      <c r="S180" s="1" t="str">
        <f t="shared" si="13"/>
        <v>High</v>
      </c>
      <c r="T180" s="1" t="str" cm="1">
        <f t="array" ref="T180">_xlfn.IFS(L180&gt;5,"High",L180=5,"mediam",L180&lt;5,"low")</f>
        <v>High</v>
      </c>
      <c r="U180" s="1" t="str">
        <f t="shared" si="14"/>
        <v>High</v>
      </c>
    </row>
    <row r="181" spans="1:21" x14ac:dyDescent="0.3">
      <c r="A181" s="5">
        <v>10180</v>
      </c>
      <c r="B181" s="1">
        <v>1004</v>
      </c>
      <c r="C181" s="2">
        <v>45004</v>
      </c>
      <c r="D181" s="2">
        <v>45006</v>
      </c>
      <c r="E181" s="1" t="s">
        <v>15</v>
      </c>
      <c r="F181" s="1" t="s">
        <v>29</v>
      </c>
      <c r="G181" s="1" t="s">
        <v>17</v>
      </c>
      <c r="H181" s="1" t="s">
        <v>35</v>
      </c>
      <c r="I181" s="1" t="s">
        <v>19</v>
      </c>
      <c r="J181" s="1" t="s">
        <v>43</v>
      </c>
      <c r="K181" s="1" t="s">
        <v>45</v>
      </c>
      <c r="L181" s="1">
        <v>8</v>
      </c>
      <c r="M181" s="1">
        <v>2211.17</v>
      </c>
      <c r="N181" s="1">
        <v>10</v>
      </c>
      <c r="O181" s="1">
        <v>15920.42</v>
      </c>
      <c r="P181" s="1">
        <f t="shared" si="10"/>
        <v>17689.36</v>
      </c>
      <c r="Q181" s="10">
        <f t="shared" si="11"/>
        <v>1592.0420000000001</v>
      </c>
      <c r="R181" s="11">
        <f t="shared" si="12"/>
        <v>16097.318000000001</v>
      </c>
      <c r="S181" s="1" t="str">
        <f t="shared" si="13"/>
        <v>High</v>
      </c>
      <c r="T181" s="1" t="str" cm="1">
        <f t="array" ref="T181">_xlfn.IFS(L181&gt;5,"High",L181=5,"mediam",L181&lt;5,"low")</f>
        <v>High</v>
      </c>
      <c r="U181" s="1" t="str">
        <f t="shared" si="14"/>
        <v>High</v>
      </c>
    </row>
    <row r="182" spans="1:21" x14ac:dyDescent="0.3">
      <c r="A182" s="5">
        <v>10181</v>
      </c>
      <c r="B182" s="1">
        <v>1217</v>
      </c>
      <c r="C182" s="2">
        <v>45050</v>
      </c>
      <c r="D182" s="2">
        <v>45053</v>
      </c>
      <c r="E182" s="1" t="s">
        <v>15</v>
      </c>
      <c r="F182" s="1" t="s">
        <v>23</v>
      </c>
      <c r="G182" s="1" t="s">
        <v>17</v>
      </c>
      <c r="H182" s="1" t="s">
        <v>42</v>
      </c>
      <c r="I182" s="1" t="s">
        <v>49</v>
      </c>
      <c r="J182" s="1" t="s">
        <v>50</v>
      </c>
      <c r="K182" s="1" t="s">
        <v>33</v>
      </c>
      <c r="L182" s="1">
        <v>5</v>
      </c>
      <c r="M182" s="1">
        <v>2329.38</v>
      </c>
      <c r="N182" s="1">
        <v>20</v>
      </c>
      <c r="O182" s="1">
        <v>9317.52</v>
      </c>
      <c r="P182" s="1">
        <f t="shared" si="10"/>
        <v>11646.900000000001</v>
      </c>
      <c r="Q182" s="10">
        <f t="shared" si="11"/>
        <v>1863.5040000000001</v>
      </c>
      <c r="R182" s="11">
        <f t="shared" si="12"/>
        <v>9783.3960000000006</v>
      </c>
      <c r="S182" s="1" t="str">
        <f t="shared" si="13"/>
        <v>High</v>
      </c>
      <c r="T182" s="1" t="str" cm="1">
        <f t="array" ref="T182">_xlfn.IFS(L182&gt;5,"High",L182=5,"mediam",L182&lt;5,"low")</f>
        <v>mediam</v>
      </c>
      <c r="U182" s="1" t="b">
        <f t="shared" si="14"/>
        <v>0</v>
      </c>
    </row>
    <row r="183" spans="1:21" x14ac:dyDescent="0.3">
      <c r="A183" s="5">
        <v>10182</v>
      </c>
      <c r="B183" s="1">
        <v>1502</v>
      </c>
      <c r="C183" s="2">
        <v>45001</v>
      </c>
      <c r="D183" s="2">
        <v>45007</v>
      </c>
      <c r="E183" s="1" t="s">
        <v>22</v>
      </c>
      <c r="F183" s="1" t="s">
        <v>23</v>
      </c>
      <c r="G183" s="1" t="s">
        <v>24</v>
      </c>
      <c r="H183" s="1" t="s">
        <v>42</v>
      </c>
      <c r="I183" s="1" t="s">
        <v>57</v>
      </c>
      <c r="J183" s="1" t="s">
        <v>59</v>
      </c>
      <c r="K183" s="1" t="s">
        <v>45</v>
      </c>
      <c r="L183" s="1">
        <v>4</v>
      </c>
      <c r="M183" s="1">
        <v>3043.09</v>
      </c>
      <c r="N183" s="1">
        <v>5</v>
      </c>
      <c r="O183" s="1">
        <v>11563.74</v>
      </c>
      <c r="P183" s="1">
        <f t="shared" si="10"/>
        <v>12172.36</v>
      </c>
      <c r="Q183" s="10">
        <f t="shared" si="11"/>
        <v>578.18700000000001</v>
      </c>
      <c r="R183" s="11">
        <f t="shared" si="12"/>
        <v>11594.173000000001</v>
      </c>
      <c r="S183" s="1" t="str">
        <f t="shared" si="13"/>
        <v>Low</v>
      </c>
      <c r="T183" s="1" t="str" cm="1">
        <f t="array" ref="T183">_xlfn.IFS(L183&gt;5,"High",L183=5,"mediam",L183&lt;5,"low")</f>
        <v>low</v>
      </c>
      <c r="U183" s="1" t="b">
        <f t="shared" si="14"/>
        <v>0</v>
      </c>
    </row>
    <row r="184" spans="1:21" x14ac:dyDescent="0.3">
      <c r="A184" s="5">
        <v>10183</v>
      </c>
      <c r="B184" s="1">
        <v>1766</v>
      </c>
      <c r="C184" s="2">
        <v>45285</v>
      </c>
      <c r="D184" s="2">
        <v>45294</v>
      </c>
      <c r="E184" s="1" t="s">
        <v>15</v>
      </c>
      <c r="F184" s="1" t="s">
        <v>23</v>
      </c>
      <c r="G184" s="1" t="s">
        <v>30</v>
      </c>
      <c r="H184" s="1" t="s">
        <v>18</v>
      </c>
      <c r="I184" s="1" t="s">
        <v>31</v>
      </c>
      <c r="J184" s="1" t="s">
        <v>39</v>
      </c>
      <c r="K184" s="1" t="s">
        <v>47</v>
      </c>
      <c r="L184" s="1">
        <v>7</v>
      </c>
      <c r="M184" s="1">
        <v>658.07</v>
      </c>
      <c r="N184" s="1">
        <v>20</v>
      </c>
      <c r="O184" s="1">
        <v>3685.19</v>
      </c>
      <c r="P184" s="1">
        <f t="shared" si="10"/>
        <v>4606.4900000000007</v>
      </c>
      <c r="Q184" s="10">
        <f t="shared" si="11"/>
        <v>737.03800000000001</v>
      </c>
      <c r="R184" s="11">
        <f t="shared" si="12"/>
        <v>3869.4520000000007</v>
      </c>
      <c r="S184" s="1" t="str">
        <f t="shared" si="13"/>
        <v>High</v>
      </c>
      <c r="T184" s="1" t="str" cm="1">
        <f t="array" ref="T184">_xlfn.IFS(L184&gt;5,"High",L184=5,"mediam",L184&lt;5,"low")</f>
        <v>High</v>
      </c>
      <c r="U184" s="1" t="str">
        <f t="shared" si="14"/>
        <v>High</v>
      </c>
    </row>
    <row r="185" spans="1:21" x14ac:dyDescent="0.3">
      <c r="A185" s="5">
        <v>10184</v>
      </c>
      <c r="B185" s="1">
        <v>1397</v>
      </c>
      <c r="C185" s="2">
        <v>45063</v>
      </c>
      <c r="D185" s="2">
        <v>45072</v>
      </c>
      <c r="E185" s="1" t="s">
        <v>22</v>
      </c>
      <c r="F185" s="1" t="s">
        <v>54</v>
      </c>
      <c r="G185" s="1" t="s">
        <v>17</v>
      </c>
      <c r="H185" s="1" t="s">
        <v>44</v>
      </c>
      <c r="I185" s="1" t="s">
        <v>52</v>
      </c>
      <c r="J185" s="1" t="s">
        <v>64</v>
      </c>
      <c r="K185" s="1" t="s">
        <v>21</v>
      </c>
      <c r="L185" s="1">
        <v>5</v>
      </c>
      <c r="M185" s="1">
        <v>2125.75</v>
      </c>
      <c r="N185" s="1">
        <v>15</v>
      </c>
      <c r="O185" s="1">
        <v>9034.44</v>
      </c>
      <c r="P185" s="1">
        <f t="shared" si="10"/>
        <v>10628.75</v>
      </c>
      <c r="Q185" s="10">
        <f t="shared" si="11"/>
        <v>1355.1659999999999</v>
      </c>
      <c r="R185" s="11">
        <f t="shared" si="12"/>
        <v>9273.5840000000007</v>
      </c>
      <c r="S185" s="1" t="str">
        <f t="shared" si="13"/>
        <v>High</v>
      </c>
      <c r="T185" s="1" t="str" cm="1">
        <f t="array" ref="T185">_xlfn.IFS(L185&gt;5,"High",L185=5,"mediam",L185&lt;5,"low")</f>
        <v>mediam</v>
      </c>
      <c r="U185" s="1" t="b">
        <f t="shared" si="14"/>
        <v>0</v>
      </c>
    </row>
    <row r="186" spans="1:21" x14ac:dyDescent="0.3">
      <c r="A186" s="5">
        <v>10185</v>
      </c>
      <c r="B186" s="1">
        <v>1870</v>
      </c>
      <c r="C186" s="2">
        <v>45016</v>
      </c>
      <c r="D186" s="2">
        <v>45023</v>
      </c>
      <c r="E186" s="1" t="s">
        <v>34</v>
      </c>
      <c r="F186" s="1" t="s">
        <v>16</v>
      </c>
      <c r="G186" s="1" t="s">
        <v>17</v>
      </c>
      <c r="H186" s="1" t="s">
        <v>18</v>
      </c>
      <c r="I186" s="1" t="s">
        <v>31</v>
      </c>
      <c r="J186" s="1" t="s">
        <v>39</v>
      </c>
      <c r="K186" s="1" t="s">
        <v>47</v>
      </c>
      <c r="L186" s="1">
        <v>7</v>
      </c>
      <c r="M186" s="1">
        <v>898.62</v>
      </c>
      <c r="N186" s="1">
        <v>0</v>
      </c>
      <c r="O186" s="1">
        <v>6290.34</v>
      </c>
      <c r="P186" s="1">
        <f t="shared" si="10"/>
        <v>6290.34</v>
      </c>
      <c r="Q186" s="10">
        <f t="shared" si="11"/>
        <v>0</v>
      </c>
      <c r="R186" s="11">
        <f t="shared" si="12"/>
        <v>6290.34</v>
      </c>
      <c r="S186" s="1" t="str">
        <f t="shared" si="13"/>
        <v>High</v>
      </c>
      <c r="T186" s="1" t="str" cm="1">
        <f t="array" ref="T186">_xlfn.IFS(L186&gt;5,"High",L186=5,"mediam",L186&lt;5,"low")</f>
        <v>High</v>
      </c>
      <c r="U186" s="1" t="str">
        <f t="shared" si="14"/>
        <v>High</v>
      </c>
    </row>
    <row r="187" spans="1:21" x14ac:dyDescent="0.3">
      <c r="A187" s="5">
        <v>10186</v>
      </c>
      <c r="B187" s="1">
        <v>1794</v>
      </c>
      <c r="C187" s="2">
        <v>45251</v>
      </c>
      <c r="D187" s="2">
        <v>45254</v>
      </c>
      <c r="E187" s="1" t="s">
        <v>37</v>
      </c>
      <c r="F187" s="1" t="s">
        <v>41</v>
      </c>
      <c r="G187" s="1" t="s">
        <v>30</v>
      </c>
      <c r="H187" s="1" t="s">
        <v>25</v>
      </c>
      <c r="I187" s="1" t="s">
        <v>52</v>
      </c>
      <c r="J187" s="1" t="s">
        <v>56</v>
      </c>
      <c r="K187" s="1" t="s">
        <v>47</v>
      </c>
      <c r="L187" s="1">
        <v>1</v>
      </c>
      <c r="M187" s="1">
        <v>508.81</v>
      </c>
      <c r="N187" s="1">
        <v>0</v>
      </c>
      <c r="O187" s="1">
        <v>508.81</v>
      </c>
      <c r="P187" s="1">
        <f t="shared" si="10"/>
        <v>508.81</v>
      </c>
      <c r="Q187" s="10">
        <f t="shared" si="11"/>
        <v>0</v>
      </c>
      <c r="R187" s="11">
        <f t="shared" si="12"/>
        <v>508.81</v>
      </c>
      <c r="S187" s="1" t="str">
        <f t="shared" si="13"/>
        <v>Low</v>
      </c>
      <c r="T187" s="1" t="str" cm="1">
        <f t="array" ref="T187">_xlfn.IFS(L187&gt;5,"High",L187=5,"mediam",L187&lt;5,"low")</f>
        <v>low</v>
      </c>
      <c r="U187" s="1" t="b">
        <f t="shared" si="14"/>
        <v>0</v>
      </c>
    </row>
    <row r="188" spans="1:21" x14ac:dyDescent="0.3">
      <c r="A188" s="5">
        <v>10187</v>
      </c>
      <c r="B188" s="1">
        <v>1392</v>
      </c>
      <c r="C188" s="2">
        <v>44987</v>
      </c>
      <c r="D188" s="2">
        <v>44991</v>
      </c>
      <c r="E188" s="1" t="s">
        <v>16</v>
      </c>
      <c r="F188" s="1" t="s">
        <v>41</v>
      </c>
      <c r="G188" s="1" t="s">
        <v>17</v>
      </c>
      <c r="H188" s="1" t="s">
        <v>44</v>
      </c>
      <c r="I188" s="1" t="s">
        <v>19</v>
      </c>
      <c r="J188" s="1" t="s">
        <v>43</v>
      </c>
      <c r="K188" s="1" t="s">
        <v>33</v>
      </c>
      <c r="L188" s="1">
        <v>1</v>
      </c>
      <c r="M188" s="1">
        <v>1730.41</v>
      </c>
      <c r="N188" s="1">
        <v>10</v>
      </c>
      <c r="O188" s="1">
        <v>1557.37</v>
      </c>
      <c r="P188" s="1">
        <f t="shared" si="10"/>
        <v>1730.41</v>
      </c>
      <c r="Q188" s="10">
        <f t="shared" si="11"/>
        <v>155.73699999999999</v>
      </c>
      <c r="R188" s="11">
        <f t="shared" si="12"/>
        <v>1574.673</v>
      </c>
      <c r="S188" s="1" t="str">
        <f t="shared" si="13"/>
        <v>Low</v>
      </c>
      <c r="T188" s="1" t="str" cm="1">
        <f t="array" ref="T188">_xlfn.IFS(L188&gt;5,"High",L188=5,"mediam",L188&lt;5,"low")</f>
        <v>low</v>
      </c>
      <c r="U188" s="1" t="b">
        <f t="shared" si="14"/>
        <v>0</v>
      </c>
    </row>
    <row r="189" spans="1:21" x14ac:dyDescent="0.3">
      <c r="A189" s="5">
        <v>10188</v>
      </c>
      <c r="B189" s="1">
        <v>1206</v>
      </c>
      <c r="C189" s="2">
        <v>45064</v>
      </c>
      <c r="D189" s="2">
        <v>45070</v>
      </c>
      <c r="E189" s="1" t="s">
        <v>40</v>
      </c>
      <c r="F189" s="1" t="s">
        <v>54</v>
      </c>
      <c r="G189" s="1" t="s">
        <v>17</v>
      </c>
      <c r="H189" s="1" t="s">
        <v>25</v>
      </c>
      <c r="I189" s="1" t="s">
        <v>52</v>
      </c>
      <c r="J189" s="1" t="s">
        <v>53</v>
      </c>
      <c r="K189" s="1" t="s">
        <v>21</v>
      </c>
      <c r="L189" s="1">
        <v>3</v>
      </c>
      <c r="M189" s="1">
        <v>778.85</v>
      </c>
      <c r="N189" s="1">
        <v>10</v>
      </c>
      <c r="O189" s="1">
        <v>2102.89</v>
      </c>
      <c r="P189" s="1">
        <f t="shared" si="10"/>
        <v>2336.5500000000002</v>
      </c>
      <c r="Q189" s="10">
        <f t="shared" si="11"/>
        <v>210.28899999999999</v>
      </c>
      <c r="R189" s="11">
        <f t="shared" si="12"/>
        <v>2126.2610000000004</v>
      </c>
      <c r="S189" s="1" t="str">
        <f t="shared" si="13"/>
        <v>Low</v>
      </c>
      <c r="T189" s="1" t="str" cm="1">
        <f t="array" ref="T189">_xlfn.IFS(L189&gt;5,"High",L189=5,"mediam",L189&lt;5,"low")</f>
        <v>low</v>
      </c>
      <c r="U189" s="1" t="b">
        <f t="shared" si="14"/>
        <v>0</v>
      </c>
    </row>
    <row r="190" spans="1:21" x14ac:dyDescent="0.3">
      <c r="A190" s="5">
        <v>10189</v>
      </c>
      <c r="B190" s="1">
        <v>1014</v>
      </c>
      <c r="C190" s="2">
        <v>44976</v>
      </c>
      <c r="D190" s="2">
        <v>44981</v>
      </c>
      <c r="E190" s="1" t="s">
        <v>16</v>
      </c>
      <c r="F190" s="1" t="s">
        <v>29</v>
      </c>
      <c r="G190" s="1" t="s">
        <v>17</v>
      </c>
      <c r="H190" s="1" t="s">
        <v>35</v>
      </c>
      <c r="I190" s="1" t="s">
        <v>57</v>
      </c>
      <c r="J190" s="1" t="s">
        <v>62</v>
      </c>
      <c r="K190" s="1" t="s">
        <v>21</v>
      </c>
      <c r="L190" s="1">
        <v>2</v>
      </c>
      <c r="M190" s="1">
        <v>1003.86</v>
      </c>
      <c r="N190" s="1">
        <v>10</v>
      </c>
      <c r="O190" s="1">
        <v>1806.95</v>
      </c>
      <c r="P190" s="1">
        <f t="shared" si="10"/>
        <v>2007.72</v>
      </c>
      <c r="Q190" s="10">
        <f t="shared" si="11"/>
        <v>180.69500000000002</v>
      </c>
      <c r="R190" s="11">
        <f t="shared" si="12"/>
        <v>1827.0250000000001</v>
      </c>
      <c r="S190" s="1" t="str">
        <f t="shared" si="13"/>
        <v>Low</v>
      </c>
      <c r="T190" s="1" t="str" cm="1">
        <f t="array" ref="T190">_xlfn.IFS(L190&gt;5,"High",L190=5,"mediam",L190&lt;5,"low")</f>
        <v>low</v>
      </c>
      <c r="U190" s="1" t="b">
        <f t="shared" si="14"/>
        <v>0</v>
      </c>
    </row>
    <row r="191" spans="1:21" x14ac:dyDescent="0.3">
      <c r="A191" s="5">
        <v>10190</v>
      </c>
      <c r="B191" s="1">
        <v>1857</v>
      </c>
      <c r="C191" s="2">
        <v>45185</v>
      </c>
      <c r="D191" s="2">
        <v>45187</v>
      </c>
      <c r="E191" s="1" t="s">
        <v>34</v>
      </c>
      <c r="F191" s="1" t="s">
        <v>54</v>
      </c>
      <c r="G191" s="1" t="s">
        <v>30</v>
      </c>
      <c r="H191" s="1" t="s">
        <v>25</v>
      </c>
      <c r="I191" s="1" t="s">
        <v>49</v>
      </c>
      <c r="J191" s="1" t="s">
        <v>51</v>
      </c>
      <c r="K191" s="1" t="s">
        <v>21</v>
      </c>
      <c r="L191" s="1">
        <v>2</v>
      </c>
      <c r="M191" s="1">
        <v>1372.59</v>
      </c>
      <c r="N191" s="1">
        <v>5</v>
      </c>
      <c r="O191" s="1">
        <v>2607.92</v>
      </c>
      <c r="P191" s="1">
        <f t="shared" si="10"/>
        <v>2745.18</v>
      </c>
      <c r="Q191" s="10">
        <f t="shared" si="11"/>
        <v>130.39600000000002</v>
      </c>
      <c r="R191" s="11">
        <f t="shared" si="12"/>
        <v>2614.7839999999997</v>
      </c>
      <c r="S191" s="1" t="str">
        <f t="shared" si="13"/>
        <v>Low</v>
      </c>
      <c r="T191" s="1" t="str" cm="1">
        <f t="array" ref="T191">_xlfn.IFS(L191&gt;5,"High",L191=5,"mediam",L191&lt;5,"low")</f>
        <v>low</v>
      </c>
      <c r="U191" s="1" t="b">
        <f t="shared" si="14"/>
        <v>0</v>
      </c>
    </row>
    <row r="192" spans="1:21" x14ac:dyDescent="0.3">
      <c r="A192" s="5">
        <v>10191</v>
      </c>
      <c r="B192" s="1">
        <v>1553</v>
      </c>
      <c r="C192" s="2">
        <v>45033</v>
      </c>
      <c r="D192" s="2">
        <v>45039</v>
      </c>
      <c r="E192" s="1" t="s">
        <v>40</v>
      </c>
      <c r="F192" s="1" t="s">
        <v>29</v>
      </c>
      <c r="G192" s="1" t="s">
        <v>30</v>
      </c>
      <c r="H192" s="1" t="s">
        <v>35</v>
      </c>
      <c r="I192" s="1" t="s">
        <v>52</v>
      </c>
      <c r="J192" s="1" t="s">
        <v>56</v>
      </c>
      <c r="K192" s="1" t="s">
        <v>21</v>
      </c>
      <c r="L192" s="1">
        <v>7</v>
      </c>
      <c r="M192" s="1">
        <v>1148.6500000000001</v>
      </c>
      <c r="N192" s="1">
        <v>15</v>
      </c>
      <c r="O192" s="1">
        <v>6834.47</v>
      </c>
      <c r="P192" s="1">
        <f t="shared" si="10"/>
        <v>8040.5500000000011</v>
      </c>
      <c r="Q192" s="10">
        <f t="shared" si="11"/>
        <v>1025.1704999999999</v>
      </c>
      <c r="R192" s="11">
        <f t="shared" si="12"/>
        <v>7015.3795000000009</v>
      </c>
      <c r="S192" s="1" t="str">
        <f t="shared" si="13"/>
        <v>High</v>
      </c>
      <c r="T192" s="1" t="str" cm="1">
        <f t="array" ref="T192">_xlfn.IFS(L192&gt;5,"High",L192=5,"mediam",L192&lt;5,"low")</f>
        <v>High</v>
      </c>
      <c r="U192" s="1" t="str">
        <f t="shared" si="14"/>
        <v>High</v>
      </c>
    </row>
    <row r="193" spans="1:21" x14ac:dyDescent="0.3">
      <c r="A193" s="5">
        <v>10192</v>
      </c>
      <c r="B193" s="1">
        <v>1891</v>
      </c>
      <c r="C193" s="2">
        <v>45039</v>
      </c>
      <c r="D193" s="2">
        <v>45042</v>
      </c>
      <c r="E193" s="1" t="s">
        <v>15</v>
      </c>
      <c r="F193" s="1" t="s">
        <v>29</v>
      </c>
      <c r="G193" s="1" t="s">
        <v>30</v>
      </c>
      <c r="H193" s="1" t="s">
        <v>35</v>
      </c>
      <c r="I193" s="1" t="s">
        <v>52</v>
      </c>
      <c r="J193" s="1" t="s">
        <v>60</v>
      </c>
      <c r="K193" s="1" t="s">
        <v>21</v>
      </c>
      <c r="L193" s="1">
        <v>2</v>
      </c>
      <c r="M193" s="1">
        <v>487.23</v>
      </c>
      <c r="N193" s="1">
        <v>15</v>
      </c>
      <c r="O193" s="1">
        <v>828.29</v>
      </c>
      <c r="P193" s="1">
        <f t="shared" si="10"/>
        <v>974.46</v>
      </c>
      <c r="Q193" s="10">
        <f t="shared" si="11"/>
        <v>124.24349999999998</v>
      </c>
      <c r="R193" s="11">
        <f t="shared" si="12"/>
        <v>850.2165</v>
      </c>
      <c r="S193" s="1" t="str">
        <f t="shared" si="13"/>
        <v>Low</v>
      </c>
      <c r="T193" s="1" t="str" cm="1">
        <f t="array" ref="T193">_xlfn.IFS(L193&gt;5,"High",L193=5,"mediam",L193&lt;5,"low")</f>
        <v>low</v>
      </c>
      <c r="U193" s="1" t="b">
        <f t="shared" si="14"/>
        <v>0</v>
      </c>
    </row>
    <row r="194" spans="1:21" x14ac:dyDescent="0.3">
      <c r="A194" s="5">
        <v>10193</v>
      </c>
      <c r="B194" s="1">
        <v>1460</v>
      </c>
      <c r="C194" s="2">
        <v>45276</v>
      </c>
      <c r="D194" s="2">
        <v>45284</v>
      </c>
      <c r="E194" s="1" t="s">
        <v>46</v>
      </c>
      <c r="F194" s="1" t="s">
        <v>38</v>
      </c>
      <c r="G194" s="1" t="s">
        <v>30</v>
      </c>
      <c r="H194" s="1" t="s">
        <v>25</v>
      </c>
      <c r="I194" s="1" t="s">
        <v>49</v>
      </c>
      <c r="J194" s="1" t="s">
        <v>51</v>
      </c>
      <c r="K194" s="1" t="s">
        <v>33</v>
      </c>
      <c r="L194" s="1">
        <v>4</v>
      </c>
      <c r="M194" s="1">
        <v>496.18</v>
      </c>
      <c r="N194" s="1">
        <v>15</v>
      </c>
      <c r="O194" s="1">
        <v>1687.01</v>
      </c>
      <c r="P194" s="1">
        <f t="shared" si="10"/>
        <v>1984.72</v>
      </c>
      <c r="Q194" s="10">
        <f t="shared" si="11"/>
        <v>253.05149999999998</v>
      </c>
      <c r="R194" s="11">
        <f t="shared" si="12"/>
        <v>1731.6685</v>
      </c>
      <c r="S194" s="1" t="str">
        <f t="shared" si="13"/>
        <v>Low</v>
      </c>
      <c r="T194" s="1" t="str" cm="1">
        <f t="array" ref="T194">_xlfn.IFS(L194&gt;5,"High",L194=5,"mediam",L194&lt;5,"low")</f>
        <v>low</v>
      </c>
      <c r="U194" s="1" t="b">
        <f t="shared" si="14"/>
        <v>0</v>
      </c>
    </row>
    <row r="195" spans="1:21" x14ac:dyDescent="0.3">
      <c r="A195" s="5">
        <v>10194</v>
      </c>
      <c r="B195" s="1">
        <v>1690</v>
      </c>
      <c r="C195" s="2">
        <v>45180</v>
      </c>
      <c r="D195" s="2">
        <v>45182</v>
      </c>
      <c r="E195" s="1" t="s">
        <v>34</v>
      </c>
      <c r="F195" s="1" t="s">
        <v>41</v>
      </c>
      <c r="G195" s="1" t="s">
        <v>24</v>
      </c>
      <c r="H195" s="1" t="s">
        <v>25</v>
      </c>
      <c r="I195" s="1" t="s">
        <v>57</v>
      </c>
      <c r="J195" s="1" t="s">
        <v>59</v>
      </c>
      <c r="K195" s="1" t="s">
        <v>45</v>
      </c>
      <c r="L195" s="1">
        <v>2</v>
      </c>
      <c r="M195" s="1">
        <v>894.01</v>
      </c>
      <c r="N195" s="1">
        <v>15</v>
      </c>
      <c r="O195" s="1">
        <v>1519.82</v>
      </c>
      <c r="P195" s="1">
        <f t="shared" ref="P195:P258" si="15">L195*M195</f>
        <v>1788.02</v>
      </c>
      <c r="Q195" s="10">
        <f t="shared" ref="Q195:Q258" si="16">O195*N195%</f>
        <v>227.97299999999998</v>
      </c>
      <c r="R195" s="11">
        <f t="shared" ref="R195:R258" si="17">P195-Q195</f>
        <v>1560.047</v>
      </c>
      <c r="S195" s="1" t="str">
        <f t="shared" ref="S195:S258" si="18">IF(L195&gt;=5,"High","Low")</f>
        <v>Low</v>
      </c>
      <c r="T195" s="1" t="str" cm="1">
        <f t="array" ref="T195">_xlfn.IFS(L195&gt;5,"High",L195=5,"mediam",L195&lt;5,"low")</f>
        <v>low</v>
      </c>
      <c r="U195" s="1" t="b">
        <f t="shared" ref="U195:U258" si="19">IF(L195&gt;5,"High",IF(L195="Mediam","Low"))</f>
        <v>0</v>
      </c>
    </row>
    <row r="196" spans="1:21" x14ac:dyDescent="0.3">
      <c r="A196" s="5">
        <v>10195</v>
      </c>
      <c r="B196" s="1">
        <v>1574</v>
      </c>
      <c r="C196" s="2">
        <v>45044</v>
      </c>
      <c r="D196" s="2">
        <v>45045</v>
      </c>
      <c r="E196" s="1" t="s">
        <v>34</v>
      </c>
      <c r="F196" s="1" t="s">
        <v>23</v>
      </c>
      <c r="G196" s="1" t="s">
        <v>17</v>
      </c>
      <c r="H196" s="1" t="s">
        <v>35</v>
      </c>
      <c r="I196" s="1" t="s">
        <v>31</v>
      </c>
      <c r="J196" s="1" t="s">
        <v>65</v>
      </c>
      <c r="K196" s="1" t="s">
        <v>47</v>
      </c>
      <c r="L196" s="1">
        <v>6</v>
      </c>
      <c r="M196" s="1">
        <v>344.65</v>
      </c>
      <c r="N196" s="1">
        <v>10</v>
      </c>
      <c r="O196" s="1">
        <v>1861.11</v>
      </c>
      <c r="P196" s="1">
        <f t="shared" si="15"/>
        <v>2067.8999999999996</v>
      </c>
      <c r="Q196" s="10">
        <f t="shared" si="16"/>
        <v>186.11099999999999</v>
      </c>
      <c r="R196" s="11">
        <f t="shared" si="17"/>
        <v>1881.7889999999998</v>
      </c>
      <c r="S196" s="1" t="str">
        <f t="shared" si="18"/>
        <v>High</v>
      </c>
      <c r="T196" s="1" t="str" cm="1">
        <f t="array" ref="T196">_xlfn.IFS(L196&gt;5,"High",L196=5,"mediam",L196&lt;5,"low")</f>
        <v>High</v>
      </c>
      <c r="U196" s="1" t="str">
        <f t="shared" si="19"/>
        <v>High</v>
      </c>
    </row>
    <row r="197" spans="1:21" x14ac:dyDescent="0.3">
      <c r="A197" s="5">
        <v>10196</v>
      </c>
      <c r="B197" s="1">
        <v>1863</v>
      </c>
      <c r="C197" s="2">
        <v>45124</v>
      </c>
      <c r="D197" s="2">
        <v>45133</v>
      </c>
      <c r="E197" s="1" t="s">
        <v>37</v>
      </c>
      <c r="F197" s="1" t="s">
        <v>29</v>
      </c>
      <c r="G197" s="1" t="s">
        <v>30</v>
      </c>
      <c r="H197" s="1" t="s">
        <v>44</v>
      </c>
      <c r="I197" s="1" t="s">
        <v>52</v>
      </c>
      <c r="J197" s="1" t="s">
        <v>53</v>
      </c>
      <c r="K197" s="1" t="s">
        <v>21</v>
      </c>
      <c r="L197" s="1">
        <v>8</v>
      </c>
      <c r="M197" s="1">
        <v>2561.86</v>
      </c>
      <c r="N197" s="1">
        <v>0</v>
      </c>
      <c r="O197" s="1">
        <v>20494.88</v>
      </c>
      <c r="P197" s="1">
        <f t="shared" si="15"/>
        <v>20494.88</v>
      </c>
      <c r="Q197" s="10">
        <f t="shared" si="16"/>
        <v>0</v>
      </c>
      <c r="R197" s="11">
        <f t="shared" si="17"/>
        <v>20494.88</v>
      </c>
      <c r="S197" s="1" t="str">
        <f t="shared" si="18"/>
        <v>High</v>
      </c>
      <c r="T197" s="1" t="str" cm="1">
        <f t="array" ref="T197">_xlfn.IFS(L197&gt;5,"High",L197=5,"mediam",L197&lt;5,"low")</f>
        <v>High</v>
      </c>
      <c r="U197" s="1" t="str">
        <f t="shared" si="19"/>
        <v>High</v>
      </c>
    </row>
    <row r="198" spans="1:21" x14ac:dyDescent="0.3">
      <c r="A198" s="5">
        <v>10197</v>
      </c>
      <c r="B198" s="1">
        <v>1742</v>
      </c>
      <c r="C198" s="2">
        <v>45263</v>
      </c>
      <c r="D198" s="2">
        <v>45266</v>
      </c>
      <c r="E198" s="1" t="s">
        <v>16</v>
      </c>
      <c r="F198" s="1" t="s">
        <v>38</v>
      </c>
      <c r="G198" s="1" t="s">
        <v>17</v>
      </c>
      <c r="H198" s="1" t="s">
        <v>35</v>
      </c>
      <c r="I198" s="1" t="s">
        <v>49</v>
      </c>
      <c r="J198" s="1" t="s">
        <v>68</v>
      </c>
      <c r="K198" s="1" t="s">
        <v>45</v>
      </c>
      <c r="L198" s="1">
        <v>4</v>
      </c>
      <c r="M198" s="1">
        <v>1256.21</v>
      </c>
      <c r="N198" s="1">
        <v>10</v>
      </c>
      <c r="O198" s="1">
        <v>4522.3599999999997</v>
      </c>
      <c r="P198" s="1">
        <f t="shared" si="15"/>
        <v>5024.84</v>
      </c>
      <c r="Q198" s="10">
        <f t="shared" si="16"/>
        <v>452.23599999999999</v>
      </c>
      <c r="R198" s="11">
        <f t="shared" si="17"/>
        <v>4572.6040000000003</v>
      </c>
      <c r="S198" s="1" t="str">
        <f t="shared" si="18"/>
        <v>Low</v>
      </c>
      <c r="T198" s="1" t="str" cm="1">
        <f t="array" ref="T198">_xlfn.IFS(L198&gt;5,"High",L198=5,"mediam",L198&lt;5,"low")</f>
        <v>low</v>
      </c>
      <c r="U198" s="1" t="b">
        <f t="shared" si="19"/>
        <v>0</v>
      </c>
    </row>
    <row r="199" spans="1:21" x14ac:dyDescent="0.3">
      <c r="A199" s="5">
        <v>10198</v>
      </c>
      <c r="B199" s="1">
        <v>1240</v>
      </c>
      <c r="C199" s="2">
        <v>45291</v>
      </c>
      <c r="D199" s="2">
        <v>45292</v>
      </c>
      <c r="E199" s="1" t="s">
        <v>34</v>
      </c>
      <c r="F199" s="1" t="s">
        <v>41</v>
      </c>
      <c r="G199" s="1" t="s">
        <v>17</v>
      </c>
      <c r="H199" s="1" t="s">
        <v>42</v>
      </c>
      <c r="I199" s="1" t="s">
        <v>19</v>
      </c>
      <c r="J199" s="1" t="s">
        <v>66</v>
      </c>
      <c r="K199" s="1" t="s">
        <v>45</v>
      </c>
      <c r="L199" s="1">
        <v>5</v>
      </c>
      <c r="M199" s="1">
        <v>1227.02</v>
      </c>
      <c r="N199" s="1">
        <v>15</v>
      </c>
      <c r="O199" s="1">
        <v>5214.84</v>
      </c>
      <c r="P199" s="1">
        <f t="shared" si="15"/>
        <v>6135.1</v>
      </c>
      <c r="Q199" s="10">
        <f t="shared" si="16"/>
        <v>782.226</v>
      </c>
      <c r="R199" s="11">
        <f t="shared" si="17"/>
        <v>5352.8740000000007</v>
      </c>
      <c r="S199" s="1" t="str">
        <f t="shared" si="18"/>
        <v>High</v>
      </c>
      <c r="T199" s="1" t="str" cm="1">
        <f t="array" ref="T199">_xlfn.IFS(L199&gt;5,"High",L199=5,"mediam",L199&lt;5,"low")</f>
        <v>mediam</v>
      </c>
      <c r="U199" s="1" t="b">
        <f t="shared" si="19"/>
        <v>0</v>
      </c>
    </row>
    <row r="200" spans="1:21" x14ac:dyDescent="0.3">
      <c r="A200" s="5">
        <v>10199</v>
      </c>
      <c r="B200" s="1">
        <v>1563</v>
      </c>
      <c r="C200" s="2">
        <v>44977</v>
      </c>
      <c r="D200" s="2">
        <v>44984</v>
      </c>
      <c r="E200" s="1" t="s">
        <v>34</v>
      </c>
      <c r="F200" s="1" t="s">
        <v>23</v>
      </c>
      <c r="G200" s="1" t="s">
        <v>24</v>
      </c>
      <c r="H200" s="1" t="s">
        <v>35</v>
      </c>
      <c r="I200" s="1" t="s">
        <v>49</v>
      </c>
      <c r="J200" s="1" t="s">
        <v>51</v>
      </c>
      <c r="K200" s="1" t="s">
        <v>47</v>
      </c>
      <c r="L200" s="1">
        <v>4</v>
      </c>
      <c r="M200" s="1">
        <v>1428.19</v>
      </c>
      <c r="N200" s="1">
        <v>10</v>
      </c>
      <c r="O200" s="1">
        <v>5141.4799999999996</v>
      </c>
      <c r="P200" s="1">
        <f t="shared" si="15"/>
        <v>5712.76</v>
      </c>
      <c r="Q200" s="10">
        <f t="shared" si="16"/>
        <v>514.14800000000002</v>
      </c>
      <c r="R200" s="11">
        <f t="shared" si="17"/>
        <v>5198.6120000000001</v>
      </c>
      <c r="S200" s="1" t="str">
        <f t="shared" si="18"/>
        <v>Low</v>
      </c>
      <c r="T200" s="1" t="str" cm="1">
        <f t="array" ref="T200">_xlfn.IFS(L200&gt;5,"High",L200=5,"mediam",L200&lt;5,"low")</f>
        <v>low</v>
      </c>
      <c r="U200" s="1" t="b">
        <f t="shared" si="19"/>
        <v>0</v>
      </c>
    </row>
    <row r="201" spans="1:21" x14ac:dyDescent="0.3">
      <c r="A201" s="5">
        <v>10200</v>
      </c>
      <c r="B201" s="1">
        <v>1095</v>
      </c>
      <c r="C201" s="2">
        <v>45171</v>
      </c>
      <c r="D201" s="2">
        <v>45176</v>
      </c>
      <c r="E201" s="1" t="s">
        <v>15</v>
      </c>
      <c r="F201" s="1" t="s">
        <v>29</v>
      </c>
      <c r="G201" s="1" t="s">
        <v>30</v>
      </c>
      <c r="H201" s="1" t="s">
        <v>44</v>
      </c>
      <c r="I201" s="1" t="s">
        <v>19</v>
      </c>
      <c r="J201" s="1" t="s">
        <v>66</v>
      </c>
      <c r="K201" s="1" t="s">
        <v>33</v>
      </c>
      <c r="L201" s="1">
        <v>3</v>
      </c>
      <c r="M201" s="1">
        <v>2701.77</v>
      </c>
      <c r="N201" s="1">
        <v>15</v>
      </c>
      <c r="O201" s="1">
        <v>6889.51</v>
      </c>
      <c r="P201" s="1">
        <f t="shared" si="15"/>
        <v>8105.3099999999995</v>
      </c>
      <c r="Q201" s="10">
        <f t="shared" si="16"/>
        <v>1033.4265</v>
      </c>
      <c r="R201" s="11">
        <f t="shared" si="17"/>
        <v>7071.8834999999999</v>
      </c>
      <c r="S201" s="1" t="str">
        <f t="shared" si="18"/>
        <v>Low</v>
      </c>
      <c r="T201" s="1" t="str" cm="1">
        <f t="array" ref="T201">_xlfn.IFS(L201&gt;5,"High",L201=5,"mediam",L201&lt;5,"low")</f>
        <v>low</v>
      </c>
      <c r="U201" s="1" t="b">
        <f t="shared" si="19"/>
        <v>0</v>
      </c>
    </row>
    <row r="202" spans="1:21" x14ac:dyDescent="0.3">
      <c r="A202" s="5">
        <v>10201</v>
      </c>
      <c r="B202" s="1">
        <v>1899</v>
      </c>
      <c r="C202" s="2">
        <v>44961</v>
      </c>
      <c r="D202" s="2">
        <v>44966</v>
      </c>
      <c r="E202" s="1" t="s">
        <v>15</v>
      </c>
      <c r="F202" s="1" t="s">
        <v>29</v>
      </c>
      <c r="G202" s="1" t="s">
        <v>30</v>
      </c>
      <c r="H202" s="1" t="s">
        <v>42</v>
      </c>
      <c r="I202" s="1" t="s">
        <v>57</v>
      </c>
      <c r="J202" s="1" t="s">
        <v>59</v>
      </c>
      <c r="K202" s="1" t="s">
        <v>28</v>
      </c>
      <c r="L202" s="1">
        <v>5</v>
      </c>
      <c r="M202" s="1">
        <v>3501.94</v>
      </c>
      <c r="N202" s="1">
        <v>20</v>
      </c>
      <c r="O202" s="1">
        <v>14007.76</v>
      </c>
      <c r="P202" s="1">
        <f t="shared" si="15"/>
        <v>17509.7</v>
      </c>
      <c r="Q202" s="10">
        <f t="shared" si="16"/>
        <v>2801.5520000000001</v>
      </c>
      <c r="R202" s="11">
        <f t="shared" si="17"/>
        <v>14708.148000000001</v>
      </c>
      <c r="S202" s="1" t="str">
        <f t="shared" si="18"/>
        <v>High</v>
      </c>
      <c r="T202" s="1" t="str" cm="1">
        <f t="array" ref="T202">_xlfn.IFS(L202&gt;5,"High",L202=5,"mediam",L202&lt;5,"low")</f>
        <v>mediam</v>
      </c>
      <c r="U202" s="1" t="b">
        <f t="shared" si="19"/>
        <v>0</v>
      </c>
    </row>
    <row r="203" spans="1:21" x14ac:dyDescent="0.3">
      <c r="A203" s="5">
        <v>10202</v>
      </c>
      <c r="B203" s="1">
        <v>1733</v>
      </c>
      <c r="C203" s="2">
        <v>45228</v>
      </c>
      <c r="D203" s="2">
        <v>45229</v>
      </c>
      <c r="E203" s="1" t="s">
        <v>40</v>
      </c>
      <c r="F203" s="1" t="s">
        <v>54</v>
      </c>
      <c r="G203" s="1" t="s">
        <v>17</v>
      </c>
      <c r="H203" s="1" t="s">
        <v>18</v>
      </c>
      <c r="I203" s="1" t="s">
        <v>31</v>
      </c>
      <c r="J203" s="1" t="s">
        <v>65</v>
      </c>
      <c r="K203" s="1" t="s">
        <v>28</v>
      </c>
      <c r="L203" s="1">
        <v>9</v>
      </c>
      <c r="M203" s="1">
        <v>3072.48</v>
      </c>
      <c r="N203" s="1">
        <v>0</v>
      </c>
      <c r="O203" s="1">
        <v>27652.32</v>
      </c>
      <c r="P203" s="1">
        <f t="shared" si="15"/>
        <v>27652.32</v>
      </c>
      <c r="Q203" s="10">
        <f t="shared" si="16"/>
        <v>0</v>
      </c>
      <c r="R203" s="11">
        <f t="shared" si="17"/>
        <v>27652.32</v>
      </c>
      <c r="S203" s="1" t="str">
        <f t="shared" si="18"/>
        <v>High</v>
      </c>
      <c r="T203" s="1" t="str" cm="1">
        <f t="array" ref="T203">_xlfn.IFS(L203&gt;5,"High",L203=5,"mediam",L203&lt;5,"low")</f>
        <v>High</v>
      </c>
      <c r="U203" s="1" t="str">
        <f t="shared" si="19"/>
        <v>High</v>
      </c>
    </row>
    <row r="204" spans="1:21" x14ac:dyDescent="0.3">
      <c r="A204" s="5">
        <v>10203</v>
      </c>
      <c r="B204" s="1">
        <v>1484</v>
      </c>
      <c r="C204" s="2">
        <v>44995</v>
      </c>
      <c r="D204" s="2">
        <v>45004</v>
      </c>
      <c r="E204" s="1" t="s">
        <v>22</v>
      </c>
      <c r="F204" s="1" t="s">
        <v>54</v>
      </c>
      <c r="G204" s="1" t="s">
        <v>30</v>
      </c>
      <c r="H204" s="1" t="s">
        <v>18</v>
      </c>
      <c r="I204" s="1" t="s">
        <v>49</v>
      </c>
      <c r="J204" s="1" t="s">
        <v>68</v>
      </c>
      <c r="K204" s="1" t="s">
        <v>45</v>
      </c>
      <c r="L204" s="1">
        <v>8</v>
      </c>
      <c r="M204" s="1">
        <v>2950.99</v>
      </c>
      <c r="N204" s="1">
        <v>20</v>
      </c>
      <c r="O204" s="1">
        <v>18886.34</v>
      </c>
      <c r="P204" s="1">
        <f t="shared" si="15"/>
        <v>23607.919999999998</v>
      </c>
      <c r="Q204" s="10">
        <f t="shared" si="16"/>
        <v>3777.268</v>
      </c>
      <c r="R204" s="11">
        <f t="shared" si="17"/>
        <v>19830.651999999998</v>
      </c>
      <c r="S204" s="1" t="str">
        <f t="shared" si="18"/>
        <v>High</v>
      </c>
      <c r="T204" s="1" t="str" cm="1">
        <f t="array" ref="T204">_xlfn.IFS(L204&gt;5,"High",L204=5,"mediam",L204&lt;5,"low")</f>
        <v>High</v>
      </c>
      <c r="U204" s="1" t="str">
        <f t="shared" si="19"/>
        <v>High</v>
      </c>
    </row>
    <row r="205" spans="1:21" x14ac:dyDescent="0.3">
      <c r="A205" s="5">
        <v>10204</v>
      </c>
      <c r="B205" s="1">
        <v>1406</v>
      </c>
      <c r="C205" s="2">
        <v>45275</v>
      </c>
      <c r="D205" s="2">
        <v>45282</v>
      </c>
      <c r="E205" s="1" t="s">
        <v>22</v>
      </c>
      <c r="F205" s="1" t="s">
        <v>41</v>
      </c>
      <c r="G205" s="1" t="s">
        <v>17</v>
      </c>
      <c r="H205" s="1" t="s">
        <v>44</v>
      </c>
      <c r="I205" s="1" t="s">
        <v>26</v>
      </c>
      <c r="J205" s="1" t="s">
        <v>27</v>
      </c>
      <c r="K205" s="1" t="s">
        <v>47</v>
      </c>
      <c r="L205" s="1">
        <v>8</v>
      </c>
      <c r="M205" s="1">
        <v>2014.91</v>
      </c>
      <c r="N205" s="1">
        <v>5</v>
      </c>
      <c r="O205" s="1">
        <v>15313.32</v>
      </c>
      <c r="P205" s="1">
        <f t="shared" si="15"/>
        <v>16119.28</v>
      </c>
      <c r="Q205" s="10">
        <f t="shared" si="16"/>
        <v>765.66600000000005</v>
      </c>
      <c r="R205" s="11">
        <f t="shared" si="17"/>
        <v>15353.614000000001</v>
      </c>
      <c r="S205" s="1" t="str">
        <f t="shared" si="18"/>
        <v>High</v>
      </c>
      <c r="T205" s="1" t="str" cm="1">
        <f t="array" ref="T205">_xlfn.IFS(L205&gt;5,"High",L205=5,"mediam",L205&lt;5,"low")</f>
        <v>High</v>
      </c>
      <c r="U205" s="1" t="str">
        <f t="shared" si="19"/>
        <v>High</v>
      </c>
    </row>
    <row r="206" spans="1:21" x14ac:dyDescent="0.3">
      <c r="A206" s="5">
        <v>10205</v>
      </c>
      <c r="B206" s="1">
        <v>1230</v>
      </c>
      <c r="C206" s="2">
        <v>45246</v>
      </c>
      <c r="D206" s="2">
        <v>45254</v>
      </c>
      <c r="E206" s="1" t="s">
        <v>46</v>
      </c>
      <c r="F206" s="1" t="s">
        <v>23</v>
      </c>
      <c r="G206" s="1" t="s">
        <v>17</v>
      </c>
      <c r="H206" s="1" t="s">
        <v>35</v>
      </c>
      <c r="I206" s="1" t="s">
        <v>52</v>
      </c>
      <c r="J206" s="1" t="s">
        <v>60</v>
      </c>
      <c r="K206" s="1" t="s">
        <v>28</v>
      </c>
      <c r="L206" s="1">
        <v>8</v>
      </c>
      <c r="M206" s="1">
        <v>2821.15</v>
      </c>
      <c r="N206" s="1">
        <v>10</v>
      </c>
      <c r="O206" s="1">
        <v>20312.28</v>
      </c>
      <c r="P206" s="1">
        <f t="shared" si="15"/>
        <v>22569.200000000001</v>
      </c>
      <c r="Q206" s="10">
        <f t="shared" si="16"/>
        <v>2031.2280000000001</v>
      </c>
      <c r="R206" s="11">
        <f t="shared" si="17"/>
        <v>20537.972000000002</v>
      </c>
      <c r="S206" s="1" t="str">
        <f t="shared" si="18"/>
        <v>High</v>
      </c>
      <c r="T206" s="1" t="str" cm="1">
        <f t="array" ref="T206">_xlfn.IFS(L206&gt;5,"High",L206=5,"mediam",L206&lt;5,"low")</f>
        <v>High</v>
      </c>
      <c r="U206" s="1" t="str">
        <f t="shared" si="19"/>
        <v>High</v>
      </c>
    </row>
    <row r="207" spans="1:21" x14ac:dyDescent="0.3">
      <c r="A207" s="5">
        <v>10206</v>
      </c>
      <c r="B207" s="1">
        <v>1748</v>
      </c>
      <c r="C207" s="2">
        <v>44975</v>
      </c>
      <c r="D207" s="2">
        <v>44984</v>
      </c>
      <c r="E207" s="1" t="s">
        <v>22</v>
      </c>
      <c r="F207" s="1" t="s">
        <v>29</v>
      </c>
      <c r="G207" s="1" t="s">
        <v>24</v>
      </c>
      <c r="H207" s="1" t="s">
        <v>25</v>
      </c>
      <c r="I207" s="1" t="s">
        <v>57</v>
      </c>
      <c r="J207" s="1" t="s">
        <v>59</v>
      </c>
      <c r="K207" s="1" t="s">
        <v>45</v>
      </c>
      <c r="L207" s="1">
        <v>8</v>
      </c>
      <c r="M207" s="1">
        <v>2278.14</v>
      </c>
      <c r="N207" s="1">
        <v>5</v>
      </c>
      <c r="O207" s="1">
        <v>17313.86</v>
      </c>
      <c r="P207" s="1">
        <f t="shared" si="15"/>
        <v>18225.12</v>
      </c>
      <c r="Q207" s="10">
        <f t="shared" si="16"/>
        <v>865.6930000000001</v>
      </c>
      <c r="R207" s="11">
        <f t="shared" si="17"/>
        <v>17359.427</v>
      </c>
      <c r="S207" s="1" t="str">
        <f t="shared" si="18"/>
        <v>High</v>
      </c>
      <c r="T207" s="1" t="str" cm="1">
        <f t="array" ref="T207">_xlfn.IFS(L207&gt;5,"High",L207=5,"mediam",L207&lt;5,"low")</f>
        <v>High</v>
      </c>
      <c r="U207" s="1" t="str">
        <f t="shared" si="19"/>
        <v>High</v>
      </c>
    </row>
    <row r="208" spans="1:21" x14ac:dyDescent="0.3">
      <c r="A208" s="5">
        <v>10207</v>
      </c>
      <c r="B208" s="1">
        <v>1654</v>
      </c>
      <c r="C208" s="2">
        <v>45000</v>
      </c>
      <c r="D208" s="2">
        <v>45006</v>
      </c>
      <c r="E208" s="1" t="s">
        <v>37</v>
      </c>
      <c r="F208" s="1" t="s">
        <v>41</v>
      </c>
      <c r="G208" s="1" t="s">
        <v>24</v>
      </c>
      <c r="H208" s="1" t="s">
        <v>44</v>
      </c>
      <c r="I208" s="1" t="s">
        <v>49</v>
      </c>
      <c r="J208" s="1" t="s">
        <v>51</v>
      </c>
      <c r="K208" s="1" t="s">
        <v>33</v>
      </c>
      <c r="L208" s="1">
        <v>7</v>
      </c>
      <c r="M208" s="1">
        <v>982.56</v>
      </c>
      <c r="N208" s="1">
        <v>10</v>
      </c>
      <c r="O208" s="1">
        <v>6190.13</v>
      </c>
      <c r="P208" s="1">
        <f t="shared" si="15"/>
        <v>6877.92</v>
      </c>
      <c r="Q208" s="10">
        <f t="shared" si="16"/>
        <v>619.01300000000003</v>
      </c>
      <c r="R208" s="11">
        <f t="shared" si="17"/>
        <v>6258.9070000000002</v>
      </c>
      <c r="S208" s="1" t="str">
        <f t="shared" si="18"/>
        <v>High</v>
      </c>
      <c r="T208" s="1" t="str" cm="1">
        <f t="array" ref="T208">_xlfn.IFS(L208&gt;5,"High",L208=5,"mediam",L208&lt;5,"low")</f>
        <v>High</v>
      </c>
      <c r="U208" s="1" t="str">
        <f t="shared" si="19"/>
        <v>High</v>
      </c>
    </row>
    <row r="209" spans="1:21" x14ac:dyDescent="0.3">
      <c r="A209" s="5">
        <v>10208</v>
      </c>
      <c r="B209" s="1">
        <v>1170</v>
      </c>
      <c r="C209" s="2">
        <v>45118</v>
      </c>
      <c r="D209" s="2">
        <v>45123</v>
      </c>
      <c r="E209" s="1" t="s">
        <v>46</v>
      </c>
      <c r="F209" s="1" t="s">
        <v>41</v>
      </c>
      <c r="G209" s="1" t="s">
        <v>24</v>
      </c>
      <c r="H209" s="1" t="s">
        <v>42</v>
      </c>
      <c r="I209" s="1" t="s">
        <v>52</v>
      </c>
      <c r="J209" s="1" t="s">
        <v>53</v>
      </c>
      <c r="K209" s="1" t="s">
        <v>28</v>
      </c>
      <c r="L209" s="1">
        <v>8</v>
      </c>
      <c r="M209" s="1">
        <v>953.07</v>
      </c>
      <c r="N209" s="1">
        <v>20</v>
      </c>
      <c r="O209" s="1">
        <v>6099.65</v>
      </c>
      <c r="P209" s="1">
        <f t="shared" si="15"/>
        <v>7624.56</v>
      </c>
      <c r="Q209" s="10">
        <f t="shared" si="16"/>
        <v>1219.93</v>
      </c>
      <c r="R209" s="11">
        <f t="shared" si="17"/>
        <v>6404.63</v>
      </c>
      <c r="S209" s="1" t="str">
        <f t="shared" si="18"/>
        <v>High</v>
      </c>
      <c r="T209" s="1" t="str" cm="1">
        <f t="array" ref="T209">_xlfn.IFS(L209&gt;5,"High",L209=5,"mediam",L209&lt;5,"low")</f>
        <v>High</v>
      </c>
      <c r="U209" s="1" t="str">
        <f t="shared" si="19"/>
        <v>High</v>
      </c>
    </row>
    <row r="210" spans="1:21" x14ac:dyDescent="0.3">
      <c r="A210" s="5">
        <v>10209</v>
      </c>
      <c r="B210" s="1">
        <v>1540</v>
      </c>
      <c r="C210" s="2">
        <v>45187</v>
      </c>
      <c r="D210" s="2">
        <v>45193</v>
      </c>
      <c r="E210" s="1" t="s">
        <v>40</v>
      </c>
      <c r="F210" s="1" t="s">
        <v>16</v>
      </c>
      <c r="G210" s="1" t="s">
        <v>17</v>
      </c>
      <c r="H210" s="1" t="s">
        <v>42</v>
      </c>
      <c r="I210" s="1" t="s">
        <v>49</v>
      </c>
      <c r="J210" s="1" t="s">
        <v>50</v>
      </c>
      <c r="K210" s="1" t="s">
        <v>45</v>
      </c>
      <c r="L210" s="1">
        <v>8</v>
      </c>
      <c r="M210" s="1">
        <v>1291.1099999999999</v>
      </c>
      <c r="N210" s="1">
        <v>15</v>
      </c>
      <c r="O210" s="1">
        <v>8779.5499999999993</v>
      </c>
      <c r="P210" s="1">
        <f t="shared" si="15"/>
        <v>10328.879999999999</v>
      </c>
      <c r="Q210" s="10">
        <f t="shared" si="16"/>
        <v>1316.9324999999999</v>
      </c>
      <c r="R210" s="11">
        <f t="shared" si="17"/>
        <v>9011.9474999999984</v>
      </c>
      <c r="S210" s="1" t="str">
        <f t="shared" si="18"/>
        <v>High</v>
      </c>
      <c r="T210" s="1" t="str" cm="1">
        <f t="array" ref="T210">_xlfn.IFS(L210&gt;5,"High",L210=5,"mediam",L210&lt;5,"low")</f>
        <v>High</v>
      </c>
      <c r="U210" s="1" t="str">
        <f t="shared" si="19"/>
        <v>High</v>
      </c>
    </row>
    <row r="211" spans="1:21" x14ac:dyDescent="0.3">
      <c r="A211" s="5">
        <v>10210</v>
      </c>
      <c r="B211" s="1">
        <v>1035</v>
      </c>
      <c r="C211" s="2">
        <v>45282</v>
      </c>
      <c r="D211" s="2">
        <v>45284</v>
      </c>
      <c r="E211" s="1" t="s">
        <v>15</v>
      </c>
      <c r="F211" s="1" t="s">
        <v>54</v>
      </c>
      <c r="G211" s="1" t="s">
        <v>30</v>
      </c>
      <c r="H211" s="1" t="s">
        <v>18</v>
      </c>
      <c r="I211" s="1" t="s">
        <v>19</v>
      </c>
      <c r="J211" s="1" t="s">
        <v>20</v>
      </c>
      <c r="K211" s="1" t="s">
        <v>45</v>
      </c>
      <c r="L211" s="1">
        <v>8</v>
      </c>
      <c r="M211" s="1">
        <v>3656.59</v>
      </c>
      <c r="N211" s="1">
        <v>15</v>
      </c>
      <c r="O211" s="1">
        <v>24864.81</v>
      </c>
      <c r="P211" s="1">
        <f t="shared" si="15"/>
        <v>29252.720000000001</v>
      </c>
      <c r="Q211" s="10">
        <f t="shared" si="16"/>
        <v>3729.7215000000001</v>
      </c>
      <c r="R211" s="11">
        <f t="shared" si="17"/>
        <v>25522.998500000002</v>
      </c>
      <c r="S211" s="1" t="str">
        <f t="shared" si="18"/>
        <v>High</v>
      </c>
      <c r="T211" s="1" t="str" cm="1">
        <f t="array" ref="T211">_xlfn.IFS(L211&gt;5,"High",L211=5,"mediam",L211&lt;5,"low")</f>
        <v>High</v>
      </c>
      <c r="U211" s="1" t="str">
        <f t="shared" si="19"/>
        <v>High</v>
      </c>
    </row>
    <row r="212" spans="1:21" x14ac:dyDescent="0.3">
      <c r="A212" s="5">
        <v>10211</v>
      </c>
      <c r="B212" s="1">
        <v>1524</v>
      </c>
      <c r="C212" s="2">
        <v>44996</v>
      </c>
      <c r="D212" s="2">
        <v>45000</v>
      </c>
      <c r="E212" s="1" t="s">
        <v>22</v>
      </c>
      <c r="F212" s="1" t="s">
        <v>23</v>
      </c>
      <c r="G212" s="1" t="s">
        <v>24</v>
      </c>
      <c r="H212" s="1" t="s">
        <v>42</v>
      </c>
      <c r="I212" s="1" t="s">
        <v>49</v>
      </c>
      <c r="J212" s="1" t="s">
        <v>51</v>
      </c>
      <c r="K212" s="1" t="s">
        <v>21</v>
      </c>
      <c r="L212" s="1">
        <v>7</v>
      </c>
      <c r="M212" s="1">
        <v>2257.5500000000002</v>
      </c>
      <c r="N212" s="1">
        <v>10</v>
      </c>
      <c r="O212" s="1">
        <v>14222.56</v>
      </c>
      <c r="P212" s="1">
        <f t="shared" si="15"/>
        <v>15802.850000000002</v>
      </c>
      <c r="Q212" s="10">
        <f t="shared" si="16"/>
        <v>1422.2560000000001</v>
      </c>
      <c r="R212" s="11">
        <f t="shared" si="17"/>
        <v>14380.594000000003</v>
      </c>
      <c r="S212" s="1" t="str">
        <f t="shared" si="18"/>
        <v>High</v>
      </c>
      <c r="T212" s="1" t="str" cm="1">
        <f t="array" ref="T212">_xlfn.IFS(L212&gt;5,"High",L212=5,"mediam",L212&lt;5,"low")</f>
        <v>High</v>
      </c>
      <c r="U212" s="1" t="str">
        <f t="shared" si="19"/>
        <v>High</v>
      </c>
    </row>
    <row r="213" spans="1:21" x14ac:dyDescent="0.3">
      <c r="A213" s="5">
        <v>10212</v>
      </c>
      <c r="B213" s="1">
        <v>1159</v>
      </c>
      <c r="C213" s="2">
        <v>45016</v>
      </c>
      <c r="D213" s="2">
        <v>45019</v>
      </c>
      <c r="E213" s="1" t="s">
        <v>16</v>
      </c>
      <c r="F213" s="1" t="s">
        <v>29</v>
      </c>
      <c r="G213" s="1" t="s">
        <v>30</v>
      </c>
      <c r="H213" s="1" t="s">
        <v>44</v>
      </c>
      <c r="I213" s="1" t="s">
        <v>26</v>
      </c>
      <c r="J213" s="1" t="s">
        <v>61</v>
      </c>
      <c r="K213" s="1" t="s">
        <v>33</v>
      </c>
      <c r="L213" s="1">
        <v>1</v>
      </c>
      <c r="M213" s="1">
        <v>2975.54</v>
      </c>
      <c r="N213" s="1">
        <v>15</v>
      </c>
      <c r="O213" s="1">
        <v>2529.21</v>
      </c>
      <c r="P213" s="1">
        <f t="shared" si="15"/>
        <v>2975.54</v>
      </c>
      <c r="Q213" s="10">
        <f t="shared" si="16"/>
        <v>379.38150000000002</v>
      </c>
      <c r="R213" s="11">
        <f t="shared" si="17"/>
        <v>2596.1585</v>
      </c>
      <c r="S213" s="1" t="str">
        <f t="shared" si="18"/>
        <v>Low</v>
      </c>
      <c r="T213" s="1" t="str" cm="1">
        <f t="array" ref="T213">_xlfn.IFS(L213&gt;5,"High",L213=5,"mediam",L213&lt;5,"low")</f>
        <v>low</v>
      </c>
      <c r="U213" s="1" t="b">
        <f t="shared" si="19"/>
        <v>0</v>
      </c>
    </row>
    <row r="214" spans="1:21" x14ac:dyDescent="0.3">
      <c r="A214" s="5">
        <v>10213</v>
      </c>
      <c r="B214" s="1">
        <v>1838</v>
      </c>
      <c r="C214" s="2">
        <v>45186</v>
      </c>
      <c r="D214" s="2">
        <v>45193</v>
      </c>
      <c r="E214" s="1" t="s">
        <v>15</v>
      </c>
      <c r="F214" s="1" t="s">
        <v>41</v>
      </c>
      <c r="G214" s="1" t="s">
        <v>24</v>
      </c>
      <c r="H214" s="1" t="s">
        <v>42</v>
      </c>
      <c r="I214" s="1" t="s">
        <v>49</v>
      </c>
      <c r="J214" s="1" t="s">
        <v>63</v>
      </c>
      <c r="K214" s="1" t="s">
        <v>21</v>
      </c>
      <c r="L214" s="1">
        <v>4</v>
      </c>
      <c r="M214" s="1">
        <v>1484.25</v>
      </c>
      <c r="N214" s="1">
        <v>20</v>
      </c>
      <c r="O214" s="1">
        <v>4749.6000000000004</v>
      </c>
      <c r="P214" s="1">
        <f t="shared" si="15"/>
        <v>5937</v>
      </c>
      <c r="Q214" s="10">
        <f t="shared" si="16"/>
        <v>949.92000000000007</v>
      </c>
      <c r="R214" s="11">
        <f t="shared" si="17"/>
        <v>4987.08</v>
      </c>
      <c r="S214" s="1" t="str">
        <f t="shared" si="18"/>
        <v>Low</v>
      </c>
      <c r="T214" s="1" t="str" cm="1">
        <f t="array" ref="T214">_xlfn.IFS(L214&gt;5,"High",L214=5,"mediam",L214&lt;5,"low")</f>
        <v>low</v>
      </c>
      <c r="U214" s="1" t="b">
        <f t="shared" si="19"/>
        <v>0</v>
      </c>
    </row>
    <row r="215" spans="1:21" x14ac:dyDescent="0.3">
      <c r="A215" s="5">
        <v>10214</v>
      </c>
      <c r="B215" s="1">
        <v>1698</v>
      </c>
      <c r="C215" s="2">
        <v>45052</v>
      </c>
      <c r="D215" s="2">
        <v>45061</v>
      </c>
      <c r="E215" s="1" t="s">
        <v>37</v>
      </c>
      <c r="F215" s="1" t="s">
        <v>29</v>
      </c>
      <c r="G215" s="1" t="s">
        <v>24</v>
      </c>
      <c r="H215" s="1" t="s">
        <v>44</v>
      </c>
      <c r="I215" s="1" t="s">
        <v>49</v>
      </c>
      <c r="J215" s="1" t="s">
        <v>63</v>
      </c>
      <c r="K215" s="1" t="s">
        <v>47</v>
      </c>
      <c r="L215" s="1">
        <v>4</v>
      </c>
      <c r="M215" s="1">
        <v>1719.71</v>
      </c>
      <c r="N215" s="1">
        <v>15</v>
      </c>
      <c r="O215" s="1">
        <v>5847.01</v>
      </c>
      <c r="P215" s="1">
        <f t="shared" si="15"/>
        <v>6878.84</v>
      </c>
      <c r="Q215" s="10">
        <f t="shared" si="16"/>
        <v>877.05150000000003</v>
      </c>
      <c r="R215" s="11">
        <f t="shared" si="17"/>
        <v>6001.7885000000006</v>
      </c>
      <c r="S215" s="1" t="str">
        <f t="shared" si="18"/>
        <v>Low</v>
      </c>
      <c r="T215" s="1" t="str" cm="1">
        <f t="array" ref="T215">_xlfn.IFS(L215&gt;5,"High",L215=5,"mediam",L215&lt;5,"low")</f>
        <v>low</v>
      </c>
      <c r="U215" s="1" t="b">
        <f t="shared" si="19"/>
        <v>0</v>
      </c>
    </row>
    <row r="216" spans="1:21" x14ac:dyDescent="0.3">
      <c r="A216" s="5">
        <v>10215</v>
      </c>
      <c r="B216" s="1">
        <v>1242</v>
      </c>
      <c r="C216" s="2">
        <v>45157</v>
      </c>
      <c r="D216" s="2">
        <v>45162</v>
      </c>
      <c r="E216" s="1" t="s">
        <v>15</v>
      </c>
      <c r="F216" s="1" t="s">
        <v>16</v>
      </c>
      <c r="G216" s="1" t="s">
        <v>17</v>
      </c>
      <c r="H216" s="1" t="s">
        <v>25</v>
      </c>
      <c r="I216" s="1" t="s">
        <v>26</v>
      </c>
      <c r="J216" s="1" t="s">
        <v>27</v>
      </c>
      <c r="K216" s="1" t="s">
        <v>21</v>
      </c>
      <c r="L216" s="1">
        <v>5</v>
      </c>
      <c r="M216" s="1">
        <v>633.42999999999995</v>
      </c>
      <c r="N216" s="1">
        <v>20</v>
      </c>
      <c r="O216" s="1">
        <v>2533.7199999999998</v>
      </c>
      <c r="P216" s="1">
        <f t="shared" si="15"/>
        <v>3167.1499999999996</v>
      </c>
      <c r="Q216" s="10">
        <f t="shared" si="16"/>
        <v>506.74399999999997</v>
      </c>
      <c r="R216" s="11">
        <f t="shared" si="17"/>
        <v>2660.4059999999995</v>
      </c>
      <c r="S216" s="1" t="str">
        <f t="shared" si="18"/>
        <v>High</v>
      </c>
      <c r="T216" s="1" t="str" cm="1">
        <f t="array" ref="T216">_xlfn.IFS(L216&gt;5,"High",L216=5,"mediam",L216&lt;5,"low")</f>
        <v>mediam</v>
      </c>
      <c r="U216" s="1" t="b">
        <f t="shared" si="19"/>
        <v>0</v>
      </c>
    </row>
    <row r="217" spans="1:21" x14ac:dyDescent="0.3">
      <c r="A217" s="5">
        <v>10216</v>
      </c>
      <c r="B217" s="1">
        <v>1085</v>
      </c>
      <c r="C217" s="2">
        <v>45221</v>
      </c>
      <c r="D217" s="2">
        <v>45227</v>
      </c>
      <c r="E217" s="1" t="s">
        <v>37</v>
      </c>
      <c r="F217" s="1" t="s">
        <v>23</v>
      </c>
      <c r="G217" s="1" t="s">
        <v>24</v>
      </c>
      <c r="H217" s="1" t="s">
        <v>18</v>
      </c>
      <c r="I217" s="1" t="s">
        <v>57</v>
      </c>
      <c r="J217" s="1" t="s">
        <v>67</v>
      </c>
      <c r="K217" s="1" t="s">
        <v>21</v>
      </c>
      <c r="L217" s="1">
        <v>6</v>
      </c>
      <c r="M217" s="1">
        <v>809.49</v>
      </c>
      <c r="N217" s="1">
        <v>5</v>
      </c>
      <c r="O217" s="1">
        <v>4614.09</v>
      </c>
      <c r="P217" s="1">
        <f t="shared" si="15"/>
        <v>4856.9400000000005</v>
      </c>
      <c r="Q217" s="10">
        <f t="shared" si="16"/>
        <v>230.70450000000002</v>
      </c>
      <c r="R217" s="11">
        <f t="shared" si="17"/>
        <v>4626.2355000000007</v>
      </c>
      <c r="S217" s="1" t="str">
        <f t="shared" si="18"/>
        <v>High</v>
      </c>
      <c r="T217" s="1" t="str" cm="1">
        <f t="array" ref="T217">_xlfn.IFS(L217&gt;5,"High",L217=5,"mediam",L217&lt;5,"low")</f>
        <v>High</v>
      </c>
      <c r="U217" s="1" t="str">
        <f t="shared" si="19"/>
        <v>High</v>
      </c>
    </row>
    <row r="218" spans="1:21" x14ac:dyDescent="0.3">
      <c r="A218" s="5">
        <v>10217</v>
      </c>
      <c r="B218" s="1">
        <v>1795</v>
      </c>
      <c r="C218" s="2">
        <v>45055</v>
      </c>
      <c r="D218" s="2">
        <v>45057</v>
      </c>
      <c r="E218" s="1" t="s">
        <v>37</v>
      </c>
      <c r="F218" s="1" t="s">
        <v>41</v>
      </c>
      <c r="G218" s="1" t="s">
        <v>24</v>
      </c>
      <c r="H218" s="1" t="s">
        <v>42</v>
      </c>
      <c r="I218" s="1" t="s">
        <v>49</v>
      </c>
      <c r="J218" s="1" t="s">
        <v>50</v>
      </c>
      <c r="K218" s="1" t="s">
        <v>28</v>
      </c>
      <c r="L218" s="1">
        <v>4</v>
      </c>
      <c r="M218" s="1">
        <v>3335.32</v>
      </c>
      <c r="N218" s="1">
        <v>20</v>
      </c>
      <c r="O218" s="1">
        <v>10673.02</v>
      </c>
      <c r="P218" s="1">
        <f t="shared" si="15"/>
        <v>13341.28</v>
      </c>
      <c r="Q218" s="10">
        <f t="shared" si="16"/>
        <v>2134.6040000000003</v>
      </c>
      <c r="R218" s="11">
        <f t="shared" si="17"/>
        <v>11206.675999999999</v>
      </c>
      <c r="S218" s="1" t="str">
        <f t="shared" si="18"/>
        <v>Low</v>
      </c>
      <c r="T218" s="1" t="str" cm="1">
        <f t="array" ref="T218">_xlfn.IFS(L218&gt;5,"High",L218=5,"mediam",L218&lt;5,"low")</f>
        <v>low</v>
      </c>
      <c r="U218" s="1" t="b">
        <f t="shared" si="19"/>
        <v>0</v>
      </c>
    </row>
    <row r="219" spans="1:21" x14ac:dyDescent="0.3">
      <c r="A219" s="5">
        <v>10218</v>
      </c>
      <c r="B219" s="1">
        <v>1577</v>
      </c>
      <c r="C219" s="2">
        <v>45206</v>
      </c>
      <c r="D219" s="2">
        <v>45209</v>
      </c>
      <c r="E219" s="1" t="s">
        <v>37</v>
      </c>
      <c r="F219" s="1" t="s">
        <v>29</v>
      </c>
      <c r="G219" s="1" t="s">
        <v>17</v>
      </c>
      <c r="H219" s="1" t="s">
        <v>44</v>
      </c>
      <c r="I219" s="1" t="s">
        <v>26</v>
      </c>
      <c r="J219" s="1" t="s">
        <v>69</v>
      </c>
      <c r="K219" s="1" t="s">
        <v>45</v>
      </c>
      <c r="L219" s="1">
        <v>2</v>
      </c>
      <c r="M219" s="1">
        <v>2401.63</v>
      </c>
      <c r="N219" s="1">
        <v>0</v>
      </c>
      <c r="O219" s="1">
        <v>4803.26</v>
      </c>
      <c r="P219" s="1">
        <f t="shared" si="15"/>
        <v>4803.26</v>
      </c>
      <c r="Q219" s="10">
        <f t="shared" si="16"/>
        <v>0</v>
      </c>
      <c r="R219" s="11">
        <f t="shared" si="17"/>
        <v>4803.26</v>
      </c>
      <c r="S219" s="1" t="str">
        <f t="shared" si="18"/>
        <v>Low</v>
      </c>
      <c r="T219" s="1" t="str" cm="1">
        <f t="array" ref="T219">_xlfn.IFS(L219&gt;5,"High",L219=5,"mediam",L219&lt;5,"low")</f>
        <v>low</v>
      </c>
      <c r="U219" s="1" t="b">
        <f t="shared" si="19"/>
        <v>0</v>
      </c>
    </row>
    <row r="220" spans="1:21" x14ac:dyDescent="0.3">
      <c r="A220" s="5">
        <v>10219</v>
      </c>
      <c r="B220" s="1">
        <v>1681</v>
      </c>
      <c r="C220" s="2">
        <v>45239</v>
      </c>
      <c r="D220" s="2">
        <v>45242</v>
      </c>
      <c r="E220" s="1" t="s">
        <v>40</v>
      </c>
      <c r="F220" s="1" t="s">
        <v>54</v>
      </c>
      <c r="G220" s="1" t="s">
        <v>30</v>
      </c>
      <c r="H220" s="1" t="s">
        <v>35</v>
      </c>
      <c r="I220" s="1" t="s">
        <v>52</v>
      </c>
      <c r="J220" s="1" t="s">
        <v>64</v>
      </c>
      <c r="K220" s="1" t="s">
        <v>33</v>
      </c>
      <c r="L220" s="1">
        <v>6</v>
      </c>
      <c r="M220" s="1">
        <v>1449.5</v>
      </c>
      <c r="N220" s="1">
        <v>0</v>
      </c>
      <c r="O220" s="1">
        <v>8697</v>
      </c>
      <c r="P220" s="1">
        <f t="shared" si="15"/>
        <v>8697</v>
      </c>
      <c r="Q220" s="10">
        <f t="shared" si="16"/>
        <v>0</v>
      </c>
      <c r="R220" s="11">
        <f t="shared" si="17"/>
        <v>8697</v>
      </c>
      <c r="S220" s="1" t="str">
        <f t="shared" si="18"/>
        <v>High</v>
      </c>
      <c r="T220" s="1" t="str" cm="1">
        <f t="array" ref="T220">_xlfn.IFS(L220&gt;5,"High",L220=5,"mediam",L220&lt;5,"low")</f>
        <v>High</v>
      </c>
      <c r="U220" s="1" t="str">
        <f t="shared" si="19"/>
        <v>High</v>
      </c>
    </row>
    <row r="221" spans="1:21" x14ac:dyDescent="0.3">
      <c r="A221" s="5">
        <v>10220</v>
      </c>
      <c r="B221" s="1">
        <v>1556</v>
      </c>
      <c r="C221" s="2">
        <v>45026</v>
      </c>
      <c r="D221" s="2">
        <v>45035</v>
      </c>
      <c r="E221" s="1" t="s">
        <v>37</v>
      </c>
      <c r="F221" s="1" t="s">
        <v>16</v>
      </c>
      <c r="G221" s="1" t="s">
        <v>24</v>
      </c>
      <c r="H221" s="1" t="s">
        <v>18</v>
      </c>
      <c r="I221" s="1" t="s">
        <v>19</v>
      </c>
      <c r="J221" s="1" t="s">
        <v>55</v>
      </c>
      <c r="K221" s="1" t="s">
        <v>21</v>
      </c>
      <c r="L221" s="1">
        <v>8</v>
      </c>
      <c r="M221" s="1">
        <v>3240.98</v>
      </c>
      <c r="N221" s="1">
        <v>0</v>
      </c>
      <c r="O221" s="1">
        <v>25927.84</v>
      </c>
      <c r="P221" s="1">
        <f t="shared" si="15"/>
        <v>25927.84</v>
      </c>
      <c r="Q221" s="10">
        <f t="shared" si="16"/>
        <v>0</v>
      </c>
      <c r="R221" s="11">
        <f t="shared" si="17"/>
        <v>25927.84</v>
      </c>
      <c r="S221" s="1" t="str">
        <f t="shared" si="18"/>
        <v>High</v>
      </c>
      <c r="T221" s="1" t="str" cm="1">
        <f t="array" ref="T221">_xlfn.IFS(L221&gt;5,"High",L221=5,"mediam",L221&lt;5,"low")</f>
        <v>High</v>
      </c>
      <c r="U221" s="1" t="str">
        <f t="shared" si="19"/>
        <v>High</v>
      </c>
    </row>
    <row r="222" spans="1:21" x14ac:dyDescent="0.3">
      <c r="A222" s="5">
        <v>10221</v>
      </c>
      <c r="B222" s="1">
        <v>1573</v>
      </c>
      <c r="C222" s="2">
        <v>45252</v>
      </c>
      <c r="D222" s="2">
        <v>45259</v>
      </c>
      <c r="E222" s="1" t="s">
        <v>37</v>
      </c>
      <c r="F222" s="1" t="s">
        <v>23</v>
      </c>
      <c r="G222" s="1" t="s">
        <v>17</v>
      </c>
      <c r="H222" s="1" t="s">
        <v>25</v>
      </c>
      <c r="I222" s="1" t="s">
        <v>19</v>
      </c>
      <c r="J222" s="1" t="s">
        <v>20</v>
      </c>
      <c r="K222" s="1" t="s">
        <v>33</v>
      </c>
      <c r="L222" s="1">
        <v>8</v>
      </c>
      <c r="M222" s="1">
        <v>1099.0999999999999</v>
      </c>
      <c r="N222" s="1">
        <v>10</v>
      </c>
      <c r="O222" s="1">
        <v>7913.52</v>
      </c>
      <c r="P222" s="1">
        <f t="shared" si="15"/>
        <v>8792.7999999999993</v>
      </c>
      <c r="Q222" s="10">
        <f t="shared" si="16"/>
        <v>791.35200000000009</v>
      </c>
      <c r="R222" s="11">
        <f t="shared" si="17"/>
        <v>8001.4479999999994</v>
      </c>
      <c r="S222" s="1" t="str">
        <f t="shared" si="18"/>
        <v>High</v>
      </c>
      <c r="T222" s="1" t="str" cm="1">
        <f t="array" ref="T222">_xlfn.IFS(L222&gt;5,"High",L222=5,"mediam",L222&lt;5,"low")</f>
        <v>High</v>
      </c>
      <c r="U222" s="1" t="str">
        <f t="shared" si="19"/>
        <v>High</v>
      </c>
    </row>
    <row r="223" spans="1:21" x14ac:dyDescent="0.3">
      <c r="A223" s="5">
        <v>10222</v>
      </c>
      <c r="B223" s="1">
        <v>1952</v>
      </c>
      <c r="C223" s="2">
        <v>45223</v>
      </c>
      <c r="D223" s="2">
        <v>45231</v>
      </c>
      <c r="E223" s="1" t="s">
        <v>16</v>
      </c>
      <c r="F223" s="1" t="s">
        <v>16</v>
      </c>
      <c r="G223" s="1" t="s">
        <v>24</v>
      </c>
      <c r="H223" s="1" t="s">
        <v>44</v>
      </c>
      <c r="I223" s="1" t="s">
        <v>49</v>
      </c>
      <c r="J223" s="1" t="s">
        <v>51</v>
      </c>
      <c r="K223" s="1" t="s">
        <v>21</v>
      </c>
      <c r="L223" s="1">
        <v>7</v>
      </c>
      <c r="M223" s="1">
        <v>3907.73</v>
      </c>
      <c r="N223" s="1">
        <v>10</v>
      </c>
      <c r="O223" s="1">
        <v>24618.7</v>
      </c>
      <c r="P223" s="1">
        <f t="shared" si="15"/>
        <v>27354.11</v>
      </c>
      <c r="Q223" s="10">
        <f t="shared" si="16"/>
        <v>2461.8700000000003</v>
      </c>
      <c r="R223" s="11">
        <f t="shared" si="17"/>
        <v>24892.240000000002</v>
      </c>
      <c r="S223" s="1" t="str">
        <f t="shared" si="18"/>
        <v>High</v>
      </c>
      <c r="T223" s="1" t="str" cm="1">
        <f t="array" ref="T223">_xlfn.IFS(L223&gt;5,"High",L223=5,"mediam",L223&lt;5,"low")</f>
        <v>High</v>
      </c>
      <c r="U223" s="1" t="str">
        <f t="shared" si="19"/>
        <v>High</v>
      </c>
    </row>
    <row r="224" spans="1:21" x14ac:dyDescent="0.3">
      <c r="A224" s="5">
        <v>10223</v>
      </c>
      <c r="B224" s="1">
        <v>1645</v>
      </c>
      <c r="C224" s="2">
        <v>45108</v>
      </c>
      <c r="D224" s="2">
        <v>45117</v>
      </c>
      <c r="E224" s="1" t="s">
        <v>46</v>
      </c>
      <c r="F224" s="1" t="s">
        <v>54</v>
      </c>
      <c r="G224" s="1" t="s">
        <v>17</v>
      </c>
      <c r="H224" s="1" t="s">
        <v>25</v>
      </c>
      <c r="I224" s="1" t="s">
        <v>57</v>
      </c>
      <c r="J224" s="1" t="s">
        <v>59</v>
      </c>
      <c r="K224" s="1" t="s">
        <v>47</v>
      </c>
      <c r="L224" s="1">
        <v>6</v>
      </c>
      <c r="M224" s="1">
        <v>1477.55</v>
      </c>
      <c r="N224" s="1">
        <v>10</v>
      </c>
      <c r="O224" s="1">
        <v>7978.77</v>
      </c>
      <c r="P224" s="1">
        <f t="shared" si="15"/>
        <v>8865.2999999999993</v>
      </c>
      <c r="Q224" s="10">
        <f t="shared" si="16"/>
        <v>797.87700000000007</v>
      </c>
      <c r="R224" s="11">
        <f t="shared" si="17"/>
        <v>8067.4229999999989</v>
      </c>
      <c r="S224" s="1" t="str">
        <f t="shared" si="18"/>
        <v>High</v>
      </c>
      <c r="T224" s="1" t="str" cm="1">
        <f t="array" ref="T224">_xlfn.IFS(L224&gt;5,"High",L224=5,"mediam",L224&lt;5,"low")</f>
        <v>High</v>
      </c>
      <c r="U224" s="1" t="str">
        <f t="shared" si="19"/>
        <v>High</v>
      </c>
    </row>
    <row r="225" spans="1:21" x14ac:dyDescent="0.3">
      <c r="A225" s="5">
        <v>10224</v>
      </c>
      <c r="B225" s="1">
        <v>1795</v>
      </c>
      <c r="C225" s="2">
        <v>45100</v>
      </c>
      <c r="D225" s="2">
        <v>45106</v>
      </c>
      <c r="E225" s="1" t="s">
        <v>34</v>
      </c>
      <c r="F225" s="1" t="s">
        <v>23</v>
      </c>
      <c r="G225" s="1" t="s">
        <v>30</v>
      </c>
      <c r="H225" s="1" t="s">
        <v>25</v>
      </c>
      <c r="I225" s="1" t="s">
        <v>57</v>
      </c>
      <c r="J225" s="1" t="s">
        <v>58</v>
      </c>
      <c r="K225" s="1" t="s">
        <v>21</v>
      </c>
      <c r="L225" s="1">
        <v>2</v>
      </c>
      <c r="M225" s="1">
        <v>1448.65</v>
      </c>
      <c r="N225" s="1">
        <v>20</v>
      </c>
      <c r="O225" s="1">
        <v>2317.84</v>
      </c>
      <c r="P225" s="1">
        <f t="shared" si="15"/>
        <v>2897.3</v>
      </c>
      <c r="Q225" s="10">
        <f t="shared" si="16"/>
        <v>463.56800000000004</v>
      </c>
      <c r="R225" s="11">
        <f t="shared" si="17"/>
        <v>2433.732</v>
      </c>
      <c r="S225" s="1" t="str">
        <f t="shared" si="18"/>
        <v>Low</v>
      </c>
      <c r="T225" s="1" t="str" cm="1">
        <f t="array" ref="T225">_xlfn.IFS(L225&gt;5,"High",L225=5,"mediam",L225&lt;5,"low")</f>
        <v>low</v>
      </c>
      <c r="U225" s="1" t="b">
        <f t="shared" si="19"/>
        <v>0</v>
      </c>
    </row>
    <row r="226" spans="1:21" x14ac:dyDescent="0.3">
      <c r="A226" s="5">
        <v>10225</v>
      </c>
      <c r="B226" s="1">
        <v>1027</v>
      </c>
      <c r="C226" s="2">
        <v>45242</v>
      </c>
      <c r="D226" s="2">
        <v>45246</v>
      </c>
      <c r="E226" s="1" t="s">
        <v>46</v>
      </c>
      <c r="F226" s="1" t="s">
        <v>16</v>
      </c>
      <c r="G226" s="1" t="s">
        <v>30</v>
      </c>
      <c r="H226" s="1" t="s">
        <v>42</v>
      </c>
      <c r="I226" s="1" t="s">
        <v>52</v>
      </c>
      <c r="J226" s="1" t="s">
        <v>53</v>
      </c>
      <c r="K226" s="1" t="s">
        <v>28</v>
      </c>
      <c r="L226" s="1">
        <v>7</v>
      </c>
      <c r="M226" s="1">
        <v>1350.86</v>
      </c>
      <c r="N226" s="1">
        <v>10</v>
      </c>
      <c r="O226" s="1">
        <v>8510.42</v>
      </c>
      <c r="P226" s="1">
        <f t="shared" si="15"/>
        <v>9456.0199999999986</v>
      </c>
      <c r="Q226" s="10">
        <f t="shared" si="16"/>
        <v>851.04200000000003</v>
      </c>
      <c r="R226" s="11">
        <f t="shared" si="17"/>
        <v>8604.9779999999992</v>
      </c>
      <c r="S226" s="1" t="str">
        <f t="shared" si="18"/>
        <v>High</v>
      </c>
      <c r="T226" s="1" t="str" cm="1">
        <f t="array" ref="T226">_xlfn.IFS(L226&gt;5,"High",L226=5,"mediam",L226&lt;5,"low")</f>
        <v>High</v>
      </c>
      <c r="U226" s="1" t="str">
        <f t="shared" si="19"/>
        <v>High</v>
      </c>
    </row>
    <row r="227" spans="1:21" x14ac:dyDescent="0.3">
      <c r="A227" s="5">
        <v>10226</v>
      </c>
      <c r="B227" s="1">
        <v>1619</v>
      </c>
      <c r="C227" s="2">
        <v>45290</v>
      </c>
      <c r="D227" s="2">
        <v>45291</v>
      </c>
      <c r="E227" s="1" t="s">
        <v>37</v>
      </c>
      <c r="F227" s="1" t="s">
        <v>38</v>
      </c>
      <c r="G227" s="1" t="s">
        <v>17</v>
      </c>
      <c r="H227" s="1" t="s">
        <v>42</v>
      </c>
      <c r="I227" s="1" t="s">
        <v>49</v>
      </c>
      <c r="J227" s="1" t="s">
        <v>63</v>
      </c>
      <c r="K227" s="1" t="s">
        <v>45</v>
      </c>
      <c r="L227" s="1">
        <v>5</v>
      </c>
      <c r="M227" s="1">
        <v>620.13</v>
      </c>
      <c r="N227" s="1">
        <v>5</v>
      </c>
      <c r="O227" s="1">
        <v>2945.62</v>
      </c>
      <c r="P227" s="1">
        <f t="shared" si="15"/>
        <v>3100.65</v>
      </c>
      <c r="Q227" s="10">
        <f t="shared" si="16"/>
        <v>147.28100000000001</v>
      </c>
      <c r="R227" s="11">
        <f t="shared" si="17"/>
        <v>2953.3690000000001</v>
      </c>
      <c r="S227" s="1" t="str">
        <f t="shared" si="18"/>
        <v>High</v>
      </c>
      <c r="T227" s="1" t="str" cm="1">
        <f t="array" ref="T227">_xlfn.IFS(L227&gt;5,"High",L227=5,"mediam",L227&lt;5,"low")</f>
        <v>mediam</v>
      </c>
      <c r="U227" s="1" t="b">
        <f t="shared" si="19"/>
        <v>0</v>
      </c>
    </row>
    <row r="228" spans="1:21" x14ac:dyDescent="0.3">
      <c r="A228" s="5">
        <v>10227</v>
      </c>
      <c r="B228" s="1">
        <v>1555</v>
      </c>
      <c r="C228" s="2">
        <v>45114</v>
      </c>
      <c r="D228" s="2">
        <v>45122</v>
      </c>
      <c r="E228" s="1" t="s">
        <v>16</v>
      </c>
      <c r="F228" s="1" t="s">
        <v>54</v>
      </c>
      <c r="G228" s="1" t="s">
        <v>17</v>
      </c>
      <c r="H228" s="1" t="s">
        <v>44</v>
      </c>
      <c r="I228" s="1" t="s">
        <v>19</v>
      </c>
      <c r="J228" s="1" t="s">
        <v>55</v>
      </c>
      <c r="K228" s="1" t="s">
        <v>47</v>
      </c>
      <c r="L228" s="1">
        <v>6</v>
      </c>
      <c r="M228" s="1">
        <v>577.88</v>
      </c>
      <c r="N228" s="1">
        <v>0</v>
      </c>
      <c r="O228" s="1">
        <v>3467.28</v>
      </c>
      <c r="P228" s="1">
        <f t="shared" si="15"/>
        <v>3467.2799999999997</v>
      </c>
      <c r="Q228" s="10">
        <f t="shared" si="16"/>
        <v>0</v>
      </c>
      <c r="R228" s="11">
        <f t="shared" si="17"/>
        <v>3467.2799999999997</v>
      </c>
      <c r="S228" s="1" t="str">
        <f t="shared" si="18"/>
        <v>High</v>
      </c>
      <c r="T228" s="1" t="str" cm="1">
        <f t="array" ref="T228">_xlfn.IFS(L228&gt;5,"High",L228=5,"mediam",L228&lt;5,"low")</f>
        <v>High</v>
      </c>
      <c r="U228" s="1" t="str">
        <f t="shared" si="19"/>
        <v>High</v>
      </c>
    </row>
    <row r="229" spans="1:21" x14ac:dyDescent="0.3">
      <c r="A229" s="5">
        <v>10228</v>
      </c>
      <c r="B229" s="1">
        <v>1339</v>
      </c>
      <c r="C229" s="2">
        <v>44983</v>
      </c>
      <c r="D229" s="2">
        <v>44990</v>
      </c>
      <c r="E229" s="1" t="s">
        <v>15</v>
      </c>
      <c r="F229" s="1" t="s">
        <v>54</v>
      </c>
      <c r="G229" s="1" t="s">
        <v>17</v>
      </c>
      <c r="H229" s="1" t="s">
        <v>35</v>
      </c>
      <c r="I229" s="1" t="s">
        <v>57</v>
      </c>
      <c r="J229" s="1" t="s">
        <v>62</v>
      </c>
      <c r="K229" s="1" t="s">
        <v>21</v>
      </c>
      <c r="L229" s="1">
        <v>8</v>
      </c>
      <c r="M229" s="1">
        <v>2645.2</v>
      </c>
      <c r="N229" s="1">
        <v>20</v>
      </c>
      <c r="O229" s="1">
        <v>16929.28</v>
      </c>
      <c r="P229" s="1">
        <f t="shared" si="15"/>
        <v>21161.599999999999</v>
      </c>
      <c r="Q229" s="10">
        <f t="shared" si="16"/>
        <v>3385.8559999999998</v>
      </c>
      <c r="R229" s="11">
        <f t="shared" si="17"/>
        <v>17775.743999999999</v>
      </c>
      <c r="S229" s="1" t="str">
        <f t="shared" si="18"/>
        <v>High</v>
      </c>
      <c r="T229" s="1" t="str" cm="1">
        <f t="array" ref="T229">_xlfn.IFS(L229&gt;5,"High",L229=5,"mediam",L229&lt;5,"low")</f>
        <v>High</v>
      </c>
      <c r="U229" s="1" t="str">
        <f t="shared" si="19"/>
        <v>High</v>
      </c>
    </row>
    <row r="230" spans="1:21" x14ac:dyDescent="0.3">
      <c r="A230" s="5">
        <v>10229</v>
      </c>
      <c r="B230" s="1">
        <v>1797</v>
      </c>
      <c r="C230" s="2">
        <v>44957</v>
      </c>
      <c r="D230" s="2">
        <v>44959</v>
      </c>
      <c r="E230" s="1" t="s">
        <v>16</v>
      </c>
      <c r="F230" s="1" t="s">
        <v>54</v>
      </c>
      <c r="G230" s="1" t="s">
        <v>30</v>
      </c>
      <c r="H230" s="1" t="s">
        <v>44</v>
      </c>
      <c r="I230" s="1" t="s">
        <v>49</v>
      </c>
      <c r="J230" s="1" t="s">
        <v>68</v>
      </c>
      <c r="K230" s="1" t="s">
        <v>33</v>
      </c>
      <c r="L230" s="1">
        <v>8</v>
      </c>
      <c r="M230" s="1">
        <v>3519.2</v>
      </c>
      <c r="N230" s="1">
        <v>0</v>
      </c>
      <c r="O230" s="1">
        <v>28153.599999999999</v>
      </c>
      <c r="P230" s="1">
        <f t="shared" si="15"/>
        <v>28153.599999999999</v>
      </c>
      <c r="Q230" s="10">
        <f t="shared" si="16"/>
        <v>0</v>
      </c>
      <c r="R230" s="11">
        <f t="shared" si="17"/>
        <v>28153.599999999999</v>
      </c>
      <c r="S230" s="1" t="str">
        <f t="shared" si="18"/>
        <v>High</v>
      </c>
      <c r="T230" s="1" t="str" cm="1">
        <f t="array" ref="T230">_xlfn.IFS(L230&gt;5,"High",L230=5,"mediam",L230&lt;5,"low")</f>
        <v>High</v>
      </c>
      <c r="U230" s="1" t="str">
        <f t="shared" si="19"/>
        <v>High</v>
      </c>
    </row>
    <row r="231" spans="1:21" x14ac:dyDescent="0.3">
      <c r="A231" s="5">
        <v>10230</v>
      </c>
      <c r="B231" s="1">
        <v>1957</v>
      </c>
      <c r="C231" s="2">
        <v>45010</v>
      </c>
      <c r="D231" s="2">
        <v>45018</v>
      </c>
      <c r="E231" s="1" t="s">
        <v>37</v>
      </c>
      <c r="F231" s="1" t="s">
        <v>38</v>
      </c>
      <c r="G231" s="1" t="s">
        <v>24</v>
      </c>
      <c r="H231" s="1" t="s">
        <v>35</v>
      </c>
      <c r="I231" s="1" t="s">
        <v>57</v>
      </c>
      <c r="J231" s="1" t="s">
        <v>62</v>
      </c>
      <c r="K231" s="1" t="s">
        <v>47</v>
      </c>
      <c r="L231" s="1">
        <v>3</v>
      </c>
      <c r="M231" s="1">
        <v>3193.5</v>
      </c>
      <c r="N231" s="1">
        <v>10</v>
      </c>
      <c r="O231" s="1">
        <v>8622.4500000000007</v>
      </c>
      <c r="P231" s="1">
        <f t="shared" si="15"/>
        <v>9580.5</v>
      </c>
      <c r="Q231" s="10">
        <f t="shared" si="16"/>
        <v>862.24500000000012</v>
      </c>
      <c r="R231" s="11">
        <f t="shared" si="17"/>
        <v>8718.2549999999992</v>
      </c>
      <c r="S231" s="1" t="str">
        <f t="shared" si="18"/>
        <v>Low</v>
      </c>
      <c r="T231" s="1" t="str" cm="1">
        <f t="array" ref="T231">_xlfn.IFS(L231&gt;5,"High",L231=5,"mediam",L231&lt;5,"low")</f>
        <v>low</v>
      </c>
      <c r="U231" s="1" t="b">
        <f t="shared" si="19"/>
        <v>0</v>
      </c>
    </row>
    <row r="232" spans="1:21" x14ac:dyDescent="0.3">
      <c r="A232" s="5">
        <v>10231</v>
      </c>
      <c r="B232" s="1">
        <v>1330</v>
      </c>
      <c r="C232" s="2">
        <v>45078</v>
      </c>
      <c r="D232" s="2">
        <v>45083</v>
      </c>
      <c r="E232" s="1" t="s">
        <v>16</v>
      </c>
      <c r="F232" s="1" t="s">
        <v>38</v>
      </c>
      <c r="G232" s="1" t="s">
        <v>30</v>
      </c>
      <c r="H232" s="1" t="s">
        <v>25</v>
      </c>
      <c r="I232" s="1" t="s">
        <v>26</v>
      </c>
      <c r="J232" s="1" t="s">
        <v>36</v>
      </c>
      <c r="K232" s="1" t="s">
        <v>47</v>
      </c>
      <c r="L232" s="1">
        <v>7</v>
      </c>
      <c r="M232" s="1">
        <v>693.26</v>
      </c>
      <c r="N232" s="1">
        <v>20</v>
      </c>
      <c r="O232" s="1">
        <v>3882.26</v>
      </c>
      <c r="P232" s="1">
        <f t="shared" si="15"/>
        <v>4852.82</v>
      </c>
      <c r="Q232" s="10">
        <f t="shared" si="16"/>
        <v>776.45200000000011</v>
      </c>
      <c r="R232" s="11">
        <f t="shared" si="17"/>
        <v>4076.3679999999995</v>
      </c>
      <c r="S232" s="1" t="str">
        <f t="shared" si="18"/>
        <v>High</v>
      </c>
      <c r="T232" s="1" t="str" cm="1">
        <f t="array" ref="T232">_xlfn.IFS(L232&gt;5,"High",L232=5,"mediam",L232&lt;5,"low")</f>
        <v>High</v>
      </c>
      <c r="U232" s="1" t="str">
        <f t="shared" si="19"/>
        <v>High</v>
      </c>
    </row>
    <row r="233" spans="1:21" x14ac:dyDescent="0.3">
      <c r="A233" s="5">
        <v>10232</v>
      </c>
      <c r="B233" s="1">
        <v>1639</v>
      </c>
      <c r="C233" s="2">
        <v>44962</v>
      </c>
      <c r="D233" s="2">
        <v>44969</v>
      </c>
      <c r="E233" s="1" t="s">
        <v>22</v>
      </c>
      <c r="F233" s="1" t="s">
        <v>29</v>
      </c>
      <c r="G233" s="1" t="s">
        <v>17</v>
      </c>
      <c r="H233" s="1" t="s">
        <v>18</v>
      </c>
      <c r="I233" s="1" t="s">
        <v>57</v>
      </c>
      <c r="J233" s="1" t="s">
        <v>59</v>
      </c>
      <c r="K233" s="1" t="s">
        <v>21</v>
      </c>
      <c r="L233" s="1">
        <v>1</v>
      </c>
      <c r="M233" s="1">
        <v>2250.4899999999998</v>
      </c>
      <c r="N233" s="1">
        <v>15</v>
      </c>
      <c r="O233" s="1">
        <v>1912.92</v>
      </c>
      <c r="P233" s="1">
        <f t="shared" si="15"/>
        <v>2250.4899999999998</v>
      </c>
      <c r="Q233" s="10">
        <f t="shared" si="16"/>
        <v>286.93799999999999</v>
      </c>
      <c r="R233" s="11">
        <f t="shared" si="17"/>
        <v>1963.5519999999997</v>
      </c>
      <c r="S233" s="1" t="str">
        <f t="shared" si="18"/>
        <v>Low</v>
      </c>
      <c r="T233" s="1" t="str" cm="1">
        <f t="array" ref="T233">_xlfn.IFS(L233&gt;5,"High",L233=5,"mediam",L233&lt;5,"low")</f>
        <v>low</v>
      </c>
      <c r="U233" s="1" t="b">
        <f t="shared" si="19"/>
        <v>0</v>
      </c>
    </row>
    <row r="234" spans="1:21" x14ac:dyDescent="0.3">
      <c r="A234" s="5">
        <v>10233</v>
      </c>
      <c r="B234" s="1">
        <v>1505</v>
      </c>
      <c r="C234" s="2">
        <v>45139</v>
      </c>
      <c r="D234" s="2">
        <v>45143</v>
      </c>
      <c r="E234" s="1" t="s">
        <v>16</v>
      </c>
      <c r="F234" s="1" t="s">
        <v>41</v>
      </c>
      <c r="G234" s="1" t="s">
        <v>17</v>
      </c>
      <c r="H234" s="1" t="s">
        <v>44</v>
      </c>
      <c r="I234" s="1" t="s">
        <v>19</v>
      </c>
      <c r="J234" s="1" t="s">
        <v>55</v>
      </c>
      <c r="K234" s="1" t="s">
        <v>47</v>
      </c>
      <c r="L234" s="1">
        <v>1</v>
      </c>
      <c r="M234" s="1">
        <v>556.53</v>
      </c>
      <c r="N234" s="1">
        <v>5</v>
      </c>
      <c r="O234" s="1">
        <v>528.70000000000005</v>
      </c>
      <c r="P234" s="1">
        <f t="shared" si="15"/>
        <v>556.53</v>
      </c>
      <c r="Q234" s="10">
        <f t="shared" si="16"/>
        <v>26.435000000000002</v>
      </c>
      <c r="R234" s="11">
        <f t="shared" si="17"/>
        <v>530.09500000000003</v>
      </c>
      <c r="S234" s="1" t="str">
        <f t="shared" si="18"/>
        <v>Low</v>
      </c>
      <c r="T234" s="1" t="str" cm="1">
        <f t="array" ref="T234">_xlfn.IFS(L234&gt;5,"High",L234=5,"mediam",L234&lt;5,"low")</f>
        <v>low</v>
      </c>
      <c r="U234" s="1" t="b">
        <f t="shared" si="19"/>
        <v>0</v>
      </c>
    </row>
    <row r="235" spans="1:21" x14ac:dyDescent="0.3">
      <c r="A235" s="5">
        <v>10234</v>
      </c>
      <c r="B235" s="1">
        <v>1347</v>
      </c>
      <c r="C235" s="2">
        <v>45290</v>
      </c>
      <c r="D235" s="2">
        <v>45295</v>
      </c>
      <c r="E235" s="1" t="s">
        <v>37</v>
      </c>
      <c r="F235" s="1" t="s">
        <v>16</v>
      </c>
      <c r="G235" s="1" t="s">
        <v>30</v>
      </c>
      <c r="H235" s="1" t="s">
        <v>44</v>
      </c>
      <c r="I235" s="1" t="s">
        <v>31</v>
      </c>
      <c r="J235" s="1" t="s">
        <v>48</v>
      </c>
      <c r="K235" s="1" t="s">
        <v>33</v>
      </c>
      <c r="L235" s="1">
        <v>7</v>
      </c>
      <c r="M235" s="1">
        <v>324.38</v>
      </c>
      <c r="N235" s="1">
        <v>10</v>
      </c>
      <c r="O235" s="1">
        <v>2043.59</v>
      </c>
      <c r="P235" s="1">
        <f t="shared" si="15"/>
        <v>2270.66</v>
      </c>
      <c r="Q235" s="10">
        <f t="shared" si="16"/>
        <v>204.35900000000001</v>
      </c>
      <c r="R235" s="11">
        <f t="shared" si="17"/>
        <v>2066.3009999999999</v>
      </c>
      <c r="S235" s="1" t="str">
        <f t="shared" si="18"/>
        <v>High</v>
      </c>
      <c r="T235" s="1" t="str" cm="1">
        <f t="array" ref="T235">_xlfn.IFS(L235&gt;5,"High",L235=5,"mediam",L235&lt;5,"low")</f>
        <v>High</v>
      </c>
      <c r="U235" s="1" t="str">
        <f t="shared" si="19"/>
        <v>High</v>
      </c>
    </row>
    <row r="236" spans="1:21" x14ac:dyDescent="0.3">
      <c r="A236" s="5">
        <v>10235</v>
      </c>
      <c r="B236" s="1">
        <v>1472</v>
      </c>
      <c r="C236" s="2">
        <v>45032</v>
      </c>
      <c r="D236" s="2">
        <v>45040</v>
      </c>
      <c r="E236" s="1" t="s">
        <v>40</v>
      </c>
      <c r="F236" s="1" t="s">
        <v>29</v>
      </c>
      <c r="G236" s="1" t="s">
        <v>17</v>
      </c>
      <c r="H236" s="1" t="s">
        <v>35</v>
      </c>
      <c r="I236" s="1" t="s">
        <v>52</v>
      </c>
      <c r="J236" s="1" t="s">
        <v>60</v>
      </c>
      <c r="K236" s="1" t="s">
        <v>47</v>
      </c>
      <c r="L236" s="1">
        <v>9</v>
      </c>
      <c r="M236" s="1">
        <v>2677.09</v>
      </c>
      <c r="N236" s="1">
        <v>10</v>
      </c>
      <c r="O236" s="1">
        <v>21684.43</v>
      </c>
      <c r="P236" s="1">
        <f t="shared" si="15"/>
        <v>24093.81</v>
      </c>
      <c r="Q236" s="10">
        <f t="shared" si="16"/>
        <v>2168.4430000000002</v>
      </c>
      <c r="R236" s="11">
        <f t="shared" si="17"/>
        <v>21925.367000000002</v>
      </c>
      <c r="S236" s="1" t="str">
        <f t="shared" si="18"/>
        <v>High</v>
      </c>
      <c r="T236" s="1" t="str" cm="1">
        <f t="array" ref="T236">_xlfn.IFS(L236&gt;5,"High",L236=5,"mediam",L236&lt;5,"low")</f>
        <v>High</v>
      </c>
      <c r="U236" s="1" t="str">
        <f t="shared" si="19"/>
        <v>High</v>
      </c>
    </row>
    <row r="237" spans="1:21" x14ac:dyDescent="0.3">
      <c r="A237" s="5">
        <v>10236</v>
      </c>
      <c r="B237" s="1">
        <v>1230</v>
      </c>
      <c r="C237" s="2">
        <v>45268</v>
      </c>
      <c r="D237" s="2">
        <v>45269</v>
      </c>
      <c r="E237" s="1" t="s">
        <v>22</v>
      </c>
      <c r="F237" s="1" t="s">
        <v>16</v>
      </c>
      <c r="G237" s="1" t="s">
        <v>30</v>
      </c>
      <c r="H237" s="1" t="s">
        <v>25</v>
      </c>
      <c r="I237" s="1" t="s">
        <v>52</v>
      </c>
      <c r="J237" s="1" t="s">
        <v>60</v>
      </c>
      <c r="K237" s="1" t="s">
        <v>33</v>
      </c>
      <c r="L237" s="1">
        <v>7</v>
      </c>
      <c r="M237" s="1">
        <v>2210.34</v>
      </c>
      <c r="N237" s="1">
        <v>5</v>
      </c>
      <c r="O237" s="1">
        <v>14698.76</v>
      </c>
      <c r="P237" s="1">
        <f t="shared" si="15"/>
        <v>15472.380000000001</v>
      </c>
      <c r="Q237" s="10">
        <f t="shared" si="16"/>
        <v>734.9380000000001</v>
      </c>
      <c r="R237" s="11">
        <f t="shared" si="17"/>
        <v>14737.442000000001</v>
      </c>
      <c r="S237" s="1" t="str">
        <f t="shared" si="18"/>
        <v>High</v>
      </c>
      <c r="T237" s="1" t="str" cm="1">
        <f t="array" ref="T237">_xlfn.IFS(L237&gt;5,"High",L237=5,"mediam",L237&lt;5,"low")</f>
        <v>High</v>
      </c>
      <c r="U237" s="1" t="str">
        <f t="shared" si="19"/>
        <v>High</v>
      </c>
    </row>
    <row r="238" spans="1:21" x14ac:dyDescent="0.3">
      <c r="A238" s="5">
        <v>10237</v>
      </c>
      <c r="B238" s="1">
        <v>1189</v>
      </c>
      <c r="C238" s="2">
        <v>45146</v>
      </c>
      <c r="D238" s="2">
        <v>45147</v>
      </c>
      <c r="E238" s="1" t="s">
        <v>16</v>
      </c>
      <c r="F238" s="1" t="s">
        <v>41</v>
      </c>
      <c r="G238" s="1" t="s">
        <v>17</v>
      </c>
      <c r="H238" s="1" t="s">
        <v>25</v>
      </c>
      <c r="I238" s="1" t="s">
        <v>19</v>
      </c>
      <c r="J238" s="1" t="s">
        <v>20</v>
      </c>
      <c r="K238" s="1" t="s">
        <v>21</v>
      </c>
      <c r="L238" s="1">
        <v>5</v>
      </c>
      <c r="M238" s="1">
        <v>465.79</v>
      </c>
      <c r="N238" s="1">
        <v>5</v>
      </c>
      <c r="O238" s="1">
        <v>2212.5</v>
      </c>
      <c r="P238" s="1">
        <f t="shared" si="15"/>
        <v>2328.9500000000003</v>
      </c>
      <c r="Q238" s="10">
        <f t="shared" si="16"/>
        <v>110.625</v>
      </c>
      <c r="R238" s="11">
        <f t="shared" si="17"/>
        <v>2218.3250000000003</v>
      </c>
      <c r="S238" s="1" t="str">
        <f t="shared" si="18"/>
        <v>High</v>
      </c>
      <c r="T238" s="1" t="str" cm="1">
        <f t="array" ref="T238">_xlfn.IFS(L238&gt;5,"High",L238=5,"mediam",L238&lt;5,"low")</f>
        <v>mediam</v>
      </c>
      <c r="U238" s="1" t="b">
        <f t="shared" si="19"/>
        <v>0</v>
      </c>
    </row>
    <row r="239" spans="1:21" x14ac:dyDescent="0.3">
      <c r="A239" s="5">
        <v>10238</v>
      </c>
      <c r="B239" s="1">
        <v>1224</v>
      </c>
      <c r="C239" s="2">
        <v>45089</v>
      </c>
      <c r="D239" s="2">
        <v>45093</v>
      </c>
      <c r="E239" s="1" t="s">
        <v>34</v>
      </c>
      <c r="F239" s="1" t="s">
        <v>38</v>
      </c>
      <c r="G239" s="1" t="s">
        <v>24</v>
      </c>
      <c r="H239" s="1" t="s">
        <v>35</v>
      </c>
      <c r="I239" s="1" t="s">
        <v>57</v>
      </c>
      <c r="J239" s="1" t="s">
        <v>62</v>
      </c>
      <c r="K239" s="1" t="s">
        <v>45</v>
      </c>
      <c r="L239" s="1">
        <v>8</v>
      </c>
      <c r="M239" s="1">
        <v>284.52</v>
      </c>
      <c r="N239" s="1">
        <v>15</v>
      </c>
      <c r="O239" s="1">
        <v>1934.74</v>
      </c>
      <c r="P239" s="1">
        <f t="shared" si="15"/>
        <v>2276.16</v>
      </c>
      <c r="Q239" s="10">
        <f t="shared" si="16"/>
        <v>290.21100000000001</v>
      </c>
      <c r="R239" s="11">
        <f t="shared" si="17"/>
        <v>1985.9489999999998</v>
      </c>
      <c r="S239" s="1" t="str">
        <f t="shared" si="18"/>
        <v>High</v>
      </c>
      <c r="T239" s="1" t="str" cm="1">
        <f t="array" ref="T239">_xlfn.IFS(L239&gt;5,"High",L239=5,"mediam",L239&lt;5,"low")</f>
        <v>High</v>
      </c>
      <c r="U239" s="1" t="str">
        <f t="shared" si="19"/>
        <v>High</v>
      </c>
    </row>
    <row r="240" spans="1:21" x14ac:dyDescent="0.3">
      <c r="A240" s="5">
        <v>10239</v>
      </c>
      <c r="B240" s="1">
        <v>1384</v>
      </c>
      <c r="C240" s="2">
        <v>45146</v>
      </c>
      <c r="D240" s="2">
        <v>45149</v>
      </c>
      <c r="E240" s="1" t="s">
        <v>34</v>
      </c>
      <c r="F240" s="1" t="s">
        <v>41</v>
      </c>
      <c r="G240" s="1" t="s">
        <v>24</v>
      </c>
      <c r="H240" s="1" t="s">
        <v>25</v>
      </c>
      <c r="I240" s="1" t="s">
        <v>49</v>
      </c>
      <c r="J240" s="1" t="s">
        <v>63</v>
      </c>
      <c r="K240" s="1" t="s">
        <v>47</v>
      </c>
      <c r="L240" s="1">
        <v>2</v>
      </c>
      <c r="M240" s="1">
        <v>3960.56</v>
      </c>
      <c r="N240" s="1">
        <v>10</v>
      </c>
      <c r="O240" s="1">
        <v>7129.01</v>
      </c>
      <c r="P240" s="1">
        <f t="shared" si="15"/>
        <v>7921.12</v>
      </c>
      <c r="Q240" s="10">
        <f t="shared" si="16"/>
        <v>712.90100000000007</v>
      </c>
      <c r="R240" s="11">
        <f t="shared" si="17"/>
        <v>7208.2190000000001</v>
      </c>
      <c r="S240" s="1" t="str">
        <f t="shared" si="18"/>
        <v>Low</v>
      </c>
      <c r="T240" s="1" t="str" cm="1">
        <f t="array" ref="T240">_xlfn.IFS(L240&gt;5,"High",L240=5,"mediam",L240&lt;5,"low")</f>
        <v>low</v>
      </c>
      <c r="U240" s="1" t="b">
        <f t="shared" si="19"/>
        <v>0</v>
      </c>
    </row>
    <row r="241" spans="1:21" x14ac:dyDescent="0.3">
      <c r="A241" s="5">
        <v>10240</v>
      </c>
      <c r="B241" s="1">
        <v>1376</v>
      </c>
      <c r="C241" s="2">
        <v>45196</v>
      </c>
      <c r="D241" s="2">
        <v>45198</v>
      </c>
      <c r="E241" s="1" t="s">
        <v>16</v>
      </c>
      <c r="F241" s="1" t="s">
        <v>38</v>
      </c>
      <c r="G241" s="1" t="s">
        <v>17</v>
      </c>
      <c r="H241" s="1" t="s">
        <v>42</v>
      </c>
      <c r="I241" s="1" t="s">
        <v>57</v>
      </c>
      <c r="J241" s="1" t="s">
        <v>67</v>
      </c>
      <c r="K241" s="1" t="s">
        <v>45</v>
      </c>
      <c r="L241" s="1">
        <v>9</v>
      </c>
      <c r="M241" s="1">
        <v>265.58</v>
      </c>
      <c r="N241" s="1">
        <v>10</v>
      </c>
      <c r="O241" s="1">
        <v>2151.1999999999998</v>
      </c>
      <c r="P241" s="1">
        <f t="shared" si="15"/>
        <v>2390.2199999999998</v>
      </c>
      <c r="Q241" s="10">
        <f t="shared" si="16"/>
        <v>215.12</v>
      </c>
      <c r="R241" s="11">
        <f t="shared" si="17"/>
        <v>2175.1</v>
      </c>
      <c r="S241" s="1" t="str">
        <f t="shared" si="18"/>
        <v>High</v>
      </c>
      <c r="T241" s="1" t="str" cm="1">
        <f t="array" ref="T241">_xlfn.IFS(L241&gt;5,"High",L241=5,"mediam",L241&lt;5,"low")</f>
        <v>High</v>
      </c>
      <c r="U241" s="1" t="str">
        <f t="shared" si="19"/>
        <v>High</v>
      </c>
    </row>
    <row r="242" spans="1:21" x14ac:dyDescent="0.3">
      <c r="A242" s="5">
        <v>10241</v>
      </c>
      <c r="B242" s="1">
        <v>1282</v>
      </c>
      <c r="C242" s="2">
        <v>45046</v>
      </c>
      <c r="D242" s="2">
        <v>45049</v>
      </c>
      <c r="E242" s="1" t="s">
        <v>40</v>
      </c>
      <c r="F242" s="1" t="s">
        <v>41</v>
      </c>
      <c r="G242" s="1" t="s">
        <v>30</v>
      </c>
      <c r="H242" s="1" t="s">
        <v>18</v>
      </c>
      <c r="I242" s="1" t="s">
        <v>19</v>
      </c>
      <c r="J242" s="1" t="s">
        <v>66</v>
      </c>
      <c r="K242" s="1" t="s">
        <v>33</v>
      </c>
      <c r="L242" s="1">
        <v>6</v>
      </c>
      <c r="M242" s="1">
        <v>1861.43</v>
      </c>
      <c r="N242" s="1">
        <v>0</v>
      </c>
      <c r="O242" s="1">
        <v>11168.58</v>
      </c>
      <c r="P242" s="1">
        <f t="shared" si="15"/>
        <v>11168.58</v>
      </c>
      <c r="Q242" s="10">
        <f t="shared" si="16"/>
        <v>0</v>
      </c>
      <c r="R242" s="11">
        <f t="shared" si="17"/>
        <v>11168.58</v>
      </c>
      <c r="S242" s="1" t="str">
        <f t="shared" si="18"/>
        <v>High</v>
      </c>
      <c r="T242" s="1" t="str" cm="1">
        <f t="array" ref="T242">_xlfn.IFS(L242&gt;5,"High",L242=5,"mediam",L242&lt;5,"low")</f>
        <v>High</v>
      </c>
      <c r="U242" s="1" t="str">
        <f t="shared" si="19"/>
        <v>High</v>
      </c>
    </row>
    <row r="243" spans="1:21" x14ac:dyDescent="0.3">
      <c r="A243" s="5">
        <v>10242</v>
      </c>
      <c r="B243" s="1">
        <v>1957</v>
      </c>
      <c r="C243" s="2">
        <v>45262</v>
      </c>
      <c r="D243" s="2">
        <v>45263</v>
      </c>
      <c r="E243" s="1" t="s">
        <v>15</v>
      </c>
      <c r="F243" s="1" t="s">
        <v>29</v>
      </c>
      <c r="G243" s="1" t="s">
        <v>24</v>
      </c>
      <c r="H243" s="1" t="s">
        <v>44</v>
      </c>
      <c r="I243" s="1" t="s">
        <v>52</v>
      </c>
      <c r="J243" s="1" t="s">
        <v>64</v>
      </c>
      <c r="K243" s="1" t="s">
        <v>47</v>
      </c>
      <c r="L243" s="1">
        <v>9</v>
      </c>
      <c r="M243" s="1">
        <v>2092.7800000000002</v>
      </c>
      <c r="N243" s="1">
        <v>20</v>
      </c>
      <c r="O243" s="1">
        <v>15068.02</v>
      </c>
      <c r="P243" s="1">
        <f t="shared" si="15"/>
        <v>18835.02</v>
      </c>
      <c r="Q243" s="10">
        <f t="shared" si="16"/>
        <v>3013.6040000000003</v>
      </c>
      <c r="R243" s="11">
        <f t="shared" si="17"/>
        <v>15821.416000000001</v>
      </c>
      <c r="S243" s="1" t="str">
        <f t="shared" si="18"/>
        <v>High</v>
      </c>
      <c r="T243" s="1" t="str" cm="1">
        <f t="array" ref="T243">_xlfn.IFS(L243&gt;5,"High",L243=5,"mediam",L243&lt;5,"low")</f>
        <v>High</v>
      </c>
      <c r="U243" s="1" t="str">
        <f t="shared" si="19"/>
        <v>High</v>
      </c>
    </row>
    <row r="244" spans="1:21" x14ac:dyDescent="0.3">
      <c r="A244" s="5">
        <v>10243</v>
      </c>
      <c r="B244" s="1">
        <v>1632</v>
      </c>
      <c r="C244" s="2">
        <v>45108</v>
      </c>
      <c r="D244" s="2">
        <v>45109</v>
      </c>
      <c r="E244" s="1" t="s">
        <v>37</v>
      </c>
      <c r="F244" s="1" t="s">
        <v>23</v>
      </c>
      <c r="G244" s="1" t="s">
        <v>30</v>
      </c>
      <c r="H244" s="1" t="s">
        <v>18</v>
      </c>
      <c r="I244" s="1" t="s">
        <v>57</v>
      </c>
      <c r="J244" s="1" t="s">
        <v>59</v>
      </c>
      <c r="K244" s="1" t="s">
        <v>28</v>
      </c>
      <c r="L244" s="1">
        <v>2</v>
      </c>
      <c r="M244" s="1">
        <v>601.53</v>
      </c>
      <c r="N244" s="1">
        <v>20</v>
      </c>
      <c r="O244" s="1">
        <v>962.45</v>
      </c>
      <c r="P244" s="1">
        <f t="shared" si="15"/>
        <v>1203.06</v>
      </c>
      <c r="Q244" s="10">
        <f t="shared" si="16"/>
        <v>192.49</v>
      </c>
      <c r="R244" s="11">
        <f t="shared" si="17"/>
        <v>1010.5699999999999</v>
      </c>
      <c r="S244" s="1" t="str">
        <f t="shared" si="18"/>
        <v>Low</v>
      </c>
      <c r="T244" s="1" t="str" cm="1">
        <f t="array" ref="T244">_xlfn.IFS(L244&gt;5,"High",L244=5,"mediam",L244&lt;5,"low")</f>
        <v>low</v>
      </c>
      <c r="U244" s="1" t="b">
        <f t="shared" si="19"/>
        <v>0</v>
      </c>
    </row>
    <row r="245" spans="1:21" x14ac:dyDescent="0.3">
      <c r="A245" s="5">
        <v>10244</v>
      </c>
      <c r="B245" s="1">
        <v>1627</v>
      </c>
      <c r="C245" s="2">
        <v>45032</v>
      </c>
      <c r="D245" s="2">
        <v>45038</v>
      </c>
      <c r="E245" s="1" t="s">
        <v>34</v>
      </c>
      <c r="F245" s="1" t="s">
        <v>29</v>
      </c>
      <c r="G245" s="1" t="s">
        <v>17</v>
      </c>
      <c r="H245" s="1" t="s">
        <v>44</v>
      </c>
      <c r="I245" s="1" t="s">
        <v>52</v>
      </c>
      <c r="J245" s="1" t="s">
        <v>53</v>
      </c>
      <c r="K245" s="1" t="s">
        <v>45</v>
      </c>
      <c r="L245" s="1">
        <v>3</v>
      </c>
      <c r="M245" s="1">
        <v>800.89</v>
      </c>
      <c r="N245" s="1">
        <v>0</v>
      </c>
      <c r="O245" s="1">
        <v>2402.67</v>
      </c>
      <c r="P245" s="1">
        <f t="shared" si="15"/>
        <v>2402.67</v>
      </c>
      <c r="Q245" s="10">
        <f t="shared" si="16"/>
        <v>0</v>
      </c>
      <c r="R245" s="11">
        <f t="shared" si="17"/>
        <v>2402.67</v>
      </c>
      <c r="S245" s="1" t="str">
        <f t="shared" si="18"/>
        <v>Low</v>
      </c>
      <c r="T245" s="1" t="str" cm="1">
        <f t="array" ref="T245">_xlfn.IFS(L245&gt;5,"High",L245=5,"mediam",L245&lt;5,"low")</f>
        <v>low</v>
      </c>
      <c r="U245" s="1" t="b">
        <f t="shared" si="19"/>
        <v>0</v>
      </c>
    </row>
    <row r="246" spans="1:21" x14ac:dyDescent="0.3">
      <c r="A246" s="5">
        <v>10245</v>
      </c>
      <c r="B246" s="1">
        <v>1972</v>
      </c>
      <c r="C246" s="2">
        <v>45143</v>
      </c>
      <c r="D246" s="2">
        <v>45148</v>
      </c>
      <c r="E246" s="1" t="s">
        <v>15</v>
      </c>
      <c r="F246" s="1" t="s">
        <v>16</v>
      </c>
      <c r="G246" s="1" t="s">
        <v>30</v>
      </c>
      <c r="H246" s="1" t="s">
        <v>42</v>
      </c>
      <c r="I246" s="1" t="s">
        <v>49</v>
      </c>
      <c r="J246" s="1" t="s">
        <v>51</v>
      </c>
      <c r="K246" s="1" t="s">
        <v>47</v>
      </c>
      <c r="L246" s="1">
        <v>8</v>
      </c>
      <c r="M246" s="1">
        <v>1504.45</v>
      </c>
      <c r="N246" s="1">
        <v>20</v>
      </c>
      <c r="O246" s="1">
        <v>9628.48</v>
      </c>
      <c r="P246" s="1">
        <f t="shared" si="15"/>
        <v>12035.6</v>
      </c>
      <c r="Q246" s="10">
        <f t="shared" si="16"/>
        <v>1925.6959999999999</v>
      </c>
      <c r="R246" s="11">
        <f t="shared" si="17"/>
        <v>10109.904</v>
      </c>
      <c r="S246" s="1" t="str">
        <f t="shared" si="18"/>
        <v>High</v>
      </c>
      <c r="T246" s="1" t="str" cm="1">
        <f t="array" ref="T246">_xlfn.IFS(L246&gt;5,"High",L246=5,"mediam",L246&lt;5,"low")</f>
        <v>High</v>
      </c>
      <c r="U246" s="1" t="str">
        <f t="shared" si="19"/>
        <v>High</v>
      </c>
    </row>
    <row r="247" spans="1:21" x14ac:dyDescent="0.3">
      <c r="A247" s="5">
        <v>10246</v>
      </c>
      <c r="B247" s="1">
        <v>1744</v>
      </c>
      <c r="C247" s="2">
        <v>45131</v>
      </c>
      <c r="D247" s="2">
        <v>45139</v>
      </c>
      <c r="E247" s="1" t="s">
        <v>16</v>
      </c>
      <c r="F247" s="1" t="s">
        <v>29</v>
      </c>
      <c r="G247" s="1" t="s">
        <v>24</v>
      </c>
      <c r="H247" s="1" t="s">
        <v>25</v>
      </c>
      <c r="I247" s="1" t="s">
        <v>52</v>
      </c>
      <c r="J247" s="1" t="s">
        <v>53</v>
      </c>
      <c r="K247" s="1" t="s">
        <v>45</v>
      </c>
      <c r="L247" s="1">
        <v>1</v>
      </c>
      <c r="M247" s="1">
        <v>3082.45</v>
      </c>
      <c r="N247" s="1">
        <v>5</v>
      </c>
      <c r="O247" s="1">
        <v>2928.33</v>
      </c>
      <c r="P247" s="1">
        <f t="shared" si="15"/>
        <v>3082.45</v>
      </c>
      <c r="Q247" s="10">
        <f t="shared" si="16"/>
        <v>146.41650000000001</v>
      </c>
      <c r="R247" s="11">
        <f t="shared" si="17"/>
        <v>2936.0335</v>
      </c>
      <c r="S247" s="1" t="str">
        <f t="shared" si="18"/>
        <v>Low</v>
      </c>
      <c r="T247" s="1" t="str" cm="1">
        <f t="array" ref="T247">_xlfn.IFS(L247&gt;5,"High",L247=5,"mediam",L247&lt;5,"low")</f>
        <v>low</v>
      </c>
      <c r="U247" s="1" t="b">
        <f t="shared" si="19"/>
        <v>0</v>
      </c>
    </row>
    <row r="248" spans="1:21" x14ac:dyDescent="0.3">
      <c r="A248" s="5">
        <v>10247</v>
      </c>
      <c r="B248" s="1">
        <v>1258</v>
      </c>
      <c r="C248" s="2">
        <v>44996</v>
      </c>
      <c r="D248" s="2">
        <v>44998</v>
      </c>
      <c r="E248" s="1" t="s">
        <v>15</v>
      </c>
      <c r="F248" s="1" t="s">
        <v>54</v>
      </c>
      <c r="G248" s="1" t="s">
        <v>30</v>
      </c>
      <c r="H248" s="1" t="s">
        <v>35</v>
      </c>
      <c r="I248" s="1" t="s">
        <v>52</v>
      </c>
      <c r="J248" s="1" t="s">
        <v>64</v>
      </c>
      <c r="K248" s="1" t="s">
        <v>47</v>
      </c>
      <c r="L248" s="1">
        <v>7</v>
      </c>
      <c r="M248" s="1">
        <v>2102.27</v>
      </c>
      <c r="N248" s="1">
        <v>20</v>
      </c>
      <c r="O248" s="1">
        <v>11772.71</v>
      </c>
      <c r="P248" s="1">
        <f t="shared" si="15"/>
        <v>14715.89</v>
      </c>
      <c r="Q248" s="10">
        <f t="shared" si="16"/>
        <v>2354.5419999999999</v>
      </c>
      <c r="R248" s="11">
        <f t="shared" si="17"/>
        <v>12361.348</v>
      </c>
      <c r="S248" s="1" t="str">
        <f t="shared" si="18"/>
        <v>High</v>
      </c>
      <c r="T248" s="1" t="str" cm="1">
        <f t="array" ref="T248">_xlfn.IFS(L248&gt;5,"High",L248=5,"mediam",L248&lt;5,"low")</f>
        <v>High</v>
      </c>
      <c r="U248" s="1" t="str">
        <f t="shared" si="19"/>
        <v>High</v>
      </c>
    </row>
    <row r="249" spans="1:21" x14ac:dyDescent="0.3">
      <c r="A249" s="5">
        <v>10248</v>
      </c>
      <c r="B249" s="1">
        <v>1358</v>
      </c>
      <c r="C249" s="2">
        <v>44970</v>
      </c>
      <c r="D249" s="2">
        <v>44974</v>
      </c>
      <c r="E249" s="1" t="s">
        <v>22</v>
      </c>
      <c r="F249" s="1" t="s">
        <v>16</v>
      </c>
      <c r="G249" s="1" t="s">
        <v>30</v>
      </c>
      <c r="H249" s="1" t="s">
        <v>42</v>
      </c>
      <c r="I249" s="1" t="s">
        <v>31</v>
      </c>
      <c r="J249" s="1" t="s">
        <v>39</v>
      </c>
      <c r="K249" s="1" t="s">
        <v>21</v>
      </c>
      <c r="L249" s="1">
        <v>7</v>
      </c>
      <c r="M249" s="1">
        <v>2605.92</v>
      </c>
      <c r="N249" s="1">
        <v>20</v>
      </c>
      <c r="O249" s="1">
        <v>14593.15</v>
      </c>
      <c r="P249" s="1">
        <f t="shared" si="15"/>
        <v>18241.440000000002</v>
      </c>
      <c r="Q249" s="10">
        <f t="shared" si="16"/>
        <v>2918.63</v>
      </c>
      <c r="R249" s="11">
        <f t="shared" si="17"/>
        <v>15322.810000000001</v>
      </c>
      <c r="S249" s="1" t="str">
        <f t="shared" si="18"/>
        <v>High</v>
      </c>
      <c r="T249" s="1" t="str" cm="1">
        <f t="array" ref="T249">_xlfn.IFS(L249&gt;5,"High",L249=5,"mediam",L249&lt;5,"low")</f>
        <v>High</v>
      </c>
      <c r="U249" s="1" t="str">
        <f t="shared" si="19"/>
        <v>High</v>
      </c>
    </row>
    <row r="250" spans="1:21" x14ac:dyDescent="0.3">
      <c r="A250" s="5">
        <v>10249</v>
      </c>
      <c r="B250" s="1">
        <v>1709</v>
      </c>
      <c r="C250" s="2">
        <v>45255</v>
      </c>
      <c r="D250" s="2">
        <v>45263</v>
      </c>
      <c r="E250" s="1" t="s">
        <v>46</v>
      </c>
      <c r="F250" s="1" t="s">
        <v>41</v>
      </c>
      <c r="G250" s="1" t="s">
        <v>17</v>
      </c>
      <c r="H250" s="1" t="s">
        <v>18</v>
      </c>
      <c r="I250" s="1" t="s">
        <v>31</v>
      </c>
      <c r="J250" s="1" t="s">
        <v>65</v>
      </c>
      <c r="K250" s="1" t="s">
        <v>45</v>
      </c>
      <c r="L250" s="1">
        <v>1</v>
      </c>
      <c r="M250" s="1">
        <v>3942.92</v>
      </c>
      <c r="N250" s="1">
        <v>0</v>
      </c>
      <c r="O250" s="1">
        <v>3942.92</v>
      </c>
      <c r="P250" s="1">
        <f t="shared" si="15"/>
        <v>3942.92</v>
      </c>
      <c r="Q250" s="10">
        <f t="shared" si="16"/>
        <v>0</v>
      </c>
      <c r="R250" s="11">
        <f t="shared" si="17"/>
        <v>3942.92</v>
      </c>
      <c r="S250" s="1" t="str">
        <f t="shared" si="18"/>
        <v>Low</v>
      </c>
      <c r="T250" s="1" t="str" cm="1">
        <f t="array" ref="T250">_xlfn.IFS(L250&gt;5,"High",L250=5,"mediam",L250&lt;5,"low")</f>
        <v>low</v>
      </c>
      <c r="U250" s="1" t="b">
        <f t="shared" si="19"/>
        <v>0</v>
      </c>
    </row>
    <row r="251" spans="1:21" x14ac:dyDescent="0.3">
      <c r="A251" s="5">
        <v>10250</v>
      </c>
      <c r="B251" s="1">
        <v>1455</v>
      </c>
      <c r="C251" s="2">
        <v>45227</v>
      </c>
      <c r="D251" s="2">
        <v>45233</v>
      </c>
      <c r="E251" s="1" t="s">
        <v>34</v>
      </c>
      <c r="F251" s="1" t="s">
        <v>16</v>
      </c>
      <c r="G251" s="1" t="s">
        <v>17</v>
      </c>
      <c r="H251" s="1" t="s">
        <v>35</v>
      </c>
      <c r="I251" s="1" t="s">
        <v>26</v>
      </c>
      <c r="J251" s="1" t="s">
        <v>69</v>
      </c>
      <c r="K251" s="1" t="s">
        <v>28</v>
      </c>
      <c r="L251" s="1">
        <v>9</v>
      </c>
      <c r="M251" s="1">
        <v>3106.82</v>
      </c>
      <c r="N251" s="1">
        <v>15</v>
      </c>
      <c r="O251" s="1">
        <v>23767.17</v>
      </c>
      <c r="P251" s="1">
        <f t="shared" si="15"/>
        <v>27961.38</v>
      </c>
      <c r="Q251" s="10">
        <f t="shared" si="16"/>
        <v>3565.0754999999995</v>
      </c>
      <c r="R251" s="11">
        <f t="shared" si="17"/>
        <v>24396.304500000002</v>
      </c>
      <c r="S251" s="1" t="str">
        <f t="shared" si="18"/>
        <v>High</v>
      </c>
      <c r="T251" s="1" t="str" cm="1">
        <f t="array" ref="T251">_xlfn.IFS(L251&gt;5,"High",L251=5,"mediam",L251&lt;5,"low")</f>
        <v>High</v>
      </c>
      <c r="U251" s="1" t="str">
        <f t="shared" si="19"/>
        <v>High</v>
      </c>
    </row>
    <row r="252" spans="1:21" x14ac:dyDescent="0.3">
      <c r="A252" s="5">
        <v>10251</v>
      </c>
      <c r="B252" s="1">
        <v>1410</v>
      </c>
      <c r="C252" s="2">
        <v>45154</v>
      </c>
      <c r="D252" s="2">
        <v>45155</v>
      </c>
      <c r="E252" s="1" t="s">
        <v>16</v>
      </c>
      <c r="F252" s="1" t="s">
        <v>23</v>
      </c>
      <c r="G252" s="1" t="s">
        <v>17</v>
      </c>
      <c r="H252" s="1" t="s">
        <v>25</v>
      </c>
      <c r="I252" s="1" t="s">
        <v>31</v>
      </c>
      <c r="J252" s="1" t="s">
        <v>48</v>
      </c>
      <c r="K252" s="1" t="s">
        <v>28</v>
      </c>
      <c r="L252" s="1">
        <v>8</v>
      </c>
      <c r="M252" s="1">
        <v>1822.29</v>
      </c>
      <c r="N252" s="1">
        <v>20</v>
      </c>
      <c r="O252" s="1">
        <v>11662.66</v>
      </c>
      <c r="P252" s="1">
        <f t="shared" si="15"/>
        <v>14578.32</v>
      </c>
      <c r="Q252" s="10">
        <f t="shared" si="16"/>
        <v>2332.5320000000002</v>
      </c>
      <c r="R252" s="11">
        <f t="shared" si="17"/>
        <v>12245.788</v>
      </c>
      <c r="S252" s="1" t="str">
        <f t="shared" si="18"/>
        <v>High</v>
      </c>
      <c r="T252" s="1" t="str" cm="1">
        <f t="array" ref="T252">_xlfn.IFS(L252&gt;5,"High",L252=5,"mediam",L252&lt;5,"low")</f>
        <v>High</v>
      </c>
      <c r="U252" s="1" t="str">
        <f t="shared" si="19"/>
        <v>High</v>
      </c>
    </row>
    <row r="253" spans="1:21" x14ac:dyDescent="0.3">
      <c r="A253" s="5">
        <v>10252</v>
      </c>
      <c r="B253" s="1">
        <v>1648</v>
      </c>
      <c r="C253" s="2">
        <v>45110</v>
      </c>
      <c r="D253" s="2">
        <v>45114</v>
      </c>
      <c r="E253" s="1" t="s">
        <v>37</v>
      </c>
      <c r="F253" s="1" t="s">
        <v>38</v>
      </c>
      <c r="G253" s="1" t="s">
        <v>24</v>
      </c>
      <c r="H253" s="1" t="s">
        <v>42</v>
      </c>
      <c r="I253" s="1" t="s">
        <v>52</v>
      </c>
      <c r="J253" s="1" t="s">
        <v>60</v>
      </c>
      <c r="K253" s="1" t="s">
        <v>33</v>
      </c>
      <c r="L253" s="1">
        <v>4</v>
      </c>
      <c r="M253" s="1">
        <v>1868.8</v>
      </c>
      <c r="N253" s="1">
        <v>20</v>
      </c>
      <c r="O253" s="1">
        <v>5980.16</v>
      </c>
      <c r="P253" s="1">
        <f t="shared" si="15"/>
        <v>7475.2</v>
      </c>
      <c r="Q253" s="10">
        <f t="shared" si="16"/>
        <v>1196.0319999999999</v>
      </c>
      <c r="R253" s="11">
        <f t="shared" si="17"/>
        <v>6279.1679999999997</v>
      </c>
      <c r="S253" s="1" t="str">
        <f t="shared" si="18"/>
        <v>Low</v>
      </c>
      <c r="T253" s="1" t="str" cm="1">
        <f t="array" ref="T253">_xlfn.IFS(L253&gt;5,"High",L253=5,"mediam",L253&lt;5,"low")</f>
        <v>low</v>
      </c>
      <c r="U253" s="1" t="b">
        <f t="shared" si="19"/>
        <v>0</v>
      </c>
    </row>
    <row r="254" spans="1:21" x14ac:dyDescent="0.3">
      <c r="A254" s="5">
        <v>10253</v>
      </c>
      <c r="B254" s="1">
        <v>1317</v>
      </c>
      <c r="C254" s="2">
        <v>45033</v>
      </c>
      <c r="D254" s="2">
        <v>45034</v>
      </c>
      <c r="E254" s="1" t="s">
        <v>40</v>
      </c>
      <c r="F254" s="1" t="s">
        <v>41</v>
      </c>
      <c r="G254" s="1" t="s">
        <v>24</v>
      </c>
      <c r="H254" s="1" t="s">
        <v>35</v>
      </c>
      <c r="I254" s="1" t="s">
        <v>19</v>
      </c>
      <c r="J254" s="1" t="s">
        <v>20</v>
      </c>
      <c r="K254" s="1" t="s">
        <v>47</v>
      </c>
      <c r="L254" s="1">
        <v>5</v>
      </c>
      <c r="M254" s="1">
        <v>2532.27</v>
      </c>
      <c r="N254" s="1">
        <v>15</v>
      </c>
      <c r="O254" s="1">
        <v>10762.15</v>
      </c>
      <c r="P254" s="1">
        <f t="shared" si="15"/>
        <v>12661.35</v>
      </c>
      <c r="Q254" s="10">
        <f t="shared" si="16"/>
        <v>1614.3225</v>
      </c>
      <c r="R254" s="11">
        <f t="shared" si="17"/>
        <v>11047.0275</v>
      </c>
      <c r="S254" s="1" t="str">
        <f t="shared" si="18"/>
        <v>High</v>
      </c>
      <c r="T254" s="1" t="str" cm="1">
        <f t="array" ref="T254">_xlfn.IFS(L254&gt;5,"High",L254=5,"mediam",L254&lt;5,"low")</f>
        <v>mediam</v>
      </c>
      <c r="U254" s="1" t="b">
        <f t="shared" si="19"/>
        <v>0</v>
      </c>
    </row>
    <row r="255" spans="1:21" x14ac:dyDescent="0.3">
      <c r="A255" s="5">
        <v>10254</v>
      </c>
      <c r="B255" s="1">
        <v>1676</v>
      </c>
      <c r="C255" s="2">
        <v>45010</v>
      </c>
      <c r="D255" s="2">
        <v>45012</v>
      </c>
      <c r="E255" s="1" t="s">
        <v>22</v>
      </c>
      <c r="F255" s="1" t="s">
        <v>16</v>
      </c>
      <c r="G255" s="1" t="s">
        <v>17</v>
      </c>
      <c r="H255" s="1" t="s">
        <v>42</v>
      </c>
      <c r="I255" s="1" t="s">
        <v>52</v>
      </c>
      <c r="J255" s="1" t="s">
        <v>64</v>
      </c>
      <c r="K255" s="1" t="s">
        <v>45</v>
      </c>
      <c r="L255" s="1">
        <v>2</v>
      </c>
      <c r="M255" s="1">
        <v>2711.66</v>
      </c>
      <c r="N255" s="1">
        <v>0</v>
      </c>
      <c r="O255" s="1">
        <v>5423.32</v>
      </c>
      <c r="P255" s="1">
        <f t="shared" si="15"/>
        <v>5423.32</v>
      </c>
      <c r="Q255" s="10">
        <f t="shared" si="16"/>
        <v>0</v>
      </c>
      <c r="R255" s="11">
        <f t="shared" si="17"/>
        <v>5423.32</v>
      </c>
      <c r="S255" s="1" t="str">
        <f t="shared" si="18"/>
        <v>Low</v>
      </c>
      <c r="T255" s="1" t="str" cm="1">
        <f t="array" ref="T255">_xlfn.IFS(L255&gt;5,"High",L255=5,"mediam",L255&lt;5,"low")</f>
        <v>low</v>
      </c>
      <c r="U255" s="1" t="b">
        <f t="shared" si="19"/>
        <v>0</v>
      </c>
    </row>
    <row r="256" spans="1:21" x14ac:dyDescent="0.3">
      <c r="A256" s="5">
        <v>10255</v>
      </c>
      <c r="B256" s="1">
        <v>1224</v>
      </c>
      <c r="C256" s="2">
        <v>45264</v>
      </c>
      <c r="D256" s="2">
        <v>45269</v>
      </c>
      <c r="E256" s="1" t="s">
        <v>16</v>
      </c>
      <c r="F256" s="1" t="s">
        <v>41</v>
      </c>
      <c r="G256" s="1" t="s">
        <v>17</v>
      </c>
      <c r="H256" s="1" t="s">
        <v>42</v>
      </c>
      <c r="I256" s="1" t="s">
        <v>19</v>
      </c>
      <c r="J256" s="1" t="s">
        <v>20</v>
      </c>
      <c r="K256" s="1" t="s">
        <v>33</v>
      </c>
      <c r="L256" s="1">
        <v>9</v>
      </c>
      <c r="M256" s="1">
        <v>2077.7399999999998</v>
      </c>
      <c r="N256" s="1">
        <v>15</v>
      </c>
      <c r="O256" s="1">
        <v>15894.71</v>
      </c>
      <c r="P256" s="1">
        <f t="shared" si="15"/>
        <v>18699.659999999996</v>
      </c>
      <c r="Q256" s="10">
        <f t="shared" si="16"/>
        <v>2384.2064999999998</v>
      </c>
      <c r="R256" s="11">
        <f t="shared" si="17"/>
        <v>16315.453499999996</v>
      </c>
      <c r="S256" s="1" t="str">
        <f t="shared" si="18"/>
        <v>High</v>
      </c>
      <c r="T256" s="1" t="str" cm="1">
        <f t="array" ref="T256">_xlfn.IFS(L256&gt;5,"High",L256=5,"mediam",L256&lt;5,"low")</f>
        <v>High</v>
      </c>
      <c r="U256" s="1" t="str">
        <f t="shared" si="19"/>
        <v>High</v>
      </c>
    </row>
    <row r="257" spans="1:21" x14ac:dyDescent="0.3">
      <c r="A257" s="5">
        <v>10256</v>
      </c>
      <c r="B257" s="1">
        <v>1818</v>
      </c>
      <c r="C257" s="2">
        <v>45176</v>
      </c>
      <c r="D257" s="2">
        <v>45184</v>
      </c>
      <c r="E257" s="1" t="s">
        <v>37</v>
      </c>
      <c r="F257" s="1" t="s">
        <v>41</v>
      </c>
      <c r="G257" s="1" t="s">
        <v>24</v>
      </c>
      <c r="H257" s="1" t="s">
        <v>25</v>
      </c>
      <c r="I257" s="1" t="s">
        <v>19</v>
      </c>
      <c r="J257" s="1" t="s">
        <v>20</v>
      </c>
      <c r="K257" s="1" t="s">
        <v>45</v>
      </c>
      <c r="L257" s="1">
        <v>6</v>
      </c>
      <c r="M257" s="1">
        <v>2632.72</v>
      </c>
      <c r="N257" s="1">
        <v>0</v>
      </c>
      <c r="O257" s="1">
        <v>15796.32</v>
      </c>
      <c r="P257" s="1">
        <f t="shared" si="15"/>
        <v>15796.32</v>
      </c>
      <c r="Q257" s="10">
        <f t="shared" si="16"/>
        <v>0</v>
      </c>
      <c r="R257" s="11">
        <f t="shared" si="17"/>
        <v>15796.32</v>
      </c>
      <c r="S257" s="1" t="str">
        <f t="shared" si="18"/>
        <v>High</v>
      </c>
      <c r="T257" s="1" t="str" cm="1">
        <f t="array" ref="T257">_xlfn.IFS(L257&gt;5,"High",L257=5,"mediam",L257&lt;5,"low")</f>
        <v>High</v>
      </c>
      <c r="U257" s="1" t="str">
        <f t="shared" si="19"/>
        <v>High</v>
      </c>
    </row>
    <row r="258" spans="1:21" x14ac:dyDescent="0.3">
      <c r="A258" s="5">
        <v>10257</v>
      </c>
      <c r="B258" s="1">
        <v>1233</v>
      </c>
      <c r="C258" s="2">
        <v>45289</v>
      </c>
      <c r="D258" s="2">
        <v>45297</v>
      </c>
      <c r="E258" s="1" t="s">
        <v>40</v>
      </c>
      <c r="F258" s="1" t="s">
        <v>41</v>
      </c>
      <c r="G258" s="1" t="s">
        <v>24</v>
      </c>
      <c r="H258" s="1" t="s">
        <v>44</v>
      </c>
      <c r="I258" s="1" t="s">
        <v>31</v>
      </c>
      <c r="J258" s="1" t="s">
        <v>32</v>
      </c>
      <c r="K258" s="1" t="s">
        <v>47</v>
      </c>
      <c r="L258" s="1">
        <v>3</v>
      </c>
      <c r="M258" s="1">
        <v>240.6</v>
      </c>
      <c r="N258" s="1">
        <v>5</v>
      </c>
      <c r="O258" s="1">
        <v>685.71</v>
      </c>
      <c r="P258" s="1">
        <f t="shared" si="15"/>
        <v>721.8</v>
      </c>
      <c r="Q258" s="10">
        <f t="shared" si="16"/>
        <v>34.285500000000006</v>
      </c>
      <c r="R258" s="11">
        <f t="shared" si="17"/>
        <v>687.5145</v>
      </c>
      <c r="S258" s="1" t="str">
        <f t="shared" si="18"/>
        <v>Low</v>
      </c>
      <c r="T258" s="1" t="str" cm="1">
        <f t="array" ref="T258">_xlfn.IFS(L258&gt;5,"High",L258=5,"mediam",L258&lt;5,"low")</f>
        <v>low</v>
      </c>
      <c r="U258" s="1" t="b">
        <f t="shared" si="19"/>
        <v>0</v>
      </c>
    </row>
    <row r="259" spans="1:21" x14ac:dyDescent="0.3">
      <c r="A259" s="5">
        <v>10258</v>
      </c>
      <c r="B259" s="1">
        <v>1683</v>
      </c>
      <c r="C259" s="2">
        <v>44947</v>
      </c>
      <c r="D259" s="2">
        <v>44950</v>
      </c>
      <c r="E259" s="1" t="s">
        <v>40</v>
      </c>
      <c r="F259" s="1" t="s">
        <v>38</v>
      </c>
      <c r="G259" s="1" t="s">
        <v>24</v>
      </c>
      <c r="H259" s="1" t="s">
        <v>35</v>
      </c>
      <c r="I259" s="1" t="s">
        <v>57</v>
      </c>
      <c r="J259" s="1" t="s">
        <v>59</v>
      </c>
      <c r="K259" s="1" t="s">
        <v>28</v>
      </c>
      <c r="L259" s="1">
        <v>7</v>
      </c>
      <c r="M259" s="1">
        <v>1804.05</v>
      </c>
      <c r="N259" s="1">
        <v>0</v>
      </c>
      <c r="O259" s="1">
        <v>12628.35</v>
      </c>
      <c r="P259" s="1">
        <f t="shared" ref="P259:P322" si="20">L259*M259</f>
        <v>12628.35</v>
      </c>
      <c r="Q259" s="10">
        <f t="shared" ref="Q259:Q322" si="21">O259*N259%</f>
        <v>0</v>
      </c>
      <c r="R259" s="11">
        <f t="shared" ref="R259:R322" si="22">P259-Q259</f>
        <v>12628.35</v>
      </c>
      <c r="S259" s="1" t="str">
        <f t="shared" ref="S259:S322" si="23">IF(L259&gt;=5,"High","Low")</f>
        <v>High</v>
      </c>
      <c r="T259" s="1" t="str" cm="1">
        <f t="array" ref="T259">_xlfn.IFS(L259&gt;5,"High",L259=5,"mediam",L259&lt;5,"low")</f>
        <v>High</v>
      </c>
      <c r="U259" s="1" t="str">
        <f t="shared" ref="U259:U322" si="24">IF(L259&gt;5,"High",IF(L259="Mediam","Low"))</f>
        <v>High</v>
      </c>
    </row>
    <row r="260" spans="1:21" x14ac:dyDescent="0.3">
      <c r="A260" s="5">
        <v>10259</v>
      </c>
      <c r="B260" s="1">
        <v>1663</v>
      </c>
      <c r="C260" s="2">
        <v>45122</v>
      </c>
      <c r="D260" s="2">
        <v>45126</v>
      </c>
      <c r="E260" s="1" t="s">
        <v>16</v>
      </c>
      <c r="F260" s="1" t="s">
        <v>29</v>
      </c>
      <c r="G260" s="1" t="s">
        <v>24</v>
      </c>
      <c r="H260" s="1" t="s">
        <v>25</v>
      </c>
      <c r="I260" s="1" t="s">
        <v>49</v>
      </c>
      <c r="J260" s="1" t="s">
        <v>51</v>
      </c>
      <c r="K260" s="1" t="s">
        <v>21</v>
      </c>
      <c r="L260" s="1">
        <v>9</v>
      </c>
      <c r="M260" s="1">
        <v>1223.9100000000001</v>
      </c>
      <c r="N260" s="1">
        <v>5</v>
      </c>
      <c r="O260" s="1">
        <v>10464.43</v>
      </c>
      <c r="P260" s="1">
        <f t="shared" si="20"/>
        <v>11015.19</v>
      </c>
      <c r="Q260" s="10">
        <f t="shared" si="21"/>
        <v>523.22149999999999</v>
      </c>
      <c r="R260" s="11">
        <f t="shared" si="22"/>
        <v>10491.968500000001</v>
      </c>
      <c r="S260" s="1" t="str">
        <f t="shared" si="23"/>
        <v>High</v>
      </c>
      <c r="T260" s="1" t="str" cm="1">
        <f t="array" ref="T260">_xlfn.IFS(L260&gt;5,"High",L260=5,"mediam",L260&lt;5,"low")</f>
        <v>High</v>
      </c>
      <c r="U260" s="1" t="str">
        <f t="shared" si="24"/>
        <v>High</v>
      </c>
    </row>
    <row r="261" spans="1:21" x14ac:dyDescent="0.3">
      <c r="A261" s="5">
        <v>10260</v>
      </c>
      <c r="B261" s="1">
        <v>1974</v>
      </c>
      <c r="C261" s="2">
        <v>45104</v>
      </c>
      <c r="D261" s="2">
        <v>45110</v>
      </c>
      <c r="E261" s="1" t="s">
        <v>22</v>
      </c>
      <c r="F261" s="1" t="s">
        <v>41</v>
      </c>
      <c r="G261" s="1" t="s">
        <v>17</v>
      </c>
      <c r="H261" s="1" t="s">
        <v>42</v>
      </c>
      <c r="I261" s="1" t="s">
        <v>31</v>
      </c>
      <c r="J261" s="1" t="s">
        <v>65</v>
      </c>
      <c r="K261" s="1" t="s">
        <v>28</v>
      </c>
      <c r="L261" s="1">
        <v>3</v>
      </c>
      <c r="M261" s="1">
        <v>647.32000000000005</v>
      </c>
      <c r="N261" s="1">
        <v>5</v>
      </c>
      <c r="O261" s="1">
        <v>1844.86</v>
      </c>
      <c r="P261" s="1">
        <f t="shared" si="20"/>
        <v>1941.96</v>
      </c>
      <c r="Q261" s="10">
        <f t="shared" si="21"/>
        <v>92.242999999999995</v>
      </c>
      <c r="R261" s="11">
        <f t="shared" si="22"/>
        <v>1849.7170000000001</v>
      </c>
      <c r="S261" s="1" t="str">
        <f t="shared" si="23"/>
        <v>Low</v>
      </c>
      <c r="T261" s="1" t="str" cm="1">
        <f t="array" ref="T261">_xlfn.IFS(L261&gt;5,"High",L261=5,"mediam",L261&lt;5,"low")</f>
        <v>low</v>
      </c>
      <c r="U261" s="1" t="b">
        <f t="shared" si="24"/>
        <v>0</v>
      </c>
    </row>
    <row r="262" spans="1:21" x14ac:dyDescent="0.3">
      <c r="A262" s="5">
        <v>10261</v>
      </c>
      <c r="B262" s="1">
        <v>1826</v>
      </c>
      <c r="C262" s="2">
        <v>44933</v>
      </c>
      <c r="D262" s="2">
        <v>44936</v>
      </c>
      <c r="E262" s="1" t="s">
        <v>15</v>
      </c>
      <c r="F262" s="1" t="s">
        <v>54</v>
      </c>
      <c r="G262" s="1" t="s">
        <v>24</v>
      </c>
      <c r="H262" s="1" t="s">
        <v>25</v>
      </c>
      <c r="I262" s="1" t="s">
        <v>31</v>
      </c>
      <c r="J262" s="1" t="s">
        <v>32</v>
      </c>
      <c r="K262" s="1" t="s">
        <v>33</v>
      </c>
      <c r="L262" s="1">
        <v>2</v>
      </c>
      <c r="M262" s="1">
        <v>533.25</v>
      </c>
      <c r="N262" s="1">
        <v>0</v>
      </c>
      <c r="O262" s="1">
        <v>1066.5</v>
      </c>
      <c r="P262" s="1">
        <f t="shared" si="20"/>
        <v>1066.5</v>
      </c>
      <c r="Q262" s="10">
        <f t="shared" si="21"/>
        <v>0</v>
      </c>
      <c r="R262" s="11">
        <f t="shared" si="22"/>
        <v>1066.5</v>
      </c>
      <c r="S262" s="1" t="str">
        <f t="shared" si="23"/>
        <v>Low</v>
      </c>
      <c r="T262" s="1" t="str" cm="1">
        <f t="array" ref="T262">_xlfn.IFS(L262&gt;5,"High",L262=5,"mediam",L262&lt;5,"low")</f>
        <v>low</v>
      </c>
      <c r="U262" s="1" t="b">
        <f t="shared" si="24"/>
        <v>0</v>
      </c>
    </row>
    <row r="263" spans="1:21" x14ac:dyDescent="0.3">
      <c r="A263" s="5">
        <v>10262</v>
      </c>
      <c r="B263" s="1">
        <v>1373</v>
      </c>
      <c r="C263" s="2">
        <v>44996</v>
      </c>
      <c r="D263" s="2">
        <v>44998</v>
      </c>
      <c r="E263" s="1" t="s">
        <v>15</v>
      </c>
      <c r="F263" s="1" t="s">
        <v>23</v>
      </c>
      <c r="G263" s="1" t="s">
        <v>17</v>
      </c>
      <c r="H263" s="1" t="s">
        <v>44</v>
      </c>
      <c r="I263" s="1" t="s">
        <v>57</v>
      </c>
      <c r="J263" s="1" t="s">
        <v>59</v>
      </c>
      <c r="K263" s="1" t="s">
        <v>21</v>
      </c>
      <c r="L263" s="1">
        <v>7</v>
      </c>
      <c r="M263" s="1">
        <v>2472.29</v>
      </c>
      <c r="N263" s="1">
        <v>10</v>
      </c>
      <c r="O263" s="1">
        <v>15575.43</v>
      </c>
      <c r="P263" s="1">
        <f t="shared" si="20"/>
        <v>17306.03</v>
      </c>
      <c r="Q263" s="10">
        <f t="shared" si="21"/>
        <v>1557.5430000000001</v>
      </c>
      <c r="R263" s="11">
        <f t="shared" si="22"/>
        <v>15748.486999999999</v>
      </c>
      <c r="S263" s="1" t="str">
        <f t="shared" si="23"/>
        <v>High</v>
      </c>
      <c r="T263" s="1" t="str" cm="1">
        <f t="array" ref="T263">_xlfn.IFS(L263&gt;5,"High",L263=5,"mediam",L263&lt;5,"low")</f>
        <v>High</v>
      </c>
      <c r="U263" s="1" t="str">
        <f t="shared" si="24"/>
        <v>High</v>
      </c>
    </row>
    <row r="264" spans="1:21" x14ac:dyDescent="0.3">
      <c r="A264" s="5">
        <v>10263</v>
      </c>
      <c r="B264" s="1">
        <v>1671</v>
      </c>
      <c r="C264" s="2">
        <v>45053</v>
      </c>
      <c r="D264" s="2">
        <v>45059</v>
      </c>
      <c r="E264" s="1" t="s">
        <v>40</v>
      </c>
      <c r="F264" s="1" t="s">
        <v>38</v>
      </c>
      <c r="G264" s="1" t="s">
        <v>30</v>
      </c>
      <c r="H264" s="1" t="s">
        <v>35</v>
      </c>
      <c r="I264" s="1" t="s">
        <v>49</v>
      </c>
      <c r="J264" s="1" t="s">
        <v>63</v>
      </c>
      <c r="K264" s="1" t="s">
        <v>33</v>
      </c>
      <c r="L264" s="1">
        <v>7</v>
      </c>
      <c r="M264" s="1">
        <v>2165.86</v>
      </c>
      <c r="N264" s="1">
        <v>0</v>
      </c>
      <c r="O264" s="1">
        <v>15161.02</v>
      </c>
      <c r="P264" s="1">
        <f t="shared" si="20"/>
        <v>15161.02</v>
      </c>
      <c r="Q264" s="10">
        <f t="shared" si="21"/>
        <v>0</v>
      </c>
      <c r="R264" s="11">
        <f t="shared" si="22"/>
        <v>15161.02</v>
      </c>
      <c r="S264" s="1" t="str">
        <f t="shared" si="23"/>
        <v>High</v>
      </c>
      <c r="T264" s="1" t="str" cm="1">
        <f t="array" ref="T264">_xlfn.IFS(L264&gt;5,"High",L264=5,"mediam",L264&lt;5,"low")</f>
        <v>High</v>
      </c>
      <c r="U264" s="1" t="str">
        <f t="shared" si="24"/>
        <v>High</v>
      </c>
    </row>
    <row r="265" spans="1:21" x14ac:dyDescent="0.3">
      <c r="A265" s="5">
        <v>10264</v>
      </c>
      <c r="B265" s="1">
        <v>1607</v>
      </c>
      <c r="C265" s="2">
        <v>45086</v>
      </c>
      <c r="D265" s="2">
        <v>45091</v>
      </c>
      <c r="E265" s="1" t="s">
        <v>15</v>
      </c>
      <c r="F265" s="1" t="s">
        <v>16</v>
      </c>
      <c r="G265" s="1" t="s">
        <v>30</v>
      </c>
      <c r="H265" s="1" t="s">
        <v>44</v>
      </c>
      <c r="I265" s="1" t="s">
        <v>52</v>
      </c>
      <c r="J265" s="1" t="s">
        <v>60</v>
      </c>
      <c r="K265" s="1" t="s">
        <v>47</v>
      </c>
      <c r="L265" s="1">
        <v>4</v>
      </c>
      <c r="M265" s="1">
        <v>1126.3</v>
      </c>
      <c r="N265" s="1">
        <v>20</v>
      </c>
      <c r="O265" s="1">
        <v>3604.16</v>
      </c>
      <c r="P265" s="1">
        <f t="shared" si="20"/>
        <v>4505.2</v>
      </c>
      <c r="Q265" s="10">
        <f t="shared" si="21"/>
        <v>720.83199999999999</v>
      </c>
      <c r="R265" s="11">
        <f t="shared" si="22"/>
        <v>3784.3679999999999</v>
      </c>
      <c r="S265" s="1" t="str">
        <f t="shared" si="23"/>
        <v>Low</v>
      </c>
      <c r="T265" s="1" t="str" cm="1">
        <f t="array" ref="T265">_xlfn.IFS(L265&gt;5,"High",L265=5,"mediam",L265&lt;5,"low")</f>
        <v>low</v>
      </c>
      <c r="U265" s="1" t="b">
        <f t="shared" si="24"/>
        <v>0</v>
      </c>
    </row>
    <row r="266" spans="1:21" x14ac:dyDescent="0.3">
      <c r="A266" s="5">
        <v>10265</v>
      </c>
      <c r="B266" s="1">
        <v>1471</v>
      </c>
      <c r="C266" s="2">
        <v>45174</v>
      </c>
      <c r="D266" s="2">
        <v>45179</v>
      </c>
      <c r="E266" s="1" t="s">
        <v>46</v>
      </c>
      <c r="F266" s="1" t="s">
        <v>38</v>
      </c>
      <c r="G266" s="1" t="s">
        <v>24</v>
      </c>
      <c r="H266" s="1" t="s">
        <v>18</v>
      </c>
      <c r="I266" s="1" t="s">
        <v>26</v>
      </c>
      <c r="J266" s="1" t="s">
        <v>61</v>
      </c>
      <c r="K266" s="1" t="s">
        <v>21</v>
      </c>
      <c r="L266" s="1">
        <v>9</v>
      </c>
      <c r="M266" s="1">
        <v>1963.16</v>
      </c>
      <c r="N266" s="1">
        <v>20</v>
      </c>
      <c r="O266" s="1">
        <v>14134.75</v>
      </c>
      <c r="P266" s="1">
        <f t="shared" si="20"/>
        <v>17668.440000000002</v>
      </c>
      <c r="Q266" s="10">
        <f t="shared" si="21"/>
        <v>2826.9500000000003</v>
      </c>
      <c r="R266" s="11">
        <f t="shared" si="22"/>
        <v>14841.490000000002</v>
      </c>
      <c r="S266" s="1" t="str">
        <f t="shared" si="23"/>
        <v>High</v>
      </c>
      <c r="T266" s="1" t="str" cm="1">
        <f t="array" ref="T266">_xlfn.IFS(L266&gt;5,"High",L266=5,"mediam",L266&lt;5,"low")</f>
        <v>High</v>
      </c>
      <c r="U266" s="1" t="str">
        <f t="shared" si="24"/>
        <v>High</v>
      </c>
    </row>
    <row r="267" spans="1:21" x14ac:dyDescent="0.3">
      <c r="A267" s="5">
        <v>10266</v>
      </c>
      <c r="B267" s="1">
        <v>1232</v>
      </c>
      <c r="C267" s="2">
        <v>45129</v>
      </c>
      <c r="D267" s="2">
        <v>45134</v>
      </c>
      <c r="E267" s="1" t="s">
        <v>40</v>
      </c>
      <c r="F267" s="1" t="s">
        <v>16</v>
      </c>
      <c r="G267" s="1" t="s">
        <v>30</v>
      </c>
      <c r="H267" s="1" t="s">
        <v>35</v>
      </c>
      <c r="I267" s="1" t="s">
        <v>26</v>
      </c>
      <c r="J267" s="1" t="s">
        <v>61</v>
      </c>
      <c r="K267" s="1" t="s">
        <v>33</v>
      </c>
      <c r="L267" s="1">
        <v>8</v>
      </c>
      <c r="M267" s="1">
        <v>2045.09</v>
      </c>
      <c r="N267" s="1">
        <v>10</v>
      </c>
      <c r="O267" s="1">
        <v>14724.65</v>
      </c>
      <c r="P267" s="1">
        <f t="shared" si="20"/>
        <v>16360.72</v>
      </c>
      <c r="Q267" s="10">
        <f t="shared" si="21"/>
        <v>1472.4650000000001</v>
      </c>
      <c r="R267" s="11">
        <f t="shared" si="22"/>
        <v>14888.254999999999</v>
      </c>
      <c r="S267" s="1" t="str">
        <f t="shared" si="23"/>
        <v>High</v>
      </c>
      <c r="T267" s="1" t="str" cm="1">
        <f t="array" ref="T267">_xlfn.IFS(L267&gt;5,"High",L267=5,"mediam",L267&lt;5,"low")</f>
        <v>High</v>
      </c>
      <c r="U267" s="1" t="str">
        <f t="shared" si="24"/>
        <v>High</v>
      </c>
    </row>
    <row r="268" spans="1:21" x14ac:dyDescent="0.3">
      <c r="A268" s="5">
        <v>10267</v>
      </c>
      <c r="B268" s="1">
        <v>1691</v>
      </c>
      <c r="C268" s="2">
        <v>45074</v>
      </c>
      <c r="D268" s="2">
        <v>45079</v>
      </c>
      <c r="E268" s="1" t="s">
        <v>40</v>
      </c>
      <c r="F268" s="1" t="s">
        <v>38</v>
      </c>
      <c r="G268" s="1" t="s">
        <v>30</v>
      </c>
      <c r="H268" s="1" t="s">
        <v>44</v>
      </c>
      <c r="I268" s="1" t="s">
        <v>52</v>
      </c>
      <c r="J268" s="1" t="s">
        <v>53</v>
      </c>
      <c r="K268" s="1" t="s">
        <v>47</v>
      </c>
      <c r="L268" s="1">
        <v>1</v>
      </c>
      <c r="M268" s="1">
        <v>900.78</v>
      </c>
      <c r="N268" s="1">
        <v>5</v>
      </c>
      <c r="O268" s="1">
        <v>855.74</v>
      </c>
      <c r="P268" s="1">
        <f t="shared" si="20"/>
        <v>900.78</v>
      </c>
      <c r="Q268" s="10">
        <f t="shared" si="21"/>
        <v>42.787000000000006</v>
      </c>
      <c r="R268" s="11">
        <f t="shared" si="22"/>
        <v>857.99299999999994</v>
      </c>
      <c r="S268" s="1" t="str">
        <f t="shared" si="23"/>
        <v>Low</v>
      </c>
      <c r="T268" s="1" t="str" cm="1">
        <f t="array" ref="T268">_xlfn.IFS(L268&gt;5,"High",L268=5,"mediam",L268&lt;5,"low")</f>
        <v>low</v>
      </c>
      <c r="U268" s="1" t="b">
        <f t="shared" si="24"/>
        <v>0</v>
      </c>
    </row>
    <row r="269" spans="1:21" x14ac:dyDescent="0.3">
      <c r="A269" s="5">
        <v>10268</v>
      </c>
      <c r="B269" s="1">
        <v>1112</v>
      </c>
      <c r="C269" s="2">
        <v>45069</v>
      </c>
      <c r="D269" s="2">
        <v>45072</v>
      </c>
      <c r="E269" s="1" t="s">
        <v>37</v>
      </c>
      <c r="F269" s="1" t="s">
        <v>16</v>
      </c>
      <c r="G269" s="1" t="s">
        <v>30</v>
      </c>
      <c r="H269" s="1" t="s">
        <v>42</v>
      </c>
      <c r="I269" s="1" t="s">
        <v>31</v>
      </c>
      <c r="J269" s="1" t="s">
        <v>39</v>
      </c>
      <c r="K269" s="1" t="s">
        <v>28</v>
      </c>
      <c r="L269" s="1">
        <v>1</v>
      </c>
      <c r="M269" s="1">
        <v>2660.56</v>
      </c>
      <c r="N269" s="1">
        <v>10</v>
      </c>
      <c r="O269" s="1">
        <v>2394.5</v>
      </c>
      <c r="P269" s="1">
        <f t="shared" si="20"/>
        <v>2660.56</v>
      </c>
      <c r="Q269" s="10">
        <f t="shared" si="21"/>
        <v>239.45000000000002</v>
      </c>
      <c r="R269" s="11">
        <f t="shared" si="22"/>
        <v>2421.11</v>
      </c>
      <c r="S269" s="1" t="str">
        <f t="shared" si="23"/>
        <v>Low</v>
      </c>
      <c r="T269" s="1" t="str" cm="1">
        <f t="array" ref="T269">_xlfn.IFS(L269&gt;5,"High",L269=5,"mediam",L269&lt;5,"low")</f>
        <v>low</v>
      </c>
      <c r="U269" s="1" t="b">
        <f t="shared" si="24"/>
        <v>0</v>
      </c>
    </row>
    <row r="270" spans="1:21" x14ac:dyDescent="0.3">
      <c r="A270" s="5">
        <v>10269</v>
      </c>
      <c r="B270" s="1">
        <v>1829</v>
      </c>
      <c r="C270" s="2">
        <v>45125</v>
      </c>
      <c r="D270" s="2">
        <v>45132</v>
      </c>
      <c r="E270" s="1" t="s">
        <v>15</v>
      </c>
      <c r="F270" s="1" t="s">
        <v>41</v>
      </c>
      <c r="G270" s="1" t="s">
        <v>24</v>
      </c>
      <c r="H270" s="1" t="s">
        <v>35</v>
      </c>
      <c r="I270" s="1" t="s">
        <v>49</v>
      </c>
      <c r="J270" s="1" t="s">
        <v>51</v>
      </c>
      <c r="K270" s="1" t="s">
        <v>47</v>
      </c>
      <c r="L270" s="1">
        <v>5</v>
      </c>
      <c r="M270" s="1">
        <v>3156.54</v>
      </c>
      <c r="N270" s="1">
        <v>20</v>
      </c>
      <c r="O270" s="1">
        <v>12626.16</v>
      </c>
      <c r="P270" s="1">
        <f t="shared" si="20"/>
        <v>15782.7</v>
      </c>
      <c r="Q270" s="10">
        <f t="shared" si="21"/>
        <v>2525.232</v>
      </c>
      <c r="R270" s="11">
        <f t="shared" si="22"/>
        <v>13257.468000000001</v>
      </c>
      <c r="S270" s="1" t="str">
        <f t="shared" si="23"/>
        <v>High</v>
      </c>
      <c r="T270" s="1" t="str" cm="1">
        <f t="array" ref="T270">_xlfn.IFS(L270&gt;5,"High",L270=5,"mediam",L270&lt;5,"low")</f>
        <v>mediam</v>
      </c>
      <c r="U270" s="1" t="b">
        <f t="shared" si="24"/>
        <v>0</v>
      </c>
    </row>
    <row r="271" spans="1:21" x14ac:dyDescent="0.3">
      <c r="A271" s="5">
        <v>10270</v>
      </c>
      <c r="B271" s="1">
        <v>1496</v>
      </c>
      <c r="C271" s="2">
        <v>45080</v>
      </c>
      <c r="D271" s="2">
        <v>45086</v>
      </c>
      <c r="E271" s="1" t="s">
        <v>22</v>
      </c>
      <c r="F271" s="1" t="s">
        <v>29</v>
      </c>
      <c r="G271" s="1" t="s">
        <v>24</v>
      </c>
      <c r="H271" s="1" t="s">
        <v>35</v>
      </c>
      <c r="I271" s="1" t="s">
        <v>31</v>
      </c>
      <c r="J271" s="1" t="s">
        <v>65</v>
      </c>
      <c r="K271" s="1" t="s">
        <v>45</v>
      </c>
      <c r="L271" s="1">
        <v>6</v>
      </c>
      <c r="M271" s="1">
        <v>3197.13</v>
      </c>
      <c r="N271" s="1">
        <v>10</v>
      </c>
      <c r="O271" s="1">
        <v>17264.5</v>
      </c>
      <c r="P271" s="1">
        <f t="shared" si="20"/>
        <v>19182.78</v>
      </c>
      <c r="Q271" s="10">
        <f t="shared" si="21"/>
        <v>1726.45</v>
      </c>
      <c r="R271" s="11">
        <f t="shared" si="22"/>
        <v>17456.329999999998</v>
      </c>
      <c r="S271" s="1" t="str">
        <f t="shared" si="23"/>
        <v>High</v>
      </c>
      <c r="T271" s="1" t="str" cm="1">
        <f t="array" ref="T271">_xlfn.IFS(L271&gt;5,"High",L271=5,"mediam",L271&lt;5,"low")</f>
        <v>High</v>
      </c>
      <c r="U271" s="1" t="str">
        <f t="shared" si="24"/>
        <v>High</v>
      </c>
    </row>
    <row r="272" spans="1:21" x14ac:dyDescent="0.3">
      <c r="A272" s="5">
        <v>10271</v>
      </c>
      <c r="B272" s="1">
        <v>1441</v>
      </c>
      <c r="C272" s="2">
        <v>45068</v>
      </c>
      <c r="D272" s="2">
        <v>45072</v>
      </c>
      <c r="E272" s="1" t="s">
        <v>40</v>
      </c>
      <c r="F272" s="1" t="s">
        <v>16</v>
      </c>
      <c r="G272" s="1" t="s">
        <v>30</v>
      </c>
      <c r="H272" s="1" t="s">
        <v>25</v>
      </c>
      <c r="I272" s="1" t="s">
        <v>19</v>
      </c>
      <c r="J272" s="1" t="s">
        <v>66</v>
      </c>
      <c r="K272" s="1" t="s">
        <v>47</v>
      </c>
      <c r="L272" s="1">
        <v>3</v>
      </c>
      <c r="M272" s="1">
        <v>2469.5100000000002</v>
      </c>
      <c r="N272" s="1">
        <v>0</v>
      </c>
      <c r="O272" s="1">
        <v>7408.53</v>
      </c>
      <c r="P272" s="1">
        <f t="shared" si="20"/>
        <v>7408.5300000000007</v>
      </c>
      <c r="Q272" s="10">
        <f t="shared" si="21"/>
        <v>0</v>
      </c>
      <c r="R272" s="11">
        <f t="shared" si="22"/>
        <v>7408.5300000000007</v>
      </c>
      <c r="S272" s="1" t="str">
        <f t="shared" si="23"/>
        <v>Low</v>
      </c>
      <c r="T272" s="1" t="str" cm="1">
        <f t="array" ref="T272">_xlfn.IFS(L272&gt;5,"High",L272=5,"mediam",L272&lt;5,"low")</f>
        <v>low</v>
      </c>
      <c r="U272" s="1" t="b">
        <f t="shared" si="24"/>
        <v>0</v>
      </c>
    </row>
    <row r="273" spans="1:21" x14ac:dyDescent="0.3">
      <c r="A273" s="5">
        <v>10272</v>
      </c>
      <c r="B273" s="1">
        <v>1563</v>
      </c>
      <c r="C273" s="2">
        <v>45239</v>
      </c>
      <c r="D273" s="2">
        <v>45241</v>
      </c>
      <c r="E273" s="1" t="s">
        <v>22</v>
      </c>
      <c r="F273" s="1" t="s">
        <v>16</v>
      </c>
      <c r="G273" s="1" t="s">
        <v>17</v>
      </c>
      <c r="H273" s="1" t="s">
        <v>42</v>
      </c>
      <c r="I273" s="1" t="s">
        <v>31</v>
      </c>
      <c r="J273" s="1" t="s">
        <v>48</v>
      </c>
      <c r="K273" s="1" t="s">
        <v>47</v>
      </c>
      <c r="L273" s="1">
        <v>9</v>
      </c>
      <c r="M273" s="1">
        <v>2119.81</v>
      </c>
      <c r="N273" s="1">
        <v>10</v>
      </c>
      <c r="O273" s="1">
        <v>17170.46</v>
      </c>
      <c r="P273" s="1">
        <f t="shared" si="20"/>
        <v>19078.29</v>
      </c>
      <c r="Q273" s="10">
        <f t="shared" si="21"/>
        <v>1717.046</v>
      </c>
      <c r="R273" s="11">
        <f t="shared" si="22"/>
        <v>17361.244000000002</v>
      </c>
      <c r="S273" s="1" t="str">
        <f t="shared" si="23"/>
        <v>High</v>
      </c>
      <c r="T273" s="1" t="str" cm="1">
        <f t="array" ref="T273">_xlfn.IFS(L273&gt;5,"High",L273=5,"mediam",L273&lt;5,"low")</f>
        <v>High</v>
      </c>
      <c r="U273" s="1" t="str">
        <f t="shared" si="24"/>
        <v>High</v>
      </c>
    </row>
    <row r="274" spans="1:21" x14ac:dyDescent="0.3">
      <c r="A274" s="5">
        <v>10273</v>
      </c>
      <c r="B274" s="1">
        <v>1267</v>
      </c>
      <c r="C274" s="2">
        <v>45091</v>
      </c>
      <c r="D274" s="2">
        <v>45100</v>
      </c>
      <c r="E274" s="1" t="s">
        <v>46</v>
      </c>
      <c r="F274" s="1" t="s">
        <v>54</v>
      </c>
      <c r="G274" s="1" t="s">
        <v>30</v>
      </c>
      <c r="H274" s="1" t="s">
        <v>18</v>
      </c>
      <c r="I274" s="1" t="s">
        <v>31</v>
      </c>
      <c r="J274" s="1" t="s">
        <v>39</v>
      </c>
      <c r="K274" s="1" t="s">
        <v>45</v>
      </c>
      <c r="L274" s="1">
        <v>6</v>
      </c>
      <c r="M274" s="1">
        <v>384.88</v>
      </c>
      <c r="N274" s="1">
        <v>5</v>
      </c>
      <c r="O274" s="1">
        <v>2193.8200000000002</v>
      </c>
      <c r="P274" s="1">
        <f t="shared" si="20"/>
        <v>2309.2799999999997</v>
      </c>
      <c r="Q274" s="10">
        <f t="shared" si="21"/>
        <v>109.69100000000002</v>
      </c>
      <c r="R274" s="11">
        <f t="shared" si="22"/>
        <v>2199.5889999999999</v>
      </c>
      <c r="S274" s="1" t="str">
        <f t="shared" si="23"/>
        <v>High</v>
      </c>
      <c r="T274" s="1" t="str" cm="1">
        <f t="array" ref="T274">_xlfn.IFS(L274&gt;5,"High",L274=5,"mediam",L274&lt;5,"low")</f>
        <v>High</v>
      </c>
      <c r="U274" s="1" t="str">
        <f t="shared" si="24"/>
        <v>High</v>
      </c>
    </row>
    <row r="275" spans="1:21" x14ac:dyDescent="0.3">
      <c r="A275" s="5">
        <v>10274</v>
      </c>
      <c r="B275" s="1">
        <v>1509</v>
      </c>
      <c r="C275" s="2">
        <v>45240</v>
      </c>
      <c r="D275" s="2">
        <v>45241</v>
      </c>
      <c r="E275" s="1" t="s">
        <v>37</v>
      </c>
      <c r="F275" s="1" t="s">
        <v>16</v>
      </c>
      <c r="G275" s="1" t="s">
        <v>24</v>
      </c>
      <c r="H275" s="1" t="s">
        <v>44</v>
      </c>
      <c r="I275" s="1" t="s">
        <v>52</v>
      </c>
      <c r="J275" s="1" t="s">
        <v>60</v>
      </c>
      <c r="K275" s="1" t="s">
        <v>33</v>
      </c>
      <c r="L275" s="1">
        <v>4</v>
      </c>
      <c r="M275" s="1">
        <v>1258.1500000000001</v>
      </c>
      <c r="N275" s="1">
        <v>0</v>
      </c>
      <c r="O275" s="1">
        <v>5032.6000000000004</v>
      </c>
      <c r="P275" s="1">
        <f t="shared" si="20"/>
        <v>5032.6000000000004</v>
      </c>
      <c r="Q275" s="10">
        <f t="shared" si="21"/>
        <v>0</v>
      </c>
      <c r="R275" s="11">
        <f t="shared" si="22"/>
        <v>5032.6000000000004</v>
      </c>
      <c r="S275" s="1" t="str">
        <f t="shared" si="23"/>
        <v>Low</v>
      </c>
      <c r="T275" s="1" t="str" cm="1">
        <f t="array" ref="T275">_xlfn.IFS(L275&gt;5,"High",L275=5,"mediam",L275&lt;5,"low")</f>
        <v>low</v>
      </c>
      <c r="U275" s="1" t="b">
        <f t="shared" si="24"/>
        <v>0</v>
      </c>
    </row>
    <row r="276" spans="1:21" x14ac:dyDescent="0.3">
      <c r="A276" s="5">
        <v>10275</v>
      </c>
      <c r="B276" s="1">
        <v>1806</v>
      </c>
      <c r="C276" s="2">
        <v>44947</v>
      </c>
      <c r="D276" s="2">
        <v>44951</v>
      </c>
      <c r="E276" s="1" t="s">
        <v>16</v>
      </c>
      <c r="F276" s="1" t="s">
        <v>54</v>
      </c>
      <c r="G276" s="1" t="s">
        <v>24</v>
      </c>
      <c r="H276" s="1" t="s">
        <v>25</v>
      </c>
      <c r="I276" s="1" t="s">
        <v>52</v>
      </c>
      <c r="J276" s="1" t="s">
        <v>64</v>
      </c>
      <c r="K276" s="1" t="s">
        <v>33</v>
      </c>
      <c r="L276" s="1">
        <v>7</v>
      </c>
      <c r="M276" s="1">
        <v>509.1</v>
      </c>
      <c r="N276" s="1">
        <v>15</v>
      </c>
      <c r="O276" s="1">
        <v>3029.14</v>
      </c>
      <c r="P276" s="1">
        <f t="shared" si="20"/>
        <v>3563.7000000000003</v>
      </c>
      <c r="Q276" s="10">
        <f t="shared" si="21"/>
        <v>454.37099999999998</v>
      </c>
      <c r="R276" s="11">
        <f t="shared" si="22"/>
        <v>3109.3290000000002</v>
      </c>
      <c r="S276" s="1" t="str">
        <f t="shared" si="23"/>
        <v>High</v>
      </c>
      <c r="T276" s="1" t="str" cm="1">
        <f t="array" ref="T276">_xlfn.IFS(L276&gt;5,"High",L276=5,"mediam",L276&lt;5,"low")</f>
        <v>High</v>
      </c>
      <c r="U276" s="1" t="str">
        <f t="shared" si="24"/>
        <v>High</v>
      </c>
    </row>
    <row r="277" spans="1:21" x14ac:dyDescent="0.3">
      <c r="A277" s="5">
        <v>10276</v>
      </c>
      <c r="B277" s="1">
        <v>1385</v>
      </c>
      <c r="C277" s="2">
        <v>45008</v>
      </c>
      <c r="D277" s="2">
        <v>45009</v>
      </c>
      <c r="E277" s="1" t="s">
        <v>22</v>
      </c>
      <c r="F277" s="1" t="s">
        <v>23</v>
      </c>
      <c r="G277" s="1" t="s">
        <v>24</v>
      </c>
      <c r="H277" s="1" t="s">
        <v>44</v>
      </c>
      <c r="I277" s="1" t="s">
        <v>52</v>
      </c>
      <c r="J277" s="1" t="s">
        <v>53</v>
      </c>
      <c r="K277" s="1" t="s">
        <v>47</v>
      </c>
      <c r="L277" s="1">
        <v>8</v>
      </c>
      <c r="M277" s="1">
        <v>3860.72</v>
      </c>
      <c r="N277" s="1">
        <v>20</v>
      </c>
      <c r="O277" s="1">
        <v>24708.61</v>
      </c>
      <c r="P277" s="1">
        <f t="shared" si="20"/>
        <v>30885.759999999998</v>
      </c>
      <c r="Q277" s="10">
        <f t="shared" si="21"/>
        <v>4941.7220000000007</v>
      </c>
      <c r="R277" s="11">
        <f t="shared" si="22"/>
        <v>25944.037999999997</v>
      </c>
      <c r="S277" s="1" t="str">
        <f t="shared" si="23"/>
        <v>High</v>
      </c>
      <c r="T277" s="1" t="str" cm="1">
        <f t="array" ref="T277">_xlfn.IFS(L277&gt;5,"High",L277=5,"mediam",L277&lt;5,"low")</f>
        <v>High</v>
      </c>
      <c r="U277" s="1" t="str">
        <f t="shared" si="24"/>
        <v>High</v>
      </c>
    </row>
    <row r="278" spans="1:21" x14ac:dyDescent="0.3">
      <c r="A278" s="5">
        <v>10277</v>
      </c>
      <c r="B278" s="1">
        <v>1386</v>
      </c>
      <c r="C278" s="2">
        <v>44995</v>
      </c>
      <c r="D278" s="2">
        <v>45001</v>
      </c>
      <c r="E278" s="1" t="s">
        <v>40</v>
      </c>
      <c r="F278" s="1" t="s">
        <v>41</v>
      </c>
      <c r="G278" s="1" t="s">
        <v>30</v>
      </c>
      <c r="H278" s="1" t="s">
        <v>18</v>
      </c>
      <c r="I278" s="1" t="s">
        <v>26</v>
      </c>
      <c r="J278" s="1" t="s">
        <v>69</v>
      </c>
      <c r="K278" s="1" t="s">
        <v>45</v>
      </c>
      <c r="L278" s="1">
        <v>9</v>
      </c>
      <c r="M278" s="1">
        <v>670.06</v>
      </c>
      <c r="N278" s="1">
        <v>20</v>
      </c>
      <c r="O278" s="1">
        <v>4824.43</v>
      </c>
      <c r="P278" s="1">
        <f t="shared" si="20"/>
        <v>6030.5399999999991</v>
      </c>
      <c r="Q278" s="10">
        <f t="shared" si="21"/>
        <v>964.88600000000008</v>
      </c>
      <c r="R278" s="11">
        <f t="shared" si="22"/>
        <v>5065.6539999999986</v>
      </c>
      <c r="S278" s="1" t="str">
        <f t="shared" si="23"/>
        <v>High</v>
      </c>
      <c r="T278" s="1" t="str" cm="1">
        <f t="array" ref="T278">_xlfn.IFS(L278&gt;5,"High",L278=5,"mediam",L278&lt;5,"low")</f>
        <v>High</v>
      </c>
      <c r="U278" s="1" t="str">
        <f t="shared" si="24"/>
        <v>High</v>
      </c>
    </row>
    <row r="279" spans="1:21" x14ac:dyDescent="0.3">
      <c r="A279" s="5">
        <v>10278</v>
      </c>
      <c r="B279" s="1">
        <v>1112</v>
      </c>
      <c r="C279" s="2">
        <v>45057</v>
      </c>
      <c r="D279" s="2">
        <v>45061</v>
      </c>
      <c r="E279" s="1" t="s">
        <v>46</v>
      </c>
      <c r="F279" s="1" t="s">
        <v>54</v>
      </c>
      <c r="G279" s="1" t="s">
        <v>17</v>
      </c>
      <c r="H279" s="1" t="s">
        <v>18</v>
      </c>
      <c r="I279" s="1" t="s">
        <v>19</v>
      </c>
      <c r="J279" s="1" t="s">
        <v>43</v>
      </c>
      <c r="K279" s="1" t="s">
        <v>45</v>
      </c>
      <c r="L279" s="1">
        <v>6</v>
      </c>
      <c r="M279" s="1">
        <v>734.34</v>
      </c>
      <c r="N279" s="1">
        <v>10</v>
      </c>
      <c r="O279" s="1">
        <v>3965.44</v>
      </c>
      <c r="P279" s="1">
        <f t="shared" si="20"/>
        <v>4406.04</v>
      </c>
      <c r="Q279" s="10">
        <f t="shared" si="21"/>
        <v>396.54400000000004</v>
      </c>
      <c r="R279" s="11">
        <f t="shared" si="22"/>
        <v>4009.4960000000001</v>
      </c>
      <c r="S279" s="1" t="str">
        <f t="shared" si="23"/>
        <v>High</v>
      </c>
      <c r="T279" s="1" t="str" cm="1">
        <f t="array" ref="T279">_xlfn.IFS(L279&gt;5,"High",L279=5,"mediam",L279&lt;5,"low")</f>
        <v>High</v>
      </c>
      <c r="U279" s="1" t="str">
        <f t="shared" si="24"/>
        <v>High</v>
      </c>
    </row>
    <row r="280" spans="1:21" x14ac:dyDescent="0.3">
      <c r="A280" s="5">
        <v>10279</v>
      </c>
      <c r="B280" s="1">
        <v>1612</v>
      </c>
      <c r="C280" s="2">
        <v>45013</v>
      </c>
      <c r="D280" s="2">
        <v>45018</v>
      </c>
      <c r="E280" s="1" t="s">
        <v>34</v>
      </c>
      <c r="F280" s="1" t="s">
        <v>29</v>
      </c>
      <c r="G280" s="1" t="s">
        <v>24</v>
      </c>
      <c r="H280" s="1" t="s">
        <v>35</v>
      </c>
      <c r="I280" s="1" t="s">
        <v>52</v>
      </c>
      <c r="J280" s="1" t="s">
        <v>60</v>
      </c>
      <c r="K280" s="1" t="s">
        <v>28</v>
      </c>
      <c r="L280" s="1">
        <v>6</v>
      </c>
      <c r="M280" s="1">
        <v>3574.87</v>
      </c>
      <c r="N280" s="1">
        <v>0</v>
      </c>
      <c r="O280" s="1">
        <v>21449.22</v>
      </c>
      <c r="P280" s="1">
        <f t="shared" si="20"/>
        <v>21449.22</v>
      </c>
      <c r="Q280" s="10">
        <f t="shared" si="21"/>
        <v>0</v>
      </c>
      <c r="R280" s="11">
        <f t="shared" si="22"/>
        <v>21449.22</v>
      </c>
      <c r="S280" s="1" t="str">
        <f t="shared" si="23"/>
        <v>High</v>
      </c>
      <c r="T280" s="1" t="str" cm="1">
        <f t="array" ref="T280">_xlfn.IFS(L280&gt;5,"High",L280=5,"mediam",L280&lt;5,"low")</f>
        <v>High</v>
      </c>
      <c r="U280" s="1" t="str">
        <f t="shared" si="24"/>
        <v>High</v>
      </c>
    </row>
    <row r="281" spans="1:21" x14ac:dyDescent="0.3">
      <c r="A281" s="5">
        <v>10280</v>
      </c>
      <c r="B281" s="1">
        <v>1624</v>
      </c>
      <c r="C281" s="2">
        <v>45144</v>
      </c>
      <c r="D281" s="2">
        <v>45149</v>
      </c>
      <c r="E281" s="1" t="s">
        <v>46</v>
      </c>
      <c r="F281" s="1" t="s">
        <v>41</v>
      </c>
      <c r="G281" s="1" t="s">
        <v>24</v>
      </c>
      <c r="H281" s="1" t="s">
        <v>18</v>
      </c>
      <c r="I281" s="1" t="s">
        <v>49</v>
      </c>
      <c r="J281" s="1" t="s">
        <v>68</v>
      </c>
      <c r="K281" s="1" t="s">
        <v>33</v>
      </c>
      <c r="L281" s="1">
        <v>8</v>
      </c>
      <c r="M281" s="1">
        <v>3784.12</v>
      </c>
      <c r="N281" s="1">
        <v>15</v>
      </c>
      <c r="O281" s="1">
        <v>25732.02</v>
      </c>
      <c r="P281" s="1">
        <f t="shared" si="20"/>
        <v>30272.959999999999</v>
      </c>
      <c r="Q281" s="10">
        <f t="shared" si="21"/>
        <v>3859.8029999999999</v>
      </c>
      <c r="R281" s="11">
        <f t="shared" si="22"/>
        <v>26413.156999999999</v>
      </c>
      <c r="S281" s="1" t="str">
        <f t="shared" si="23"/>
        <v>High</v>
      </c>
      <c r="T281" s="1" t="str" cm="1">
        <f t="array" ref="T281">_xlfn.IFS(L281&gt;5,"High",L281=5,"mediam",L281&lt;5,"low")</f>
        <v>High</v>
      </c>
      <c r="U281" s="1" t="str">
        <f t="shared" si="24"/>
        <v>High</v>
      </c>
    </row>
    <row r="282" spans="1:21" x14ac:dyDescent="0.3">
      <c r="A282" s="5">
        <v>10281</v>
      </c>
      <c r="B282" s="1">
        <v>1951</v>
      </c>
      <c r="C282" s="2">
        <v>45231</v>
      </c>
      <c r="D282" s="2">
        <v>45240</v>
      </c>
      <c r="E282" s="1" t="s">
        <v>46</v>
      </c>
      <c r="F282" s="1" t="s">
        <v>54</v>
      </c>
      <c r="G282" s="1" t="s">
        <v>30</v>
      </c>
      <c r="H282" s="1" t="s">
        <v>44</v>
      </c>
      <c r="I282" s="1" t="s">
        <v>26</v>
      </c>
      <c r="J282" s="1" t="s">
        <v>69</v>
      </c>
      <c r="K282" s="1" t="s">
        <v>21</v>
      </c>
      <c r="L282" s="1">
        <v>5</v>
      </c>
      <c r="M282" s="1">
        <v>3098.44</v>
      </c>
      <c r="N282" s="1">
        <v>0</v>
      </c>
      <c r="O282" s="1">
        <v>15492.2</v>
      </c>
      <c r="P282" s="1">
        <f t="shared" si="20"/>
        <v>15492.2</v>
      </c>
      <c r="Q282" s="10">
        <f t="shared" si="21"/>
        <v>0</v>
      </c>
      <c r="R282" s="11">
        <f t="shared" si="22"/>
        <v>15492.2</v>
      </c>
      <c r="S282" s="1" t="str">
        <f t="shared" si="23"/>
        <v>High</v>
      </c>
      <c r="T282" s="1" t="str" cm="1">
        <f t="array" ref="T282">_xlfn.IFS(L282&gt;5,"High",L282=5,"mediam",L282&lt;5,"low")</f>
        <v>mediam</v>
      </c>
      <c r="U282" s="1" t="b">
        <f t="shared" si="24"/>
        <v>0</v>
      </c>
    </row>
    <row r="283" spans="1:21" x14ac:dyDescent="0.3">
      <c r="A283" s="5">
        <v>10282</v>
      </c>
      <c r="B283" s="1">
        <v>1080</v>
      </c>
      <c r="C283" s="2">
        <v>45271</v>
      </c>
      <c r="D283" s="2">
        <v>45272</v>
      </c>
      <c r="E283" s="1" t="s">
        <v>37</v>
      </c>
      <c r="F283" s="1" t="s">
        <v>41</v>
      </c>
      <c r="G283" s="1" t="s">
        <v>17</v>
      </c>
      <c r="H283" s="1" t="s">
        <v>42</v>
      </c>
      <c r="I283" s="1" t="s">
        <v>57</v>
      </c>
      <c r="J283" s="1" t="s">
        <v>67</v>
      </c>
      <c r="K283" s="1" t="s">
        <v>33</v>
      </c>
      <c r="L283" s="1">
        <v>3</v>
      </c>
      <c r="M283" s="1">
        <v>170.81</v>
      </c>
      <c r="N283" s="1">
        <v>20</v>
      </c>
      <c r="O283" s="1">
        <v>409.94</v>
      </c>
      <c r="P283" s="1">
        <f t="shared" si="20"/>
        <v>512.43000000000006</v>
      </c>
      <c r="Q283" s="10">
        <f t="shared" si="21"/>
        <v>81.988</v>
      </c>
      <c r="R283" s="11">
        <f t="shared" si="22"/>
        <v>430.44200000000006</v>
      </c>
      <c r="S283" s="1" t="str">
        <f t="shared" si="23"/>
        <v>Low</v>
      </c>
      <c r="T283" s="1" t="str" cm="1">
        <f t="array" ref="T283">_xlfn.IFS(L283&gt;5,"High",L283=5,"mediam",L283&lt;5,"low")</f>
        <v>low</v>
      </c>
      <c r="U283" s="1" t="b">
        <f t="shared" si="24"/>
        <v>0</v>
      </c>
    </row>
    <row r="284" spans="1:21" x14ac:dyDescent="0.3">
      <c r="A284" s="5">
        <v>10283</v>
      </c>
      <c r="B284" s="1">
        <v>1698</v>
      </c>
      <c r="C284" s="2">
        <v>45267</v>
      </c>
      <c r="D284" s="2">
        <v>45269</v>
      </c>
      <c r="E284" s="1" t="s">
        <v>16</v>
      </c>
      <c r="F284" s="1" t="s">
        <v>41</v>
      </c>
      <c r="G284" s="1" t="s">
        <v>30</v>
      </c>
      <c r="H284" s="1" t="s">
        <v>42</v>
      </c>
      <c r="I284" s="1" t="s">
        <v>49</v>
      </c>
      <c r="J284" s="1" t="s">
        <v>63</v>
      </c>
      <c r="K284" s="1" t="s">
        <v>33</v>
      </c>
      <c r="L284" s="1">
        <v>3</v>
      </c>
      <c r="M284" s="1">
        <v>155.18</v>
      </c>
      <c r="N284" s="1">
        <v>0</v>
      </c>
      <c r="O284" s="1">
        <v>465.54</v>
      </c>
      <c r="P284" s="1">
        <f t="shared" si="20"/>
        <v>465.54</v>
      </c>
      <c r="Q284" s="10">
        <f t="shared" si="21"/>
        <v>0</v>
      </c>
      <c r="R284" s="11">
        <f t="shared" si="22"/>
        <v>465.54</v>
      </c>
      <c r="S284" s="1" t="str">
        <f t="shared" si="23"/>
        <v>Low</v>
      </c>
      <c r="T284" s="1" t="str" cm="1">
        <f t="array" ref="T284">_xlfn.IFS(L284&gt;5,"High",L284=5,"mediam",L284&lt;5,"low")</f>
        <v>low</v>
      </c>
      <c r="U284" s="1" t="b">
        <f t="shared" si="24"/>
        <v>0</v>
      </c>
    </row>
    <row r="285" spans="1:21" x14ac:dyDescent="0.3">
      <c r="A285" s="5">
        <v>10284</v>
      </c>
      <c r="B285" s="1">
        <v>1112</v>
      </c>
      <c r="C285" s="2">
        <v>45087</v>
      </c>
      <c r="D285" s="2">
        <v>45093</v>
      </c>
      <c r="E285" s="1" t="s">
        <v>34</v>
      </c>
      <c r="F285" s="1" t="s">
        <v>41</v>
      </c>
      <c r="G285" s="1" t="s">
        <v>24</v>
      </c>
      <c r="H285" s="1" t="s">
        <v>35</v>
      </c>
      <c r="I285" s="1" t="s">
        <v>49</v>
      </c>
      <c r="J285" s="1" t="s">
        <v>51</v>
      </c>
      <c r="K285" s="1" t="s">
        <v>28</v>
      </c>
      <c r="L285" s="1">
        <v>6</v>
      </c>
      <c r="M285" s="1">
        <v>1605.69</v>
      </c>
      <c r="N285" s="1">
        <v>15</v>
      </c>
      <c r="O285" s="1">
        <v>8189.02</v>
      </c>
      <c r="P285" s="1">
        <f t="shared" si="20"/>
        <v>9634.14</v>
      </c>
      <c r="Q285" s="10">
        <f t="shared" si="21"/>
        <v>1228.3530000000001</v>
      </c>
      <c r="R285" s="11">
        <f t="shared" si="22"/>
        <v>8405.7870000000003</v>
      </c>
      <c r="S285" s="1" t="str">
        <f t="shared" si="23"/>
        <v>High</v>
      </c>
      <c r="T285" s="1" t="str" cm="1">
        <f t="array" ref="T285">_xlfn.IFS(L285&gt;5,"High",L285=5,"mediam",L285&lt;5,"low")</f>
        <v>High</v>
      </c>
      <c r="U285" s="1" t="str">
        <f t="shared" si="24"/>
        <v>High</v>
      </c>
    </row>
    <row r="286" spans="1:21" x14ac:dyDescent="0.3">
      <c r="A286" s="5">
        <v>10285</v>
      </c>
      <c r="B286" s="1">
        <v>1001</v>
      </c>
      <c r="C286" s="2">
        <v>45104</v>
      </c>
      <c r="D286" s="2">
        <v>45109</v>
      </c>
      <c r="E286" s="1" t="s">
        <v>15</v>
      </c>
      <c r="F286" s="1" t="s">
        <v>23</v>
      </c>
      <c r="G286" s="1" t="s">
        <v>17</v>
      </c>
      <c r="H286" s="1" t="s">
        <v>44</v>
      </c>
      <c r="I286" s="1" t="s">
        <v>52</v>
      </c>
      <c r="J286" s="1" t="s">
        <v>56</v>
      </c>
      <c r="K286" s="1" t="s">
        <v>21</v>
      </c>
      <c r="L286" s="1">
        <v>2</v>
      </c>
      <c r="M286" s="1">
        <v>702.07</v>
      </c>
      <c r="N286" s="1">
        <v>10</v>
      </c>
      <c r="O286" s="1">
        <v>1263.73</v>
      </c>
      <c r="P286" s="1">
        <f t="shared" si="20"/>
        <v>1404.14</v>
      </c>
      <c r="Q286" s="10">
        <f t="shared" si="21"/>
        <v>126.373</v>
      </c>
      <c r="R286" s="11">
        <f t="shared" si="22"/>
        <v>1277.7670000000001</v>
      </c>
      <c r="S286" s="1" t="str">
        <f t="shared" si="23"/>
        <v>Low</v>
      </c>
      <c r="T286" s="1" t="str" cm="1">
        <f t="array" ref="T286">_xlfn.IFS(L286&gt;5,"High",L286=5,"mediam",L286&lt;5,"low")</f>
        <v>low</v>
      </c>
      <c r="U286" s="1" t="b">
        <f t="shared" si="24"/>
        <v>0</v>
      </c>
    </row>
    <row r="287" spans="1:21" x14ac:dyDescent="0.3">
      <c r="A287" s="5">
        <v>10286</v>
      </c>
      <c r="B287" s="1">
        <v>1641</v>
      </c>
      <c r="C287" s="2">
        <v>45043</v>
      </c>
      <c r="D287" s="2">
        <v>45050</v>
      </c>
      <c r="E287" s="1" t="s">
        <v>15</v>
      </c>
      <c r="F287" s="1" t="s">
        <v>29</v>
      </c>
      <c r="G287" s="1" t="s">
        <v>17</v>
      </c>
      <c r="H287" s="1" t="s">
        <v>44</v>
      </c>
      <c r="I287" s="1" t="s">
        <v>57</v>
      </c>
      <c r="J287" s="1" t="s">
        <v>58</v>
      </c>
      <c r="K287" s="1" t="s">
        <v>28</v>
      </c>
      <c r="L287" s="1">
        <v>6</v>
      </c>
      <c r="M287" s="1">
        <v>220.79</v>
      </c>
      <c r="N287" s="1">
        <v>5</v>
      </c>
      <c r="O287" s="1">
        <v>1258.5</v>
      </c>
      <c r="P287" s="1">
        <f t="shared" si="20"/>
        <v>1324.74</v>
      </c>
      <c r="Q287" s="10">
        <f t="shared" si="21"/>
        <v>62.925000000000004</v>
      </c>
      <c r="R287" s="11">
        <f t="shared" si="22"/>
        <v>1261.8150000000001</v>
      </c>
      <c r="S287" s="1" t="str">
        <f t="shared" si="23"/>
        <v>High</v>
      </c>
      <c r="T287" s="1" t="str" cm="1">
        <f t="array" ref="T287">_xlfn.IFS(L287&gt;5,"High",L287=5,"mediam",L287&lt;5,"low")</f>
        <v>High</v>
      </c>
      <c r="U287" s="1" t="str">
        <f t="shared" si="24"/>
        <v>High</v>
      </c>
    </row>
    <row r="288" spans="1:21" x14ac:dyDescent="0.3">
      <c r="A288" s="5">
        <v>10287</v>
      </c>
      <c r="B288" s="1">
        <v>1219</v>
      </c>
      <c r="C288" s="2">
        <v>45122</v>
      </c>
      <c r="D288" s="2">
        <v>45125</v>
      </c>
      <c r="E288" s="1" t="s">
        <v>22</v>
      </c>
      <c r="F288" s="1" t="s">
        <v>38</v>
      </c>
      <c r="G288" s="1" t="s">
        <v>24</v>
      </c>
      <c r="H288" s="1" t="s">
        <v>18</v>
      </c>
      <c r="I288" s="1" t="s">
        <v>57</v>
      </c>
      <c r="J288" s="1" t="s">
        <v>67</v>
      </c>
      <c r="K288" s="1" t="s">
        <v>21</v>
      </c>
      <c r="L288" s="1">
        <v>6</v>
      </c>
      <c r="M288" s="1">
        <v>1936.66</v>
      </c>
      <c r="N288" s="1">
        <v>0</v>
      </c>
      <c r="O288" s="1">
        <v>11619.96</v>
      </c>
      <c r="P288" s="1">
        <f t="shared" si="20"/>
        <v>11619.960000000001</v>
      </c>
      <c r="Q288" s="10">
        <f t="shared" si="21"/>
        <v>0</v>
      </c>
      <c r="R288" s="11">
        <f t="shared" si="22"/>
        <v>11619.960000000001</v>
      </c>
      <c r="S288" s="1" t="str">
        <f t="shared" si="23"/>
        <v>High</v>
      </c>
      <c r="T288" s="1" t="str" cm="1">
        <f t="array" ref="T288">_xlfn.IFS(L288&gt;5,"High",L288=5,"mediam",L288&lt;5,"low")</f>
        <v>High</v>
      </c>
      <c r="U288" s="1" t="str">
        <f t="shared" si="24"/>
        <v>High</v>
      </c>
    </row>
    <row r="289" spans="1:21" x14ac:dyDescent="0.3">
      <c r="A289" s="5">
        <v>10288</v>
      </c>
      <c r="B289" s="1">
        <v>1565</v>
      </c>
      <c r="C289" s="2">
        <v>45253</v>
      </c>
      <c r="D289" s="2">
        <v>45256</v>
      </c>
      <c r="E289" s="1" t="s">
        <v>46</v>
      </c>
      <c r="F289" s="1" t="s">
        <v>38</v>
      </c>
      <c r="G289" s="1" t="s">
        <v>17</v>
      </c>
      <c r="H289" s="1" t="s">
        <v>44</v>
      </c>
      <c r="I289" s="1" t="s">
        <v>26</v>
      </c>
      <c r="J289" s="1" t="s">
        <v>36</v>
      </c>
      <c r="K289" s="1" t="s">
        <v>47</v>
      </c>
      <c r="L289" s="1">
        <v>8</v>
      </c>
      <c r="M289" s="1">
        <v>3780.79</v>
      </c>
      <c r="N289" s="1">
        <v>5</v>
      </c>
      <c r="O289" s="1">
        <v>28734</v>
      </c>
      <c r="P289" s="1">
        <f t="shared" si="20"/>
        <v>30246.32</v>
      </c>
      <c r="Q289" s="10">
        <f t="shared" si="21"/>
        <v>1436.7</v>
      </c>
      <c r="R289" s="11">
        <f t="shared" si="22"/>
        <v>28809.62</v>
      </c>
      <c r="S289" s="1" t="str">
        <f t="shared" si="23"/>
        <v>High</v>
      </c>
      <c r="T289" s="1" t="str" cm="1">
        <f t="array" ref="T289">_xlfn.IFS(L289&gt;5,"High",L289=5,"mediam",L289&lt;5,"low")</f>
        <v>High</v>
      </c>
      <c r="U289" s="1" t="str">
        <f t="shared" si="24"/>
        <v>High</v>
      </c>
    </row>
    <row r="290" spans="1:21" x14ac:dyDescent="0.3">
      <c r="A290" s="5">
        <v>10289</v>
      </c>
      <c r="B290" s="1">
        <v>1854</v>
      </c>
      <c r="C290" s="2">
        <v>45012</v>
      </c>
      <c r="D290" s="2">
        <v>45014</v>
      </c>
      <c r="E290" s="1" t="s">
        <v>37</v>
      </c>
      <c r="F290" s="1" t="s">
        <v>54</v>
      </c>
      <c r="G290" s="1" t="s">
        <v>17</v>
      </c>
      <c r="H290" s="1" t="s">
        <v>25</v>
      </c>
      <c r="I290" s="1" t="s">
        <v>57</v>
      </c>
      <c r="J290" s="1" t="s">
        <v>58</v>
      </c>
      <c r="K290" s="1" t="s">
        <v>21</v>
      </c>
      <c r="L290" s="1">
        <v>7</v>
      </c>
      <c r="M290" s="1">
        <v>1396.71</v>
      </c>
      <c r="N290" s="1">
        <v>20</v>
      </c>
      <c r="O290" s="1">
        <v>7821.58</v>
      </c>
      <c r="P290" s="1">
        <f t="shared" si="20"/>
        <v>9776.9700000000012</v>
      </c>
      <c r="Q290" s="10">
        <f t="shared" si="21"/>
        <v>1564.316</v>
      </c>
      <c r="R290" s="11">
        <f t="shared" si="22"/>
        <v>8212.6540000000005</v>
      </c>
      <c r="S290" s="1" t="str">
        <f t="shared" si="23"/>
        <v>High</v>
      </c>
      <c r="T290" s="1" t="str" cm="1">
        <f t="array" ref="T290">_xlfn.IFS(L290&gt;5,"High",L290=5,"mediam",L290&lt;5,"low")</f>
        <v>High</v>
      </c>
      <c r="U290" s="1" t="str">
        <f t="shared" si="24"/>
        <v>High</v>
      </c>
    </row>
    <row r="291" spans="1:21" x14ac:dyDescent="0.3">
      <c r="A291" s="5">
        <v>10290</v>
      </c>
      <c r="B291" s="1">
        <v>1996</v>
      </c>
      <c r="C291" s="2">
        <v>45215</v>
      </c>
      <c r="D291" s="2">
        <v>45218</v>
      </c>
      <c r="E291" s="1" t="s">
        <v>37</v>
      </c>
      <c r="F291" s="1" t="s">
        <v>41</v>
      </c>
      <c r="G291" s="1" t="s">
        <v>30</v>
      </c>
      <c r="H291" s="1" t="s">
        <v>18</v>
      </c>
      <c r="I291" s="1" t="s">
        <v>19</v>
      </c>
      <c r="J291" s="1" t="s">
        <v>20</v>
      </c>
      <c r="K291" s="1" t="s">
        <v>28</v>
      </c>
      <c r="L291" s="1">
        <v>8</v>
      </c>
      <c r="M291" s="1">
        <v>2695.39</v>
      </c>
      <c r="N291" s="1">
        <v>10</v>
      </c>
      <c r="O291" s="1">
        <v>19406.810000000001</v>
      </c>
      <c r="P291" s="1">
        <f t="shared" si="20"/>
        <v>21563.119999999999</v>
      </c>
      <c r="Q291" s="10">
        <f t="shared" si="21"/>
        <v>1940.6810000000003</v>
      </c>
      <c r="R291" s="11">
        <f t="shared" si="22"/>
        <v>19622.438999999998</v>
      </c>
      <c r="S291" s="1" t="str">
        <f t="shared" si="23"/>
        <v>High</v>
      </c>
      <c r="T291" s="1" t="str" cm="1">
        <f t="array" ref="T291">_xlfn.IFS(L291&gt;5,"High",L291=5,"mediam",L291&lt;5,"low")</f>
        <v>High</v>
      </c>
      <c r="U291" s="1" t="str">
        <f t="shared" si="24"/>
        <v>High</v>
      </c>
    </row>
    <row r="292" spans="1:21" x14ac:dyDescent="0.3">
      <c r="A292" s="5">
        <v>10291</v>
      </c>
      <c r="B292" s="1">
        <v>1735</v>
      </c>
      <c r="C292" s="2">
        <v>45007</v>
      </c>
      <c r="D292" s="2">
        <v>45008</v>
      </c>
      <c r="E292" s="1" t="s">
        <v>15</v>
      </c>
      <c r="F292" s="1" t="s">
        <v>54</v>
      </c>
      <c r="G292" s="1" t="s">
        <v>24</v>
      </c>
      <c r="H292" s="1" t="s">
        <v>25</v>
      </c>
      <c r="I292" s="1" t="s">
        <v>52</v>
      </c>
      <c r="J292" s="1" t="s">
        <v>53</v>
      </c>
      <c r="K292" s="1" t="s">
        <v>33</v>
      </c>
      <c r="L292" s="1">
        <v>9</v>
      </c>
      <c r="M292" s="1">
        <v>2661.11</v>
      </c>
      <c r="N292" s="1">
        <v>10</v>
      </c>
      <c r="O292" s="1">
        <v>21554.99</v>
      </c>
      <c r="P292" s="1">
        <f t="shared" si="20"/>
        <v>23949.99</v>
      </c>
      <c r="Q292" s="10">
        <f t="shared" si="21"/>
        <v>2155.4990000000003</v>
      </c>
      <c r="R292" s="11">
        <f t="shared" si="22"/>
        <v>21794.491000000002</v>
      </c>
      <c r="S292" s="1" t="str">
        <f t="shared" si="23"/>
        <v>High</v>
      </c>
      <c r="T292" s="1" t="str" cm="1">
        <f t="array" ref="T292">_xlfn.IFS(L292&gt;5,"High",L292=5,"mediam",L292&lt;5,"low")</f>
        <v>High</v>
      </c>
      <c r="U292" s="1" t="str">
        <f t="shared" si="24"/>
        <v>High</v>
      </c>
    </row>
    <row r="293" spans="1:21" x14ac:dyDescent="0.3">
      <c r="A293" s="5">
        <v>10292</v>
      </c>
      <c r="B293" s="1">
        <v>1224</v>
      </c>
      <c r="C293" s="2">
        <v>45078</v>
      </c>
      <c r="D293" s="2">
        <v>45083</v>
      </c>
      <c r="E293" s="1" t="s">
        <v>22</v>
      </c>
      <c r="F293" s="1" t="s">
        <v>23</v>
      </c>
      <c r="G293" s="1" t="s">
        <v>24</v>
      </c>
      <c r="H293" s="1" t="s">
        <v>35</v>
      </c>
      <c r="I293" s="1" t="s">
        <v>57</v>
      </c>
      <c r="J293" s="1" t="s">
        <v>67</v>
      </c>
      <c r="K293" s="1" t="s">
        <v>21</v>
      </c>
      <c r="L293" s="1">
        <v>6</v>
      </c>
      <c r="M293" s="1">
        <v>1116.6600000000001</v>
      </c>
      <c r="N293" s="1">
        <v>0</v>
      </c>
      <c r="O293" s="1">
        <v>6699.96</v>
      </c>
      <c r="P293" s="1">
        <f t="shared" si="20"/>
        <v>6699.9600000000009</v>
      </c>
      <c r="Q293" s="10">
        <f t="shared" si="21"/>
        <v>0</v>
      </c>
      <c r="R293" s="11">
        <f t="shared" si="22"/>
        <v>6699.9600000000009</v>
      </c>
      <c r="S293" s="1" t="str">
        <f t="shared" si="23"/>
        <v>High</v>
      </c>
      <c r="T293" s="1" t="str" cm="1">
        <f t="array" ref="T293">_xlfn.IFS(L293&gt;5,"High",L293=5,"mediam",L293&lt;5,"low")</f>
        <v>High</v>
      </c>
      <c r="U293" s="1" t="str">
        <f t="shared" si="24"/>
        <v>High</v>
      </c>
    </row>
    <row r="294" spans="1:21" x14ac:dyDescent="0.3">
      <c r="A294" s="5">
        <v>10293</v>
      </c>
      <c r="B294" s="1">
        <v>1384</v>
      </c>
      <c r="C294" s="2">
        <v>44987</v>
      </c>
      <c r="D294" s="2">
        <v>44992</v>
      </c>
      <c r="E294" s="1" t="s">
        <v>22</v>
      </c>
      <c r="F294" s="1" t="s">
        <v>23</v>
      </c>
      <c r="G294" s="1" t="s">
        <v>24</v>
      </c>
      <c r="H294" s="1" t="s">
        <v>42</v>
      </c>
      <c r="I294" s="1" t="s">
        <v>26</v>
      </c>
      <c r="J294" s="1" t="s">
        <v>27</v>
      </c>
      <c r="K294" s="1" t="s">
        <v>21</v>
      </c>
      <c r="L294" s="1">
        <v>3</v>
      </c>
      <c r="M294" s="1">
        <v>2654.14</v>
      </c>
      <c r="N294" s="1">
        <v>10</v>
      </c>
      <c r="O294" s="1">
        <v>7166.18</v>
      </c>
      <c r="P294" s="1">
        <f t="shared" si="20"/>
        <v>7962.42</v>
      </c>
      <c r="Q294" s="10">
        <f t="shared" si="21"/>
        <v>716.61800000000005</v>
      </c>
      <c r="R294" s="11">
        <f t="shared" si="22"/>
        <v>7245.8019999999997</v>
      </c>
      <c r="S294" s="1" t="str">
        <f t="shared" si="23"/>
        <v>Low</v>
      </c>
      <c r="T294" s="1" t="str" cm="1">
        <f t="array" ref="T294">_xlfn.IFS(L294&gt;5,"High",L294=5,"mediam",L294&lt;5,"low")</f>
        <v>low</v>
      </c>
      <c r="U294" s="1" t="b">
        <f t="shared" si="24"/>
        <v>0</v>
      </c>
    </row>
    <row r="295" spans="1:21" x14ac:dyDescent="0.3">
      <c r="A295" s="5">
        <v>10294</v>
      </c>
      <c r="B295" s="1">
        <v>1402</v>
      </c>
      <c r="C295" s="2">
        <v>44987</v>
      </c>
      <c r="D295" s="2">
        <v>44994</v>
      </c>
      <c r="E295" s="1" t="s">
        <v>22</v>
      </c>
      <c r="F295" s="1" t="s">
        <v>16</v>
      </c>
      <c r="G295" s="1" t="s">
        <v>24</v>
      </c>
      <c r="H295" s="1" t="s">
        <v>35</v>
      </c>
      <c r="I295" s="1" t="s">
        <v>19</v>
      </c>
      <c r="J295" s="1" t="s">
        <v>43</v>
      </c>
      <c r="K295" s="1" t="s">
        <v>45</v>
      </c>
      <c r="L295" s="1">
        <v>3</v>
      </c>
      <c r="M295" s="1">
        <v>967.49</v>
      </c>
      <c r="N295" s="1">
        <v>0</v>
      </c>
      <c r="O295" s="1">
        <v>2902.47</v>
      </c>
      <c r="P295" s="1">
        <f t="shared" si="20"/>
        <v>2902.4700000000003</v>
      </c>
      <c r="Q295" s="10">
        <f t="shared" si="21"/>
        <v>0</v>
      </c>
      <c r="R295" s="11">
        <f t="shared" si="22"/>
        <v>2902.4700000000003</v>
      </c>
      <c r="S295" s="1" t="str">
        <f t="shared" si="23"/>
        <v>Low</v>
      </c>
      <c r="T295" s="1" t="str" cm="1">
        <f t="array" ref="T295">_xlfn.IFS(L295&gt;5,"High",L295=5,"mediam",L295&lt;5,"low")</f>
        <v>low</v>
      </c>
      <c r="U295" s="1" t="b">
        <f t="shared" si="24"/>
        <v>0</v>
      </c>
    </row>
    <row r="296" spans="1:21" x14ac:dyDescent="0.3">
      <c r="A296" s="5">
        <v>10295</v>
      </c>
      <c r="B296" s="1">
        <v>1637</v>
      </c>
      <c r="C296" s="2">
        <v>45280</v>
      </c>
      <c r="D296" s="2">
        <v>45284</v>
      </c>
      <c r="E296" s="1" t="s">
        <v>34</v>
      </c>
      <c r="F296" s="1" t="s">
        <v>23</v>
      </c>
      <c r="G296" s="1" t="s">
        <v>24</v>
      </c>
      <c r="H296" s="1" t="s">
        <v>42</v>
      </c>
      <c r="I296" s="1" t="s">
        <v>31</v>
      </c>
      <c r="J296" s="1" t="s">
        <v>48</v>
      </c>
      <c r="K296" s="1" t="s">
        <v>33</v>
      </c>
      <c r="L296" s="1">
        <v>1</v>
      </c>
      <c r="M296" s="1">
        <v>619.73</v>
      </c>
      <c r="N296" s="1">
        <v>0</v>
      </c>
      <c r="O296" s="1">
        <v>619.73</v>
      </c>
      <c r="P296" s="1">
        <f t="shared" si="20"/>
        <v>619.73</v>
      </c>
      <c r="Q296" s="10">
        <f t="shared" si="21"/>
        <v>0</v>
      </c>
      <c r="R296" s="11">
        <f t="shared" si="22"/>
        <v>619.73</v>
      </c>
      <c r="S296" s="1" t="str">
        <f t="shared" si="23"/>
        <v>Low</v>
      </c>
      <c r="T296" s="1" t="str" cm="1">
        <f t="array" ref="T296">_xlfn.IFS(L296&gt;5,"High",L296=5,"mediam",L296&lt;5,"low")</f>
        <v>low</v>
      </c>
      <c r="U296" s="1" t="b">
        <f t="shared" si="24"/>
        <v>0</v>
      </c>
    </row>
    <row r="297" spans="1:21" x14ac:dyDescent="0.3">
      <c r="A297" s="5">
        <v>10296</v>
      </c>
      <c r="B297" s="1">
        <v>1129</v>
      </c>
      <c r="C297" s="2">
        <v>44954</v>
      </c>
      <c r="D297" s="2">
        <v>44957</v>
      </c>
      <c r="E297" s="1" t="s">
        <v>16</v>
      </c>
      <c r="F297" s="1" t="s">
        <v>16</v>
      </c>
      <c r="G297" s="1" t="s">
        <v>17</v>
      </c>
      <c r="H297" s="1" t="s">
        <v>35</v>
      </c>
      <c r="I297" s="1" t="s">
        <v>31</v>
      </c>
      <c r="J297" s="1" t="s">
        <v>48</v>
      </c>
      <c r="K297" s="1" t="s">
        <v>47</v>
      </c>
      <c r="L297" s="1">
        <v>5</v>
      </c>
      <c r="M297" s="1">
        <v>2850.33</v>
      </c>
      <c r="N297" s="1">
        <v>5</v>
      </c>
      <c r="O297" s="1">
        <v>13539.07</v>
      </c>
      <c r="P297" s="1">
        <f t="shared" si="20"/>
        <v>14251.65</v>
      </c>
      <c r="Q297" s="10">
        <f t="shared" si="21"/>
        <v>676.95350000000008</v>
      </c>
      <c r="R297" s="11">
        <f t="shared" si="22"/>
        <v>13574.6965</v>
      </c>
      <c r="S297" s="1" t="str">
        <f t="shared" si="23"/>
        <v>High</v>
      </c>
      <c r="T297" s="1" t="str" cm="1">
        <f t="array" ref="T297">_xlfn.IFS(L297&gt;5,"High",L297=5,"mediam",L297&lt;5,"low")</f>
        <v>mediam</v>
      </c>
      <c r="U297" s="1" t="b">
        <f t="shared" si="24"/>
        <v>0</v>
      </c>
    </row>
    <row r="298" spans="1:21" x14ac:dyDescent="0.3">
      <c r="A298" s="5">
        <v>10297</v>
      </c>
      <c r="B298" s="1">
        <v>1052</v>
      </c>
      <c r="C298" s="2">
        <v>44969</v>
      </c>
      <c r="D298" s="2">
        <v>44970</v>
      </c>
      <c r="E298" s="1" t="s">
        <v>34</v>
      </c>
      <c r="F298" s="1" t="s">
        <v>29</v>
      </c>
      <c r="G298" s="1" t="s">
        <v>30</v>
      </c>
      <c r="H298" s="1" t="s">
        <v>44</v>
      </c>
      <c r="I298" s="1" t="s">
        <v>19</v>
      </c>
      <c r="J298" s="1" t="s">
        <v>20</v>
      </c>
      <c r="K298" s="1" t="s">
        <v>28</v>
      </c>
      <c r="L298" s="1">
        <v>4</v>
      </c>
      <c r="M298" s="1">
        <v>586.75</v>
      </c>
      <c r="N298" s="1">
        <v>10</v>
      </c>
      <c r="O298" s="1">
        <v>2112.3000000000002</v>
      </c>
      <c r="P298" s="1">
        <f t="shared" si="20"/>
        <v>2347</v>
      </c>
      <c r="Q298" s="10">
        <f t="shared" si="21"/>
        <v>211.23000000000002</v>
      </c>
      <c r="R298" s="11">
        <f t="shared" si="22"/>
        <v>2135.77</v>
      </c>
      <c r="S298" s="1" t="str">
        <f t="shared" si="23"/>
        <v>Low</v>
      </c>
      <c r="T298" s="1" t="str" cm="1">
        <f t="array" ref="T298">_xlfn.IFS(L298&gt;5,"High",L298=5,"mediam",L298&lt;5,"low")</f>
        <v>low</v>
      </c>
      <c r="U298" s="1" t="b">
        <f t="shared" si="24"/>
        <v>0</v>
      </c>
    </row>
    <row r="299" spans="1:21" x14ac:dyDescent="0.3">
      <c r="A299" s="5">
        <v>10298</v>
      </c>
      <c r="B299" s="1">
        <v>1683</v>
      </c>
      <c r="C299" s="2">
        <v>45095</v>
      </c>
      <c r="D299" s="2">
        <v>45103</v>
      </c>
      <c r="E299" s="1" t="s">
        <v>40</v>
      </c>
      <c r="F299" s="1" t="s">
        <v>54</v>
      </c>
      <c r="G299" s="1" t="s">
        <v>24</v>
      </c>
      <c r="H299" s="1" t="s">
        <v>25</v>
      </c>
      <c r="I299" s="1" t="s">
        <v>26</v>
      </c>
      <c r="J299" s="1" t="s">
        <v>36</v>
      </c>
      <c r="K299" s="1" t="s">
        <v>47</v>
      </c>
      <c r="L299" s="1">
        <v>9</v>
      </c>
      <c r="M299" s="1">
        <v>3988.1</v>
      </c>
      <c r="N299" s="1">
        <v>0</v>
      </c>
      <c r="O299" s="1">
        <v>35892.9</v>
      </c>
      <c r="P299" s="1">
        <f t="shared" si="20"/>
        <v>35892.9</v>
      </c>
      <c r="Q299" s="10">
        <f t="shared" si="21"/>
        <v>0</v>
      </c>
      <c r="R299" s="11">
        <f t="shared" si="22"/>
        <v>35892.9</v>
      </c>
      <c r="S299" s="1" t="str">
        <f t="shared" si="23"/>
        <v>High</v>
      </c>
      <c r="T299" s="1" t="str" cm="1">
        <f t="array" ref="T299">_xlfn.IFS(L299&gt;5,"High",L299=5,"mediam",L299&lt;5,"low")</f>
        <v>High</v>
      </c>
      <c r="U299" s="1" t="str">
        <f t="shared" si="24"/>
        <v>High</v>
      </c>
    </row>
    <row r="300" spans="1:21" x14ac:dyDescent="0.3">
      <c r="A300" s="5">
        <v>10299</v>
      </c>
      <c r="B300" s="1">
        <v>1729</v>
      </c>
      <c r="C300" s="2">
        <v>45012</v>
      </c>
      <c r="D300" s="2">
        <v>45015</v>
      </c>
      <c r="E300" s="1" t="s">
        <v>40</v>
      </c>
      <c r="F300" s="1" t="s">
        <v>29</v>
      </c>
      <c r="G300" s="1" t="s">
        <v>30</v>
      </c>
      <c r="H300" s="1" t="s">
        <v>42</v>
      </c>
      <c r="I300" s="1" t="s">
        <v>19</v>
      </c>
      <c r="J300" s="1" t="s">
        <v>43</v>
      </c>
      <c r="K300" s="1" t="s">
        <v>33</v>
      </c>
      <c r="L300" s="1">
        <v>9</v>
      </c>
      <c r="M300" s="1">
        <v>856.29</v>
      </c>
      <c r="N300" s="1">
        <v>5</v>
      </c>
      <c r="O300" s="1">
        <v>7321.28</v>
      </c>
      <c r="P300" s="1">
        <f t="shared" si="20"/>
        <v>7706.61</v>
      </c>
      <c r="Q300" s="10">
        <f t="shared" si="21"/>
        <v>366.06400000000002</v>
      </c>
      <c r="R300" s="11">
        <f t="shared" si="22"/>
        <v>7340.5459999999994</v>
      </c>
      <c r="S300" s="1" t="str">
        <f t="shared" si="23"/>
        <v>High</v>
      </c>
      <c r="T300" s="1" t="str" cm="1">
        <f t="array" ref="T300">_xlfn.IFS(L300&gt;5,"High",L300=5,"mediam",L300&lt;5,"low")</f>
        <v>High</v>
      </c>
      <c r="U300" s="1" t="str">
        <f t="shared" si="24"/>
        <v>High</v>
      </c>
    </row>
    <row r="301" spans="1:21" x14ac:dyDescent="0.3">
      <c r="A301" s="5">
        <v>10300</v>
      </c>
      <c r="B301" s="1">
        <v>1671</v>
      </c>
      <c r="C301" s="2">
        <v>45103</v>
      </c>
      <c r="D301" s="2">
        <v>45105</v>
      </c>
      <c r="E301" s="1" t="s">
        <v>16</v>
      </c>
      <c r="F301" s="1" t="s">
        <v>23</v>
      </c>
      <c r="G301" s="1" t="s">
        <v>30</v>
      </c>
      <c r="H301" s="1" t="s">
        <v>18</v>
      </c>
      <c r="I301" s="1" t="s">
        <v>52</v>
      </c>
      <c r="J301" s="1" t="s">
        <v>53</v>
      </c>
      <c r="K301" s="1" t="s">
        <v>21</v>
      </c>
      <c r="L301" s="1">
        <v>5</v>
      </c>
      <c r="M301" s="1">
        <v>2437.4499999999998</v>
      </c>
      <c r="N301" s="1">
        <v>15</v>
      </c>
      <c r="O301" s="1">
        <v>10359.16</v>
      </c>
      <c r="P301" s="1">
        <f t="shared" si="20"/>
        <v>12187.25</v>
      </c>
      <c r="Q301" s="10">
        <f t="shared" si="21"/>
        <v>1553.874</v>
      </c>
      <c r="R301" s="11">
        <f t="shared" si="22"/>
        <v>10633.376</v>
      </c>
      <c r="S301" s="1" t="str">
        <f t="shared" si="23"/>
        <v>High</v>
      </c>
      <c r="T301" s="1" t="str" cm="1">
        <f t="array" ref="T301">_xlfn.IFS(L301&gt;5,"High",L301=5,"mediam",L301&lt;5,"low")</f>
        <v>mediam</v>
      </c>
      <c r="U301" s="1" t="b">
        <f t="shared" si="24"/>
        <v>0</v>
      </c>
    </row>
    <row r="302" spans="1:21" x14ac:dyDescent="0.3">
      <c r="A302" s="5">
        <v>10301</v>
      </c>
      <c r="B302" s="1">
        <v>1709</v>
      </c>
      <c r="C302" s="2">
        <v>44943</v>
      </c>
      <c r="D302" s="2">
        <v>44947</v>
      </c>
      <c r="E302" s="1" t="s">
        <v>15</v>
      </c>
      <c r="F302" s="1" t="s">
        <v>29</v>
      </c>
      <c r="G302" s="1" t="s">
        <v>17</v>
      </c>
      <c r="H302" s="1" t="s">
        <v>25</v>
      </c>
      <c r="I302" s="1" t="s">
        <v>52</v>
      </c>
      <c r="J302" s="1" t="s">
        <v>53</v>
      </c>
      <c r="K302" s="1" t="s">
        <v>21</v>
      </c>
      <c r="L302" s="1">
        <v>4</v>
      </c>
      <c r="M302" s="1">
        <v>1733.79</v>
      </c>
      <c r="N302" s="1">
        <v>5</v>
      </c>
      <c r="O302" s="1">
        <v>6588.4</v>
      </c>
      <c r="P302" s="1">
        <f t="shared" si="20"/>
        <v>6935.16</v>
      </c>
      <c r="Q302" s="10">
        <f t="shared" si="21"/>
        <v>329.42</v>
      </c>
      <c r="R302" s="11">
        <f t="shared" si="22"/>
        <v>6605.74</v>
      </c>
      <c r="S302" s="1" t="str">
        <f t="shared" si="23"/>
        <v>Low</v>
      </c>
      <c r="T302" s="1" t="str" cm="1">
        <f t="array" ref="T302">_xlfn.IFS(L302&gt;5,"High",L302=5,"mediam",L302&lt;5,"low")</f>
        <v>low</v>
      </c>
      <c r="U302" s="1" t="b">
        <f t="shared" si="24"/>
        <v>0</v>
      </c>
    </row>
    <row r="303" spans="1:21" x14ac:dyDescent="0.3">
      <c r="A303" s="5">
        <v>10302</v>
      </c>
      <c r="B303" s="1">
        <v>1415</v>
      </c>
      <c r="C303" s="2">
        <v>45024</v>
      </c>
      <c r="D303" s="2">
        <v>45027</v>
      </c>
      <c r="E303" s="1" t="s">
        <v>16</v>
      </c>
      <c r="F303" s="1" t="s">
        <v>29</v>
      </c>
      <c r="G303" s="1" t="s">
        <v>24</v>
      </c>
      <c r="H303" s="1" t="s">
        <v>18</v>
      </c>
      <c r="I303" s="1" t="s">
        <v>31</v>
      </c>
      <c r="J303" s="1" t="s">
        <v>65</v>
      </c>
      <c r="K303" s="1" t="s">
        <v>33</v>
      </c>
      <c r="L303" s="1">
        <v>7</v>
      </c>
      <c r="M303" s="1">
        <v>636.59</v>
      </c>
      <c r="N303" s="1">
        <v>5</v>
      </c>
      <c r="O303" s="1">
        <v>4233.32</v>
      </c>
      <c r="P303" s="1">
        <f t="shared" si="20"/>
        <v>4456.13</v>
      </c>
      <c r="Q303" s="10">
        <f t="shared" si="21"/>
        <v>211.666</v>
      </c>
      <c r="R303" s="11">
        <f t="shared" si="22"/>
        <v>4244.4639999999999</v>
      </c>
      <c r="S303" s="1" t="str">
        <f t="shared" si="23"/>
        <v>High</v>
      </c>
      <c r="T303" s="1" t="str" cm="1">
        <f t="array" ref="T303">_xlfn.IFS(L303&gt;5,"High",L303=5,"mediam",L303&lt;5,"low")</f>
        <v>High</v>
      </c>
      <c r="U303" s="1" t="str">
        <f t="shared" si="24"/>
        <v>High</v>
      </c>
    </row>
    <row r="304" spans="1:21" x14ac:dyDescent="0.3">
      <c r="A304" s="5">
        <v>10303</v>
      </c>
      <c r="B304" s="1">
        <v>1246</v>
      </c>
      <c r="C304" s="2">
        <v>45124</v>
      </c>
      <c r="D304" s="2">
        <v>45125</v>
      </c>
      <c r="E304" s="1" t="s">
        <v>37</v>
      </c>
      <c r="F304" s="1" t="s">
        <v>29</v>
      </c>
      <c r="G304" s="1" t="s">
        <v>17</v>
      </c>
      <c r="H304" s="1" t="s">
        <v>25</v>
      </c>
      <c r="I304" s="1" t="s">
        <v>57</v>
      </c>
      <c r="J304" s="1" t="s">
        <v>67</v>
      </c>
      <c r="K304" s="1" t="s">
        <v>21</v>
      </c>
      <c r="L304" s="1">
        <v>6</v>
      </c>
      <c r="M304" s="1">
        <v>257.2</v>
      </c>
      <c r="N304" s="1">
        <v>0</v>
      </c>
      <c r="O304" s="1">
        <v>1543.2</v>
      </c>
      <c r="P304" s="1">
        <f t="shared" si="20"/>
        <v>1543.1999999999998</v>
      </c>
      <c r="Q304" s="10">
        <f t="shared" si="21"/>
        <v>0</v>
      </c>
      <c r="R304" s="11">
        <f t="shared" si="22"/>
        <v>1543.1999999999998</v>
      </c>
      <c r="S304" s="1" t="str">
        <f t="shared" si="23"/>
        <v>High</v>
      </c>
      <c r="T304" s="1" t="str" cm="1">
        <f t="array" ref="T304">_xlfn.IFS(L304&gt;5,"High",L304=5,"mediam",L304&lt;5,"low")</f>
        <v>High</v>
      </c>
      <c r="U304" s="1" t="str">
        <f t="shared" si="24"/>
        <v>High</v>
      </c>
    </row>
    <row r="305" spans="1:21" x14ac:dyDescent="0.3">
      <c r="A305" s="5">
        <v>10304</v>
      </c>
      <c r="B305" s="1">
        <v>1835</v>
      </c>
      <c r="C305" s="2">
        <v>45024</v>
      </c>
      <c r="D305" s="2">
        <v>45027</v>
      </c>
      <c r="E305" s="1" t="s">
        <v>40</v>
      </c>
      <c r="F305" s="1" t="s">
        <v>23</v>
      </c>
      <c r="G305" s="1" t="s">
        <v>24</v>
      </c>
      <c r="H305" s="1" t="s">
        <v>25</v>
      </c>
      <c r="I305" s="1" t="s">
        <v>26</v>
      </c>
      <c r="J305" s="1" t="s">
        <v>61</v>
      </c>
      <c r="K305" s="1" t="s">
        <v>21</v>
      </c>
      <c r="L305" s="1">
        <v>4</v>
      </c>
      <c r="M305" s="1">
        <v>2547.52</v>
      </c>
      <c r="N305" s="1">
        <v>20</v>
      </c>
      <c r="O305" s="1">
        <v>8152.06</v>
      </c>
      <c r="P305" s="1">
        <f t="shared" si="20"/>
        <v>10190.08</v>
      </c>
      <c r="Q305" s="10">
        <f t="shared" si="21"/>
        <v>1630.4120000000003</v>
      </c>
      <c r="R305" s="11">
        <f t="shared" si="22"/>
        <v>8559.6679999999997</v>
      </c>
      <c r="S305" s="1" t="str">
        <f t="shared" si="23"/>
        <v>Low</v>
      </c>
      <c r="T305" s="1" t="str" cm="1">
        <f t="array" ref="T305">_xlfn.IFS(L305&gt;5,"High",L305=5,"mediam",L305&lt;5,"low")</f>
        <v>low</v>
      </c>
      <c r="U305" s="1" t="b">
        <f t="shared" si="24"/>
        <v>0</v>
      </c>
    </row>
    <row r="306" spans="1:21" x14ac:dyDescent="0.3">
      <c r="A306" s="5">
        <v>10305</v>
      </c>
      <c r="B306" s="1">
        <v>1438</v>
      </c>
      <c r="C306" s="2">
        <v>44991</v>
      </c>
      <c r="D306" s="2">
        <v>44993</v>
      </c>
      <c r="E306" s="1" t="s">
        <v>46</v>
      </c>
      <c r="F306" s="1" t="s">
        <v>41</v>
      </c>
      <c r="G306" s="1" t="s">
        <v>17</v>
      </c>
      <c r="H306" s="1" t="s">
        <v>35</v>
      </c>
      <c r="I306" s="1" t="s">
        <v>31</v>
      </c>
      <c r="J306" s="1" t="s">
        <v>48</v>
      </c>
      <c r="K306" s="1" t="s">
        <v>21</v>
      </c>
      <c r="L306" s="1">
        <v>2</v>
      </c>
      <c r="M306" s="1">
        <v>3256.02</v>
      </c>
      <c r="N306" s="1">
        <v>20</v>
      </c>
      <c r="O306" s="1">
        <v>5209.63</v>
      </c>
      <c r="P306" s="1">
        <f t="shared" si="20"/>
        <v>6512.04</v>
      </c>
      <c r="Q306" s="10">
        <f t="shared" si="21"/>
        <v>1041.9260000000002</v>
      </c>
      <c r="R306" s="11">
        <f t="shared" si="22"/>
        <v>5470.1139999999996</v>
      </c>
      <c r="S306" s="1" t="str">
        <f t="shared" si="23"/>
        <v>Low</v>
      </c>
      <c r="T306" s="1" t="str" cm="1">
        <f t="array" ref="T306">_xlfn.IFS(L306&gt;5,"High",L306=5,"mediam",L306&lt;5,"low")</f>
        <v>low</v>
      </c>
      <c r="U306" s="1" t="b">
        <f t="shared" si="24"/>
        <v>0</v>
      </c>
    </row>
    <row r="307" spans="1:21" x14ac:dyDescent="0.3">
      <c r="A307" s="5">
        <v>10306</v>
      </c>
      <c r="B307" s="1">
        <v>1202</v>
      </c>
      <c r="C307" s="2">
        <v>45256</v>
      </c>
      <c r="D307" s="2">
        <v>45264</v>
      </c>
      <c r="E307" s="1" t="s">
        <v>46</v>
      </c>
      <c r="F307" s="1" t="s">
        <v>29</v>
      </c>
      <c r="G307" s="1" t="s">
        <v>30</v>
      </c>
      <c r="H307" s="1" t="s">
        <v>42</v>
      </c>
      <c r="I307" s="1" t="s">
        <v>57</v>
      </c>
      <c r="J307" s="1" t="s">
        <v>62</v>
      </c>
      <c r="K307" s="1" t="s">
        <v>28</v>
      </c>
      <c r="L307" s="1">
        <v>1</v>
      </c>
      <c r="M307" s="1">
        <v>3391.76</v>
      </c>
      <c r="N307" s="1">
        <v>20</v>
      </c>
      <c r="O307" s="1">
        <v>2713.41</v>
      </c>
      <c r="P307" s="1">
        <f t="shared" si="20"/>
        <v>3391.76</v>
      </c>
      <c r="Q307" s="10">
        <f t="shared" si="21"/>
        <v>542.68200000000002</v>
      </c>
      <c r="R307" s="11">
        <f t="shared" si="22"/>
        <v>2849.0780000000004</v>
      </c>
      <c r="S307" s="1" t="str">
        <f t="shared" si="23"/>
        <v>Low</v>
      </c>
      <c r="T307" s="1" t="str" cm="1">
        <f t="array" ref="T307">_xlfn.IFS(L307&gt;5,"High",L307=5,"mediam",L307&lt;5,"low")</f>
        <v>low</v>
      </c>
      <c r="U307" s="1" t="b">
        <f t="shared" si="24"/>
        <v>0</v>
      </c>
    </row>
    <row r="308" spans="1:21" x14ac:dyDescent="0.3">
      <c r="A308" s="5">
        <v>10307</v>
      </c>
      <c r="B308" s="1">
        <v>1183</v>
      </c>
      <c r="C308" s="2">
        <v>45267</v>
      </c>
      <c r="D308" s="2">
        <v>45273</v>
      </c>
      <c r="E308" s="1" t="s">
        <v>15</v>
      </c>
      <c r="F308" s="1" t="s">
        <v>16</v>
      </c>
      <c r="G308" s="1" t="s">
        <v>24</v>
      </c>
      <c r="H308" s="1" t="s">
        <v>42</v>
      </c>
      <c r="I308" s="1" t="s">
        <v>57</v>
      </c>
      <c r="J308" s="1" t="s">
        <v>58</v>
      </c>
      <c r="K308" s="1" t="s">
        <v>28</v>
      </c>
      <c r="L308" s="1">
        <v>4</v>
      </c>
      <c r="M308" s="1">
        <v>2008.45</v>
      </c>
      <c r="N308" s="1">
        <v>5</v>
      </c>
      <c r="O308" s="1">
        <v>7632.11</v>
      </c>
      <c r="P308" s="1">
        <f t="shared" si="20"/>
        <v>8033.8</v>
      </c>
      <c r="Q308" s="10">
        <f t="shared" si="21"/>
        <v>381.60550000000001</v>
      </c>
      <c r="R308" s="11">
        <f t="shared" si="22"/>
        <v>7652.1945000000005</v>
      </c>
      <c r="S308" s="1" t="str">
        <f t="shared" si="23"/>
        <v>Low</v>
      </c>
      <c r="T308" s="1" t="str" cm="1">
        <f t="array" ref="T308">_xlfn.IFS(L308&gt;5,"High",L308=5,"mediam",L308&lt;5,"low")</f>
        <v>low</v>
      </c>
      <c r="U308" s="1" t="b">
        <f t="shared" si="24"/>
        <v>0</v>
      </c>
    </row>
    <row r="309" spans="1:21" x14ac:dyDescent="0.3">
      <c r="A309" s="5">
        <v>10308</v>
      </c>
      <c r="B309" s="1">
        <v>1122</v>
      </c>
      <c r="C309" s="2">
        <v>44931</v>
      </c>
      <c r="D309" s="2">
        <v>44940</v>
      </c>
      <c r="E309" s="1" t="s">
        <v>37</v>
      </c>
      <c r="F309" s="1" t="s">
        <v>23</v>
      </c>
      <c r="G309" s="1" t="s">
        <v>30</v>
      </c>
      <c r="H309" s="1" t="s">
        <v>25</v>
      </c>
      <c r="I309" s="1" t="s">
        <v>52</v>
      </c>
      <c r="J309" s="1" t="s">
        <v>53</v>
      </c>
      <c r="K309" s="1" t="s">
        <v>45</v>
      </c>
      <c r="L309" s="1">
        <v>4</v>
      </c>
      <c r="M309" s="1">
        <v>3143.2</v>
      </c>
      <c r="N309" s="1">
        <v>0</v>
      </c>
      <c r="O309" s="1">
        <v>12572.8</v>
      </c>
      <c r="P309" s="1">
        <f t="shared" si="20"/>
        <v>12572.8</v>
      </c>
      <c r="Q309" s="10">
        <f t="shared" si="21"/>
        <v>0</v>
      </c>
      <c r="R309" s="11">
        <f t="shared" si="22"/>
        <v>12572.8</v>
      </c>
      <c r="S309" s="1" t="str">
        <f t="shared" si="23"/>
        <v>Low</v>
      </c>
      <c r="T309" s="1" t="str" cm="1">
        <f t="array" ref="T309">_xlfn.IFS(L309&gt;5,"High",L309=5,"mediam",L309&lt;5,"low")</f>
        <v>low</v>
      </c>
      <c r="U309" s="1" t="b">
        <f t="shared" si="24"/>
        <v>0</v>
      </c>
    </row>
    <row r="310" spans="1:21" x14ac:dyDescent="0.3">
      <c r="A310" s="5">
        <v>10309</v>
      </c>
      <c r="B310" s="1">
        <v>1400</v>
      </c>
      <c r="C310" s="2">
        <v>44928</v>
      </c>
      <c r="D310" s="2">
        <v>44936</v>
      </c>
      <c r="E310" s="1" t="s">
        <v>34</v>
      </c>
      <c r="F310" s="1" t="s">
        <v>29</v>
      </c>
      <c r="G310" s="1" t="s">
        <v>30</v>
      </c>
      <c r="H310" s="1" t="s">
        <v>44</v>
      </c>
      <c r="I310" s="1" t="s">
        <v>49</v>
      </c>
      <c r="J310" s="1" t="s">
        <v>51</v>
      </c>
      <c r="K310" s="1" t="s">
        <v>47</v>
      </c>
      <c r="L310" s="1">
        <v>1</v>
      </c>
      <c r="M310" s="1">
        <v>2740.46</v>
      </c>
      <c r="N310" s="1">
        <v>10</v>
      </c>
      <c r="O310" s="1">
        <v>2466.41</v>
      </c>
      <c r="P310" s="1">
        <f t="shared" si="20"/>
        <v>2740.46</v>
      </c>
      <c r="Q310" s="10">
        <f t="shared" si="21"/>
        <v>246.64099999999999</v>
      </c>
      <c r="R310" s="11">
        <f t="shared" si="22"/>
        <v>2493.819</v>
      </c>
      <c r="S310" s="1" t="str">
        <f t="shared" si="23"/>
        <v>Low</v>
      </c>
      <c r="T310" s="1" t="str" cm="1">
        <f t="array" ref="T310">_xlfn.IFS(L310&gt;5,"High",L310=5,"mediam",L310&lt;5,"low")</f>
        <v>low</v>
      </c>
      <c r="U310" s="1" t="b">
        <f t="shared" si="24"/>
        <v>0</v>
      </c>
    </row>
    <row r="311" spans="1:21" x14ac:dyDescent="0.3">
      <c r="A311" s="5">
        <v>10310</v>
      </c>
      <c r="B311" s="1">
        <v>1766</v>
      </c>
      <c r="C311" s="2">
        <v>44948</v>
      </c>
      <c r="D311" s="2">
        <v>44951</v>
      </c>
      <c r="E311" s="1" t="s">
        <v>37</v>
      </c>
      <c r="F311" s="1" t="s">
        <v>41</v>
      </c>
      <c r="G311" s="1" t="s">
        <v>17</v>
      </c>
      <c r="H311" s="1" t="s">
        <v>44</v>
      </c>
      <c r="I311" s="1" t="s">
        <v>49</v>
      </c>
      <c r="J311" s="1" t="s">
        <v>51</v>
      </c>
      <c r="K311" s="1" t="s">
        <v>33</v>
      </c>
      <c r="L311" s="1">
        <v>6</v>
      </c>
      <c r="M311" s="1">
        <v>2938.38</v>
      </c>
      <c r="N311" s="1">
        <v>5</v>
      </c>
      <c r="O311" s="1">
        <v>16748.77</v>
      </c>
      <c r="P311" s="1">
        <f t="shared" si="20"/>
        <v>17630.28</v>
      </c>
      <c r="Q311" s="10">
        <f t="shared" si="21"/>
        <v>837.43850000000009</v>
      </c>
      <c r="R311" s="11">
        <f t="shared" si="22"/>
        <v>16792.841499999999</v>
      </c>
      <c r="S311" s="1" t="str">
        <f t="shared" si="23"/>
        <v>High</v>
      </c>
      <c r="T311" s="1" t="str" cm="1">
        <f t="array" ref="T311">_xlfn.IFS(L311&gt;5,"High",L311=5,"mediam",L311&lt;5,"low")</f>
        <v>High</v>
      </c>
      <c r="U311" s="1" t="str">
        <f t="shared" si="24"/>
        <v>High</v>
      </c>
    </row>
    <row r="312" spans="1:21" x14ac:dyDescent="0.3">
      <c r="A312" s="5">
        <v>10311</v>
      </c>
      <c r="B312" s="1">
        <v>1293</v>
      </c>
      <c r="C312" s="2">
        <v>45038</v>
      </c>
      <c r="D312" s="2">
        <v>45043</v>
      </c>
      <c r="E312" s="1" t="s">
        <v>46</v>
      </c>
      <c r="F312" s="1" t="s">
        <v>23</v>
      </c>
      <c r="G312" s="1" t="s">
        <v>24</v>
      </c>
      <c r="H312" s="1" t="s">
        <v>18</v>
      </c>
      <c r="I312" s="1" t="s">
        <v>19</v>
      </c>
      <c r="J312" s="1" t="s">
        <v>43</v>
      </c>
      <c r="K312" s="1" t="s">
        <v>33</v>
      </c>
      <c r="L312" s="1">
        <v>4</v>
      </c>
      <c r="M312" s="1">
        <v>2046.51</v>
      </c>
      <c r="N312" s="1">
        <v>5</v>
      </c>
      <c r="O312" s="1">
        <v>7776.74</v>
      </c>
      <c r="P312" s="1">
        <f t="shared" si="20"/>
        <v>8186.04</v>
      </c>
      <c r="Q312" s="10">
        <f t="shared" si="21"/>
        <v>388.83699999999999</v>
      </c>
      <c r="R312" s="11">
        <f t="shared" si="22"/>
        <v>7797.2029999999995</v>
      </c>
      <c r="S312" s="1" t="str">
        <f t="shared" si="23"/>
        <v>Low</v>
      </c>
      <c r="T312" s="1" t="str" cm="1">
        <f t="array" ref="T312">_xlfn.IFS(L312&gt;5,"High",L312=5,"mediam",L312&lt;5,"low")</f>
        <v>low</v>
      </c>
      <c r="U312" s="1" t="b">
        <f t="shared" si="24"/>
        <v>0</v>
      </c>
    </row>
    <row r="313" spans="1:21" x14ac:dyDescent="0.3">
      <c r="A313" s="5">
        <v>10312</v>
      </c>
      <c r="B313" s="1">
        <v>1279</v>
      </c>
      <c r="C313" s="2">
        <v>44983</v>
      </c>
      <c r="D313" s="2">
        <v>44990</v>
      </c>
      <c r="E313" s="1" t="s">
        <v>46</v>
      </c>
      <c r="F313" s="1" t="s">
        <v>38</v>
      </c>
      <c r="G313" s="1" t="s">
        <v>30</v>
      </c>
      <c r="H313" s="1" t="s">
        <v>18</v>
      </c>
      <c r="I313" s="1" t="s">
        <v>52</v>
      </c>
      <c r="J313" s="1" t="s">
        <v>56</v>
      </c>
      <c r="K313" s="1" t="s">
        <v>33</v>
      </c>
      <c r="L313" s="1">
        <v>1</v>
      </c>
      <c r="M313" s="1">
        <v>2588.64</v>
      </c>
      <c r="N313" s="1">
        <v>0</v>
      </c>
      <c r="O313" s="1">
        <v>2588.64</v>
      </c>
      <c r="P313" s="1">
        <f t="shared" si="20"/>
        <v>2588.64</v>
      </c>
      <c r="Q313" s="10">
        <f t="shared" si="21"/>
        <v>0</v>
      </c>
      <c r="R313" s="11">
        <f t="shared" si="22"/>
        <v>2588.64</v>
      </c>
      <c r="S313" s="1" t="str">
        <f t="shared" si="23"/>
        <v>Low</v>
      </c>
      <c r="T313" s="1" t="str" cm="1">
        <f t="array" ref="T313">_xlfn.IFS(L313&gt;5,"High",L313=5,"mediam",L313&lt;5,"low")</f>
        <v>low</v>
      </c>
      <c r="U313" s="1" t="b">
        <f t="shared" si="24"/>
        <v>0</v>
      </c>
    </row>
    <row r="314" spans="1:21" x14ac:dyDescent="0.3">
      <c r="A314" s="5">
        <v>10313</v>
      </c>
      <c r="B314" s="1">
        <v>1836</v>
      </c>
      <c r="C314" s="2">
        <v>44992</v>
      </c>
      <c r="D314" s="2">
        <v>44997</v>
      </c>
      <c r="E314" s="1" t="s">
        <v>40</v>
      </c>
      <c r="F314" s="1" t="s">
        <v>41</v>
      </c>
      <c r="G314" s="1" t="s">
        <v>17</v>
      </c>
      <c r="H314" s="1" t="s">
        <v>35</v>
      </c>
      <c r="I314" s="1" t="s">
        <v>57</v>
      </c>
      <c r="J314" s="1" t="s">
        <v>62</v>
      </c>
      <c r="K314" s="1" t="s">
        <v>45</v>
      </c>
      <c r="L314" s="1">
        <v>1</v>
      </c>
      <c r="M314" s="1">
        <v>3251.27</v>
      </c>
      <c r="N314" s="1">
        <v>15</v>
      </c>
      <c r="O314" s="1">
        <v>2763.58</v>
      </c>
      <c r="P314" s="1">
        <f t="shared" si="20"/>
        <v>3251.27</v>
      </c>
      <c r="Q314" s="10">
        <f t="shared" si="21"/>
        <v>414.53699999999998</v>
      </c>
      <c r="R314" s="11">
        <f t="shared" si="22"/>
        <v>2836.7330000000002</v>
      </c>
      <c r="S314" s="1" t="str">
        <f t="shared" si="23"/>
        <v>Low</v>
      </c>
      <c r="T314" s="1" t="str" cm="1">
        <f t="array" ref="T314">_xlfn.IFS(L314&gt;5,"High",L314=5,"mediam",L314&lt;5,"low")</f>
        <v>low</v>
      </c>
      <c r="U314" s="1" t="b">
        <f t="shared" si="24"/>
        <v>0</v>
      </c>
    </row>
    <row r="315" spans="1:21" x14ac:dyDescent="0.3">
      <c r="A315" s="5">
        <v>10314</v>
      </c>
      <c r="B315" s="1">
        <v>1883</v>
      </c>
      <c r="C315" s="2">
        <v>45256</v>
      </c>
      <c r="D315" s="2">
        <v>45264</v>
      </c>
      <c r="E315" s="1" t="s">
        <v>37</v>
      </c>
      <c r="F315" s="1" t="s">
        <v>16</v>
      </c>
      <c r="G315" s="1" t="s">
        <v>24</v>
      </c>
      <c r="H315" s="1" t="s">
        <v>25</v>
      </c>
      <c r="I315" s="1" t="s">
        <v>26</v>
      </c>
      <c r="J315" s="1" t="s">
        <v>69</v>
      </c>
      <c r="K315" s="1" t="s">
        <v>28</v>
      </c>
      <c r="L315" s="1">
        <v>1</v>
      </c>
      <c r="M315" s="1">
        <v>1681.85</v>
      </c>
      <c r="N315" s="1">
        <v>5</v>
      </c>
      <c r="O315" s="1">
        <v>1597.76</v>
      </c>
      <c r="P315" s="1">
        <f t="shared" si="20"/>
        <v>1681.85</v>
      </c>
      <c r="Q315" s="10">
        <f t="shared" si="21"/>
        <v>79.888000000000005</v>
      </c>
      <c r="R315" s="11">
        <f t="shared" si="22"/>
        <v>1601.962</v>
      </c>
      <c r="S315" s="1" t="str">
        <f t="shared" si="23"/>
        <v>Low</v>
      </c>
      <c r="T315" s="1" t="str" cm="1">
        <f t="array" ref="T315">_xlfn.IFS(L315&gt;5,"High",L315=5,"mediam",L315&lt;5,"low")</f>
        <v>low</v>
      </c>
      <c r="U315" s="1" t="b">
        <f t="shared" si="24"/>
        <v>0</v>
      </c>
    </row>
    <row r="316" spans="1:21" x14ac:dyDescent="0.3">
      <c r="A316" s="5">
        <v>10315</v>
      </c>
      <c r="B316" s="1">
        <v>1609</v>
      </c>
      <c r="C316" s="2">
        <v>45024</v>
      </c>
      <c r="D316" s="2">
        <v>45029</v>
      </c>
      <c r="E316" s="1" t="s">
        <v>37</v>
      </c>
      <c r="F316" s="1" t="s">
        <v>29</v>
      </c>
      <c r="G316" s="1" t="s">
        <v>24</v>
      </c>
      <c r="H316" s="1" t="s">
        <v>18</v>
      </c>
      <c r="I316" s="1" t="s">
        <v>49</v>
      </c>
      <c r="J316" s="1" t="s">
        <v>50</v>
      </c>
      <c r="K316" s="1" t="s">
        <v>45</v>
      </c>
      <c r="L316" s="1">
        <v>8</v>
      </c>
      <c r="M316" s="1">
        <v>3253.02</v>
      </c>
      <c r="N316" s="1">
        <v>15</v>
      </c>
      <c r="O316" s="1">
        <v>22120.54</v>
      </c>
      <c r="P316" s="1">
        <f t="shared" si="20"/>
        <v>26024.16</v>
      </c>
      <c r="Q316" s="10">
        <f t="shared" si="21"/>
        <v>3318.0810000000001</v>
      </c>
      <c r="R316" s="11">
        <f t="shared" si="22"/>
        <v>22706.078999999998</v>
      </c>
      <c r="S316" s="1" t="str">
        <f t="shared" si="23"/>
        <v>High</v>
      </c>
      <c r="T316" s="1" t="str" cm="1">
        <f t="array" ref="T316">_xlfn.IFS(L316&gt;5,"High",L316=5,"mediam",L316&lt;5,"low")</f>
        <v>High</v>
      </c>
      <c r="U316" s="1" t="str">
        <f t="shared" si="24"/>
        <v>High</v>
      </c>
    </row>
    <row r="317" spans="1:21" x14ac:dyDescent="0.3">
      <c r="A317" s="5">
        <v>10316</v>
      </c>
      <c r="B317" s="1">
        <v>1197</v>
      </c>
      <c r="C317" s="2">
        <v>45070</v>
      </c>
      <c r="D317" s="2">
        <v>45071</v>
      </c>
      <c r="E317" s="1" t="s">
        <v>46</v>
      </c>
      <c r="F317" s="1" t="s">
        <v>38</v>
      </c>
      <c r="G317" s="1" t="s">
        <v>30</v>
      </c>
      <c r="H317" s="1" t="s">
        <v>18</v>
      </c>
      <c r="I317" s="1" t="s">
        <v>57</v>
      </c>
      <c r="J317" s="1" t="s">
        <v>58</v>
      </c>
      <c r="K317" s="1" t="s">
        <v>33</v>
      </c>
      <c r="L317" s="1">
        <v>8</v>
      </c>
      <c r="M317" s="1">
        <v>2429.2600000000002</v>
      </c>
      <c r="N317" s="1">
        <v>15</v>
      </c>
      <c r="O317" s="1">
        <v>16518.97</v>
      </c>
      <c r="P317" s="1">
        <f t="shared" si="20"/>
        <v>19434.080000000002</v>
      </c>
      <c r="Q317" s="10">
        <f t="shared" si="21"/>
        <v>2477.8454999999999</v>
      </c>
      <c r="R317" s="11">
        <f t="shared" si="22"/>
        <v>16956.234500000002</v>
      </c>
      <c r="S317" s="1" t="str">
        <f t="shared" si="23"/>
        <v>High</v>
      </c>
      <c r="T317" s="1" t="str" cm="1">
        <f t="array" ref="T317">_xlfn.IFS(L317&gt;5,"High",L317=5,"mediam",L317&lt;5,"low")</f>
        <v>High</v>
      </c>
      <c r="U317" s="1" t="str">
        <f t="shared" si="24"/>
        <v>High</v>
      </c>
    </row>
    <row r="318" spans="1:21" x14ac:dyDescent="0.3">
      <c r="A318" s="5">
        <v>10317</v>
      </c>
      <c r="B318" s="1">
        <v>1981</v>
      </c>
      <c r="C318" s="2">
        <v>45051</v>
      </c>
      <c r="D318" s="2">
        <v>45056</v>
      </c>
      <c r="E318" s="1" t="s">
        <v>34</v>
      </c>
      <c r="F318" s="1" t="s">
        <v>38</v>
      </c>
      <c r="G318" s="1" t="s">
        <v>24</v>
      </c>
      <c r="H318" s="1" t="s">
        <v>25</v>
      </c>
      <c r="I318" s="1" t="s">
        <v>49</v>
      </c>
      <c r="J318" s="1" t="s">
        <v>63</v>
      </c>
      <c r="K318" s="1" t="s">
        <v>47</v>
      </c>
      <c r="L318" s="1">
        <v>2</v>
      </c>
      <c r="M318" s="1">
        <v>788.72</v>
      </c>
      <c r="N318" s="1">
        <v>20</v>
      </c>
      <c r="O318" s="1">
        <v>1261.95</v>
      </c>
      <c r="P318" s="1">
        <f t="shared" si="20"/>
        <v>1577.44</v>
      </c>
      <c r="Q318" s="10">
        <f t="shared" si="21"/>
        <v>252.39000000000001</v>
      </c>
      <c r="R318" s="11">
        <f t="shared" si="22"/>
        <v>1325.05</v>
      </c>
      <c r="S318" s="1" t="str">
        <f t="shared" si="23"/>
        <v>Low</v>
      </c>
      <c r="T318" s="1" t="str" cm="1">
        <f t="array" ref="T318">_xlfn.IFS(L318&gt;5,"High",L318=5,"mediam",L318&lt;5,"low")</f>
        <v>low</v>
      </c>
      <c r="U318" s="1" t="b">
        <f t="shared" si="24"/>
        <v>0</v>
      </c>
    </row>
    <row r="319" spans="1:21" x14ac:dyDescent="0.3">
      <c r="A319" s="5">
        <v>10318</v>
      </c>
      <c r="B319" s="1">
        <v>1906</v>
      </c>
      <c r="C319" s="2">
        <v>45093</v>
      </c>
      <c r="D319" s="2">
        <v>45097</v>
      </c>
      <c r="E319" s="1" t="s">
        <v>15</v>
      </c>
      <c r="F319" s="1" t="s">
        <v>23</v>
      </c>
      <c r="G319" s="1" t="s">
        <v>30</v>
      </c>
      <c r="H319" s="1" t="s">
        <v>35</v>
      </c>
      <c r="I319" s="1" t="s">
        <v>49</v>
      </c>
      <c r="J319" s="1" t="s">
        <v>68</v>
      </c>
      <c r="K319" s="1" t="s">
        <v>21</v>
      </c>
      <c r="L319" s="1">
        <v>7</v>
      </c>
      <c r="M319" s="1">
        <v>245.03</v>
      </c>
      <c r="N319" s="1">
        <v>0</v>
      </c>
      <c r="O319" s="1">
        <v>1715.21</v>
      </c>
      <c r="P319" s="1">
        <f t="shared" si="20"/>
        <v>1715.21</v>
      </c>
      <c r="Q319" s="10">
        <f t="shared" si="21"/>
        <v>0</v>
      </c>
      <c r="R319" s="11">
        <f t="shared" si="22"/>
        <v>1715.21</v>
      </c>
      <c r="S319" s="1" t="str">
        <f t="shared" si="23"/>
        <v>High</v>
      </c>
      <c r="T319" s="1" t="str" cm="1">
        <f t="array" ref="T319">_xlfn.IFS(L319&gt;5,"High",L319=5,"mediam",L319&lt;5,"low")</f>
        <v>High</v>
      </c>
      <c r="U319" s="1" t="str">
        <f t="shared" si="24"/>
        <v>High</v>
      </c>
    </row>
    <row r="320" spans="1:21" x14ac:dyDescent="0.3">
      <c r="A320" s="5">
        <v>10319</v>
      </c>
      <c r="B320" s="1">
        <v>1510</v>
      </c>
      <c r="C320" s="2">
        <v>45012</v>
      </c>
      <c r="D320" s="2">
        <v>45018</v>
      </c>
      <c r="E320" s="1" t="s">
        <v>22</v>
      </c>
      <c r="F320" s="1" t="s">
        <v>38</v>
      </c>
      <c r="G320" s="1" t="s">
        <v>24</v>
      </c>
      <c r="H320" s="1" t="s">
        <v>18</v>
      </c>
      <c r="I320" s="1" t="s">
        <v>49</v>
      </c>
      <c r="J320" s="1" t="s">
        <v>50</v>
      </c>
      <c r="K320" s="1" t="s">
        <v>28</v>
      </c>
      <c r="L320" s="1">
        <v>8</v>
      </c>
      <c r="M320" s="1">
        <v>1546.6</v>
      </c>
      <c r="N320" s="1">
        <v>15</v>
      </c>
      <c r="O320" s="1">
        <v>10516.88</v>
      </c>
      <c r="P320" s="1">
        <f t="shared" si="20"/>
        <v>12372.8</v>
      </c>
      <c r="Q320" s="10">
        <f t="shared" si="21"/>
        <v>1577.5319999999999</v>
      </c>
      <c r="R320" s="11">
        <f t="shared" si="22"/>
        <v>10795.268</v>
      </c>
      <c r="S320" s="1" t="str">
        <f t="shared" si="23"/>
        <v>High</v>
      </c>
      <c r="T320" s="1" t="str" cm="1">
        <f t="array" ref="T320">_xlfn.IFS(L320&gt;5,"High",L320=5,"mediam",L320&lt;5,"low")</f>
        <v>High</v>
      </c>
      <c r="U320" s="1" t="str">
        <f t="shared" si="24"/>
        <v>High</v>
      </c>
    </row>
    <row r="321" spans="1:21" x14ac:dyDescent="0.3">
      <c r="A321" s="5">
        <v>10320</v>
      </c>
      <c r="B321" s="1">
        <v>1751</v>
      </c>
      <c r="C321" s="2">
        <v>45002</v>
      </c>
      <c r="D321" s="2">
        <v>45005</v>
      </c>
      <c r="E321" s="1" t="s">
        <v>15</v>
      </c>
      <c r="F321" s="1" t="s">
        <v>16</v>
      </c>
      <c r="G321" s="1" t="s">
        <v>17</v>
      </c>
      <c r="H321" s="1" t="s">
        <v>35</v>
      </c>
      <c r="I321" s="1" t="s">
        <v>26</v>
      </c>
      <c r="J321" s="1" t="s">
        <v>36</v>
      </c>
      <c r="K321" s="1" t="s">
        <v>28</v>
      </c>
      <c r="L321" s="1">
        <v>8</v>
      </c>
      <c r="M321" s="1">
        <v>2254.7800000000002</v>
      </c>
      <c r="N321" s="1">
        <v>0</v>
      </c>
      <c r="O321" s="1">
        <v>18038.240000000002</v>
      </c>
      <c r="P321" s="1">
        <f t="shared" si="20"/>
        <v>18038.240000000002</v>
      </c>
      <c r="Q321" s="10">
        <f t="shared" si="21"/>
        <v>0</v>
      </c>
      <c r="R321" s="11">
        <f t="shared" si="22"/>
        <v>18038.240000000002</v>
      </c>
      <c r="S321" s="1" t="str">
        <f t="shared" si="23"/>
        <v>High</v>
      </c>
      <c r="T321" s="1" t="str" cm="1">
        <f t="array" ref="T321">_xlfn.IFS(L321&gt;5,"High",L321=5,"mediam",L321&lt;5,"low")</f>
        <v>High</v>
      </c>
      <c r="U321" s="1" t="str">
        <f t="shared" si="24"/>
        <v>High</v>
      </c>
    </row>
    <row r="322" spans="1:21" x14ac:dyDescent="0.3">
      <c r="A322" s="5">
        <v>10321</v>
      </c>
      <c r="B322" s="1">
        <v>1143</v>
      </c>
      <c r="C322" s="2">
        <v>45270</v>
      </c>
      <c r="D322" s="2">
        <v>45275</v>
      </c>
      <c r="E322" s="1" t="s">
        <v>37</v>
      </c>
      <c r="F322" s="1" t="s">
        <v>16</v>
      </c>
      <c r="G322" s="1" t="s">
        <v>30</v>
      </c>
      <c r="H322" s="1" t="s">
        <v>42</v>
      </c>
      <c r="I322" s="1" t="s">
        <v>52</v>
      </c>
      <c r="J322" s="1" t="s">
        <v>60</v>
      </c>
      <c r="K322" s="1" t="s">
        <v>45</v>
      </c>
      <c r="L322" s="1">
        <v>7</v>
      </c>
      <c r="M322" s="1">
        <v>3383.31</v>
      </c>
      <c r="N322" s="1">
        <v>20</v>
      </c>
      <c r="O322" s="1">
        <v>18946.54</v>
      </c>
      <c r="P322" s="1">
        <f t="shared" si="20"/>
        <v>23683.17</v>
      </c>
      <c r="Q322" s="10">
        <f t="shared" si="21"/>
        <v>3789.3080000000004</v>
      </c>
      <c r="R322" s="11">
        <f t="shared" si="22"/>
        <v>19893.861999999997</v>
      </c>
      <c r="S322" s="1" t="str">
        <f t="shared" si="23"/>
        <v>High</v>
      </c>
      <c r="T322" s="1" t="str" cm="1">
        <f t="array" ref="T322">_xlfn.IFS(L322&gt;5,"High",L322=5,"mediam",L322&lt;5,"low")</f>
        <v>High</v>
      </c>
      <c r="U322" s="1" t="str">
        <f t="shared" si="24"/>
        <v>High</v>
      </c>
    </row>
    <row r="323" spans="1:21" x14ac:dyDescent="0.3">
      <c r="A323" s="5">
        <v>10322</v>
      </c>
      <c r="B323" s="1">
        <v>1608</v>
      </c>
      <c r="C323" s="2">
        <v>45220</v>
      </c>
      <c r="D323" s="2">
        <v>45222</v>
      </c>
      <c r="E323" s="1" t="s">
        <v>15</v>
      </c>
      <c r="F323" s="1" t="s">
        <v>54</v>
      </c>
      <c r="G323" s="1" t="s">
        <v>30</v>
      </c>
      <c r="H323" s="1" t="s">
        <v>35</v>
      </c>
      <c r="I323" s="1" t="s">
        <v>26</v>
      </c>
      <c r="J323" s="1" t="s">
        <v>61</v>
      </c>
      <c r="K323" s="1" t="s">
        <v>28</v>
      </c>
      <c r="L323" s="1">
        <v>5</v>
      </c>
      <c r="M323" s="1">
        <v>640.82000000000005</v>
      </c>
      <c r="N323" s="1">
        <v>0</v>
      </c>
      <c r="O323" s="1">
        <v>3204.1</v>
      </c>
      <c r="P323" s="1">
        <f t="shared" ref="P323:P386" si="25">L323*M323</f>
        <v>3204.1000000000004</v>
      </c>
      <c r="Q323" s="10">
        <f t="shared" ref="Q323:Q386" si="26">O323*N323%</f>
        <v>0</v>
      </c>
      <c r="R323" s="11">
        <f t="shared" ref="R323:R386" si="27">P323-Q323</f>
        <v>3204.1000000000004</v>
      </c>
      <c r="S323" s="1" t="str">
        <f t="shared" ref="S323:S386" si="28">IF(L323&gt;=5,"High","Low")</f>
        <v>High</v>
      </c>
      <c r="T323" s="1" t="str" cm="1">
        <f t="array" ref="T323">_xlfn.IFS(L323&gt;5,"High",L323=5,"mediam",L323&lt;5,"low")</f>
        <v>mediam</v>
      </c>
      <c r="U323" s="1" t="b">
        <f t="shared" ref="U323:U386" si="29">IF(L323&gt;5,"High",IF(L323="Mediam","Low"))</f>
        <v>0</v>
      </c>
    </row>
    <row r="324" spans="1:21" x14ac:dyDescent="0.3">
      <c r="A324" s="5">
        <v>10323</v>
      </c>
      <c r="B324" s="1">
        <v>1200</v>
      </c>
      <c r="C324" s="2">
        <v>44985</v>
      </c>
      <c r="D324" s="2">
        <v>44991</v>
      </c>
      <c r="E324" s="1" t="s">
        <v>46</v>
      </c>
      <c r="F324" s="1" t="s">
        <v>16</v>
      </c>
      <c r="G324" s="1" t="s">
        <v>24</v>
      </c>
      <c r="H324" s="1" t="s">
        <v>44</v>
      </c>
      <c r="I324" s="1" t="s">
        <v>31</v>
      </c>
      <c r="J324" s="1" t="s">
        <v>48</v>
      </c>
      <c r="K324" s="1" t="s">
        <v>33</v>
      </c>
      <c r="L324" s="1">
        <v>1</v>
      </c>
      <c r="M324" s="1">
        <v>3230.79</v>
      </c>
      <c r="N324" s="1">
        <v>5</v>
      </c>
      <c r="O324" s="1">
        <v>3069.25</v>
      </c>
      <c r="P324" s="1">
        <f t="shared" si="25"/>
        <v>3230.79</v>
      </c>
      <c r="Q324" s="10">
        <f t="shared" si="26"/>
        <v>153.46250000000001</v>
      </c>
      <c r="R324" s="11">
        <f t="shared" si="27"/>
        <v>3077.3274999999999</v>
      </c>
      <c r="S324" s="1" t="str">
        <f t="shared" si="28"/>
        <v>Low</v>
      </c>
      <c r="T324" s="1" t="str" cm="1">
        <f t="array" ref="T324">_xlfn.IFS(L324&gt;5,"High",L324=5,"mediam",L324&lt;5,"low")</f>
        <v>low</v>
      </c>
      <c r="U324" s="1" t="b">
        <f t="shared" si="29"/>
        <v>0</v>
      </c>
    </row>
    <row r="325" spans="1:21" x14ac:dyDescent="0.3">
      <c r="A325" s="5">
        <v>10324</v>
      </c>
      <c r="B325" s="1">
        <v>1123</v>
      </c>
      <c r="C325" s="2">
        <v>45064</v>
      </c>
      <c r="D325" s="2">
        <v>45070</v>
      </c>
      <c r="E325" s="1" t="s">
        <v>46</v>
      </c>
      <c r="F325" s="1" t="s">
        <v>41</v>
      </c>
      <c r="G325" s="1" t="s">
        <v>24</v>
      </c>
      <c r="H325" s="1" t="s">
        <v>44</v>
      </c>
      <c r="I325" s="1" t="s">
        <v>57</v>
      </c>
      <c r="J325" s="1" t="s">
        <v>58</v>
      </c>
      <c r="K325" s="1" t="s">
        <v>33</v>
      </c>
      <c r="L325" s="1">
        <v>9</v>
      </c>
      <c r="M325" s="1">
        <v>3472.58</v>
      </c>
      <c r="N325" s="1">
        <v>15</v>
      </c>
      <c r="O325" s="1">
        <v>26565.24</v>
      </c>
      <c r="P325" s="1">
        <f t="shared" si="25"/>
        <v>31253.22</v>
      </c>
      <c r="Q325" s="10">
        <f t="shared" si="26"/>
        <v>3984.7860000000001</v>
      </c>
      <c r="R325" s="11">
        <f t="shared" si="27"/>
        <v>27268.434000000001</v>
      </c>
      <c r="S325" s="1" t="str">
        <f t="shared" si="28"/>
        <v>High</v>
      </c>
      <c r="T325" s="1" t="str" cm="1">
        <f t="array" ref="T325">_xlfn.IFS(L325&gt;5,"High",L325=5,"mediam",L325&lt;5,"low")</f>
        <v>High</v>
      </c>
      <c r="U325" s="1" t="str">
        <f t="shared" si="29"/>
        <v>High</v>
      </c>
    </row>
    <row r="326" spans="1:21" x14ac:dyDescent="0.3">
      <c r="A326" s="5">
        <v>10325</v>
      </c>
      <c r="B326" s="1">
        <v>1186</v>
      </c>
      <c r="C326" s="2">
        <v>45025</v>
      </c>
      <c r="D326" s="2">
        <v>45030</v>
      </c>
      <c r="E326" s="1" t="s">
        <v>37</v>
      </c>
      <c r="F326" s="1" t="s">
        <v>38</v>
      </c>
      <c r="G326" s="1" t="s">
        <v>30</v>
      </c>
      <c r="H326" s="1" t="s">
        <v>35</v>
      </c>
      <c r="I326" s="1" t="s">
        <v>52</v>
      </c>
      <c r="J326" s="1" t="s">
        <v>64</v>
      </c>
      <c r="K326" s="1" t="s">
        <v>45</v>
      </c>
      <c r="L326" s="1">
        <v>7</v>
      </c>
      <c r="M326" s="1">
        <v>730.15</v>
      </c>
      <c r="N326" s="1">
        <v>0</v>
      </c>
      <c r="O326" s="1">
        <v>5111.05</v>
      </c>
      <c r="P326" s="1">
        <f t="shared" si="25"/>
        <v>5111.05</v>
      </c>
      <c r="Q326" s="10">
        <f t="shared" si="26"/>
        <v>0</v>
      </c>
      <c r="R326" s="11">
        <f t="shared" si="27"/>
        <v>5111.05</v>
      </c>
      <c r="S326" s="1" t="str">
        <f t="shared" si="28"/>
        <v>High</v>
      </c>
      <c r="T326" s="1" t="str" cm="1">
        <f t="array" ref="T326">_xlfn.IFS(L326&gt;5,"High",L326=5,"mediam",L326&lt;5,"low")</f>
        <v>High</v>
      </c>
      <c r="U326" s="1" t="str">
        <f t="shared" si="29"/>
        <v>High</v>
      </c>
    </row>
    <row r="327" spans="1:21" x14ac:dyDescent="0.3">
      <c r="A327" s="5">
        <v>10326</v>
      </c>
      <c r="B327" s="1">
        <v>1325</v>
      </c>
      <c r="C327" s="2">
        <v>45118</v>
      </c>
      <c r="D327" s="2">
        <v>45124</v>
      </c>
      <c r="E327" s="1" t="s">
        <v>37</v>
      </c>
      <c r="F327" s="1" t="s">
        <v>16</v>
      </c>
      <c r="G327" s="1" t="s">
        <v>24</v>
      </c>
      <c r="H327" s="1" t="s">
        <v>44</v>
      </c>
      <c r="I327" s="1" t="s">
        <v>52</v>
      </c>
      <c r="J327" s="1" t="s">
        <v>60</v>
      </c>
      <c r="K327" s="1" t="s">
        <v>33</v>
      </c>
      <c r="L327" s="1">
        <v>2</v>
      </c>
      <c r="M327" s="1">
        <v>3428.64</v>
      </c>
      <c r="N327" s="1">
        <v>10</v>
      </c>
      <c r="O327" s="1">
        <v>6171.55</v>
      </c>
      <c r="P327" s="1">
        <f t="shared" si="25"/>
        <v>6857.28</v>
      </c>
      <c r="Q327" s="10">
        <f t="shared" si="26"/>
        <v>617.15500000000009</v>
      </c>
      <c r="R327" s="11">
        <f t="shared" si="27"/>
        <v>6240.125</v>
      </c>
      <c r="S327" s="1" t="str">
        <f t="shared" si="28"/>
        <v>Low</v>
      </c>
      <c r="T327" s="1" t="str" cm="1">
        <f t="array" ref="T327">_xlfn.IFS(L327&gt;5,"High",L327=5,"mediam",L327&lt;5,"low")</f>
        <v>low</v>
      </c>
      <c r="U327" s="1" t="b">
        <f t="shared" si="29"/>
        <v>0</v>
      </c>
    </row>
    <row r="328" spans="1:21" x14ac:dyDescent="0.3">
      <c r="A328" s="5">
        <v>10327</v>
      </c>
      <c r="B328" s="1">
        <v>1463</v>
      </c>
      <c r="C328" s="2">
        <v>45169</v>
      </c>
      <c r="D328" s="2">
        <v>45176</v>
      </c>
      <c r="E328" s="1" t="s">
        <v>22</v>
      </c>
      <c r="F328" s="1" t="s">
        <v>23</v>
      </c>
      <c r="G328" s="1" t="s">
        <v>17</v>
      </c>
      <c r="H328" s="1" t="s">
        <v>42</v>
      </c>
      <c r="I328" s="1" t="s">
        <v>52</v>
      </c>
      <c r="J328" s="1" t="s">
        <v>60</v>
      </c>
      <c r="K328" s="1" t="s">
        <v>47</v>
      </c>
      <c r="L328" s="1">
        <v>6</v>
      </c>
      <c r="M328" s="1">
        <v>3967.1</v>
      </c>
      <c r="N328" s="1">
        <v>0</v>
      </c>
      <c r="O328" s="1">
        <v>23802.6</v>
      </c>
      <c r="P328" s="1">
        <f t="shared" si="25"/>
        <v>23802.6</v>
      </c>
      <c r="Q328" s="10">
        <f t="shared" si="26"/>
        <v>0</v>
      </c>
      <c r="R328" s="11">
        <f t="shared" si="27"/>
        <v>23802.6</v>
      </c>
      <c r="S328" s="1" t="str">
        <f t="shared" si="28"/>
        <v>High</v>
      </c>
      <c r="T328" s="1" t="str" cm="1">
        <f t="array" ref="T328">_xlfn.IFS(L328&gt;5,"High",L328=5,"mediam",L328&lt;5,"low")</f>
        <v>High</v>
      </c>
      <c r="U328" s="1" t="str">
        <f t="shared" si="29"/>
        <v>High</v>
      </c>
    </row>
    <row r="329" spans="1:21" x14ac:dyDescent="0.3">
      <c r="A329" s="5">
        <v>10328</v>
      </c>
      <c r="B329" s="1">
        <v>1348</v>
      </c>
      <c r="C329" s="2">
        <v>45245</v>
      </c>
      <c r="D329" s="2">
        <v>45250</v>
      </c>
      <c r="E329" s="1" t="s">
        <v>22</v>
      </c>
      <c r="F329" s="1" t="s">
        <v>54</v>
      </c>
      <c r="G329" s="1" t="s">
        <v>24</v>
      </c>
      <c r="H329" s="1" t="s">
        <v>25</v>
      </c>
      <c r="I329" s="1" t="s">
        <v>52</v>
      </c>
      <c r="J329" s="1" t="s">
        <v>53</v>
      </c>
      <c r="K329" s="1" t="s">
        <v>45</v>
      </c>
      <c r="L329" s="1">
        <v>2</v>
      </c>
      <c r="M329" s="1">
        <v>2948.33</v>
      </c>
      <c r="N329" s="1">
        <v>15</v>
      </c>
      <c r="O329" s="1">
        <v>5012.16</v>
      </c>
      <c r="P329" s="1">
        <f t="shared" si="25"/>
        <v>5896.66</v>
      </c>
      <c r="Q329" s="10">
        <f t="shared" si="26"/>
        <v>751.82399999999996</v>
      </c>
      <c r="R329" s="11">
        <f t="shared" si="27"/>
        <v>5144.8360000000002</v>
      </c>
      <c r="S329" s="1" t="str">
        <f t="shared" si="28"/>
        <v>Low</v>
      </c>
      <c r="T329" s="1" t="str" cm="1">
        <f t="array" ref="T329">_xlfn.IFS(L329&gt;5,"High",L329=5,"mediam",L329&lt;5,"low")</f>
        <v>low</v>
      </c>
      <c r="U329" s="1" t="b">
        <f t="shared" si="29"/>
        <v>0</v>
      </c>
    </row>
    <row r="330" spans="1:21" x14ac:dyDescent="0.3">
      <c r="A330" s="5">
        <v>10329</v>
      </c>
      <c r="B330" s="1">
        <v>1770</v>
      </c>
      <c r="C330" s="2">
        <v>44975</v>
      </c>
      <c r="D330" s="2">
        <v>44976</v>
      </c>
      <c r="E330" s="1" t="s">
        <v>40</v>
      </c>
      <c r="F330" s="1" t="s">
        <v>38</v>
      </c>
      <c r="G330" s="1" t="s">
        <v>17</v>
      </c>
      <c r="H330" s="1" t="s">
        <v>44</v>
      </c>
      <c r="I330" s="1" t="s">
        <v>26</v>
      </c>
      <c r="J330" s="1" t="s">
        <v>27</v>
      </c>
      <c r="K330" s="1" t="s">
        <v>47</v>
      </c>
      <c r="L330" s="1">
        <v>1</v>
      </c>
      <c r="M330" s="1">
        <v>3171.36</v>
      </c>
      <c r="N330" s="1">
        <v>20</v>
      </c>
      <c r="O330" s="1">
        <v>2537.09</v>
      </c>
      <c r="P330" s="1">
        <f t="shared" si="25"/>
        <v>3171.36</v>
      </c>
      <c r="Q330" s="10">
        <f t="shared" si="26"/>
        <v>507.41800000000006</v>
      </c>
      <c r="R330" s="11">
        <f t="shared" si="27"/>
        <v>2663.942</v>
      </c>
      <c r="S330" s="1" t="str">
        <f t="shared" si="28"/>
        <v>Low</v>
      </c>
      <c r="T330" s="1" t="str" cm="1">
        <f t="array" ref="T330">_xlfn.IFS(L330&gt;5,"High",L330=5,"mediam",L330&lt;5,"low")</f>
        <v>low</v>
      </c>
      <c r="U330" s="1" t="b">
        <f t="shared" si="29"/>
        <v>0</v>
      </c>
    </row>
    <row r="331" spans="1:21" x14ac:dyDescent="0.3">
      <c r="A331" s="5">
        <v>10330</v>
      </c>
      <c r="B331" s="1">
        <v>1659</v>
      </c>
      <c r="C331" s="2">
        <v>44958</v>
      </c>
      <c r="D331" s="2">
        <v>44966</v>
      </c>
      <c r="E331" s="1" t="s">
        <v>37</v>
      </c>
      <c r="F331" s="1" t="s">
        <v>54</v>
      </c>
      <c r="G331" s="1" t="s">
        <v>17</v>
      </c>
      <c r="H331" s="1" t="s">
        <v>44</v>
      </c>
      <c r="I331" s="1" t="s">
        <v>52</v>
      </c>
      <c r="J331" s="1" t="s">
        <v>64</v>
      </c>
      <c r="K331" s="1" t="s">
        <v>21</v>
      </c>
      <c r="L331" s="1">
        <v>7</v>
      </c>
      <c r="M331" s="1">
        <v>3978.5</v>
      </c>
      <c r="N331" s="1">
        <v>20</v>
      </c>
      <c r="O331" s="1">
        <v>22279.599999999999</v>
      </c>
      <c r="P331" s="1">
        <f t="shared" si="25"/>
        <v>27849.5</v>
      </c>
      <c r="Q331" s="10">
        <f t="shared" si="26"/>
        <v>4455.92</v>
      </c>
      <c r="R331" s="11">
        <f t="shared" si="27"/>
        <v>23393.58</v>
      </c>
      <c r="S331" s="1" t="str">
        <f t="shared" si="28"/>
        <v>High</v>
      </c>
      <c r="T331" s="1" t="str" cm="1">
        <f t="array" ref="T331">_xlfn.IFS(L331&gt;5,"High",L331=5,"mediam",L331&lt;5,"low")</f>
        <v>High</v>
      </c>
      <c r="U331" s="1" t="str">
        <f t="shared" si="29"/>
        <v>High</v>
      </c>
    </row>
    <row r="332" spans="1:21" x14ac:dyDescent="0.3">
      <c r="A332" s="5">
        <v>10331</v>
      </c>
      <c r="B332" s="1">
        <v>1763</v>
      </c>
      <c r="C332" s="2">
        <v>45203</v>
      </c>
      <c r="D332" s="2">
        <v>45207</v>
      </c>
      <c r="E332" s="1" t="s">
        <v>34</v>
      </c>
      <c r="F332" s="1" t="s">
        <v>38</v>
      </c>
      <c r="G332" s="1" t="s">
        <v>17</v>
      </c>
      <c r="H332" s="1" t="s">
        <v>35</v>
      </c>
      <c r="I332" s="1" t="s">
        <v>19</v>
      </c>
      <c r="J332" s="1" t="s">
        <v>55</v>
      </c>
      <c r="K332" s="1" t="s">
        <v>47</v>
      </c>
      <c r="L332" s="1">
        <v>2</v>
      </c>
      <c r="M332" s="1">
        <v>2481.1</v>
      </c>
      <c r="N332" s="1">
        <v>15</v>
      </c>
      <c r="O332" s="1">
        <v>4217.87</v>
      </c>
      <c r="P332" s="1">
        <f t="shared" si="25"/>
        <v>4962.2</v>
      </c>
      <c r="Q332" s="10">
        <f t="shared" si="26"/>
        <v>632.68049999999994</v>
      </c>
      <c r="R332" s="11">
        <f t="shared" si="27"/>
        <v>4329.5195000000003</v>
      </c>
      <c r="S332" s="1" t="str">
        <f t="shared" si="28"/>
        <v>Low</v>
      </c>
      <c r="T332" s="1" t="str" cm="1">
        <f t="array" ref="T332">_xlfn.IFS(L332&gt;5,"High",L332=5,"mediam",L332&lt;5,"low")</f>
        <v>low</v>
      </c>
      <c r="U332" s="1" t="b">
        <f t="shared" si="29"/>
        <v>0</v>
      </c>
    </row>
    <row r="333" spans="1:21" x14ac:dyDescent="0.3">
      <c r="A333" s="5">
        <v>10332</v>
      </c>
      <c r="B333" s="1">
        <v>1954</v>
      </c>
      <c r="C333" s="2">
        <v>44946</v>
      </c>
      <c r="D333" s="2">
        <v>44955</v>
      </c>
      <c r="E333" s="1" t="s">
        <v>15</v>
      </c>
      <c r="F333" s="1" t="s">
        <v>23</v>
      </c>
      <c r="G333" s="1" t="s">
        <v>17</v>
      </c>
      <c r="H333" s="1" t="s">
        <v>42</v>
      </c>
      <c r="I333" s="1" t="s">
        <v>57</v>
      </c>
      <c r="J333" s="1" t="s">
        <v>67</v>
      </c>
      <c r="K333" s="1" t="s">
        <v>21</v>
      </c>
      <c r="L333" s="1">
        <v>2</v>
      </c>
      <c r="M333" s="1">
        <v>1335.36</v>
      </c>
      <c r="N333" s="1">
        <v>5</v>
      </c>
      <c r="O333" s="1">
        <v>2537.1799999999998</v>
      </c>
      <c r="P333" s="1">
        <f t="shared" si="25"/>
        <v>2670.72</v>
      </c>
      <c r="Q333" s="10">
        <f t="shared" si="26"/>
        <v>126.85899999999999</v>
      </c>
      <c r="R333" s="11">
        <f t="shared" si="27"/>
        <v>2543.8609999999999</v>
      </c>
      <c r="S333" s="1" t="str">
        <f t="shared" si="28"/>
        <v>Low</v>
      </c>
      <c r="T333" s="1" t="str" cm="1">
        <f t="array" ref="T333">_xlfn.IFS(L333&gt;5,"High",L333=5,"mediam",L333&lt;5,"low")</f>
        <v>low</v>
      </c>
      <c r="U333" s="1" t="b">
        <f t="shared" si="29"/>
        <v>0</v>
      </c>
    </row>
    <row r="334" spans="1:21" x14ac:dyDescent="0.3">
      <c r="A334" s="5">
        <v>10333</v>
      </c>
      <c r="B334" s="1">
        <v>1931</v>
      </c>
      <c r="C334" s="2">
        <v>45080</v>
      </c>
      <c r="D334" s="2">
        <v>45086</v>
      </c>
      <c r="E334" s="1" t="s">
        <v>37</v>
      </c>
      <c r="F334" s="1" t="s">
        <v>54</v>
      </c>
      <c r="G334" s="1" t="s">
        <v>17</v>
      </c>
      <c r="H334" s="1" t="s">
        <v>25</v>
      </c>
      <c r="I334" s="1" t="s">
        <v>52</v>
      </c>
      <c r="J334" s="1" t="s">
        <v>60</v>
      </c>
      <c r="K334" s="1" t="s">
        <v>21</v>
      </c>
      <c r="L334" s="1">
        <v>5</v>
      </c>
      <c r="M334" s="1">
        <v>3374.49</v>
      </c>
      <c r="N334" s="1">
        <v>5</v>
      </c>
      <c r="O334" s="1">
        <v>16028.83</v>
      </c>
      <c r="P334" s="1">
        <f t="shared" si="25"/>
        <v>16872.449999999997</v>
      </c>
      <c r="Q334" s="10">
        <f t="shared" si="26"/>
        <v>801.44150000000002</v>
      </c>
      <c r="R334" s="11">
        <f t="shared" si="27"/>
        <v>16071.008499999996</v>
      </c>
      <c r="S334" s="1" t="str">
        <f t="shared" si="28"/>
        <v>High</v>
      </c>
      <c r="T334" s="1" t="str" cm="1">
        <f t="array" ref="T334">_xlfn.IFS(L334&gt;5,"High",L334=5,"mediam",L334&lt;5,"low")</f>
        <v>mediam</v>
      </c>
      <c r="U334" s="1" t="b">
        <f t="shared" si="29"/>
        <v>0</v>
      </c>
    </row>
    <row r="335" spans="1:21" x14ac:dyDescent="0.3">
      <c r="A335" s="5">
        <v>10334</v>
      </c>
      <c r="B335" s="1">
        <v>1402</v>
      </c>
      <c r="C335" s="2">
        <v>44994</v>
      </c>
      <c r="D335" s="2">
        <v>44995</v>
      </c>
      <c r="E335" s="1" t="s">
        <v>16</v>
      </c>
      <c r="F335" s="1" t="s">
        <v>29</v>
      </c>
      <c r="G335" s="1" t="s">
        <v>24</v>
      </c>
      <c r="H335" s="1" t="s">
        <v>35</v>
      </c>
      <c r="I335" s="1" t="s">
        <v>57</v>
      </c>
      <c r="J335" s="1" t="s">
        <v>59</v>
      </c>
      <c r="K335" s="1" t="s">
        <v>47</v>
      </c>
      <c r="L335" s="1">
        <v>5</v>
      </c>
      <c r="M335" s="1">
        <v>2515.77</v>
      </c>
      <c r="N335" s="1">
        <v>20</v>
      </c>
      <c r="O335" s="1">
        <v>10063.08</v>
      </c>
      <c r="P335" s="1">
        <f t="shared" si="25"/>
        <v>12578.85</v>
      </c>
      <c r="Q335" s="10">
        <f t="shared" si="26"/>
        <v>2012.616</v>
      </c>
      <c r="R335" s="11">
        <f t="shared" si="27"/>
        <v>10566.234</v>
      </c>
      <c r="S335" s="1" t="str">
        <f t="shared" si="28"/>
        <v>High</v>
      </c>
      <c r="T335" s="1" t="str" cm="1">
        <f t="array" ref="T335">_xlfn.IFS(L335&gt;5,"High",L335=5,"mediam",L335&lt;5,"low")</f>
        <v>mediam</v>
      </c>
      <c r="U335" s="1" t="b">
        <f t="shared" si="29"/>
        <v>0</v>
      </c>
    </row>
    <row r="336" spans="1:21" x14ac:dyDescent="0.3">
      <c r="A336" s="5">
        <v>10335</v>
      </c>
      <c r="B336" s="1">
        <v>1345</v>
      </c>
      <c r="C336" s="2">
        <v>45140</v>
      </c>
      <c r="D336" s="2">
        <v>45143</v>
      </c>
      <c r="E336" s="1" t="s">
        <v>40</v>
      </c>
      <c r="F336" s="1" t="s">
        <v>41</v>
      </c>
      <c r="G336" s="1" t="s">
        <v>17</v>
      </c>
      <c r="H336" s="1" t="s">
        <v>35</v>
      </c>
      <c r="I336" s="1" t="s">
        <v>19</v>
      </c>
      <c r="J336" s="1" t="s">
        <v>43</v>
      </c>
      <c r="K336" s="1" t="s">
        <v>45</v>
      </c>
      <c r="L336" s="1">
        <v>7</v>
      </c>
      <c r="M336" s="1">
        <v>2387.6</v>
      </c>
      <c r="N336" s="1">
        <v>20</v>
      </c>
      <c r="O336" s="1">
        <v>13370.56</v>
      </c>
      <c r="P336" s="1">
        <f t="shared" si="25"/>
        <v>16713.2</v>
      </c>
      <c r="Q336" s="10">
        <f t="shared" si="26"/>
        <v>2674.1120000000001</v>
      </c>
      <c r="R336" s="11">
        <f t="shared" si="27"/>
        <v>14039.088</v>
      </c>
      <c r="S336" s="1" t="str">
        <f t="shared" si="28"/>
        <v>High</v>
      </c>
      <c r="T336" s="1" t="str" cm="1">
        <f t="array" ref="T336">_xlfn.IFS(L336&gt;5,"High",L336=5,"mediam",L336&lt;5,"low")</f>
        <v>High</v>
      </c>
      <c r="U336" s="1" t="str">
        <f t="shared" si="29"/>
        <v>High</v>
      </c>
    </row>
    <row r="337" spans="1:21" x14ac:dyDescent="0.3">
      <c r="A337" s="5">
        <v>10336</v>
      </c>
      <c r="B337" s="1">
        <v>1962</v>
      </c>
      <c r="C337" s="2">
        <v>45069</v>
      </c>
      <c r="D337" s="2">
        <v>45072</v>
      </c>
      <c r="E337" s="1" t="s">
        <v>16</v>
      </c>
      <c r="F337" s="1" t="s">
        <v>41</v>
      </c>
      <c r="G337" s="1" t="s">
        <v>24</v>
      </c>
      <c r="H337" s="1" t="s">
        <v>42</v>
      </c>
      <c r="I337" s="1" t="s">
        <v>19</v>
      </c>
      <c r="J337" s="1" t="s">
        <v>66</v>
      </c>
      <c r="K337" s="1" t="s">
        <v>33</v>
      </c>
      <c r="L337" s="1">
        <v>1</v>
      </c>
      <c r="M337" s="1">
        <v>1126.5</v>
      </c>
      <c r="N337" s="1">
        <v>15</v>
      </c>
      <c r="O337" s="1">
        <v>957.52</v>
      </c>
      <c r="P337" s="1">
        <f t="shared" si="25"/>
        <v>1126.5</v>
      </c>
      <c r="Q337" s="10">
        <f t="shared" si="26"/>
        <v>143.62799999999999</v>
      </c>
      <c r="R337" s="11">
        <f t="shared" si="27"/>
        <v>982.87200000000007</v>
      </c>
      <c r="S337" s="1" t="str">
        <f t="shared" si="28"/>
        <v>Low</v>
      </c>
      <c r="T337" s="1" t="str" cm="1">
        <f t="array" ref="T337">_xlfn.IFS(L337&gt;5,"High",L337=5,"mediam",L337&lt;5,"low")</f>
        <v>low</v>
      </c>
      <c r="U337" s="1" t="b">
        <f t="shared" si="29"/>
        <v>0</v>
      </c>
    </row>
    <row r="338" spans="1:21" x14ac:dyDescent="0.3">
      <c r="A338" s="5">
        <v>10337</v>
      </c>
      <c r="B338" s="1">
        <v>1510</v>
      </c>
      <c r="C338" s="2">
        <v>45158</v>
      </c>
      <c r="D338" s="2">
        <v>45162</v>
      </c>
      <c r="E338" s="1" t="s">
        <v>46</v>
      </c>
      <c r="F338" s="1" t="s">
        <v>38</v>
      </c>
      <c r="G338" s="1" t="s">
        <v>17</v>
      </c>
      <c r="H338" s="1" t="s">
        <v>25</v>
      </c>
      <c r="I338" s="1" t="s">
        <v>57</v>
      </c>
      <c r="J338" s="1" t="s">
        <v>62</v>
      </c>
      <c r="K338" s="1" t="s">
        <v>33</v>
      </c>
      <c r="L338" s="1">
        <v>8</v>
      </c>
      <c r="M338" s="1">
        <v>3061.89</v>
      </c>
      <c r="N338" s="1">
        <v>5</v>
      </c>
      <c r="O338" s="1">
        <v>23270.36</v>
      </c>
      <c r="P338" s="1">
        <f t="shared" si="25"/>
        <v>24495.119999999999</v>
      </c>
      <c r="Q338" s="10">
        <f t="shared" si="26"/>
        <v>1163.518</v>
      </c>
      <c r="R338" s="11">
        <f t="shared" si="27"/>
        <v>23331.601999999999</v>
      </c>
      <c r="S338" s="1" t="str">
        <f t="shared" si="28"/>
        <v>High</v>
      </c>
      <c r="T338" s="1" t="str" cm="1">
        <f t="array" ref="T338">_xlfn.IFS(L338&gt;5,"High",L338=5,"mediam",L338&lt;5,"low")</f>
        <v>High</v>
      </c>
      <c r="U338" s="1" t="str">
        <f t="shared" si="29"/>
        <v>High</v>
      </c>
    </row>
    <row r="339" spans="1:21" x14ac:dyDescent="0.3">
      <c r="A339" s="5">
        <v>10338</v>
      </c>
      <c r="B339" s="1">
        <v>1146</v>
      </c>
      <c r="C339" s="2">
        <v>45139</v>
      </c>
      <c r="D339" s="2">
        <v>45145</v>
      </c>
      <c r="E339" s="1" t="s">
        <v>22</v>
      </c>
      <c r="F339" s="1" t="s">
        <v>29</v>
      </c>
      <c r="G339" s="1" t="s">
        <v>30</v>
      </c>
      <c r="H339" s="1" t="s">
        <v>42</v>
      </c>
      <c r="I339" s="1" t="s">
        <v>49</v>
      </c>
      <c r="J339" s="1" t="s">
        <v>50</v>
      </c>
      <c r="K339" s="1" t="s">
        <v>21</v>
      </c>
      <c r="L339" s="1">
        <v>3</v>
      </c>
      <c r="M339" s="1">
        <v>464.42</v>
      </c>
      <c r="N339" s="1">
        <v>20</v>
      </c>
      <c r="O339" s="1">
        <v>1114.6099999999999</v>
      </c>
      <c r="P339" s="1">
        <f t="shared" si="25"/>
        <v>1393.26</v>
      </c>
      <c r="Q339" s="10">
        <f t="shared" si="26"/>
        <v>222.922</v>
      </c>
      <c r="R339" s="11">
        <f t="shared" si="27"/>
        <v>1170.338</v>
      </c>
      <c r="S339" s="1" t="str">
        <f t="shared" si="28"/>
        <v>Low</v>
      </c>
      <c r="T339" s="1" t="str" cm="1">
        <f t="array" ref="T339">_xlfn.IFS(L339&gt;5,"High",L339=5,"mediam",L339&lt;5,"low")</f>
        <v>low</v>
      </c>
      <c r="U339" s="1" t="b">
        <f t="shared" si="29"/>
        <v>0</v>
      </c>
    </row>
    <row r="340" spans="1:21" x14ac:dyDescent="0.3">
      <c r="A340" s="5">
        <v>10339</v>
      </c>
      <c r="B340" s="1">
        <v>1147</v>
      </c>
      <c r="C340" s="2">
        <v>45005</v>
      </c>
      <c r="D340" s="2">
        <v>45012</v>
      </c>
      <c r="E340" s="1" t="s">
        <v>15</v>
      </c>
      <c r="F340" s="1" t="s">
        <v>54</v>
      </c>
      <c r="G340" s="1" t="s">
        <v>17</v>
      </c>
      <c r="H340" s="1" t="s">
        <v>25</v>
      </c>
      <c r="I340" s="1" t="s">
        <v>31</v>
      </c>
      <c r="J340" s="1" t="s">
        <v>32</v>
      </c>
      <c r="K340" s="1" t="s">
        <v>21</v>
      </c>
      <c r="L340" s="1">
        <v>4</v>
      </c>
      <c r="M340" s="1">
        <v>3708.51</v>
      </c>
      <c r="N340" s="1">
        <v>5</v>
      </c>
      <c r="O340" s="1">
        <v>14092.34</v>
      </c>
      <c r="P340" s="1">
        <f t="shared" si="25"/>
        <v>14834.04</v>
      </c>
      <c r="Q340" s="10">
        <f t="shared" si="26"/>
        <v>704.61700000000008</v>
      </c>
      <c r="R340" s="11">
        <f t="shared" si="27"/>
        <v>14129.423000000001</v>
      </c>
      <c r="S340" s="1" t="str">
        <f t="shared" si="28"/>
        <v>Low</v>
      </c>
      <c r="T340" s="1" t="str" cm="1">
        <f t="array" ref="T340">_xlfn.IFS(L340&gt;5,"High",L340=5,"mediam",L340&lt;5,"low")</f>
        <v>low</v>
      </c>
      <c r="U340" s="1" t="b">
        <f t="shared" si="29"/>
        <v>0</v>
      </c>
    </row>
    <row r="341" spans="1:21" x14ac:dyDescent="0.3">
      <c r="A341" s="5">
        <v>10340</v>
      </c>
      <c r="B341" s="1">
        <v>1863</v>
      </c>
      <c r="C341" s="2">
        <v>45140</v>
      </c>
      <c r="D341" s="2">
        <v>45144</v>
      </c>
      <c r="E341" s="1" t="s">
        <v>37</v>
      </c>
      <c r="F341" s="1" t="s">
        <v>29</v>
      </c>
      <c r="G341" s="1" t="s">
        <v>30</v>
      </c>
      <c r="H341" s="1" t="s">
        <v>42</v>
      </c>
      <c r="I341" s="1" t="s">
        <v>49</v>
      </c>
      <c r="J341" s="1" t="s">
        <v>50</v>
      </c>
      <c r="K341" s="1" t="s">
        <v>45</v>
      </c>
      <c r="L341" s="1">
        <v>9</v>
      </c>
      <c r="M341" s="1">
        <v>1404.42</v>
      </c>
      <c r="N341" s="1">
        <v>20</v>
      </c>
      <c r="O341" s="1">
        <v>10111.82</v>
      </c>
      <c r="P341" s="1">
        <f t="shared" si="25"/>
        <v>12639.78</v>
      </c>
      <c r="Q341" s="10">
        <f t="shared" si="26"/>
        <v>2022.364</v>
      </c>
      <c r="R341" s="11">
        <f t="shared" si="27"/>
        <v>10617.416000000001</v>
      </c>
      <c r="S341" s="1" t="str">
        <f t="shared" si="28"/>
        <v>High</v>
      </c>
      <c r="T341" s="1" t="str" cm="1">
        <f t="array" ref="T341">_xlfn.IFS(L341&gt;5,"High",L341=5,"mediam",L341&lt;5,"low")</f>
        <v>High</v>
      </c>
      <c r="U341" s="1" t="str">
        <f t="shared" si="29"/>
        <v>High</v>
      </c>
    </row>
    <row r="342" spans="1:21" x14ac:dyDescent="0.3">
      <c r="A342" s="5">
        <v>10341</v>
      </c>
      <c r="B342" s="1">
        <v>1710</v>
      </c>
      <c r="C342" s="2">
        <v>45042</v>
      </c>
      <c r="D342" s="2">
        <v>45048</v>
      </c>
      <c r="E342" s="1" t="s">
        <v>16</v>
      </c>
      <c r="F342" s="1" t="s">
        <v>29</v>
      </c>
      <c r="G342" s="1" t="s">
        <v>17</v>
      </c>
      <c r="H342" s="1" t="s">
        <v>35</v>
      </c>
      <c r="I342" s="1" t="s">
        <v>49</v>
      </c>
      <c r="J342" s="1" t="s">
        <v>51</v>
      </c>
      <c r="K342" s="1" t="s">
        <v>28</v>
      </c>
      <c r="L342" s="1">
        <v>4</v>
      </c>
      <c r="M342" s="1">
        <v>641.92999999999995</v>
      </c>
      <c r="N342" s="1">
        <v>0</v>
      </c>
      <c r="O342" s="1">
        <v>2567.7199999999998</v>
      </c>
      <c r="P342" s="1">
        <f t="shared" si="25"/>
        <v>2567.7199999999998</v>
      </c>
      <c r="Q342" s="10">
        <f t="shared" si="26"/>
        <v>0</v>
      </c>
      <c r="R342" s="11">
        <f t="shared" si="27"/>
        <v>2567.7199999999998</v>
      </c>
      <c r="S342" s="1" t="str">
        <f t="shared" si="28"/>
        <v>Low</v>
      </c>
      <c r="T342" s="1" t="str" cm="1">
        <f t="array" ref="T342">_xlfn.IFS(L342&gt;5,"High",L342=5,"mediam",L342&lt;5,"low")</f>
        <v>low</v>
      </c>
      <c r="U342" s="1" t="b">
        <f t="shared" si="29"/>
        <v>0</v>
      </c>
    </row>
    <row r="343" spans="1:21" x14ac:dyDescent="0.3">
      <c r="A343" s="5">
        <v>10342</v>
      </c>
      <c r="B343" s="1">
        <v>1819</v>
      </c>
      <c r="C343" s="2">
        <v>45018</v>
      </c>
      <c r="D343" s="2">
        <v>45019</v>
      </c>
      <c r="E343" s="1" t="s">
        <v>15</v>
      </c>
      <c r="F343" s="1" t="s">
        <v>54</v>
      </c>
      <c r="G343" s="1" t="s">
        <v>17</v>
      </c>
      <c r="H343" s="1" t="s">
        <v>35</v>
      </c>
      <c r="I343" s="1" t="s">
        <v>26</v>
      </c>
      <c r="J343" s="1" t="s">
        <v>27</v>
      </c>
      <c r="K343" s="1" t="s">
        <v>47</v>
      </c>
      <c r="L343" s="1">
        <v>5</v>
      </c>
      <c r="M343" s="1">
        <v>1853.11</v>
      </c>
      <c r="N343" s="1">
        <v>10</v>
      </c>
      <c r="O343" s="1">
        <v>8338.99</v>
      </c>
      <c r="P343" s="1">
        <f t="shared" si="25"/>
        <v>9265.5499999999993</v>
      </c>
      <c r="Q343" s="10">
        <f t="shared" si="26"/>
        <v>833.899</v>
      </c>
      <c r="R343" s="11">
        <f t="shared" si="27"/>
        <v>8431.6509999999998</v>
      </c>
      <c r="S343" s="1" t="str">
        <f t="shared" si="28"/>
        <v>High</v>
      </c>
      <c r="T343" s="1" t="str" cm="1">
        <f t="array" ref="T343">_xlfn.IFS(L343&gt;5,"High",L343=5,"mediam",L343&lt;5,"low")</f>
        <v>mediam</v>
      </c>
      <c r="U343" s="1" t="b">
        <f t="shared" si="29"/>
        <v>0</v>
      </c>
    </row>
    <row r="344" spans="1:21" x14ac:dyDescent="0.3">
      <c r="A344" s="5">
        <v>10343</v>
      </c>
      <c r="B344" s="1">
        <v>1488</v>
      </c>
      <c r="C344" s="2">
        <v>45196</v>
      </c>
      <c r="D344" s="2">
        <v>45204</v>
      </c>
      <c r="E344" s="1" t="s">
        <v>46</v>
      </c>
      <c r="F344" s="1" t="s">
        <v>23</v>
      </c>
      <c r="G344" s="1" t="s">
        <v>17</v>
      </c>
      <c r="H344" s="1" t="s">
        <v>18</v>
      </c>
      <c r="I344" s="1" t="s">
        <v>49</v>
      </c>
      <c r="J344" s="1" t="s">
        <v>51</v>
      </c>
      <c r="K344" s="1" t="s">
        <v>21</v>
      </c>
      <c r="L344" s="1">
        <v>7</v>
      </c>
      <c r="M344" s="1">
        <v>313.51</v>
      </c>
      <c r="N344" s="1">
        <v>0</v>
      </c>
      <c r="O344" s="1">
        <v>2194.5700000000002</v>
      </c>
      <c r="P344" s="1">
        <f t="shared" si="25"/>
        <v>2194.5699999999997</v>
      </c>
      <c r="Q344" s="10">
        <f t="shared" si="26"/>
        <v>0</v>
      </c>
      <c r="R344" s="11">
        <f t="shared" si="27"/>
        <v>2194.5699999999997</v>
      </c>
      <c r="S344" s="1" t="str">
        <f t="shared" si="28"/>
        <v>High</v>
      </c>
      <c r="T344" s="1" t="str" cm="1">
        <f t="array" ref="T344">_xlfn.IFS(L344&gt;5,"High",L344=5,"mediam",L344&lt;5,"low")</f>
        <v>High</v>
      </c>
      <c r="U344" s="1" t="str">
        <f t="shared" si="29"/>
        <v>High</v>
      </c>
    </row>
    <row r="345" spans="1:21" x14ac:dyDescent="0.3">
      <c r="A345" s="5">
        <v>10344</v>
      </c>
      <c r="B345" s="1">
        <v>1928</v>
      </c>
      <c r="C345" s="2">
        <v>45094</v>
      </c>
      <c r="D345" s="2">
        <v>45101</v>
      </c>
      <c r="E345" s="1" t="s">
        <v>22</v>
      </c>
      <c r="F345" s="1" t="s">
        <v>29</v>
      </c>
      <c r="G345" s="1" t="s">
        <v>30</v>
      </c>
      <c r="H345" s="1" t="s">
        <v>44</v>
      </c>
      <c r="I345" s="1" t="s">
        <v>52</v>
      </c>
      <c r="J345" s="1" t="s">
        <v>56</v>
      </c>
      <c r="K345" s="1" t="s">
        <v>33</v>
      </c>
      <c r="L345" s="1">
        <v>4</v>
      </c>
      <c r="M345" s="1">
        <v>2785.81</v>
      </c>
      <c r="N345" s="1">
        <v>20</v>
      </c>
      <c r="O345" s="1">
        <v>8914.59</v>
      </c>
      <c r="P345" s="1">
        <f t="shared" si="25"/>
        <v>11143.24</v>
      </c>
      <c r="Q345" s="10">
        <f t="shared" si="26"/>
        <v>1782.9180000000001</v>
      </c>
      <c r="R345" s="11">
        <f t="shared" si="27"/>
        <v>9360.3220000000001</v>
      </c>
      <c r="S345" s="1" t="str">
        <f t="shared" si="28"/>
        <v>Low</v>
      </c>
      <c r="T345" s="1" t="str" cm="1">
        <f t="array" ref="T345">_xlfn.IFS(L345&gt;5,"High",L345=5,"mediam",L345&lt;5,"low")</f>
        <v>low</v>
      </c>
      <c r="U345" s="1" t="b">
        <f t="shared" si="29"/>
        <v>0</v>
      </c>
    </row>
    <row r="346" spans="1:21" x14ac:dyDescent="0.3">
      <c r="A346" s="5">
        <v>10345</v>
      </c>
      <c r="B346" s="1">
        <v>1935</v>
      </c>
      <c r="C346" s="2">
        <v>44984</v>
      </c>
      <c r="D346" s="2">
        <v>44993</v>
      </c>
      <c r="E346" s="1" t="s">
        <v>34</v>
      </c>
      <c r="F346" s="1" t="s">
        <v>29</v>
      </c>
      <c r="G346" s="1" t="s">
        <v>30</v>
      </c>
      <c r="H346" s="1" t="s">
        <v>42</v>
      </c>
      <c r="I346" s="1" t="s">
        <v>26</v>
      </c>
      <c r="J346" s="1" t="s">
        <v>36</v>
      </c>
      <c r="K346" s="1" t="s">
        <v>45</v>
      </c>
      <c r="L346" s="1">
        <v>1</v>
      </c>
      <c r="M346" s="1">
        <v>3625.42</v>
      </c>
      <c r="N346" s="1">
        <v>10</v>
      </c>
      <c r="O346" s="1">
        <v>3262.88</v>
      </c>
      <c r="P346" s="1">
        <f t="shared" si="25"/>
        <v>3625.42</v>
      </c>
      <c r="Q346" s="10">
        <f t="shared" si="26"/>
        <v>326.28800000000001</v>
      </c>
      <c r="R346" s="11">
        <f t="shared" si="27"/>
        <v>3299.1320000000001</v>
      </c>
      <c r="S346" s="1" t="str">
        <f t="shared" si="28"/>
        <v>Low</v>
      </c>
      <c r="T346" s="1" t="str" cm="1">
        <f t="array" ref="T346">_xlfn.IFS(L346&gt;5,"High",L346=5,"mediam",L346&lt;5,"low")</f>
        <v>low</v>
      </c>
      <c r="U346" s="1" t="b">
        <f t="shared" si="29"/>
        <v>0</v>
      </c>
    </row>
    <row r="347" spans="1:21" x14ac:dyDescent="0.3">
      <c r="A347" s="5">
        <v>10346</v>
      </c>
      <c r="B347" s="1">
        <v>1639</v>
      </c>
      <c r="C347" s="2">
        <v>45210</v>
      </c>
      <c r="D347" s="2">
        <v>45213</v>
      </c>
      <c r="E347" s="1" t="s">
        <v>40</v>
      </c>
      <c r="F347" s="1" t="s">
        <v>23</v>
      </c>
      <c r="G347" s="1" t="s">
        <v>17</v>
      </c>
      <c r="H347" s="1" t="s">
        <v>18</v>
      </c>
      <c r="I347" s="1" t="s">
        <v>26</v>
      </c>
      <c r="J347" s="1" t="s">
        <v>36</v>
      </c>
      <c r="K347" s="1" t="s">
        <v>47</v>
      </c>
      <c r="L347" s="1">
        <v>9</v>
      </c>
      <c r="M347" s="1">
        <v>3373.46</v>
      </c>
      <c r="N347" s="1">
        <v>10</v>
      </c>
      <c r="O347" s="1">
        <v>27325.03</v>
      </c>
      <c r="P347" s="1">
        <f t="shared" si="25"/>
        <v>30361.14</v>
      </c>
      <c r="Q347" s="10">
        <f t="shared" si="26"/>
        <v>2732.5030000000002</v>
      </c>
      <c r="R347" s="11">
        <f t="shared" si="27"/>
        <v>27628.636999999999</v>
      </c>
      <c r="S347" s="1" t="str">
        <f t="shared" si="28"/>
        <v>High</v>
      </c>
      <c r="T347" s="1" t="str" cm="1">
        <f t="array" ref="T347">_xlfn.IFS(L347&gt;5,"High",L347=5,"mediam",L347&lt;5,"low")</f>
        <v>High</v>
      </c>
      <c r="U347" s="1" t="str">
        <f t="shared" si="29"/>
        <v>High</v>
      </c>
    </row>
    <row r="348" spans="1:21" x14ac:dyDescent="0.3">
      <c r="A348" s="5">
        <v>10347</v>
      </c>
      <c r="B348" s="1">
        <v>1550</v>
      </c>
      <c r="C348" s="2">
        <v>44952</v>
      </c>
      <c r="D348" s="2">
        <v>44954</v>
      </c>
      <c r="E348" s="1" t="s">
        <v>15</v>
      </c>
      <c r="F348" s="1" t="s">
        <v>29</v>
      </c>
      <c r="G348" s="1" t="s">
        <v>24</v>
      </c>
      <c r="H348" s="1" t="s">
        <v>44</v>
      </c>
      <c r="I348" s="1" t="s">
        <v>19</v>
      </c>
      <c r="J348" s="1" t="s">
        <v>20</v>
      </c>
      <c r="K348" s="1" t="s">
        <v>45</v>
      </c>
      <c r="L348" s="1">
        <v>4</v>
      </c>
      <c r="M348" s="1">
        <v>640.37</v>
      </c>
      <c r="N348" s="1">
        <v>20</v>
      </c>
      <c r="O348" s="1">
        <v>2049.1799999999998</v>
      </c>
      <c r="P348" s="1">
        <f t="shared" si="25"/>
        <v>2561.48</v>
      </c>
      <c r="Q348" s="10">
        <f t="shared" si="26"/>
        <v>409.83600000000001</v>
      </c>
      <c r="R348" s="11">
        <f t="shared" si="27"/>
        <v>2151.6440000000002</v>
      </c>
      <c r="S348" s="1" t="str">
        <f t="shared" si="28"/>
        <v>Low</v>
      </c>
      <c r="T348" s="1" t="str" cm="1">
        <f t="array" ref="T348">_xlfn.IFS(L348&gt;5,"High",L348=5,"mediam",L348&lt;5,"low")</f>
        <v>low</v>
      </c>
      <c r="U348" s="1" t="b">
        <f t="shared" si="29"/>
        <v>0</v>
      </c>
    </row>
    <row r="349" spans="1:21" x14ac:dyDescent="0.3">
      <c r="A349" s="5">
        <v>10348</v>
      </c>
      <c r="B349" s="1">
        <v>1337</v>
      </c>
      <c r="C349" s="2">
        <v>44992</v>
      </c>
      <c r="D349" s="2">
        <v>44993</v>
      </c>
      <c r="E349" s="1" t="s">
        <v>15</v>
      </c>
      <c r="F349" s="1" t="s">
        <v>29</v>
      </c>
      <c r="G349" s="1" t="s">
        <v>17</v>
      </c>
      <c r="H349" s="1" t="s">
        <v>42</v>
      </c>
      <c r="I349" s="1" t="s">
        <v>49</v>
      </c>
      <c r="J349" s="1" t="s">
        <v>68</v>
      </c>
      <c r="K349" s="1" t="s">
        <v>47</v>
      </c>
      <c r="L349" s="1">
        <v>9</v>
      </c>
      <c r="M349" s="1">
        <v>636.14</v>
      </c>
      <c r="N349" s="1">
        <v>20</v>
      </c>
      <c r="O349" s="1">
        <v>4580.21</v>
      </c>
      <c r="P349" s="1">
        <f t="shared" si="25"/>
        <v>5725.26</v>
      </c>
      <c r="Q349" s="10">
        <f t="shared" si="26"/>
        <v>916.04200000000003</v>
      </c>
      <c r="R349" s="11">
        <f t="shared" si="27"/>
        <v>4809.2179999999998</v>
      </c>
      <c r="S349" s="1" t="str">
        <f t="shared" si="28"/>
        <v>High</v>
      </c>
      <c r="T349" s="1" t="str" cm="1">
        <f t="array" ref="T349">_xlfn.IFS(L349&gt;5,"High",L349=5,"mediam",L349&lt;5,"low")</f>
        <v>High</v>
      </c>
      <c r="U349" s="1" t="str">
        <f t="shared" si="29"/>
        <v>High</v>
      </c>
    </row>
    <row r="350" spans="1:21" x14ac:dyDescent="0.3">
      <c r="A350" s="5">
        <v>10349</v>
      </c>
      <c r="B350" s="1">
        <v>1871</v>
      </c>
      <c r="C350" s="2">
        <v>45174</v>
      </c>
      <c r="D350" s="2">
        <v>45177</v>
      </c>
      <c r="E350" s="1" t="s">
        <v>34</v>
      </c>
      <c r="F350" s="1" t="s">
        <v>29</v>
      </c>
      <c r="G350" s="1" t="s">
        <v>30</v>
      </c>
      <c r="H350" s="1" t="s">
        <v>25</v>
      </c>
      <c r="I350" s="1" t="s">
        <v>19</v>
      </c>
      <c r="J350" s="1" t="s">
        <v>55</v>
      </c>
      <c r="K350" s="1" t="s">
        <v>47</v>
      </c>
      <c r="L350" s="1">
        <v>6</v>
      </c>
      <c r="M350" s="1">
        <v>3281.72</v>
      </c>
      <c r="N350" s="1">
        <v>5</v>
      </c>
      <c r="O350" s="1">
        <v>18705.8</v>
      </c>
      <c r="P350" s="1">
        <f t="shared" si="25"/>
        <v>19690.32</v>
      </c>
      <c r="Q350" s="10">
        <f t="shared" si="26"/>
        <v>935.29</v>
      </c>
      <c r="R350" s="11">
        <f t="shared" si="27"/>
        <v>18755.03</v>
      </c>
      <c r="S350" s="1" t="str">
        <f t="shared" si="28"/>
        <v>High</v>
      </c>
      <c r="T350" s="1" t="str" cm="1">
        <f t="array" ref="T350">_xlfn.IFS(L350&gt;5,"High",L350=5,"mediam",L350&lt;5,"low")</f>
        <v>High</v>
      </c>
      <c r="U350" s="1" t="str">
        <f t="shared" si="29"/>
        <v>High</v>
      </c>
    </row>
    <row r="351" spans="1:21" x14ac:dyDescent="0.3">
      <c r="A351" s="5">
        <v>10350</v>
      </c>
      <c r="B351" s="1">
        <v>1640</v>
      </c>
      <c r="C351" s="2">
        <v>45180</v>
      </c>
      <c r="D351" s="2">
        <v>45185</v>
      </c>
      <c r="E351" s="1" t="s">
        <v>15</v>
      </c>
      <c r="F351" s="1" t="s">
        <v>41</v>
      </c>
      <c r="G351" s="1" t="s">
        <v>17</v>
      </c>
      <c r="H351" s="1" t="s">
        <v>44</v>
      </c>
      <c r="I351" s="1" t="s">
        <v>57</v>
      </c>
      <c r="J351" s="1" t="s">
        <v>62</v>
      </c>
      <c r="K351" s="1" t="s">
        <v>21</v>
      </c>
      <c r="L351" s="1">
        <v>1</v>
      </c>
      <c r="M351" s="1">
        <v>3708.38</v>
      </c>
      <c r="N351" s="1">
        <v>20</v>
      </c>
      <c r="O351" s="1">
        <v>2966.7</v>
      </c>
      <c r="P351" s="1">
        <f t="shared" si="25"/>
        <v>3708.38</v>
      </c>
      <c r="Q351" s="10">
        <f t="shared" si="26"/>
        <v>593.34</v>
      </c>
      <c r="R351" s="11">
        <f t="shared" si="27"/>
        <v>3115.04</v>
      </c>
      <c r="S351" s="1" t="str">
        <f t="shared" si="28"/>
        <v>Low</v>
      </c>
      <c r="T351" s="1" t="str" cm="1">
        <f t="array" ref="T351">_xlfn.IFS(L351&gt;5,"High",L351=5,"mediam",L351&lt;5,"low")</f>
        <v>low</v>
      </c>
      <c r="U351" s="1" t="b">
        <f t="shared" si="29"/>
        <v>0</v>
      </c>
    </row>
    <row r="352" spans="1:21" x14ac:dyDescent="0.3">
      <c r="A352" s="5">
        <v>10351</v>
      </c>
      <c r="B352" s="1">
        <v>1778</v>
      </c>
      <c r="C352" s="2">
        <v>44970</v>
      </c>
      <c r="D352" s="2">
        <v>44972</v>
      </c>
      <c r="E352" s="1" t="s">
        <v>46</v>
      </c>
      <c r="F352" s="1" t="s">
        <v>16</v>
      </c>
      <c r="G352" s="1" t="s">
        <v>30</v>
      </c>
      <c r="H352" s="1" t="s">
        <v>35</v>
      </c>
      <c r="I352" s="1" t="s">
        <v>31</v>
      </c>
      <c r="J352" s="1" t="s">
        <v>32</v>
      </c>
      <c r="K352" s="1" t="s">
        <v>45</v>
      </c>
      <c r="L352" s="1">
        <v>3</v>
      </c>
      <c r="M352" s="1">
        <v>1923.58</v>
      </c>
      <c r="N352" s="1">
        <v>15</v>
      </c>
      <c r="O352" s="1">
        <v>4905.13</v>
      </c>
      <c r="P352" s="1">
        <f t="shared" si="25"/>
        <v>5770.74</v>
      </c>
      <c r="Q352" s="10">
        <f t="shared" si="26"/>
        <v>735.76949999999999</v>
      </c>
      <c r="R352" s="11">
        <f t="shared" si="27"/>
        <v>5034.9704999999994</v>
      </c>
      <c r="S352" s="1" t="str">
        <f t="shared" si="28"/>
        <v>Low</v>
      </c>
      <c r="T352" s="1" t="str" cm="1">
        <f t="array" ref="T352">_xlfn.IFS(L352&gt;5,"High",L352=5,"mediam",L352&lt;5,"low")</f>
        <v>low</v>
      </c>
      <c r="U352" s="1" t="b">
        <f t="shared" si="29"/>
        <v>0</v>
      </c>
    </row>
    <row r="353" spans="1:21" x14ac:dyDescent="0.3">
      <c r="A353" s="5">
        <v>10352</v>
      </c>
      <c r="B353" s="1">
        <v>1987</v>
      </c>
      <c r="C353" s="2">
        <v>45023</v>
      </c>
      <c r="D353" s="2">
        <v>45026</v>
      </c>
      <c r="E353" s="1" t="s">
        <v>46</v>
      </c>
      <c r="F353" s="1" t="s">
        <v>23</v>
      </c>
      <c r="G353" s="1" t="s">
        <v>30</v>
      </c>
      <c r="H353" s="1" t="s">
        <v>18</v>
      </c>
      <c r="I353" s="1" t="s">
        <v>26</v>
      </c>
      <c r="J353" s="1" t="s">
        <v>36</v>
      </c>
      <c r="K353" s="1" t="s">
        <v>45</v>
      </c>
      <c r="L353" s="1">
        <v>2</v>
      </c>
      <c r="M353" s="1">
        <v>2071.04</v>
      </c>
      <c r="N353" s="1">
        <v>20</v>
      </c>
      <c r="O353" s="1">
        <v>3313.66</v>
      </c>
      <c r="P353" s="1">
        <f t="shared" si="25"/>
        <v>4142.08</v>
      </c>
      <c r="Q353" s="10">
        <f t="shared" si="26"/>
        <v>662.73199999999997</v>
      </c>
      <c r="R353" s="11">
        <f t="shared" si="27"/>
        <v>3479.348</v>
      </c>
      <c r="S353" s="1" t="str">
        <f t="shared" si="28"/>
        <v>Low</v>
      </c>
      <c r="T353" s="1" t="str" cm="1">
        <f t="array" ref="T353">_xlfn.IFS(L353&gt;5,"High",L353=5,"mediam",L353&lt;5,"low")</f>
        <v>low</v>
      </c>
      <c r="U353" s="1" t="b">
        <f t="shared" si="29"/>
        <v>0</v>
      </c>
    </row>
    <row r="354" spans="1:21" x14ac:dyDescent="0.3">
      <c r="A354" s="5">
        <v>10353</v>
      </c>
      <c r="B354" s="1">
        <v>1952</v>
      </c>
      <c r="C354" s="2">
        <v>44968</v>
      </c>
      <c r="D354" s="2">
        <v>44972</v>
      </c>
      <c r="E354" s="1" t="s">
        <v>34</v>
      </c>
      <c r="F354" s="1" t="s">
        <v>29</v>
      </c>
      <c r="G354" s="1" t="s">
        <v>30</v>
      </c>
      <c r="H354" s="1" t="s">
        <v>44</v>
      </c>
      <c r="I354" s="1" t="s">
        <v>57</v>
      </c>
      <c r="J354" s="1" t="s">
        <v>67</v>
      </c>
      <c r="K354" s="1" t="s">
        <v>33</v>
      </c>
      <c r="L354" s="1">
        <v>9</v>
      </c>
      <c r="M354" s="1">
        <v>1375.31</v>
      </c>
      <c r="N354" s="1">
        <v>15</v>
      </c>
      <c r="O354" s="1">
        <v>10521.12</v>
      </c>
      <c r="P354" s="1">
        <f t="shared" si="25"/>
        <v>12377.789999999999</v>
      </c>
      <c r="Q354" s="10">
        <f t="shared" si="26"/>
        <v>1578.1680000000001</v>
      </c>
      <c r="R354" s="11">
        <f t="shared" si="27"/>
        <v>10799.621999999999</v>
      </c>
      <c r="S354" s="1" t="str">
        <f t="shared" si="28"/>
        <v>High</v>
      </c>
      <c r="T354" s="1" t="str" cm="1">
        <f t="array" ref="T354">_xlfn.IFS(L354&gt;5,"High",L354=5,"mediam",L354&lt;5,"low")</f>
        <v>High</v>
      </c>
      <c r="U354" s="1" t="str">
        <f t="shared" si="29"/>
        <v>High</v>
      </c>
    </row>
    <row r="355" spans="1:21" x14ac:dyDescent="0.3">
      <c r="A355" s="5">
        <v>10354</v>
      </c>
      <c r="B355" s="1">
        <v>1472</v>
      </c>
      <c r="C355" s="2">
        <v>45153</v>
      </c>
      <c r="D355" s="2">
        <v>45160</v>
      </c>
      <c r="E355" s="1" t="s">
        <v>40</v>
      </c>
      <c r="F355" s="1" t="s">
        <v>41</v>
      </c>
      <c r="G355" s="1" t="s">
        <v>17</v>
      </c>
      <c r="H355" s="1" t="s">
        <v>44</v>
      </c>
      <c r="I355" s="1" t="s">
        <v>57</v>
      </c>
      <c r="J355" s="1" t="s">
        <v>58</v>
      </c>
      <c r="K355" s="1" t="s">
        <v>33</v>
      </c>
      <c r="L355" s="1">
        <v>1</v>
      </c>
      <c r="M355" s="1">
        <v>3592.92</v>
      </c>
      <c r="N355" s="1">
        <v>20</v>
      </c>
      <c r="O355" s="1">
        <v>2874.34</v>
      </c>
      <c r="P355" s="1">
        <f t="shared" si="25"/>
        <v>3592.92</v>
      </c>
      <c r="Q355" s="10">
        <f t="shared" si="26"/>
        <v>574.86800000000005</v>
      </c>
      <c r="R355" s="11">
        <f t="shared" si="27"/>
        <v>3018.0520000000001</v>
      </c>
      <c r="S355" s="1" t="str">
        <f t="shared" si="28"/>
        <v>Low</v>
      </c>
      <c r="T355" s="1" t="str" cm="1">
        <f t="array" ref="T355">_xlfn.IFS(L355&gt;5,"High",L355=5,"mediam",L355&lt;5,"low")</f>
        <v>low</v>
      </c>
      <c r="U355" s="1" t="b">
        <f t="shared" si="29"/>
        <v>0</v>
      </c>
    </row>
    <row r="356" spans="1:21" x14ac:dyDescent="0.3">
      <c r="A356" s="5">
        <v>10355</v>
      </c>
      <c r="B356" s="1">
        <v>1945</v>
      </c>
      <c r="C356" s="2">
        <v>45188</v>
      </c>
      <c r="D356" s="2">
        <v>45191</v>
      </c>
      <c r="E356" s="1" t="s">
        <v>37</v>
      </c>
      <c r="F356" s="1" t="s">
        <v>23</v>
      </c>
      <c r="G356" s="1" t="s">
        <v>30</v>
      </c>
      <c r="H356" s="1" t="s">
        <v>35</v>
      </c>
      <c r="I356" s="1" t="s">
        <v>52</v>
      </c>
      <c r="J356" s="1" t="s">
        <v>53</v>
      </c>
      <c r="K356" s="1" t="s">
        <v>21</v>
      </c>
      <c r="L356" s="1">
        <v>9</v>
      </c>
      <c r="M356" s="1">
        <v>2632.88</v>
      </c>
      <c r="N356" s="1">
        <v>5</v>
      </c>
      <c r="O356" s="1">
        <v>22511.119999999999</v>
      </c>
      <c r="P356" s="1">
        <f t="shared" si="25"/>
        <v>23695.920000000002</v>
      </c>
      <c r="Q356" s="10">
        <f t="shared" si="26"/>
        <v>1125.556</v>
      </c>
      <c r="R356" s="11">
        <f t="shared" si="27"/>
        <v>22570.364000000001</v>
      </c>
      <c r="S356" s="1" t="str">
        <f t="shared" si="28"/>
        <v>High</v>
      </c>
      <c r="T356" s="1" t="str" cm="1">
        <f t="array" ref="T356">_xlfn.IFS(L356&gt;5,"High",L356=5,"mediam",L356&lt;5,"low")</f>
        <v>High</v>
      </c>
      <c r="U356" s="1" t="str">
        <f t="shared" si="29"/>
        <v>High</v>
      </c>
    </row>
    <row r="357" spans="1:21" x14ac:dyDescent="0.3">
      <c r="A357" s="5">
        <v>10356</v>
      </c>
      <c r="B357" s="1">
        <v>1150</v>
      </c>
      <c r="C357" s="2">
        <v>45093</v>
      </c>
      <c r="D357" s="2">
        <v>45102</v>
      </c>
      <c r="E357" s="1" t="s">
        <v>16</v>
      </c>
      <c r="F357" s="1" t="s">
        <v>38</v>
      </c>
      <c r="G357" s="1" t="s">
        <v>30</v>
      </c>
      <c r="H357" s="1" t="s">
        <v>42</v>
      </c>
      <c r="I357" s="1" t="s">
        <v>31</v>
      </c>
      <c r="J357" s="1" t="s">
        <v>48</v>
      </c>
      <c r="K357" s="1" t="s">
        <v>21</v>
      </c>
      <c r="L357" s="1">
        <v>9</v>
      </c>
      <c r="M357" s="1">
        <v>1259.77</v>
      </c>
      <c r="N357" s="1">
        <v>15</v>
      </c>
      <c r="O357" s="1">
        <v>9637.24</v>
      </c>
      <c r="P357" s="1">
        <f t="shared" si="25"/>
        <v>11337.93</v>
      </c>
      <c r="Q357" s="10">
        <f t="shared" si="26"/>
        <v>1445.586</v>
      </c>
      <c r="R357" s="11">
        <f t="shared" si="27"/>
        <v>9892.344000000001</v>
      </c>
      <c r="S357" s="1" t="str">
        <f t="shared" si="28"/>
        <v>High</v>
      </c>
      <c r="T357" s="1" t="str" cm="1">
        <f t="array" ref="T357">_xlfn.IFS(L357&gt;5,"High",L357=5,"mediam",L357&lt;5,"low")</f>
        <v>High</v>
      </c>
      <c r="U357" s="1" t="str">
        <f t="shared" si="29"/>
        <v>High</v>
      </c>
    </row>
    <row r="358" spans="1:21" x14ac:dyDescent="0.3">
      <c r="A358" s="5">
        <v>10357</v>
      </c>
      <c r="B358" s="1">
        <v>1414</v>
      </c>
      <c r="C358" s="2">
        <v>45205</v>
      </c>
      <c r="D358" s="2">
        <v>45213</v>
      </c>
      <c r="E358" s="1" t="s">
        <v>37</v>
      </c>
      <c r="F358" s="1" t="s">
        <v>38</v>
      </c>
      <c r="G358" s="1" t="s">
        <v>17</v>
      </c>
      <c r="H358" s="1" t="s">
        <v>25</v>
      </c>
      <c r="I358" s="1" t="s">
        <v>57</v>
      </c>
      <c r="J358" s="1" t="s">
        <v>58</v>
      </c>
      <c r="K358" s="1" t="s">
        <v>28</v>
      </c>
      <c r="L358" s="1">
        <v>8</v>
      </c>
      <c r="M358" s="1">
        <v>1300.31</v>
      </c>
      <c r="N358" s="1">
        <v>0</v>
      </c>
      <c r="O358" s="1">
        <v>10402.48</v>
      </c>
      <c r="P358" s="1">
        <f t="shared" si="25"/>
        <v>10402.48</v>
      </c>
      <c r="Q358" s="10">
        <f t="shared" si="26"/>
        <v>0</v>
      </c>
      <c r="R358" s="11">
        <f t="shared" si="27"/>
        <v>10402.48</v>
      </c>
      <c r="S358" s="1" t="str">
        <f t="shared" si="28"/>
        <v>High</v>
      </c>
      <c r="T358" s="1" t="str" cm="1">
        <f t="array" ref="T358">_xlfn.IFS(L358&gt;5,"High",L358=5,"mediam",L358&lt;5,"low")</f>
        <v>High</v>
      </c>
      <c r="U358" s="1" t="str">
        <f t="shared" si="29"/>
        <v>High</v>
      </c>
    </row>
    <row r="359" spans="1:21" x14ac:dyDescent="0.3">
      <c r="A359" s="5">
        <v>10358</v>
      </c>
      <c r="B359" s="1">
        <v>1989</v>
      </c>
      <c r="C359" s="2">
        <v>45015</v>
      </c>
      <c r="D359" s="2">
        <v>45019</v>
      </c>
      <c r="E359" s="1" t="s">
        <v>15</v>
      </c>
      <c r="F359" s="1" t="s">
        <v>29</v>
      </c>
      <c r="G359" s="1" t="s">
        <v>30</v>
      </c>
      <c r="H359" s="1" t="s">
        <v>35</v>
      </c>
      <c r="I359" s="1" t="s">
        <v>57</v>
      </c>
      <c r="J359" s="1" t="s">
        <v>58</v>
      </c>
      <c r="K359" s="1" t="s">
        <v>33</v>
      </c>
      <c r="L359" s="1">
        <v>8</v>
      </c>
      <c r="M359" s="1">
        <v>3581.12</v>
      </c>
      <c r="N359" s="1">
        <v>15</v>
      </c>
      <c r="O359" s="1">
        <v>24351.62</v>
      </c>
      <c r="P359" s="1">
        <f t="shared" si="25"/>
        <v>28648.959999999999</v>
      </c>
      <c r="Q359" s="10">
        <f t="shared" si="26"/>
        <v>3652.7429999999999</v>
      </c>
      <c r="R359" s="11">
        <f t="shared" si="27"/>
        <v>24996.217000000001</v>
      </c>
      <c r="S359" s="1" t="str">
        <f t="shared" si="28"/>
        <v>High</v>
      </c>
      <c r="T359" s="1" t="str" cm="1">
        <f t="array" ref="T359">_xlfn.IFS(L359&gt;5,"High",L359=5,"mediam",L359&lt;5,"low")</f>
        <v>High</v>
      </c>
      <c r="U359" s="1" t="str">
        <f t="shared" si="29"/>
        <v>High</v>
      </c>
    </row>
    <row r="360" spans="1:21" x14ac:dyDescent="0.3">
      <c r="A360" s="5">
        <v>10359</v>
      </c>
      <c r="B360" s="1">
        <v>1297</v>
      </c>
      <c r="C360" s="2">
        <v>45104</v>
      </c>
      <c r="D360" s="2">
        <v>45105</v>
      </c>
      <c r="E360" s="1" t="s">
        <v>16</v>
      </c>
      <c r="F360" s="1" t="s">
        <v>41</v>
      </c>
      <c r="G360" s="1" t="s">
        <v>17</v>
      </c>
      <c r="H360" s="1" t="s">
        <v>25</v>
      </c>
      <c r="I360" s="1" t="s">
        <v>31</v>
      </c>
      <c r="J360" s="1" t="s">
        <v>48</v>
      </c>
      <c r="K360" s="1" t="s">
        <v>47</v>
      </c>
      <c r="L360" s="1">
        <v>1</v>
      </c>
      <c r="M360" s="1">
        <v>202.49</v>
      </c>
      <c r="N360" s="1">
        <v>5</v>
      </c>
      <c r="O360" s="1">
        <v>192.37</v>
      </c>
      <c r="P360" s="1">
        <f t="shared" si="25"/>
        <v>202.49</v>
      </c>
      <c r="Q360" s="10">
        <f t="shared" si="26"/>
        <v>9.6185000000000009</v>
      </c>
      <c r="R360" s="11">
        <f t="shared" si="27"/>
        <v>192.8715</v>
      </c>
      <c r="S360" s="1" t="str">
        <f t="shared" si="28"/>
        <v>Low</v>
      </c>
      <c r="T360" s="1" t="str" cm="1">
        <f t="array" ref="T360">_xlfn.IFS(L360&gt;5,"High",L360=5,"mediam",L360&lt;5,"low")</f>
        <v>low</v>
      </c>
      <c r="U360" s="1" t="b">
        <f t="shared" si="29"/>
        <v>0</v>
      </c>
    </row>
    <row r="361" spans="1:21" x14ac:dyDescent="0.3">
      <c r="A361" s="5">
        <v>10360</v>
      </c>
      <c r="B361" s="1">
        <v>1610</v>
      </c>
      <c r="C361" s="2">
        <v>45123</v>
      </c>
      <c r="D361" s="2">
        <v>45124</v>
      </c>
      <c r="E361" s="1" t="s">
        <v>34</v>
      </c>
      <c r="F361" s="1" t="s">
        <v>41</v>
      </c>
      <c r="G361" s="1" t="s">
        <v>30</v>
      </c>
      <c r="H361" s="1" t="s">
        <v>42</v>
      </c>
      <c r="I361" s="1" t="s">
        <v>31</v>
      </c>
      <c r="J361" s="1" t="s">
        <v>32</v>
      </c>
      <c r="K361" s="1" t="s">
        <v>45</v>
      </c>
      <c r="L361" s="1">
        <v>8</v>
      </c>
      <c r="M361" s="1">
        <v>1392.5</v>
      </c>
      <c r="N361" s="1">
        <v>15</v>
      </c>
      <c r="O361" s="1">
        <v>9469</v>
      </c>
      <c r="P361" s="1">
        <f t="shared" si="25"/>
        <v>11140</v>
      </c>
      <c r="Q361" s="10">
        <f t="shared" si="26"/>
        <v>1420.35</v>
      </c>
      <c r="R361" s="11">
        <f t="shared" si="27"/>
        <v>9719.65</v>
      </c>
      <c r="S361" s="1" t="str">
        <f t="shared" si="28"/>
        <v>High</v>
      </c>
      <c r="T361" s="1" t="str" cm="1">
        <f t="array" ref="T361">_xlfn.IFS(L361&gt;5,"High",L361=5,"mediam",L361&lt;5,"low")</f>
        <v>High</v>
      </c>
      <c r="U361" s="1" t="str">
        <f t="shared" si="29"/>
        <v>High</v>
      </c>
    </row>
    <row r="362" spans="1:21" x14ac:dyDescent="0.3">
      <c r="A362" s="5">
        <v>10361</v>
      </c>
      <c r="B362" s="1">
        <v>1262</v>
      </c>
      <c r="C362" s="2">
        <v>45233</v>
      </c>
      <c r="D362" s="2">
        <v>45234</v>
      </c>
      <c r="E362" s="1" t="s">
        <v>34</v>
      </c>
      <c r="F362" s="1" t="s">
        <v>23</v>
      </c>
      <c r="G362" s="1" t="s">
        <v>24</v>
      </c>
      <c r="H362" s="1" t="s">
        <v>44</v>
      </c>
      <c r="I362" s="1" t="s">
        <v>57</v>
      </c>
      <c r="J362" s="1" t="s">
        <v>59</v>
      </c>
      <c r="K362" s="1" t="s">
        <v>21</v>
      </c>
      <c r="L362" s="1">
        <v>3</v>
      </c>
      <c r="M362" s="1">
        <v>2284.27</v>
      </c>
      <c r="N362" s="1">
        <v>20</v>
      </c>
      <c r="O362" s="1">
        <v>5482.25</v>
      </c>
      <c r="P362" s="1">
        <f t="shared" si="25"/>
        <v>6852.8099999999995</v>
      </c>
      <c r="Q362" s="10">
        <f t="shared" si="26"/>
        <v>1096.45</v>
      </c>
      <c r="R362" s="11">
        <f t="shared" si="27"/>
        <v>5756.36</v>
      </c>
      <c r="S362" s="1" t="str">
        <f t="shared" si="28"/>
        <v>Low</v>
      </c>
      <c r="T362" s="1" t="str" cm="1">
        <f t="array" ref="T362">_xlfn.IFS(L362&gt;5,"High",L362=5,"mediam",L362&lt;5,"low")</f>
        <v>low</v>
      </c>
      <c r="U362" s="1" t="b">
        <f t="shared" si="29"/>
        <v>0</v>
      </c>
    </row>
    <row r="363" spans="1:21" x14ac:dyDescent="0.3">
      <c r="A363" s="5">
        <v>10362</v>
      </c>
      <c r="B363" s="1">
        <v>1763</v>
      </c>
      <c r="C363" s="2">
        <v>45193</v>
      </c>
      <c r="D363" s="2">
        <v>45194</v>
      </c>
      <c r="E363" s="1" t="s">
        <v>40</v>
      </c>
      <c r="F363" s="1" t="s">
        <v>23</v>
      </c>
      <c r="G363" s="1" t="s">
        <v>24</v>
      </c>
      <c r="H363" s="1" t="s">
        <v>25</v>
      </c>
      <c r="I363" s="1" t="s">
        <v>31</v>
      </c>
      <c r="J363" s="1" t="s">
        <v>48</v>
      </c>
      <c r="K363" s="1" t="s">
        <v>45</v>
      </c>
      <c r="L363" s="1">
        <v>7</v>
      </c>
      <c r="M363" s="1">
        <v>720.64</v>
      </c>
      <c r="N363" s="1">
        <v>20</v>
      </c>
      <c r="O363" s="1">
        <v>4035.58</v>
      </c>
      <c r="P363" s="1">
        <f t="shared" si="25"/>
        <v>5044.4799999999996</v>
      </c>
      <c r="Q363" s="10">
        <f t="shared" si="26"/>
        <v>807.11599999999999</v>
      </c>
      <c r="R363" s="11">
        <f t="shared" si="27"/>
        <v>4237.3639999999996</v>
      </c>
      <c r="S363" s="1" t="str">
        <f t="shared" si="28"/>
        <v>High</v>
      </c>
      <c r="T363" s="1" t="str" cm="1">
        <f t="array" ref="T363">_xlfn.IFS(L363&gt;5,"High",L363=5,"mediam",L363&lt;5,"low")</f>
        <v>High</v>
      </c>
      <c r="U363" s="1" t="str">
        <f t="shared" si="29"/>
        <v>High</v>
      </c>
    </row>
    <row r="364" spans="1:21" x14ac:dyDescent="0.3">
      <c r="A364" s="5">
        <v>10363</v>
      </c>
      <c r="B364" s="1">
        <v>1143</v>
      </c>
      <c r="C364" s="2">
        <v>45194</v>
      </c>
      <c r="D364" s="2">
        <v>45202</v>
      </c>
      <c r="E364" s="1" t="s">
        <v>16</v>
      </c>
      <c r="F364" s="1" t="s">
        <v>41</v>
      </c>
      <c r="G364" s="1" t="s">
        <v>30</v>
      </c>
      <c r="H364" s="1" t="s">
        <v>18</v>
      </c>
      <c r="I364" s="1" t="s">
        <v>57</v>
      </c>
      <c r="J364" s="1" t="s">
        <v>62</v>
      </c>
      <c r="K364" s="1" t="s">
        <v>45</v>
      </c>
      <c r="L364" s="1">
        <v>1</v>
      </c>
      <c r="M364" s="1">
        <v>504.58</v>
      </c>
      <c r="N364" s="1">
        <v>5</v>
      </c>
      <c r="O364" s="1">
        <v>479.35</v>
      </c>
      <c r="P364" s="1">
        <f t="shared" si="25"/>
        <v>504.58</v>
      </c>
      <c r="Q364" s="10">
        <f t="shared" si="26"/>
        <v>23.967500000000001</v>
      </c>
      <c r="R364" s="11">
        <f t="shared" si="27"/>
        <v>480.61249999999995</v>
      </c>
      <c r="S364" s="1" t="str">
        <f t="shared" si="28"/>
        <v>Low</v>
      </c>
      <c r="T364" s="1" t="str" cm="1">
        <f t="array" ref="T364">_xlfn.IFS(L364&gt;5,"High",L364=5,"mediam",L364&lt;5,"low")</f>
        <v>low</v>
      </c>
      <c r="U364" s="1" t="b">
        <f t="shared" si="29"/>
        <v>0</v>
      </c>
    </row>
    <row r="365" spans="1:21" x14ac:dyDescent="0.3">
      <c r="A365" s="5">
        <v>10364</v>
      </c>
      <c r="B365" s="1">
        <v>1345</v>
      </c>
      <c r="C365" s="2">
        <v>45000</v>
      </c>
      <c r="D365" s="2">
        <v>45003</v>
      </c>
      <c r="E365" s="1" t="s">
        <v>46</v>
      </c>
      <c r="F365" s="1" t="s">
        <v>23</v>
      </c>
      <c r="G365" s="1" t="s">
        <v>24</v>
      </c>
      <c r="H365" s="1" t="s">
        <v>18</v>
      </c>
      <c r="I365" s="1" t="s">
        <v>57</v>
      </c>
      <c r="J365" s="1" t="s">
        <v>67</v>
      </c>
      <c r="K365" s="1" t="s">
        <v>28</v>
      </c>
      <c r="L365" s="1">
        <v>1</v>
      </c>
      <c r="M365" s="1">
        <v>3288.81</v>
      </c>
      <c r="N365" s="1">
        <v>10</v>
      </c>
      <c r="O365" s="1">
        <v>2959.93</v>
      </c>
      <c r="P365" s="1">
        <f t="shared" si="25"/>
        <v>3288.81</v>
      </c>
      <c r="Q365" s="10">
        <f t="shared" si="26"/>
        <v>295.99299999999999</v>
      </c>
      <c r="R365" s="11">
        <f t="shared" si="27"/>
        <v>2992.817</v>
      </c>
      <c r="S365" s="1" t="str">
        <f t="shared" si="28"/>
        <v>Low</v>
      </c>
      <c r="T365" s="1" t="str" cm="1">
        <f t="array" ref="T365">_xlfn.IFS(L365&gt;5,"High",L365=5,"mediam",L365&lt;5,"low")</f>
        <v>low</v>
      </c>
      <c r="U365" s="1" t="b">
        <f t="shared" si="29"/>
        <v>0</v>
      </c>
    </row>
    <row r="366" spans="1:21" x14ac:dyDescent="0.3">
      <c r="A366" s="5">
        <v>10365</v>
      </c>
      <c r="B366" s="1">
        <v>1623</v>
      </c>
      <c r="C366" s="2">
        <v>44934</v>
      </c>
      <c r="D366" s="2">
        <v>44940</v>
      </c>
      <c r="E366" s="1" t="s">
        <v>16</v>
      </c>
      <c r="F366" s="1" t="s">
        <v>41</v>
      </c>
      <c r="G366" s="1" t="s">
        <v>17</v>
      </c>
      <c r="H366" s="1" t="s">
        <v>35</v>
      </c>
      <c r="I366" s="1" t="s">
        <v>52</v>
      </c>
      <c r="J366" s="1" t="s">
        <v>53</v>
      </c>
      <c r="K366" s="1" t="s">
        <v>33</v>
      </c>
      <c r="L366" s="1">
        <v>5</v>
      </c>
      <c r="M366" s="1">
        <v>3593.46</v>
      </c>
      <c r="N366" s="1">
        <v>20</v>
      </c>
      <c r="O366" s="1">
        <v>14373.84</v>
      </c>
      <c r="P366" s="1">
        <f t="shared" si="25"/>
        <v>17967.3</v>
      </c>
      <c r="Q366" s="10">
        <f t="shared" si="26"/>
        <v>2874.768</v>
      </c>
      <c r="R366" s="11">
        <f t="shared" si="27"/>
        <v>15092.531999999999</v>
      </c>
      <c r="S366" s="1" t="str">
        <f t="shared" si="28"/>
        <v>High</v>
      </c>
      <c r="T366" s="1" t="str" cm="1">
        <f t="array" ref="T366">_xlfn.IFS(L366&gt;5,"High",L366=5,"mediam",L366&lt;5,"low")</f>
        <v>mediam</v>
      </c>
      <c r="U366" s="1" t="b">
        <f t="shared" si="29"/>
        <v>0</v>
      </c>
    </row>
    <row r="367" spans="1:21" x14ac:dyDescent="0.3">
      <c r="A367" s="5">
        <v>10366</v>
      </c>
      <c r="B367" s="1">
        <v>1571</v>
      </c>
      <c r="C367" s="2">
        <v>45223</v>
      </c>
      <c r="D367" s="2">
        <v>45226</v>
      </c>
      <c r="E367" s="1" t="s">
        <v>15</v>
      </c>
      <c r="F367" s="1" t="s">
        <v>16</v>
      </c>
      <c r="G367" s="1" t="s">
        <v>24</v>
      </c>
      <c r="H367" s="1" t="s">
        <v>42</v>
      </c>
      <c r="I367" s="1" t="s">
        <v>49</v>
      </c>
      <c r="J367" s="1" t="s">
        <v>63</v>
      </c>
      <c r="K367" s="1" t="s">
        <v>21</v>
      </c>
      <c r="L367" s="1">
        <v>5</v>
      </c>
      <c r="M367" s="1">
        <v>3320.88</v>
      </c>
      <c r="N367" s="1">
        <v>0</v>
      </c>
      <c r="O367" s="1">
        <v>16604.400000000001</v>
      </c>
      <c r="P367" s="1">
        <f t="shared" si="25"/>
        <v>16604.400000000001</v>
      </c>
      <c r="Q367" s="10">
        <f t="shared" si="26"/>
        <v>0</v>
      </c>
      <c r="R367" s="11">
        <f t="shared" si="27"/>
        <v>16604.400000000001</v>
      </c>
      <c r="S367" s="1" t="str">
        <f t="shared" si="28"/>
        <v>High</v>
      </c>
      <c r="T367" s="1" t="str" cm="1">
        <f t="array" ref="T367">_xlfn.IFS(L367&gt;5,"High",L367=5,"mediam",L367&lt;5,"low")</f>
        <v>mediam</v>
      </c>
      <c r="U367" s="1" t="b">
        <f t="shared" si="29"/>
        <v>0</v>
      </c>
    </row>
    <row r="368" spans="1:21" x14ac:dyDescent="0.3">
      <c r="A368" s="5">
        <v>10367</v>
      </c>
      <c r="B368" s="1">
        <v>1880</v>
      </c>
      <c r="C368" s="2">
        <v>45090</v>
      </c>
      <c r="D368" s="2">
        <v>45095</v>
      </c>
      <c r="E368" s="1" t="s">
        <v>46</v>
      </c>
      <c r="F368" s="1" t="s">
        <v>41</v>
      </c>
      <c r="G368" s="1" t="s">
        <v>30</v>
      </c>
      <c r="H368" s="1" t="s">
        <v>35</v>
      </c>
      <c r="I368" s="1" t="s">
        <v>57</v>
      </c>
      <c r="J368" s="1" t="s">
        <v>62</v>
      </c>
      <c r="K368" s="1" t="s">
        <v>45</v>
      </c>
      <c r="L368" s="1">
        <v>8</v>
      </c>
      <c r="M368" s="1">
        <v>3610.33</v>
      </c>
      <c r="N368" s="1">
        <v>5</v>
      </c>
      <c r="O368" s="1">
        <v>27438.51</v>
      </c>
      <c r="P368" s="1">
        <f t="shared" si="25"/>
        <v>28882.639999999999</v>
      </c>
      <c r="Q368" s="10">
        <f t="shared" si="26"/>
        <v>1371.9255000000001</v>
      </c>
      <c r="R368" s="11">
        <f t="shared" si="27"/>
        <v>27510.714499999998</v>
      </c>
      <c r="S368" s="1" t="str">
        <f t="shared" si="28"/>
        <v>High</v>
      </c>
      <c r="T368" s="1" t="str" cm="1">
        <f t="array" ref="T368">_xlfn.IFS(L368&gt;5,"High",L368=5,"mediam",L368&lt;5,"low")</f>
        <v>High</v>
      </c>
      <c r="U368" s="1" t="str">
        <f t="shared" si="29"/>
        <v>High</v>
      </c>
    </row>
    <row r="369" spans="1:21" x14ac:dyDescent="0.3">
      <c r="A369" s="5">
        <v>10368</v>
      </c>
      <c r="B369" s="1">
        <v>1001</v>
      </c>
      <c r="C369" s="2">
        <v>45011</v>
      </c>
      <c r="D369" s="2">
        <v>45018</v>
      </c>
      <c r="E369" s="1" t="s">
        <v>22</v>
      </c>
      <c r="F369" s="1" t="s">
        <v>38</v>
      </c>
      <c r="G369" s="1" t="s">
        <v>30</v>
      </c>
      <c r="H369" s="1" t="s">
        <v>35</v>
      </c>
      <c r="I369" s="1" t="s">
        <v>19</v>
      </c>
      <c r="J369" s="1" t="s">
        <v>20</v>
      </c>
      <c r="K369" s="1" t="s">
        <v>21</v>
      </c>
      <c r="L369" s="1">
        <v>7</v>
      </c>
      <c r="M369" s="1">
        <v>2279.48</v>
      </c>
      <c r="N369" s="1">
        <v>15</v>
      </c>
      <c r="O369" s="1">
        <v>13562.91</v>
      </c>
      <c r="P369" s="1">
        <f t="shared" si="25"/>
        <v>15956.36</v>
      </c>
      <c r="Q369" s="10">
        <f t="shared" si="26"/>
        <v>2034.4364999999998</v>
      </c>
      <c r="R369" s="11">
        <f t="shared" si="27"/>
        <v>13921.923500000001</v>
      </c>
      <c r="S369" s="1" t="str">
        <f t="shared" si="28"/>
        <v>High</v>
      </c>
      <c r="T369" s="1" t="str" cm="1">
        <f t="array" ref="T369">_xlfn.IFS(L369&gt;5,"High",L369=5,"mediam",L369&lt;5,"low")</f>
        <v>High</v>
      </c>
      <c r="U369" s="1" t="str">
        <f t="shared" si="29"/>
        <v>High</v>
      </c>
    </row>
    <row r="370" spans="1:21" x14ac:dyDescent="0.3">
      <c r="A370" s="5">
        <v>10369</v>
      </c>
      <c r="B370" s="1">
        <v>1896</v>
      </c>
      <c r="C370" s="2">
        <v>44998</v>
      </c>
      <c r="D370" s="2">
        <v>45000</v>
      </c>
      <c r="E370" s="1" t="s">
        <v>22</v>
      </c>
      <c r="F370" s="1" t="s">
        <v>23</v>
      </c>
      <c r="G370" s="1" t="s">
        <v>17</v>
      </c>
      <c r="H370" s="1" t="s">
        <v>35</v>
      </c>
      <c r="I370" s="1" t="s">
        <v>26</v>
      </c>
      <c r="J370" s="1" t="s">
        <v>36</v>
      </c>
      <c r="K370" s="1" t="s">
        <v>47</v>
      </c>
      <c r="L370" s="1">
        <v>8</v>
      </c>
      <c r="M370" s="1">
        <v>3277.19</v>
      </c>
      <c r="N370" s="1">
        <v>15</v>
      </c>
      <c r="O370" s="1">
        <v>22284.89</v>
      </c>
      <c r="P370" s="1">
        <f t="shared" si="25"/>
        <v>26217.52</v>
      </c>
      <c r="Q370" s="10">
        <f t="shared" si="26"/>
        <v>3342.7334999999998</v>
      </c>
      <c r="R370" s="11">
        <f t="shared" si="27"/>
        <v>22874.786500000002</v>
      </c>
      <c r="S370" s="1" t="str">
        <f t="shared" si="28"/>
        <v>High</v>
      </c>
      <c r="T370" s="1" t="str" cm="1">
        <f t="array" ref="T370">_xlfn.IFS(L370&gt;5,"High",L370=5,"mediam",L370&lt;5,"low")</f>
        <v>High</v>
      </c>
      <c r="U370" s="1" t="str">
        <f t="shared" si="29"/>
        <v>High</v>
      </c>
    </row>
    <row r="371" spans="1:21" x14ac:dyDescent="0.3">
      <c r="A371" s="5">
        <v>10370</v>
      </c>
      <c r="B371" s="1">
        <v>1303</v>
      </c>
      <c r="C371" s="2">
        <v>44981</v>
      </c>
      <c r="D371" s="2">
        <v>44987</v>
      </c>
      <c r="E371" s="1" t="s">
        <v>22</v>
      </c>
      <c r="F371" s="1" t="s">
        <v>41</v>
      </c>
      <c r="G371" s="1" t="s">
        <v>30</v>
      </c>
      <c r="H371" s="1" t="s">
        <v>18</v>
      </c>
      <c r="I371" s="1" t="s">
        <v>49</v>
      </c>
      <c r="J371" s="1" t="s">
        <v>63</v>
      </c>
      <c r="K371" s="1" t="s">
        <v>28</v>
      </c>
      <c r="L371" s="1">
        <v>6</v>
      </c>
      <c r="M371" s="1">
        <v>1628.56</v>
      </c>
      <c r="N371" s="1">
        <v>0</v>
      </c>
      <c r="O371" s="1">
        <v>9771.36</v>
      </c>
      <c r="P371" s="1">
        <f t="shared" si="25"/>
        <v>9771.36</v>
      </c>
      <c r="Q371" s="10">
        <f t="shared" si="26"/>
        <v>0</v>
      </c>
      <c r="R371" s="11">
        <f t="shared" si="27"/>
        <v>9771.36</v>
      </c>
      <c r="S371" s="1" t="str">
        <f t="shared" si="28"/>
        <v>High</v>
      </c>
      <c r="T371" s="1" t="str" cm="1">
        <f t="array" ref="T371">_xlfn.IFS(L371&gt;5,"High",L371=5,"mediam",L371&lt;5,"low")</f>
        <v>High</v>
      </c>
      <c r="U371" s="1" t="str">
        <f t="shared" si="29"/>
        <v>High</v>
      </c>
    </row>
    <row r="372" spans="1:21" x14ac:dyDescent="0.3">
      <c r="A372" s="5">
        <v>10371</v>
      </c>
      <c r="B372" s="1">
        <v>1253</v>
      </c>
      <c r="C372" s="2">
        <v>44973</v>
      </c>
      <c r="D372" s="2">
        <v>44979</v>
      </c>
      <c r="E372" s="1" t="s">
        <v>34</v>
      </c>
      <c r="F372" s="1" t="s">
        <v>41</v>
      </c>
      <c r="G372" s="1" t="s">
        <v>17</v>
      </c>
      <c r="H372" s="1" t="s">
        <v>18</v>
      </c>
      <c r="I372" s="1" t="s">
        <v>49</v>
      </c>
      <c r="J372" s="1" t="s">
        <v>68</v>
      </c>
      <c r="K372" s="1" t="s">
        <v>47</v>
      </c>
      <c r="L372" s="1">
        <v>6</v>
      </c>
      <c r="M372" s="1">
        <v>2715.13</v>
      </c>
      <c r="N372" s="1">
        <v>20</v>
      </c>
      <c r="O372" s="1">
        <v>13032.62</v>
      </c>
      <c r="P372" s="1">
        <f t="shared" si="25"/>
        <v>16290.78</v>
      </c>
      <c r="Q372" s="10">
        <f t="shared" si="26"/>
        <v>2606.5240000000003</v>
      </c>
      <c r="R372" s="11">
        <f t="shared" si="27"/>
        <v>13684.256000000001</v>
      </c>
      <c r="S372" s="1" t="str">
        <f t="shared" si="28"/>
        <v>High</v>
      </c>
      <c r="T372" s="1" t="str" cm="1">
        <f t="array" ref="T372">_xlfn.IFS(L372&gt;5,"High",L372=5,"mediam",L372&lt;5,"low")</f>
        <v>High</v>
      </c>
      <c r="U372" s="1" t="str">
        <f t="shared" si="29"/>
        <v>High</v>
      </c>
    </row>
    <row r="373" spans="1:21" x14ac:dyDescent="0.3">
      <c r="A373" s="5">
        <v>10372</v>
      </c>
      <c r="B373" s="1">
        <v>1651</v>
      </c>
      <c r="C373" s="2">
        <v>45164</v>
      </c>
      <c r="D373" s="2">
        <v>45167</v>
      </c>
      <c r="E373" s="1" t="s">
        <v>16</v>
      </c>
      <c r="F373" s="1" t="s">
        <v>23</v>
      </c>
      <c r="G373" s="1" t="s">
        <v>24</v>
      </c>
      <c r="H373" s="1" t="s">
        <v>35</v>
      </c>
      <c r="I373" s="1" t="s">
        <v>49</v>
      </c>
      <c r="J373" s="1" t="s">
        <v>63</v>
      </c>
      <c r="K373" s="1" t="s">
        <v>21</v>
      </c>
      <c r="L373" s="1">
        <v>2</v>
      </c>
      <c r="M373" s="1">
        <v>3957.02</v>
      </c>
      <c r="N373" s="1">
        <v>5</v>
      </c>
      <c r="O373" s="1">
        <v>7518.34</v>
      </c>
      <c r="P373" s="1">
        <f t="shared" si="25"/>
        <v>7914.04</v>
      </c>
      <c r="Q373" s="10">
        <f t="shared" si="26"/>
        <v>375.91700000000003</v>
      </c>
      <c r="R373" s="11">
        <f t="shared" si="27"/>
        <v>7538.1229999999996</v>
      </c>
      <c r="S373" s="1" t="str">
        <f t="shared" si="28"/>
        <v>Low</v>
      </c>
      <c r="T373" s="1" t="str" cm="1">
        <f t="array" ref="T373">_xlfn.IFS(L373&gt;5,"High",L373=5,"mediam",L373&lt;5,"low")</f>
        <v>low</v>
      </c>
      <c r="U373" s="1" t="b">
        <f t="shared" si="29"/>
        <v>0</v>
      </c>
    </row>
    <row r="374" spans="1:21" x14ac:dyDescent="0.3">
      <c r="A374" s="5">
        <v>10373</v>
      </c>
      <c r="B374" s="1">
        <v>1452</v>
      </c>
      <c r="C374" s="2">
        <v>45030</v>
      </c>
      <c r="D374" s="2">
        <v>45036</v>
      </c>
      <c r="E374" s="1" t="s">
        <v>22</v>
      </c>
      <c r="F374" s="1" t="s">
        <v>16</v>
      </c>
      <c r="G374" s="1" t="s">
        <v>24</v>
      </c>
      <c r="H374" s="1" t="s">
        <v>18</v>
      </c>
      <c r="I374" s="1" t="s">
        <v>52</v>
      </c>
      <c r="J374" s="1" t="s">
        <v>53</v>
      </c>
      <c r="K374" s="1" t="s">
        <v>21</v>
      </c>
      <c r="L374" s="1">
        <v>6</v>
      </c>
      <c r="M374" s="1">
        <v>1019.05</v>
      </c>
      <c r="N374" s="1">
        <v>0</v>
      </c>
      <c r="O374" s="1">
        <v>6114.3</v>
      </c>
      <c r="P374" s="1">
        <f t="shared" si="25"/>
        <v>6114.2999999999993</v>
      </c>
      <c r="Q374" s="10">
        <f t="shared" si="26"/>
        <v>0</v>
      </c>
      <c r="R374" s="11">
        <f t="shared" si="27"/>
        <v>6114.2999999999993</v>
      </c>
      <c r="S374" s="1" t="str">
        <f t="shared" si="28"/>
        <v>High</v>
      </c>
      <c r="T374" s="1" t="str" cm="1">
        <f t="array" ref="T374">_xlfn.IFS(L374&gt;5,"High",L374=5,"mediam",L374&lt;5,"low")</f>
        <v>High</v>
      </c>
      <c r="U374" s="1" t="str">
        <f t="shared" si="29"/>
        <v>High</v>
      </c>
    </row>
    <row r="375" spans="1:21" x14ac:dyDescent="0.3">
      <c r="A375" s="5">
        <v>10374</v>
      </c>
      <c r="B375" s="1">
        <v>1036</v>
      </c>
      <c r="C375" s="2">
        <v>45136</v>
      </c>
      <c r="D375" s="2">
        <v>45141</v>
      </c>
      <c r="E375" s="1" t="s">
        <v>37</v>
      </c>
      <c r="F375" s="1" t="s">
        <v>16</v>
      </c>
      <c r="G375" s="1" t="s">
        <v>17</v>
      </c>
      <c r="H375" s="1" t="s">
        <v>42</v>
      </c>
      <c r="I375" s="1" t="s">
        <v>57</v>
      </c>
      <c r="J375" s="1" t="s">
        <v>58</v>
      </c>
      <c r="K375" s="1" t="s">
        <v>33</v>
      </c>
      <c r="L375" s="1">
        <v>5</v>
      </c>
      <c r="M375" s="1">
        <v>1651.11</v>
      </c>
      <c r="N375" s="1">
        <v>20</v>
      </c>
      <c r="O375" s="1">
        <v>6604.44</v>
      </c>
      <c r="P375" s="1">
        <f t="shared" si="25"/>
        <v>8255.5499999999993</v>
      </c>
      <c r="Q375" s="10">
        <f t="shared" si="26"/>
        <v>1320.8879999999999</v>
      </c>
      <c r="R375" s="11">
        <f t="shared" si="27"/>
        <v>6934.6619999999994</v>
      </c>
      <c r="S375" s="1" t="str">
        <f t="shared" si="28"/>
        <v>High</v>
      </c>
      <c r="T375" s="1" t="str" cm="1">
        <f t="array" ref="T375">_xlfn.IFS(L375&gt;5,"High",L375=5,"mediam",L375&lt;5,"low")</f>
        <v>mediam</v>
      </c>
      <c r="U375" s="1" t="b">
        <f t="shared" si="29"/>
        <v>0</v>
      </c>
    </row>
    <row r="376" spans="1:21" x14ac:dyDescent="0.3">
      <c r="A376" s="5">
        <v>10375</v>
      </c>
      <c r="B376" s="1">
        <v>1159</v>
      </c>
      <c r="C376" s="2">
        <v>44968</v>
      </c>
      <c r="D376" s="2">
        <v>44970</v>
      </c>
      <c r="E376" s="1" t="s">
        <v>40</v>
      </c>
      <c r="F376" s="1" t="s">
        <v>23</v>
      </c>
      <c r="G376" s="1" t="s">
        <v>17</v>
      </c>
      <c r="H376" s="1" t="s">
        <v>35</v>
      </c>
      <c r="I376" s="1" t="s">
        <v>52</v>
      </c>
      <c r="J376" s="1" t="s">
        <v>60</v>
      </c>
      <c r="K376" s="1" t="s">
        <v>45</v>
      </c>
      <c r="L376" s="1">
        <v>3</v>
      </c>
      <c r="M376" s="1">
        <v>1998.18</v>
      </c>
      <c r="N376" s="1">
        <v>5</v>
      </c>
      <c r="O376" s="1">
        <v>5694.81</v>
      </c>
      <c r="P376" s="1">
        <f t="shared" si="25"/>
        <v>5994.54</v>
      </c>
      <c r="Q376" s="10">
        <f t="shared" si="26"/>
        <v>284.74050000000005</v>
      </c>
      <c r="R376" s="11">
        <f t="shared" si="27"/>
        <v>5709.7995000000001</v>
      </c>
      <c r="S376" s="1" t="str">
        <f t="shared" si="28"/>
        <v>Low</v>
      </c>
      <c r="T376" s="1" t="str" cm="1">
        <f t="array" ref="T376">_xlfn.IFS(L376&gt;5,"High",L376=5,"mediam",L376&lt;5,"low")</f>
        <v>low</v>
      </c>
      <c r="U376" s="1" t="b">
        <f t="shared" si="29"/>
        <v>0</v>
      </c>
    </row>
    <row r="377" spans="1:21" x14ac:dyDescent="0.3">
      <c r="A377" s="5">
        <v>10376</v>
      </c>
      <c r="B377" s="1">
        <v>1008</v>
      </c>
      <c r="C377" s="2">
        <v>45242</v>
      </c>
      <c r="D377" s="2">
        <v>45251</v>
      </c>
      <c r="E377" s="1" t="s">
        <v>37</v>
      </c>
      <c r="F377" s="1" t="s">
        <v>54</v>
      </c>
      <c r="G377" s="1" t="s">
        <v>30</v>
      </c>
      <c r="H377" s="1" t="s">
        <v>18</v>
      </c>
      <c r="I377" s="1" t="s">
        <v>57</v>
      </c>
      <c r="J377" s="1" t="s">
        <v>59</v>
      </c>
      <c r="K377" s="1" t="s">
        <v>45</v>
      </c>
      <c r="L377" s="1">
        <v>6</v>
      </c>
      <c r="M377" s="1">
        <v>681.36</v>
      </c>
      <c r="N377" s="1">
        <v>15</v>
      </c>
      <c r="O377" s="1">
        <v>3474.94</v>
      </c>
      <c r="P377" s="1">
        <f t="shared" si="25"/>
        <v>4088.16</v>
      </c>
      <c r="Q377" s="10">
        <f t="shared" si="26"/>
        <v>521.24099999999999</v>
      </c>
      <c r="R377" s="11">
        <f t="shared" si="27"/>
        <v>3566.9189999999999</v>
      </c>
      <c r="S377" s="1" t="str">
        <f t="shared" si="28"/>
        <v>High</v>
      </c>
      <c r="T377" s="1" t="str" cm="1">
        <f t="array" ref="T377">_xlfn.IFS(L377&gt;5,"High",L377=5,"mediam",L377&lt;5,"low")</f>
        <v>High</v>
      </c>
      <c r="U377" s="1" t="str">
        <f t="shared" si="29"/>
        <v>High</v>
      </c>
    </row>
    <row r="378" spans="1:21" x14ac:dyDescent="0.3">
      <c r="A378" s="5">
        <v>10377</v>
      </c>
      <c r="B378" s="1">
        <v>1232</v>
      </c>
      <c r="C378" s="2">
        <v>45194</v>
      </c>
      <c r="D378" s="2">
        <v>45202</v>
      </c>
      <c r="E378" s="1" t="s">
        <v>22</v>
      </c>
      <c r="F378" s="1" t="s">
        <v>23</v>
      </c>
      <c r="G378" s="1" t="s">
        <v>24</v>
      </c>
      <c r="H378" s="1" t="s">
        <v>25</v>
      </c>
      <c r="I378" s="1" t="s">
        <v>52</v>
      </c>
      <c r="J378" s="1" t="s">
        <v>56</v>
      </c>
      <c r="K378" s="1" t="s">
        <v>47</v>
      </c>
      <c r="L378" s="1">
        <v>8</v>
      </c>
      <c r="M378" s="1">
        <v>462</v>
      </c>
      <c r="N378" s="1">
        <v>5</v>
      </c>
      <c r="O378" s="1">
        <v>3511.2</v>
      </c>
      <c r="P378" s="1">
        <f t="shared" si="25"/>
        <v>3696</v>
      </c>
      <c r="Q378" s="10">
        <f t="shared" si="26"/>
        <v>175.56</v>
      </c>
      <c r="R378" s="11">
        <f t="shared" si="27"/>
        <v>3520.44</v>
      </c>
      <c r="S378" s="1" t="str">
        <f t="shared" si="28"/>
        <v>High</v>
      </c>
      <c r="T378" s="1" t="str" cm="1">
        <f t="array" ref="T378">_xlfn.IFS(L378&gt;5,"High",L378=5,"mediam",L378&lt;5,"low")</f>
        <v>High</v>
      </c>
      <c r="U378" s="1" t="str">
        <f t="shared" si="29"/>
        <v>High</v>
      </c>
    </row>
    <row r="379" spans="1:21" x14ac:dyDescent="0.3">
      <c r="A379" s="5">
        <v>10378</v>
      </c>
      <c r="B379" s="1">
        <v>1098</v>
      </c>
      <c r="C379" s="2">
        <v>45189</v>
      </c>
      <c r="D379" s="2">
        <v>45192</v>
      </c>
      <c r="E379" s="1" t="s">
        <v>40</v>
      </c>
      <c r="F379" s="1" t="s">
        <v>23</v>
      </c>
      <c r="G379" s="1" t="s">
        <v>17</v>
      </c>
      <c r="H379" s="1" t="s">
        <v>35</v>
      </c>
      <c r="I379" s="1" t="s">
        <v>52</v>
      </c>
      <c r="J379" s="1" t="s">
        <v>64</v>
      </c>
      <c r="K379" s="1" t="s">
        <v>28</v>
      </c>
      <c r="L379" s="1">
        <v>9</v>
      </c>
      <c r="M379" s="1">
        <v>3344.43</v>
      </c>
      <c r="N379" s="1">
        <v>10</v>
      </c>
      <c r="O379" s="1">
        <v>27089.88</v>
      </c>
      <c r="P379" s="1">
        <f t="shared" si="25"/>
        <v>30099.87</v>
      </c>
      <c r="Q379" s="10">
        <f t="shared" si="26"/>
        <v>2708.9880000000003</v>
      </c>
      <c r="R379" s="11">
        <f t="shared" si="27"/>
        <v>27390.881999999998</v>
      </c>
      <c r="S379" s="1" t="str">
        <f t="shared" si="28"/>
        <v>High</v>
      </c>
      <c r="T379" s="1" t="str" cm="1">
        <f t="array" ref="T379">_xlfn.IFS(L379&gt;5,"High",L379=5,"mediam",L379&lt;5,"low")</f>
        <v>High</v>
      </c>
      <c r="U379" s="1" t="str">
        <f t="shared" si="29"/>
        <v>High</v>
      </c>
    </row>
    <row r="380" spans="1:21" x14ac:dyDescent="0.3">
      <c r="A380" s="5">
        <v>10379</v>
      </c>
      <c r="B380" s="1">
        <v>1658</v>
      </c>
      <c r="C380" s="2">
        <v>45262</v>
      </c>
      <c r="D380" s="2">
        <v>45270</v>
      </c>
      <c r="E380" s="1" t="s">
        <v>15</v>
      </c>
      <c r="F380" s="1" t="s">
        <v>16</v>
      </c>
      <c r="G380" s="1" t="s">
        <v>24</v>
      </c>
      <c r="H380" s="1" t="s">
        <v>35</v>
      </c>
      <c r="I380" s="1" t="s">
        <v>26</v>
      </c>
      <c r="J380" s="1" t="s">
        <v>69</v>
      </c>
      <c r="K380" s="1" t="s">
        <v>45</v>
      </c>
      <c r="L380" s="1">
        <v>1</v>
      </c>
      <c r="M380" s="1">
        <v>3910.66</v>
      </c>
      <c r="N380" s="1">
        <v>5</v>
      </c>
      <c r="O380" s="1">
        <v>3715.13</v>
      </c>
      <c r="P380" s="1">
        <f t="shared" si="25"/>
        <v>3910.66</v>
      </c>
      <c r="Q380" s="10">
        <f t="shared" si="26"/>
        <v>185.75650000000002</v>
      </c>
      <c r="R380" s="11">
        <f t="shared" si="27"/>
        <v>3724.9034999999999</v>
      </c>
      <c r="S380" s="1" t="str">
        <f t="shared" si="28"/>
        <v>Low</v>
      </c>
      <c r="T380" s="1" t="str" cm="1">
        <f t="array" ref="T380">_xlfn.IFS(L380&gt;5,"High",L380=5,"mediam",L380&lt;5,"low")</f>
        <v>low</v>
      </c>
      <c r="U380" s="1" t="b">
        <f t="shared" si="29"/>
        <v>0</v>
      </c>
    </row>
    <row r="381" spans="1:21" x14ac:dyDescent="0.3">
      <c r="A381" s="5">
        <v>10380</v>
      </c>
      <c r="B381" s="1">
        <v>1815</v>
      </c>
      <c r="C381" s="2">
        <v>45291</v>
      </c>
      <c r="D381" s="2">
        <v>45300</v>
      </c>
      <c r="E381" s="1" t="s">
        <v>37</v>
      </c>
      <c r="F381" s="1" t="s">
        <v>16</v>
      </c>
      <c r="G381" s="1" t="s">
        <v>17</v>
      </c>
      <c r="H381" s="1" t="s">
        <v>42</v>
      </c>
      <c r="I381" s="1" t="s">
        <v>19</v>
      </c>
      <c r="J381" s="1" t="s">
        <v>55</v>
      </c>
      <c r="K381" s="1" t="s">
        <v>33</v>
      </c>
      <c r="L381" s="1">
        <v>3</v>
      </c>
      <c r="M381" s="1">
        <v>1708.19</v>
      </c>
      <c r="N381" s="1">
        <v>10</v>
      </c>
      <c r="O381" s="1">
        <v>4612.1099999999997</v>
      </c>
      <c r="P381" s="1">
        <f t="shared" si="25"/>
        <v>5124.57</v>
      </c>
      <c r="Q381" s="10">
        <f t="shared" si="26"/>
        <v>461.21100000000001</v>
      </c>
      <c r="R381" s="11">
        <f t="shared" si="27"/>
        <v>4663.3589999999995</v>
      </c>
      <c r="S381" s="1" t="str">
        <f t="shared" si="28"/>
        <v>Low</v>
      </c>
      <c r="T381" s="1" t="str" cm="1">
        <f t="array" ref="T381">_xlfn.IFS(L381&gt;5,"High",L381=5,"mediam",L381&lt;5,"low")</f>
        <v>low</v>
      </c>
      <c r="U381" s="1" t="b">
        <f t="shared" si="29"/>
        <v>0</v>
      </c>
    </row>
    <row r="382" spans="1:21" x14ac:dyDescent="0.3">
      <c r="A382" s="5">
        <v>10381</v>
      </c>
      <c r="B382" s="1">
        <v>1207</v>
      </c>
      <c r="C382" s="2">
        <v>45185</v>
      </c>
      <c r="D382" s="2">
        <v>45188</v>
      </c>
      <c r="E382" s="1" t="s">
        <v>16</v>
      </c>
      <c r="F382" s="1" t="s">
        <v>23</v>
      </c>
      <c r="G382" s="1" t="s">
        <v>24</v>
      </c>
      <c r="H382" s="1" t="s">
        <v>44</v>
      </c>
      <c r="I382" s="1" t="s">
        <v>52</v>
      </c>
      <c r="J382" s="1" t="s">
        <v>56</v>
      </c>
      <c r="K382" s="1" t="s">
        <v>47</v>
      </c>
      <c r="L382" s="1">
        <v>3</v>
      </c>
      <c r="M382" s="1">
        <v>487.45</v>
      </c>
      <c r="N382" s="1">
        <v>5</v>
      </c>
      <c r="O382" s="1">
        <v>1389.23</v>
      </c>
      <c r="P382" s="1">
        <f t="shared" si="25"/>
        <v>1462.35</v>
      </c>
      <c r="Q382" s="10">
        <f t="shared" si="26"/>
        <v>69.461500000000001</v>
      </c>
      <c r="R382" s="11">
        <f t="shared" si="27"/>
        <v>1392.8885</v>
      </c>
      <c r="S382" s="1" t="str">
        <f t="shared" si="28"/>
        <v>Low</v>
      </c>
      <c r="T382" s="1" t="str" cm="1">
        <f t="array" ref="T382">_xlfn.IFS(L382&gt;5,"High",L382=5,"mediam",L382&lt;5,"low")</f>
        <v>low</v>
      </c>
      <c r="U382" s="1" t="b">
        <f t="shared" si="29"/>
        <v>0</v>
      </c>
    </row>
    <row r="383" spans="1:21" x14ac:dyDescent="0.3">
      <c r="A383" s="5">
        <v>10382</v>
      </c>
      <c r="B383" s="1">
        <v>1130</v>
      </c>
      <c r="C383" s="2">
        <v>45209</v>
      </c>
      <c r="D383" s="2">
        <v>45212</v>
      </c>
      <c r="E383" s="1" t="s">
        <v>16</v>
      </c>
      <c r="F383" s="1" t="s">
        <v>23</v>
      </c>
      <c r="G383" s="1" t="s">
        <v>30</v>
      </c>
      <c r="H383" s="1" t="s">
        <v>44</v>
      </c>
      <c r="I383" s="1" t="s">
        <v>26</v>
      </c>
      <c r="J383" s="1" t="s">
        <v>36</v>
      </c>
      <c r="K383" s="1" t="s">
        <v>47</v>
      </c>
      <c r="L383" s="1">
        <v>8</v>
      </c>
      <c r="M383" s="1">
        <v>403.38</v>
      </c>
      <c r="N383" s="1">
        <v>10</v>
      </c>
      <c r="O383" s="1">
        <v>2904.34</v>
      </c>
      <c r="P383" s="1">
        <f t="shared" si="25"/>
        <v>3227.04</v>
      </c>
      <c r="Q383" s="10">
        <f t="shared" si="26"/>
        <v>290.43400000000003</v>
      </c>
      <c r="R383" s="11">
        <f t="shared" si="27"/>
        <v>2936.6059999999998</v>
      </c>
      <c r="S383" s="1" t="str">
        <f t="shared" si="28"/>
        <v>High</v>
      </c>
      <c r="T383" s="1" t="str" cm="1">
        <f t="array" ref="T383">_xlfn.IFS(L383&gt;5,"High",L383=5,"mediam",L383&lt;5,"low")</f>
        <v>High</v>
      </c>
      <c r="U383" s="1" t="str">
        <f t="shared" si="29"/>
        <v>High</v>
      </c>
    </row>
    <row r="384" spans="1:21" x14ac:dyDescent="0.3">
      <c r="A384" s="5">
        <v>10383</v>
      </c>
      <c r="B384" s="1">
        <v>1403</v>
      </c>
      <c r="C384" s="2">
        <v>45040</v>
      </c>
      <c r="D384" s="2">
        <v>45042</v>
      </c>
      <c r="E384" s="1" t="s">
        <v>37</v>
      </c>
      <c r="F384" s="1" t="s">
        <v>23</v>
      </c>
      <c r="G384" s="1" t="s">
        <v>24</v>
      </c>
      <c r="H384" s="1" t="s">
        <v>42</v>
      </c>
      <c r="I384" s="1" t="s">
        <v>31</v>
      </c>
      <c r="J384" s="1" t="s">
        <v>48</v>
      </c>
      <c r="K384" s="1" t="s">
        <v>33</v>
      </c>
      <c r="L384" s="1">
        <v>1</v>
      </c>
      <c r="M384" s="1">
        <v>3581.58</v>
      </c>
      <c r="N384" s="1">
        <v>15</v>
      </c>
      <c r="O384" s="1">
        <v>3044.34</v>
      </c>
      <c r="P384" s="1">
        <f t="shared" si="25"/>
        <v>3581.58</v>
      </c>
      <c r="Q384" s="10">
        <f t="shared" si="26"/>
        <v>456.65100000000001</v>
      </c>
      <c r="R384" s="11">
        <f t="shared" si="27"/>
        <v>3124.9290000000001</v>
      </c>
      <c r="S384" s="1" t="str">
        <f t="shared" si="28"/>
        <v>Low</v>
      </c>
      <c r="T384" s="1" t="str" cm="1">
        <f t="array" ref="T384">_xlfn.IFS(L384&gt;5,"High",L384=5,"mediam",L384&lt;5,"low")</f>
        <v>low</v>
      </c>
      <c r="U384" s="1" t="b">
        <f t="shared" si="29"/>
        <v>0</v>
      </c>
    </row>
    <row r="385" spans="1:21" x14ac:dyDescent="0.3">
      <c r="A385" s="5">
        <v>10384</v>
      </c>
      <c r="B385" s="1">
        <v>1151</v>
      </c>
      <c r="C385" s="2">
        <v>45289</v>
      </c>
      <c r="D385" s="2">
        <v>45297</v>
      </c>
      <c r="E385" s="1" t="s">
        <v>22</v>
      </c>
      <c r="F385" s="1" t="s">
        <v>16</v>
      </c>
      <c r="G385" s="1" t="s">
        <v>24</v>
      </c>
      <c r="H385" s="1" t="s">
        <v>42</v>
      </c>
      <c r="I385" s="1" t="s">
        <v>19</v>
      </c>
      <c r="J385" s="1" t="s">
        <v>55</v>
      </c>
      <c r="K385" s="1" t="s">
        <v>28</v>
      </c>
      <c r="L385" s="1">
        <v>5</v>
      </c>
      <c r="M385" s="1">
        <v>1935.68</v>
      </c>
      <c r="N385" s="1">
        <v>20</v>
      </c>
      <c r="O385" s="1">
        <v>7742.72</v>
      </c>
      <c r="P385" s="1">
        <f t="shared" si="25"/>
        <v>9678.4</v>
      </c>
      <c r="Q385" s="10">
        <f t="shared" si="26"/>
        <v>1548.5440000000001</v>
      </c>
      <c r="R385" s="11">
        <f t="shared" si="27"/>
        <v>8129.8559999999998</v>
      </c>
      <c r="S385" s="1" t="str">
        <f t="shared" si="28"/>
        <v>High</v>
      </c>
      <c r="T385" s="1" t="str" cm="1">
        <f t="array" ref="T385">_xlfn.IFS(L385&gt;5,"High",L385=5,"mediam",L385&lt;5,"low")</f>
        <v>mediam</v>
      </c>
      <c r="U385" s="1" t="b">
        <f t="shared" si="29"/>
        <v>0</v>
      </c>
    </row>
    <row r="386" spans="1:21" x14ac:dyDescent="0.3">
      <c r="A386" s="5">
        <v>10385</v>
      </c>
      <c r="B386" s="1">
        <v>1053</v>
      </c>
      <c r="C386" s="2">
        <v>44966</v>
      </c>
      <c r="D386" s="2">
        <v>44967</v>
      </c>
      <c r="E386" s="1" t="s">
        <v>16</v>
      </c>
      <c r="F386" s="1" t="s">
        <v>23</v>
      </c>
      <c r="G386" s="1" t="s">
        <v>24</v>
      </c>
      <c r="H386" s="1" t="s">
        <v>42</v>
      </c>
      <c r="I386" s="1" t="s">
        <v>52</v>
      </c>
      <c r="J386" s="1" t="s">
        <v>64</v>
      </c>
      <c r="K386" s="1" t="s">
        <v>33</v>
      </c>
      <c r="L386" s="1">
        <v>3</v>
      </c>
      <c r="M386" s="1">
        <v>1382.11</v>
      </c>
      <c r="N386" s="1">
        <v>10</v>
      </c>
      <c r="O386" s="1">
        <v>3731.7</v>
      </c>
      <c r="P386" s="1">
        <f t="shared" si="25"/>
        <v>4146.33</v>
      </c>
      <c r="Q386" s="10">
        <f t="shared" si="26"/>
        <v>373.17</v>
      </c>
      <c r="R386" s="11">
        <f t="shared" si="27"/>
        <v>3773.16</v>
      </c>
      <c r="S386" s="1" t="str">
        <f t="shared" si="28"/>
        <v>Low</v>
      </c>
      <c r="T386" s="1" t="str" cm="1">
        <f t="array" ref="T386">_xlfn.IFS(L386&gt;5,"High",L386=5,"mediam",L386&lt;5,"low")</f>
        <v>low</v>
      </c>
      <c r="U386" s="1" t="b">
        <f t="shared" si="29"/>
        <v>0</v>
      </c>
    </row>
    <row r="387" spans="1:21" x14ac:dyDescent="0.3">
      <c r="A387" s="5">
        <v>10386</v>
      </c>
      <c r="B387" s="1">
        <v>1119</v>
      </c>
      <c r="C387" s="2">
        <v>45146</v>
      </c>
      <c r="D387" s="2">
        <v>45154</v>
      </c>
      <c r="E387" s="1" t="s">
        <v>15</v>
      </c>
      <c r="F387" s="1" t="s">
        <v>23</v>
      </c>
      <c r="G387" s="1" t="s">
        <v>24</v>
      </c>
      <c r="H387" s="1" t="s">
        <v>44</v>
      </c>
      <c r="I387" s="1" t="s">
        <v>49</v>
      </c>
      <c r="J387" s="1" t="s">
        <v>68</v>
      </c>
      <c r="K387" s="1" t="s">
        <v>28</v>
      </c>
      <c r="L387" s="1">
        <v>2</v>
      </c>
      <c r="M387" s="1">
        <v>1984.38</v>
      </c>
      <c r="N387" s="1">
        <v>10</v>
      </c>
      <c r="O387" s="1">
        <v>3571.88</v>
      </c>
      <c r="P387" s="1">
        <f t="shared" ref="P387:P450" si="30">L387*M387</f>
        <v>3968.76</v>
      </c>
      <c r="Q387" s="10">
        <f t="shared" ref="Q387:Q450" si="31">O387*N387%</f>
        <v>357.18800000000005</v>
      </c>
      <c r="R387" s="11">
        <f t="shared" ref="R387:R450" si="32">P387-Q387</f>
        <v>3611.5720000000001</v>
      </c>
      <c r="S387" s="1" t="str">
        <f t="shared" ref="S387:S450" si="33">IF(L387&gt;=5,"High","Low")</f>
        <v>Low</v>
      </c>
      <c r="T387" s="1" t="str" cm="1">
        <f t="array" ref="T387">_xlfn.IFS(L387&gt;5,"High",L387=5,"mediam",L387&lt;5,"low")</f>
        <v>low</v>
      </c>
      <c r="U387" s="1" t="b">
        <f t="shared" ref="U387:U450" si="34">IF(L387&gt;5,"High",IF(L387="Mediam","Low"))</f>
        <v>0</v>
      </c>
    </row>
    <row r="388" spans="1:21" x14ac:dyDescent="0.3">
      <c r="A388" s="5">
        <v>10387</v>
      </c>
      <c r="B388" s="1">
        <v>1672</v>
      </c>
      <c r="C388" s="2">
        <v>45055</v>
      </c>
      <c r="D388" s="2">
        <v>45062</v>
      </c>
      <c r="E388" s="1" t="s">
        <v>46</v>
      </c>
      <c r="F388" s="1" t="s">
        <v>29</v>
      </c>
      <c r="G388" s="1" t="s">
        <v>24</v>
      </c>
      <c r="H388" s="1" t="s">
        <v>42</v>
      </c>
      <c r="I388" s="1" t="s">
        <v>31</v>
      </c>
      <c r="J388" s="1" t="s">
        <v>32</v>
      </c>
      <c r="K388" s="1" t="s">
        <v>33</v>
      </c>
      <c r="L388" s="1">
        <v>8</v>
      </c>
      <c r="M388" s="1">
        <v>1375.47</v>
      </c>
      <c r="N388" s="1">
        <v>15</v>
      </c>
      <c r="O388" s="1">
        <v>9353.2000000000007</v>
      </c>
      <c r="P388" s="1">
        <f t="shared" si="30"/>
        <v>11003.76</v>
      </c>
      <c r="Q388" s="10">
        <f t="shared" si="31"/>
        <v>1402.98</v>
      </c>
      <c r="R388" s="11">
        <f t="shared" si="32"/>
        <v>9600.7800000000007</v>
      </c>
      <c r="S388" s="1" t="str">
        <f t="shared" si="33"/>
        <v>High</v>
      </c>
      <c r="T388" s="1" t="str" cm="1">
        <f t="array" ref="T388">_xlfn.IFS(L388&gt;5,"High",L388=5,"mediam",L388&lt;5,"low")</f>
        <v>High</v>
      </c>
      <c r="U388" s="1" t="str">
        <f t="shared" si="34"/>
        <v>High</v>
      </c>
    </row>
    <row r="389" spans="1:21" x14ac:dyDescent="0.3">
      <c r="A389" s="5">
        <v>10388</v>
      </c>
      <c r="B389" s="1">
        <v>1919</v>
      </c>
      <c r="C389" s="2">
        <v>44934</v>
      </c>
      <c r="D389" s="2">
        <v>44941</v>
      </c>
      <c r="E389" s="1" t="s">
        <v>22</v>
      </c>
      <c r="F389" s="1" t="s">
        <v>54</v>
      </c>
      <c r="G389" s="1" t="s">
        <v>30</v>
      </c>
      <c r="H389" s="1" t="s">
        <v>18</v>
      </c>
      <c r="I389" s="1" t="s">
        <v>31</v>
      </c>
      <c r="J389" s="1" t="s">
        <v>39</v>
      </c>
      <c r="K389" s="1" t="s">
        <v>33</v>
      </c>
      <c r="L389" s="1">
        <v>3</v>
      </c>
      <c r="M389" s="1">
        <v>2032.79</v>
      </c>
      <c r="N389" s="1">
        <v>10</v>
      </c>
      <c r="O389" s="1">
        <v>5488.53</v>
      </c>
      <c r="P389" s="1">
        <f t="shared" si="30"/>
        <v>6098.37</v>
      </c>
      <c r="Q389" s="10">
        <f t="shared" si="31"/>
        <v>548.85299999999995</v>
      </c>
      <c r="R389" s="11">
        <f t="shared" si="32"/>
        <v>5549.5169999999998</v>
      </c>
      <c r="S389" s="1" t="str">
        <f t="shared" si="33"/>
        <v>Low</v>
      </c>
      <c r="T389" s="1" t="str" cm="1">
        <f t="array" ref="T389">_xlfn.IFS(L389&gt;5,"High",L389=5,"mediam",L389&lt;5,"low")</f>
        <v>low</v>
      </c>
      <c r="U389" s="1" t="b">
        <f t="shared" si="34"/>
        <v>0</v>
      </c>
    </row>
    <row r="390" spans="1:21" x14ac:dyDescent="0.3">
      <c r="A390" s="5">
        <v>10389</v>
      </c>
      <c r="B390" s="1">
        <v>1627</v>
      </c>
      <c r="C390" s="2">
        <v>45027</v>
      </c>
      <c r="D390" s="2">
        <v>45030</v>
      </c>
      <c r="E390" s="1" t="s">
        <v>15</v>
      </c>
      <c r="F390" s="1" t="s">
        <v>38</v>
      </c>
      <c r="G390" s="1" t="s">
        <v>17</v>
      </c>
      <c r="H390" s="1" t="s">
        <v>35</v>
      </c>
      <c r="I390" s="1" t="s">
        <v>26</v>
      </c>
      <c r="J390" s="1" t="s">
        <v>69</v>
      </c>
      <c r="K390" s="1" t="s">
        <v>21</v>
      </c>
      <c r="L390" s="1">
        <v>7</v>
      </c>
      <c r="M390" s="1">
        <v>3459.29</v>
      </c>
      <c r="N390" s="1">
        <v>0</v>
      </c>
      <c r="O390" s="1">
        <v>24215.03</v>
      </c>
      <c r="P390" s="1">
        <f t="shared" si="30"/>
        <v>24215.03</v>
      </c>
      <c r="Q390" s="10">
        <f t="shared" si="31"/>
        <v>0</v>
      </c>
      <c r="R390" s="11">
        <f t="shared" si="32"/>
        <v>24215.03</v>
      </c>
      <c r="S390" s="1" t="str">
        <f t="shared" si="33"/>
        <v>High</v>
      </c>
      <c r="T390" s="1" t="str" cm="1">
        <f t="array" ref="T390">_xlfn.IFS(L390&gt;5,"High",L390=5,"mediam",L390&lt;5,"low")</f>
        <v>High</v>
      </c>
      <c r="U390" s="1" t="str">
        <f t="shared" si="34"/>
        <v>High</v>
      </c>
    </row>
    <row r="391" spans="1:21" x14ac:dyDescent="0.3">
      <c r="A391" s="5">
        <v>10390</v>
      </c>
      <c r="B391" s="1">
        <v>1586</v>
      </c>
      <c r="C391" s="2">
        <v>45102</v>
      </c>
      <c r="D391" s="2">
        <v>45103</v>
      </c>
      <c r="E391" s="1" t="s">
        <v>40</v>
      </c>
      <c r="F391" s="1" t="s">
        <v>54</v>
      </c>
      <c r="G391" s="1" t="s">
        <v>24</v>
      </c>
      <c r="H391" s="1" t="s">
        <v>35</v>
      </c>
      <c r="I391" s="1" t="s">
        <v>31</v>
      </c>
      <c r="J391" s="1" t="s">
        <v>48</v>
      </c>
      <c r="K391" s="1" t="s">
        <v>47</v>
      </c>
      <c r="L391" s="1">
        <v>1</v>
      </c>
      <c r="M391" s="1">
        <v>2430.36</v>
      </c>
      <c r="N391" s="1">
        <v>15</v>
      </c>
      <c r="O391" s="1">
        <v>2065.81</v>
      </c>
      <c r="P391" s="1">
        <f t="shared" si="30"/>
        <v>2430.36</v>
      </c>
      <c r="Q391" s="10">
        <f t="shared" si="31"/>
        <v>309.87149999999997</v>
      </c>
      <c r="R391" s="11">
        <f t="shared" si="32"/>
        <v>2120.4885000000004</v>
      </c>
      <c r="S391" s="1" t="str">
        <f t="shared" si="33"/>
        <v>Low</v>
      </c>
      <c r="T391" s="1" t="str" cm="1">
        <f t="array" ref="T391">_xlfn.IFS(L391&gt;5,"High",L391=5,"mediam",L391&lt;5,"low")</f>
        <v>low</v>
      </c>
      <c r="U391" s="1" t="b">
        <f t="shared" si="34"/>
        <v>0</v>
      </c>
    </row>
    <row r="392" spans="1:21" x14ac:dyDescent="0.3">
      <c r="A392" s="5">
        <v>10391</v>
      </c>
      <c r="B392" s="1">
        <v>1624</v>
      </c>
      <c r="C392" s="2">
        <v>45033</v>
      </c>
      <c r="D392" s="2">
        <v>45037</v>
      </c>
      <c r="E392" s="1" t="s">
        <v>15</v>
      </c>
      <c r="F392" s="1" t="s">
        <v>29</v>
      </c>
      <c r="G392" s="1" t="s">
        <v>30</v>
      </c>
      <c r="H392" s="1" t="s">
        <v>25</v>
      </c>
      <c r="I392" s="1" t="s">
        <v>19</v>
      </c>
      <c r="J392" s="1" t="s">
        <v>66</v>
      </c>
      <c r="K392" s="1" t="s">
        <v>33</v>
      </c>
      <c r="L392" s="1">
        <v>6</v>
      </c>
      <c r="M392" s="1">
        <v>2824.42</v>
      </c>
      <c r="N392" s="1">
        <v>0</v>
      </c>
      <c r="O392" s="1">
        <v>16946.52</v>
      </c>
      <c r="P392" s="1">
        <f t="shared" si="30"/>
        <v>16946.52</v>
      </c>
      <c r="Q392" s="10">
        <f t="shared" si="31"/>
        <v>0</v>
      </c>
      <c r="R392" s="11">
        <f t="shared" si="32"/>
        <v>16946.52</v>
      </c>
      <c r="S392" s="1" t="str">
        <f t="shared" si="33"/>
        <v>High</v>
      </c>
      <c r="T392" s="1" t="str" cm="1">
        <f t="array" ref="T392">_xlfn.IFS(L392&gt;5,"High",L392=5,"mediam",L392&lt;5,"low")</f>
        <v>High</v>
      </c>
      <c r="U392" s="1" t="str">
        <f t="shared" si="34"/>
        <v>High</v>
      </c>
    </row>
    <row r="393" spans="1:21" x14ac:dyDescent="0.3">
      <c r="A393" s="5">
        <v>10392</v>
      </c>
      <c r="B393" s="1">
        <v>1967</v>
      </c>
      <c r="C393" s="2">
        <v>45027</v>
      </c>
      <c r="D393" s="2">
        <v>45036</v>
      </c>
      <c r="E393" s="1" t="s">
        <v>22</v>
      </c>
      <c r="F393" s="1" t="s">
        <v>38</v>
      </c>
      <c r="G393" s="1" t="s">
        <v>24</v>
      </c>
      <c r="H393" s="1" t="s">
        <v>25</v>
      </c>
      <c r="I393" s="1" t="s">
        <v>52</v>
      </c>
      <c r="J393" s="1" t="s">
        <v>60</v>
      </c>
      <c r="K393" s="1" t="s">
        <v>33</v>
      </c>
      <c r="L393" s="1">
        <v>3</v>
      </c>
      <c r="M393" s="1">
        <v>1553.98</v>
      </c>
      <c r="N393" s="1">
        <v>15</v>
      </c>
      <c r="O393" s="1">
        <v>3962.65</v>
      </c>
      <c r="P393" s="1">
        <f t="shared" si="30"/>
        <v>4661.9400000000005</v>
      </c>
      <c r="Q393" s="10">
        <f t="shared" si="31"/>
        <v>594.39750000000004</v>
      </c>
      <c r="R393" s="11">
        <f t="shared" si="32"/>
        <v>4067.5425000000005</v>
      </c>
      <c r="S393" s="1" t="str">
        <f t="shared" si="33"/>
        <v>Low</v>
      </c>
      <c r="T393" s="1" t="str" cm="1">
        <f t="array" ref="T393">_xlfn.IFS(L393&gt;5,"High",L393=5,"mediam",L393&lt;5,"low")</f>
        <v>low</v>
      </c>
      <c r="U393" s="1" t="b">
        <f t="shared" si="34"/>
        <v>0</v>
      </c>
    </row>
    <row r="394" spans="1:21" x14ac:dyDescent="0.3">
      <c r="A394" s="5">
        <v>10393</v>
      </c>
      <c r="B394" s="1">
        <v>1419</v>
      </c>
      <c r="C394" s="2">
        <v>45186</v>
      </c>
      <c r="D394" s="2">
        <v>45191</v>
      </c>
      <c r="E394" s="1" t="s">
        <v>40</v>
      </c>
      <c r="F394" s="1" t="s">
        <v>23</v>
      </c>
      <c r="G394" s="1" t="s">
        <v>24</v>
      </c>
      <c r="H394" s="1" t="s">
        <v>35</v>
      </c>
      <c r="I394" s="1" t="s">
        <v>52</v>
      </c>
      <c r="J394" s="1" t="s">
        <v>60</v>
      </c>
      <c r="K394" s="1" t="s">
        <v>45</v>
      </c>
      <c r="L394" s="1">
        <v>8</v>
      </c>
      <c r="M394" s="1">
        <v>2993.25</v>
      </c>
      <c r="N394" s="1">
        <v>10</v>
      </c>
      <c r="O394" s="1">
        <v>21551.4</v>
      </c>
      <c r="P394" s="1">
        <f t="shared" si="30"/>
        <v>23946</v>
      </c>
      <c r="Q394" s="10">
        <f t="shared" si="31"/>
        <v>2155.1400000000003</v>
      </c>
      <c r="R394" s="11">
        <f t="shared" si="32"/>
        <v>21790.86</v>
      </c>
      <c r="S394" s="1" t="str">
        <f t="shared" si="33"/>
        <v>High</v>
      </c>
      <c r="T394" s="1" t="str" cm="1">
        <f t="array" ref="T394">_xlfn.IFS(L394&gt;5,"High",L394=5,"mediam",L394&lt;5,"low")</f>
        <v>High</v>
      </c>
      <c r="U394" s="1" t="str">
        <f t="shared" si="34"/>
        <v>High</v>
      </c>
    </row>
    <row r="395" spans="1:21" x14ac:dyDescent="0.3">
      <c r="A395" s="5">
        <v>10394</v>
      </c>
      <c r="B395" s="1">
        <v>1421</v>
      </c>
      <c r="C395" s="2">
        <v>45172</v>
      </c>
      <c r="D395" s="2">
        <v>45173</v>
      </c>
      <c r="E395" s="1" t="s">
        <v>22</v>
      </c>
      <c r="F395" s="1" t="s">
        <v>29</v>
      </c>
      <c r="G395" s="1" t="s">
        <v>17</v>
      </c>
      <c r="H395" s="1" t="s">
        <v>18</v>
      </c>
      <c r="I395" s="1" t="s">
        <v>49</v>
      </c>
      <c r="J395" s="1" t="s">
        <v>50</v>
      </c>
      <c r="K395" s="1" t="s">
        <v>47</v>
      </c>
      <c r="L395" s="1">
        <v>6</v>
      </c>
      <c r="M395" s="1">
        <v>2716.48</v>
      </c>
      <c r="N395" s="1">
        <v>0</v>
      </c>
      <c r="O395" s="1">
        <v>16298.88</v>
      </c>
      <c r="P395" s="1">
        <f t="shared" si="30"/>
        <v>16298.880000000001</v>
      </c>
      <c r="Q395" s="10">
        <f t="shared" si="31"/>
        <v>0</v>
      </c>
      <c r="R395" s="11">
        <f t="shared" si="32"/>
        <v>16298.880000000001</v>
      </c>
      <c r="S395" s="1" t="str">
        <f t="shared" si="33"/>
        <v>High</v>
      </c>
      <c r="T395" s="1" t="str" cm="1">
        <f t="array" ref="T395">_xlfn.IFS(L395&gt;5,"High",L395=5,"mediam",L395&lt;5,"low")</f>
        <v>High</v>
      </c>
      <c r="U395" s="1" t="str">
        <f t="shared" si="34"/>
        <v>High</v>
      </c>
    </row>
    <row r="396" spans="1:21" x14ac:dyDescent="0.3">
      <c r="A396" s="5">
        <v>10395</v>
      </c>
      <c r="B396" s="1">
        <v>1103</v>
      </c>
      <c r="C396" s="2">
        <v>45201</v>
      </c>
      <c r="D396" s="2">
        <v>45206</v>
      </c>
      <c r="E396" s="1" t="s">
        <v>16</v>
      </c>
      <c r="F396" s="1" t="s">
        <v>23</v>
      </c>
      <c r="G396" s="1" t="s">
        <v>24</v>
      </c>
      <c r="H396" s="1" t="s">
        <v>44</v>
      </c>
      <c r="I396" s="1" t="s">
        <v>26</v>
      </c>
      <c r="J396" s="1" t="s">
        <v>36</v>
      </c>
      <c r="K396" s="1" t="s">
        <v>45</v>
      </c>
      <c r="L396" s="1">
        <v>2</v>
      </c>
      <c r="M396" s="1">
        <v>610.30999999999995</v>
      </c>
      <c r="N396" s="1">
        <v>10</v>
      </c>
      <c r="O396" s="1">
        <v>1098.56</v>
      </c>
      <c r="P396" s="1">
        <f t="shared" si="30"/>
        <v>1220.6199999999999</v>
      </c>
      <c r="Q396" s="10">
        <f t="shared" si="31"/>
        <v>109.85599999999999</v>
      </c>
      <c r="R396" s="11">
        <f t="shared" si="32"/>
        <v>1110.7639999999999</v>
      </c>
      <c r="S396" s="1" t="str">
        <f t="shared" si="33"/>
        <v>Low</v>
      </c>
      <c r="T396" s="1" t="str" cm="1">
        <f t="array" ref="T396">_xlfn.IFS(L396&gt;5,"High",L396=5,"mediam",L396&lt;5,"low")</f>
        <v>low</v>
      </c>
      <c r="U396" s="1" t="b">
        <f t="shared" si="34"/>
        <v>0</v>
      </c>
    </row>
    <row r="397" spans="1:21" x14ac:dyDescent="0.3">
      <c r="A397" s="5">
        <v>10396</v>
      </c>
      <c r="B397" s="1">
        <v>1851</v>
      </c>
      <c r="C397" s="2">
        <v>44958</v>
      </c>
      <c r="D397" s="2">
        <v>44966</v>
      </c>
      <c r="E397" s="1" t="s">
        <v>46</v>
      </c>
      <c r="F397" s="1" t="s">
        <v>16</v>
      </c>
      <c r="G397" s="1" t="s">
        <v>30</v>
      </c>
      <c r="H397" s="1" t="s">
        <v>44</v>
      </c>
      <c r="I397" s="1" t="s">
        <v>49</v>
      </c>
      <c r="J397" s="1" t="s">
        <v>51</v>
      </c>
      <c r="K397" s="1" t="s">
        <v>47</v>
      </c>
      <c r="L397" s="1">
        <v>6</v>
      </c>
      <c r="M397" s="1">
        <v>2354.67</v>
      </c>
      <c r="N397" s="1">
        <v>15</v>
      </c>
      <c r="O397" s="1">
        <v>12008.82</v>
      </c>
      <c r="P397" s="1">
        <f t="shared" si="30"/>
        <v>14128.02</v>
      </c>
      <c r="Q397" s="10">
        <f t="shared" si="31"/>
        <v>1801.3229999999999</v>
      </c>
      <c r="R397" s="11">
        <f t="shared" si="32"/>
        <v>12326.697</v>
      </c>
      <c r="S397" s="1" t="str">
        <f t="shared" si="33"/>
        <v>High</v>
      </c>
      <c r="T397" s="1" t="str" cm="1">
        <f t="array" ref="T397">_xlfn.IFS(L397&gt;5,"High",L397=5,"mediam",L397&lt;5,"low")</f>
        <v>High</v>
      </c>
      <c r="U397" s="1" t="str">
        <f t="shared" si="34"/>
        <v>High</v>
      </c>
    </row>
    <row r="398" spans="1:21" x14ac:dyDescent="0.3">
      <c r="A398" s="5">
        <v>10397</v>
      </c>
      <c r="B398" s="1">
        <v>1253</v>
      </c>
      <c r="C398" s="2">
        <v>45063</v>
      </c>
      <c r="D398" s="2">
        <v>45071</v>
      </c>
      <c r="E398" s="1" t="s">
        <v>22</v>
      </c>
      <c r="F398" s="1" t="s">
        <v>41</v>
      </c>
      <c r="G398" s="1" t="s">
        <v>30</v>
      </c>
      <c r="H398" s="1" t="s">
        <v>18</v>
      </c>
      <c r="I398" s="1" t="s">
        <v>31</v>
      </c>
      <c r="J398" s="1" t="s">
        <v>39</v>
      </c>
      <c r="K398" s="1" t="s">
        <v>45</v>
      </c>
      <c r="L398" s="1">
        <v>7</v>
      </c>
      <c r="M398" s="1">
        <v>1138.46</v>
      </c>
      <c r="N398" s="1">
        <v>10</v>
      </c>
      <c r="O398" s="1">
        <v>7172.3</v>
      </c>
      <c r="P398" s="1">
        <f t="shared" si="30"/>
        <v>7969.22</v>
      </c>
      <c r="Q398" s="10">
        <f t="shared" si="31"/>
        <v>717.23</v>
      </c>
      <c r="R398" s="11">
        <f t="shared" si="32"/>
        <v>7251.99</v>
      </c>
      <c r="S398" s="1" t="str">
        <f t="shared" si="33"/>
        <v>High</v>
      </c>
      <c r="T398" s="1" t="str" cm="1">
        <f t="array" ref="T398">_xlfn.IFS(L398&gt;5,"High",L398=5,"mediam",L398&lt;5,"low")</f>
        <v>High</v>
      </c>
      <c r="U398" s="1" t="str">
        <f t="shared" si="34"/>
        <v>High</v>
      </c>
    </row>
    <row r="399" spans="1:21" x14ac:dyDescent="0.3">
      <c r="A399" s="5">
        <v>10398</v>
      </c>
      <c r="B399" s="1">
        <v>1226</v>
      </c>
      <c r="C399" s="2">
        <v>44938</v>
      </c>
      <c r="D399" s="2">
        <v>44943</v>
      </c>
      <c r="E399" s="1" t="s">
        <v>22</v>
      </c>
      <c r="F399" s="1" t="s">
        <v>29</v>
      </c>
      <c r="G399" s="1" t="s">
        <v>17</v>
      </c>
      <c r="H399" s="1" t="s">
        <v>44</v>
      </c>
      <c r="I399" s="1" t="s">
        <v>49</v>
      </c>
      <c r="J399" s="1" t="s">
        <v>63</v>
      </c>
      <c r="K399" s="1" t="s">
        <v>33</v>
      </c>
      <c r="L399" s="1">
        <v>5</v>
      </c>
      <c r="M399" s="1">
        <v>3245.77</v>
      </c>
      <c r="N399" s="1">
        <v>0</v>
      </c>
      <c r="O399" s="1">
        <v>16228.85</v>
      </c>
      <c r="P399" s="1">
        <f t="shared" si="30"/>
        <v>16228.85</v>
      </c>
      <c r="Q399" s="10">
        <f t="shared" si="31"/>
        <v>0</v>
      </c>
      <c r="R399" s="11">
        <f t="shared" si="32"/>
        <v>16228.85</v>
      </c>
      <c r="S399" s="1" t="str">
        <f t="shared" si="33"/>
        <v>High</v>
      </c>
      <c r="T399" s="1" t="str" cm="1">
        <f t="array" ref="T399">_xlfn.IFS(L399&gt;5,"High",L399=5,"mediam",L399&lt;5,"low")</f>
        <v>mediam</v>
      </c>
      <c r="U399" s="1" t="b">
        <f t="shared" si="34"/>
        <v>0</v>
      </c>
    </row>
    <row r="400" spans="1:21" x14ac:dyDescent="0.3">
      <c r="A400" s="5">
        <v>10399</v>
      </c>
      <c r="B400" s="1">
        <v>1111</v>
      </c>
      <c r="C400" s="2">
        <v>45228</v>
      </c>
      <c r="D400" s="2">
        <v>45237</v>
      </c>
      <c r="E400" s="1" t="s">
        <v>16</v>
      </c>
      <c r="F400" s="1" t="s">
        <v>16</v>
      </c>
      <c r="G400" s="1" t="s">
        <v>24</v>
      </c>
      <c r="H400" s="1" t="s">
        <v>42</v>
      </c>
      <c r="I400" s="1" t="s">
        <v>19</v>
      </c>
      <c r="J400" s="1" t="s">
        <v>43</v>
      </c>
      <c r="K400" s="1" t="s">
        <v>33</v>
      </c>
      <c r="L400" s="1">
        <v>3</v>
      </c>
      <c r="M400" s="1">
        <v>1789.86</v>
      </c>
      <c r="N400" s="1">
        <v>0</v>
      </c>
      <c r="O400" s="1">
        <v>5369.58</v>
      </c>
      <c r="P400" s="1">
        <f t="shared" si="30"/>
        <v>5369.58</v>
      </c>
      <c r="Q400" s="10">
        <f t="shared" si="31"/>
        <v>0</v>
      </c>
      <c r="R400" s="11">
        <f t="shared" si="32"/>
        <v>5369.58</v>
      </c>
      <c r="S400" s="1" t="str">
        <f t="shared" si="33"/>
        <v>Low</v>
      </c>
      <c r="T400" s="1" t="str" cm="1">
        <f t="array" ref="T400">_xlfn.IFS(L400&gt;5,"High",L400=5,"mediam",L400&lt;5,"low")</f>
        <v>low</v>
      </c>
      <c r="U400" s="1" t="b">
        <f t="shared" si="34"/>
        <v>0</v>
      </c>
    </row>
    <row r="401" spans="1:21" x14ac:dyDescent="0.3">
      <c r="A401" s="5">
        <v>10400</v>
      </c>
      <c r="B401" s="1">
        <v>1509</v>
      </c>
      <c r="C401" s="2">
        <v>44942</v>
      </c>
      <c r="D401" s="2">
        <v>44943</v>
      </c>
      <c r="E401" s="1" t="s">
        <v>34</v>
      </c>
      <c r="F401" s="1" t="s">
        <v>29</v>
      </c>
      <c r="G401" s="1" t="s">
        <v>30</v>
      </c>
      <c r="H401" s="1" t="s">
        <v>35</v>
      </c>
      <c r="I401" s="1" t="s">
        <v>52</v>
      </c>
      <c r="J401" s="1" t="s">
        <v>60</v>
      </c>
      <c r="K401" s="1" t="s">
        <v>21</v>
      </c>
      <c r="L401" s="1">
        <v>4</v>
      </c>
      <c r="M401" s="1">
        <v>3979.53</v>
      </c>
      <c r="N401" s="1">
        <v>10</v>
      </c>
      <c r="O401" s="1">
        <v>14326.31</v>
      </c>
      <c r="P401" s="1">
        <f t="shared" si="30"/>
        <v>15918.12</v>
      </c>
      <c r="Q401" s="10">
        <f t="shared" si="31"/>
        <v>1432.6310000000001</v>
      </c>
      <c r="R401" s="11">
        <f t="shared" si="32"/>
        <v>14485.489000000001</v>
      </c>
      <c r="S401" s="1" t="str">
        <f t="shared" si="33"/>
        <v>Low</v>
      </c>
      <c r="T401" s="1" t="str" cm="1">
        <f t="array" ref="T401">_xlfn.IFS(L401&gt;5,"High",L401=5,"mediam",L401&lt;5,"low")</f>
        <v>low</v>
      </c>
      <c r="U401" s="1" t="b">
        <f t="shared" si="34"/>
        <v>0</v>
      </c>
    </row>
    <row r="402" spans="1:21" x14ac:dyDescent="0.3">
      <c r="A402" s="5">
        <v>10401</v>
      </c>
      <c r="B402" s="1">
        <v>1472</v>
      </c>
      <c r="C402" s="2">
        <v>45055</v>
      </c>
      <c r="D402" s="2">
        <v>45059</v>
      </c>
      <c r="E402" s="1" t="s">
        <v>16</v>
      </c>
      <c r="F402" s="1" t="s">
        <v>29</v>
      </c>
      <c r="G402" s="1" t="s">
        <v>24</v>
      </c>
      <c r="H402" s="1" t="s">
        <v>35</v>
      </c>
      <c r="I402" s="1" t="s">
        <v>31</v>
      </c>
      <c r="J402" s="1" t="s">
        <v>48</v>
      </c>
      <c r="K402" s="1" t="s">
        <v>45</v>
      </c>
      <c r="L402" s="1">
        <v>4</v>
      </c>
      <c r="M402" s="1">
        <v>506.13</v>
      </c>
      <c r="N402" s="1">
        <v>5</v>
      </c>
      <c r="O402" s="1">
        <v>1923.29</v>
      </c>
      <c r="P402" s="1">
        <f t="shared" si="30"/>
        <v>2024.52</v>
      </c>
      <c r="Q402" s="10">
        <f t="shared" si="31"/>
        <v>96.164500000000004</v>
      </c>
      <c r="R402" s="11">
        <f t="shared" si="32"/>
        <v>1928.3554999999999</v>
      </c>
      <c r="S402" s="1" t="str">
        <f t="shared" si="33"/>
        <v>Low</v>
      </c>
      <c r="T402" s="1" t="str" cm="1">
        <f t="array" ref="T402">_xlfn.IFS(L402&gt;5,"High",L402=5,"mediam",L402&lt;5,"low")</f>
        <v>low</v>
      </c>
      <c r="U402" s="1" t="b">
        <f t="shared" si="34"/>
        <v>0</v>
      </c>
    </row>
    <row r="403" spans="1:21" x14ac:dyDescent="0.3">
      <c r="A403" s="5">
        <v>10402</v>
      </c>
      <c r="B403" s="1">
        <v>1098</v>
      </c>
      <c r="C403" s="2">
        <v>44989</v>
      </c>
      <c r="D403" s="2">
        <v>44992</v>
      </c>
      <c r="E403" s="1" t="s">
        <v>40</v>
      </c>
      <c r="F403" s="1" t="s">
        <v>16</v>
      </c>
      <c r="G403" s="1" t="s">
        <v>24</v>
      </c>
      <c r="H403" s="1" t="s">
        <v>18</v>
      </c>
      <c r="I403" s="1" t="s">
        <v>49</v>
      </c>
      <c r="J403" s="1" t="s">
        <v>51</v>
      </c>
      <c r="K403" s="1" t="s">
        <v>28</v>
      </c>
      <c r="L403" s="1">
        <v>6</v>
      </c>
      <c r="M403" s="1">
        <v>3154.34</v>
      </c>
      <c r="N403" s="1">
        <v>15</v>
      </c>
      <c r="O403" s="1">
        <v>16087.13</v>
      </c>
      <c r="P403" s="1">
        <f t="shared" si="30"/>
        <v>18926.04</v>
      </c>
      <c r="Q403" s="10">
        <f t="shared" si="31"/>
        <v>2413.0694999999996</v>
      </c>
      <c r="R403" s="11">
        <f t="shared" si="32"/>
        <v>16512.970500000003</v>
      </c>
      <c r="S403" s="1" t="str">
        <f t="shared" si="33"/>
        <v>High</v>
      </c>
      <c r="T403" s="1" t="str" cm="1">
        <f t="array" ref="T403">_xlfn.IFS(L403&gt;5,"High",L403=5,"mediam",L403&lt;5,"low")</f>
        <v>High</v>
      </c>
      <c r="U403" s="1" t="str">
        <f t="shared" si="34"/>
        <v>High</v>
      </c>
    </row>
    <row r="404" spans="1:21" x14ac:dyDescent="0.3">
      <c r="A404" s="5">
        <v>10403</v>
      </c>
      <c r="B404" s="1">
        <v>1152</v>
      </c>
      <c r="C404" s="2">
        <v>45035</v>
      </c>
      <c r="D404" s="2">
        <v>45037</v>
      </c>
      <c r="E404" s="1" t="s">
        <v>16</v>
      </c>
      <c r="F404" s="1" t="s">
        <v>38</v>
      </c>
      <c r="G404" s="1" t="s">
        <v>24</v>
      </c>
      <c r="H404" s="1" t="s">
        <v>44</v>
      </c>
      <c r="I404" s="1" t="s">
        <v>26</v>
      </c>
      <c r="J404" s="1" t="s">
        <v>36</v>
      </c>
      <c r="K404" s="1" t="s">
        <v>21</v>
      </c>
      <c r="L404" s="1">
        <v>1</v>
      </c>
      <c r="M404" s="1">
        <v>2743.75</v>
      </c>
      <c r="N404" s="1">
        <v>15</v>
      </c>
      <c r="O404" s="1">
        <v>2332.19</v>
      </c>
      <c r="P404" s="1">
        <f t="shared" si="30"/>
        <v>2743.75</v>
      </c>
      <c r="Q404" s="10">
        <f t="shared" si="31"/>
        <v>349.82850000000002</v>
      </c>
      <c r="R404" s="11">
        <f t="shared" si="32"/>
        <v>2393.9214999999999</v>
      </c>
      <c r="S404" s="1" t="str">
        <f t="shared" si="33"/>
        <v>Low</v>
      </c>
      <c r="T404" s="1" t="str" cm="1">
        <f t="array" ref="T404">_xlfn.IFS(L404&gt;5,"High",L404=5,"mediam",L404&lt;5,"low")</f>
        <v>low</v>
      </c>
      <c r="U404" s="1" t="b">
        <f t="shared" si="34"/>
        <v>0</v>
      </c>
    </row>
    <row r="405" spans="1:21" x14ac:dyDescent="0.3">
      <c r="A405" s="5">
        <v>10404</v>
      </c>
      <c r="B405" s="1">
        <v>1860</v>
      </c>
      <c r="C405" s="2">
        <v>44947</v>
      </c>
      <c r="D405" s="2">
        <v>44955</v>
      </c>
      <c r="E405" s="1" t="s">
        <v>16</v>
      </c>
      <c r="F405" s="1" t="s">
        <v>54</v>
      </c>
      <c r="G405" s="1" t="s">
        <v>17</v>
      </c>
      <c r="H405" s="1" t="s">
        <v>25</v>
      </c>
      <c r="I405" s="1" t="s">
        <v>19</v>
      </c>
      <c r="J405" s="1" t="s">
        <v>66</v>
      </c>
      <c r="K405" s="1" t="s">
        <v>45</v>
      </c>
      <c r="L405" s="1">
        <v>4</v>
      </c>
      <c r="M405" s="1">
        <v>3104.87</v>
      </c>
      <c r="N405" s="1">
        <v>10</v>
      </c>
      <c r="O405" s="1">
        <v>11177.53</v>
      </c>
      <c r="P405" s="1">
        <f t="shared" si="30"/>
        <v>12419.48</v>
      </c>
      <c r="Q405" s="10">
        <f t="shared" si="31"/>
        <v>1117.7530000000002</v>
      </c>
      <c r="R405" s="11">
        <f t="shared" si="32"/>
        <v>11301.726999999999</v>
      </c>
      <c r="S405" s="1" t="str">
        <f t="shared" si="33"/>
        <v>Low</v>
      </c>
      <c r="T405" s="1" t="str" cm="1">
        <f t="array" ref="T405">_xlfn.IFS(L405&gt;5,"High",L405=5,"mediam",L405&lt;5,"low")</f>
        <v>low</v>
      </c>
      <c r="U405" s="1" t="b">
        <f t="shared" si="34"/>
        <v>0</v>
      </c>
    </row>
    <row r="406" spans="1:21" x14ac:dyDescent="0.3">
      <c r="A406" s="5">
        <v>10405</v>
      </c>
      <c r="B406" s="1">
        <v>1913</v>
      </c>
      <c r="C406" s="2">
        <v>45084</v>
      </c>
      <c r="D406" s="2">
        <v>45091</v>
      </c>
      <c r="E406" s="1" t="s">
        <v>46</v>
      </c>
      <c r="F406" s="1" t="s">
        <v>23</v>
      </c>
      <c r="G406" s="1" t="s">
        <v>24</v>
      </c>
      <c r="H406" s="1" t="s">
        <v>25</v>
      </c>
      <c r="I406" s="1" t="s">
        <v>19</v>
      </c>
      <c r="J406" s="1" t="s">
        <v>66</v>
      </c>
      <c r="K406" s="1" t="s">
        <v>45</v>
      </c>
      <c r="L406" s="1">
        <v>4</v>
      </c>
      <c r="M406" s="1">
        <v>1333.99</v>
      </c>
      <c r="N406" s="1">
        <v>5</v>
      </c>
      <c r="O406" s="1">
        <v>5069.16</v>
      </c>
      <c r="P406" s="1">
        <f t="shared" si="30"/>
        <v>5335.96</v>
      </c>
      <c r="Q406" s="10">
        <f t="shared" si="31"/>
        <v>253.458</v>
      </c>
      <c r="R406" s="11">
        <f t="shared" si="32"/>
        <v>5082.5020000000004</v>
      </c>
      <c r="S406" s="1" t="str">
        <f t="shared" si="33"/>
        <v>Low</v>
      </c>
      <c r="T406" s="1" t="str" cm="1">
        <f t="array" ref="T406">_xlfn.IFS(L406&gt;5,"High",L406=5,"mediam",L406&lt;5,"low")</f>
        <v>low</v>
      </c>
      <c r="U406" s="1" t="b">
        <f t="shared" si="34"/>
        <v>0</v>
      </c>
    </row>
    <row r="407" spans="1:21" x14ac:dyDescent="0.3">
      <c r="A407" s="5">
        <v>10406</v>
      </c>
      <c r="B407" s="1">
        <v>1895</v>
      </c>
      <c r="C407" s="2">
        <v>45195</v>
      </c>
      <c r="D407" s="2">
        <v>45204</v>
      </c>
      <c r="E407" s="1" t="s">
        <v>16</v>
      </c>
      <c r="F407" s="1" t="s">
        <v>29</v>
      </c>
      <c r="G407" s="1" t="s">
        <v>30</v>
      </c>
      <c r="H407" s="1" t="s">
        <v>44</v>
      </c>
      <c r="I407" s="1" t="s">
        <v>49</v>
      </c>
      <c r="J407" s="1" t="s">
        <v>51</v>
      </c>
      <c r="K407" s="1" t="s">
        <v>21</v>
      </c>
      <c r="L407" s="1">
        <v>1</v>
      </c>
      <c r="M407" s="1">
        <v>2044.41</v>
      </c>
      <c r="N407" s="1">
        <v>0</v>
      </c>
      <c r="O407" s="1">
        <v>2044.41</v>
      </c>
      <c r="P407" s="1">
        <f t="shared" si="30"/>
        <v>2044.41</v>
      </c>
      <c r="Q407" s="10">
        <f t="shared" si="31"/>
        <v>0</v>
      </c>
      <c r="R407" s="11">
        <f t="shared" si="32"/>
        <v>2044.41</v>
      </c>
      <c r="S407" s="1" t="str">
        <f t="shared" si="33"/>
        <v>Low</v>
      </c>
      <c r="T407" s="1" t="str" cm="1">
        <f t="array" ref="T407">_xlfn.IFS(L407&gt;5,"High",L407=5,"mediam",L407&lt;5,"low")</f>
        <v>low</v>
      </c>
      <c r="U407" s="1" t="b">
        <f t="shared" si="34"/>
        <v>0</v>
      </c>
    </row>
    <row r="408" spans="1:21" x14ac:dyDescent="0.3">
      <c r="A408" s="5">
        <v>10407</v>
      </c>
      <c r="B408" s="1">
        <v>1877</v>
      </c>
      <c r="C408" s="2">
        <v>45088</v>
      </c>
      <c r="D408" s="2">
        <v>45090</v>
      </c>
      <c r="E408" s="1" t="s">
        <v>22</v>
      </c>
      <c r="F408" s="1" t="s">
        <v>23</v>
      </c>
      <c r="G408" s="1" t="s">
        <v>24</v>
      </c>
      <c r="H408" s="1" t="s">
        <v>25</v>
      </c>
      <c r="I408" s="1" t="s">
        <v>52</v>
      </c>
      <c r="J408" s="1" t="s">
        <v>53</v>
      </c>
      <c r="K408" s="1" t="s">
        <v>33</v>
      </c>
      <c r="L408" s="1">
        <v>9</v>
      </c>
      <c r="M408" s="1">
        <v>3216.56</v>
      </c>
      <c r="N408" s="1">
        <v>20</v>
      </c>
      <c r="O408" s="1">
        <v>23159.23</v>
      </c>
      <c r="P408" s="1">
        <f t="shared" si="30"/>
        <v>28949.040000000001</v>
      </c>
      <c r="Q408" s="10">
        <f t="shared" si="31"/>
        <v>4631.8460000000005</v>
      </c>
      <c r="R408" s="11">
        <f t="shared" si="32"/>
        <v>24317.194</v>
      </c>
      <c r="S408" s="1" t="str">
        <f t="shared" si="33"/>
        <v>High</v>
      </c>
      <c r="T408" s="1" t="str" cm="1">
        <f t="array" ref="T408">_xlfn.IFS(L408&gt;5,"High",L408=5,"mediam",L408&lt;5,"low")</f>
        <v>High</v>
      </c>
      <c r="U408" s="1" t="str">
        <f t="shared" si="34"/>
        <v>High</v>
      </c>
    </row>
    <row r="409" spans="1:21" x14ac:dyDescent="0.3">
      <c r="A409" s="5">
        <v>10408</v>
      </c>
      <c r="B409" s="1">
        <v>1337</v>
      </c>
      <c r="C409" s="2">
        <v>45186</v>
      </c>
      <c r="D409" s="2">
        <v>45190</v>
      </c>
      <c r="E409" s="1" t="s">
        <v>46</v>
      </c>
      <c r="F409" s="1" t="s">
        <v>41</v>
      </c>
      <c r="G409" s="1" t="s">
        <v>30</v>
      </c>
      <c r="H409" s="1" t="s">
        <v>18</v>
      </c>
      <c r="I409" s="1" t="s">
        <v>49</v>
      </c>
      <c r="J409" s="1" t="s">
        <v>63</v>
      </c>
      <c r="K409" s="1" t="s">
        <v>45</v>
      </c>
      <c r="L409" s="1">
        <v>4</v>
      </c>
      <c r="M409" s="1">
        <v>1045.28</v>
      </c>
      <c r="N409" s="1">
        <v>20</v>
      </c>
      <c r="O409" s="1">
        <v>3344.9</v>
      </c>
      <c r="P409" s="1">
        <f t="shared" si="30"/>
        <v>4181.12</v>
      </c>
      <c r="Q409" s="10">
        <f t="shared" si="31"/>
        <v>668.98</v>
      </c>
      <c r="R409" s="11">
        <f t="shared" si="32"/>
        <v>3512.14</v>
      </c>
      <c r="S409" s="1" t="str">
        <f t="shared" si="33"/>
        <v>Low</v>
      </c>
      <c r="T409" s="1" t="str" cm="1">
        <f t="array" ref="T409">_xlfn.IFS(L409&gt;5,"High",L409=5,"mediam",L409&lt;5,"low")</f>
        <v>low</v>
      </c>
      <c r="U409" s="1" t="b">
        <f t="shared" si="34"/>
        <v>0</v>
      </c>
    </row>
    <row r="410" spans="1:21" x14ac:dyDescent="0.3">
      <c r="A410" s="5">
        <v>10409</v>
      </c>
      <c r="B410" s="1">
        <v>1705</v>
      </c>
      <c r="C410" s="2">
        <v>45028</v>
      </c>
      <c r="D410" s="2">
        <v>45034</v>
      </c>
      <c r="E410" s="1" t="s">
        <v>37</v>
      </c>
      <c r="F410" s="1" t="s">
        <v>16</v>
      </c>
      <c r="G410" s="1" t="s">
        <v>24</v>
      </c>
      <c r="H410" s="1" t="s">
        <v>18</v>
      </c>
      <c r="I410" s="1" t="s">
        <v>31</v>
      </c>
      <c r="J410" s="1" t="s">
        <v>39</v>
      </c>
      <c r="K410" s="1" t="s">
        <v>33</v>
      </c>
      <c r="L410" s="1">
        <v>7</v>
      </c>
      <c r="M410" s="1">
        <v>1020.23</v>
      </c>
      <c r="N410" s="1">
        <v>10</v>
      </c>
      <c r="O410" s="1">
        <v>6427.45</v>
      </c>
      <c r="P410" s="1">
        <f t="shared" si="30"/>
        <v>7141.6100000000006</v>
      </c>
      <c r="Q410" s="10">
        <f t="shared" si="31"/>
        <v>642.745</v>
      </c>
      <c r="R410" s="11">
        <f t="shared" si="32"/>
        <v>6498.8650000000007</v>
      </c>
      <c r="S410" s="1" t="str">
        <f t="shared" si="33"/>
        <v>High</v>
      </c>
      <c r="T410" s="1" t="str" cm="1">
        <f t="array" ref="T410">_xlfn.IFS(L410&gt;5,"High",L410=5,"mediam",L410&lt;5,"low")</f>
        <v>High</v>
      </c>
      <c r="U410" s="1" t="str">
        <f t="shared" si="34"/>
        <v>High</v>
      </c>
    </row>
    <row r="411" spans="1:21" x14ac:dyDescent="0.3">
      <c r="A411" s="5">
        <v>10410</v>
      </c>
      <c r="B411" s="1">
        <v>1821</v>
      </c>
      <c r="C411" s="2">
        <v>45149</v>
      </c>
      <c r="D411" s="2">
        <v>45152</v>
      </c>
      <c r="E411" s="1" t="s">
        <v>34</v>
      </c>
      <c r="F411" s="1" t="s">
        <v>23</v>
      </c>
      <c r="G411" s="1" t="s">
        <v>30</v>
      </c>
      <c r="H411" s="1" t="s">
        <v>44</v>
      </c>
      <c r="I411" s="1" t="s">
        <v>49</v>
      </c>
      <c r="J411" s="1" t="s">
        <v>50</v>
      </c>
      <c r="K411" s="1" t="s">
        <v>21</v>
      </c>
      <c r="L411" s="1">
        <v>3</v>
      </c>
      <c r="M411" s="1">
        <v>2271.5500000000002</v>
      </c>
      <c r="N411" s="1">
        <v>5</v>
      </c>
      <c r="O411" s="1">
        <v>6473.92</v>
      </c>
      <c r="P411" s="1">
        <f t="shared" si="30"/>
        <v>6814.6500000000005</v>
      </c>
      <c r="Q411" s="10">
        <f t="shared" si="31"/>
        <v>323.69600000000003</v>
      </c>
      <c r="R411" s="11">
        <f t="shared" si="32"/>
        <v>6490.9540000000006</v>
      </c>
      <c r="S411" s="1" t="str">
        <f t="shared" si="33"/>
        <v>Low</v>
      </c>
      <c r="T411" s="1" t="str" cm="1">
        <f t="array" ref="T411">_xlfn.IFS(L411&gt;5,"High",L411=5,"mediam",L411&lt;5,"low")</f>
        <v>low</v>
      </c>
      <c r="U411" s="1" t="b">
        <f t="shared" si="34"/>
        <v>0</v>
      </c>
    </row>
    <row r="412" spans="1:21" x14ac:dyDescent="0.3">
      <c r="A412" s="5">
        <v>10411</v>
      </c>
      <c r="B412" s="1">
        <v>1162</v>
      </c>
      <c r="C412" s="2">
        <v>44985</v>
      </c>
      <c r="D412" s="2">
        <v>44993</v>
      </c>
      <c r="E412" s="1" t="s">
        <v>46</v>
      </c>
      <c r="F412" s="1" t="s">
        <v>16</v>
      </c>
      <c r="G412" s="1" t="s">
        <v>30</v>
      </c>
      <c r="H412" s="1" t="s">
        <v>25</v>
      </c>
      <c r="I412" s="1" t="s">
        <v>19</v>
      </c>
      <c r="J412" s="1" t="s">
        <v>43</v>
      </c>
      <c r="K412" s="1" t="s">
        <v>33</v>
      </c>
      <c r="L412" s="1">
        <v>3</v>
      </c>
      <c r="M412" s="1">
        <v>2165.7199999999998</v>
      </c>
      <c r="N412" s="1">
        <v>5</v>
      </c>
      <c r="O412" s="1">
        <v>6172.3</v>
      </c>
      <c r="P412" s="1">
        <f t="shared" si="30"/>
        <v>6497.16</v>
      </c>
      <c r="Q412" s="10">
        <f t="shared" si="31"/>
        <v>308.61500000000001</v>
      </c>
      <c r="R412" s="11">
        <f t="shared" si="32"/>
        <v>6188.5450000000001</v>
      </c>
      <c r="S412" s="1" t="str">
        <f t="shared" si="33"/>
        <v>Low</v>
      </c>
      <c r="T412" s="1" t="str" cm="1">
        <f t="array" ref="T412">_xlfn.IFS(L412&gt;5,"High",L412=5,"mediam",L412&lt;5,"low")</f>
        <v>low</v>
      </c>
      <c r="U412" s="1" t="b">
        <f t="shared" si="34"/>
        <v>0</v>
      </c>
    </row>
    <row r="413" spans="1:21" x14ac:dyDescent="0.3">
      <c r="A413" s="5">
        <v>10412</v>
      </c>
      <c r="B413" s="1">
        <v>1719</v>
      </c>
      <c r="C413" s="2">
        <v>45173</v>
      </c>
      <c r="D413" s="2">
        <v>45176</v>
      </c>
      <c r="E413" s="1" t="s">
        <v>40</v>
      </c>
      <c r="F413" s="1" t="s">
        <v>23</v>
      </c>
      <c r="G413" s="1" t="s">
        <v>24</v>
      </c>
      <c r="H413" s="1" t="s">
        <v>18</v>
      </c>
      <c r="I413" s="1" t="s">
        <v>49</v>
      </c>
      <c r="J413" s="1" t="s">
        <v>63</v>
      </c>
      <c r="K413" s="1" t="s">
        <v>47</v>
      </c>
      <c r="L413" s="1">
        <v>8</v>
      </c>
      <c r="M413" s="1">
        <v>1236.71</v>
      </c>
      <c r="N413" s="1">
        <v>15</v>
      </c>
      <c r="O413" s="1">
        <v>8409.6299999999992</v>
      </c>
      <c r="P413" s="1">
        <f t="shared" si="30"/>
        <v>9893.68</v>
      </c>
      <c r="Q413" s="10">
        <f t="shared" si="31"/>
        <v>1261.4444999999998</v>
      </c>
      <c r="R413" s="11">
        <f t="shared" si="32"/>
        <v>8632.2355000000007</v>
      </c>
      <c r="S413" s="1" t="str">
        <f t="shared" si="33"/>
        <v>High</v>
      </c>
      <c r="T413" s="1" t="str" cm="1">
        <f t="array" ref="T413">_xlfn.IFS(L413&gt;5,"High",L413=5,"mediam",L413&lt;5,"low")</f>
        <v>High</v>
      </c>
      <c r="U413" s="1" t="str">
        <f t="shared" si="34"/>
        <v>High</v>
      </c>
    </row>
    <row r="414" spans="1:21" x14ac:dyDescent="0.3">
      <c r="A414" s="5">
        <v>10413</v>
      </c>
      <c r="B414" s="1">
        <v>1956</v>
      </c>
      <c r="C414" s="2">
        <v>45054</v>
      </c>
      <c r="D414" s="2">
        <v>45056</v>
      </c>
      <c r="E414" s="1" t="s">
        <v>37</v>
      </c>
      <c r="F414" s="1" t="s">
        <v>54</v>
      </c>
      <c r="G414" s="1" t="s">
        <v>24</v>
      </c>
      <c r="H414" s="1" t="s">
        <v>18</v>
      </c>
      <c r="I414" s="1" t="s">
        <v>52</v>
      </c>
      <c r="J414" s="1" t="s">
        <v>53</v>
      </c>
      <c r="K414" s="1" t="s">
        <v>28</v>
      </c>
      <c r="L414" s="1">
        <v>8</v>
      </c>
      <c r="M414" s="1">
        <v>1297.5899999999999</v>
      </c>
      <c r="N414" s="1">
        <v>0</v>
      </c>
      <c r="O414" s="1">
        <v>10380.719999999999</v>
      </c>
      <c r="P414" s="1">
        <f t="shared" si="30"/>
        <v>10380.719999999999</v>
      </c>
      <c r="Q414" s="10">
        <f t="shared" si="31"/>
        <v>0</v>
      </c>
      <c r="R414" s="11">
        <f t="shared" si="32"/>
        <v>10380.719999999999</v>
      </c>
      <c r="S414" s="1" t="str">
        <f t="shared" si="33"/>
        <v>High</v>
      </c>
      <c r="T414" s="1" t="str" cm="1">
        <f t="array" ref="T414">_xlfn.IFS(L414&gt;5,"High",L414=5,"mediam",L414&lt;5,"low")</f>
        <v>High</v>
      </c>
      <c r="U414" s="1" t="str">
        <f t="shared" si="34"/>
        <v>High</v>
      </c>
    </row>
    <row r="415" spans="1:21" x14ac:dyDescent="0.3">
      <c r="A415" s="5">
        <v>10414</v>
      </c>
      <c r="B415" s="1">
        <v>1680</v>
      </c>
      <c r="C415" s="2">
        <v>45209</v>
      </c>
      <c r="D415" s="2">
        <v>45212</v>
      </c>
      <c r="E415" s="1" t="s">
        <v>46</v>
      </c>
      <c r="F415" s="1" t="s">
        <v>54</v>
      </c>
      <c r="G415" s="1" t="s">
        <v>30</v>
      </c>
      <c r="H415" s="1" t="s">
        <v>42</v>
      </c>
      <c r="I415" s="1" t="s">
        <v>26</v>
      </c>
      <c r="J415" s="1" t="s">
        <v>36</v>
      </c>
      <c r="K415" s="1" t="s">
        <v>45</v>
      </c>
      <c r="L415" s="1">
        <v>1</v>
      </c>
      <c r="M415" s="1">
        <v>1219.7</v>
      </c>
      <c r="N415" s="1">
        <v>5</v>
      </c>
      <c r="O415" s="1">
        <v>1158.71</v>
      </c>
      <c r="P415" s="1">
        <f t="shared" si="30"/>
        <v>1219.7</v>
      </c>
      <c r="Q415" s="10">
        <f t="shared" si="31"/>
        <v>57.935500000000005</v>
      </c>
      <c r="R415" s="11">
        <f t="shared" si="32"/>
        <v>1161.7645</v>
      </c>
      <c r="S415" s="1" t="str">
        <f t="shared" si="33"/>
        <v>Low</v>
      </c>
      <c r="T415" s="1" t="str" cm="1">
        <f t="array" ref="T415">_xlfn.IFS(L415&gt;5,"High",L415=5,"mediam",L415&lt;5,"low")</f>
        <v>low</v>
      </c>
      <c r="U415" s="1" t="b">
        <f t="shared" si="34"/>
        <v>0</v>
      </c>
    </row>
    <row r="416" spans="1:21" x14ac:dyDescent="0.3">
      <c r="A416" s="5">
        <v>10415</v>
      </c>
      <c r="B416" s="1">
        <v>1995</v>
      </c>
      <c r="C416" s="2">
        <v>45251</v>
      </c>
      <c r="D416" s="2">
        <v>45257</v>
      </c>
      <c r="E416" s="1" t="s">
        <v>46</v>
      </c>
      <c r="F416" s="1" t="s">
        <v>54</v>
      </c>
      <c r="G416" s="1" t="s">
        <v>17</v>
      </c>
      <c r="H416" s="1" t="s">
        <v>42</v>
      </c>
      <c r="I416" s="1" t="s">
        <v>57</v>
      </c>
      <c r="J416" s="1" t="s">
        <v>67</v>
      </c>
      <c r="K416" s="1" t="s">
        <v>28</v>
      </c>
      <c r="L416" s="1">
        <v>2</v>
      </c>
      <c r="M416" s="1">
        <v>3120.32</v>
      </c>
      <c r="N416" s="1">
        <v>20</v>
      </c>
      <c r="O416" s="1">
        <v>4992.51</v>
      </c>
      <c r="P416" s="1">
        <f t="shared" si="30"/>
        <v>6240.64</v>
      </c>
      <c r="Q416" s="10">
        <f t="shared" si="31"/>
        <v>998.50200000000007</v>
      </c>
      <c r="R416" s="11">
        <f t="shared" si="32"/>
        <v>5242.1379999999999</v>
      </c>
      <c r="S416" s="1" t="str">
        <f t="shared" si="33"/>
        <v>Low</v>
      </c>
      <c r="T416" s="1" t="str" cm="1">
        <f t="array" ref="T416">_xlfn.IFS(L416&gt;5,"High",L416=5,"mediam",L416&lt;5,"low")</f>
        <v>low</v>
      </c>
      <c r="U416" s="1" t="b">
        <f t="shared" si="34"/>
        <v>0</v>
      </c>
    </row>
    <row r="417" spans="1:21" x14ac:dyDescent="0.3">
      <c r="A417" s="5">
        <v>10416</v>
      </c>
      <c r="B417" s="1">
        <v>1160</v>
      </c>
      <c r="C417" s="2">
        <v>44951</v>
      </c>
      <c r="D417" s="2">
        <v>44953</v>
      </c>
      <c r="E417" s="1" t="s">
        <v>34</v>
      </c>
      <c r="F417" s="1" t="s">
        <v>54</v>
      </c>
      <c r="G417" s="1" t="s">
        <v>24</v>
      </c>
      <c r="H417" s="1" t="s">
        <v>18</v>
      </c>
      <c r="I417" s="1" t="s">
        <v>49</v>
      </c>
      <c r="J417" s="1" t="s">
        <v>63</v>
      </c>
      <c r="K417" s="1" t="s">
        <v>33</v>
      </c>
      <c r="L417" s="1">
        <v>8</v>
      </c>
      <c r="M417" s="1">
        <v>2659.82</v>
      </c>
      <c r="N417" s="1">
        <v>0</v>
      </c>
      <c r="O417" s="1">
        <v>21278.560000000001</v>
      </c>
      <c r="P417" s="1">
        <f t="shared" si="30"/>
        <v>21278.560000000001</v>
      </c>
      <c r="Q417" s="10">
        <f t="shared" si="31"/>
        <v>0</v>
      </c>
      <c r="R417" s="11">
        <f t="shared" si="32"/>
        <v>21278.560000000001</v>
      </c>
      <c r="S417" s="1" t="str">
        <f t="shared" si="33"/>
        <v>High</v>
      </c>
      <c r="T417" s="1" t="str" cm="1">
        <f t="array" ref="T417">_xlfn.IFS(L417&gt;5,"High",L417=5,"mediam",L417&lt;5,"low")</f>
        <v>High</v>
      </c>
      <c r="U417" s="1" t="str">
        <f t="shared" si="34"/>
        <v>High</v>
      </c>
    </row>
    <row r="418" spans="1:21" x14ac:dyDescent="0.3">
      <c r="A418" s="5">
        <v>10417</v>
      </c>
      <c r="B418" s="1">
        <v>1579</v>
      </c>
      <c r="C418" s="2">
        <v>45057</v>
      </c>
      <c r="D418" s="2">
        <v>45065</v>
      </c>
      <c r="E418" s="1" t="s">
        <v>22</v>
      </c>
      <c r="F418" s="1" t="s">
        <v>54</v>
      </c>
      <c r="G418" s="1" t="s">
        <v>17</v>
      </c>
      <c r="H418" s="1" t="s">
        <v>44</v>
      </c>
      <c r="I418" s="1" t="s">
        <v>52</v>
      </c>
      <c r="J418" s="1" t="s">
        <v>64</v>
      </c>
      <c r="K418" s="1" t="s">
        <v>45</v>
      </c>
      <c r="L418" s="1">
        <v>1</v>
      </c>
      <c r="M418" s="1">
        <v>3354.81</v>
      </c>
      <c r="N418" s="1">
        <v>0</v>
      </c>
      <c r="O418" s="1">
        <v>3354.81</v>
      </c>
      <c r="P418" s="1">
        <f t="shared" si="30"/>
        <v>3354.81</v>
      </c>
      <c r="Q418" s="10">
        <f t="shared" si="31"/>
        <v>0</v>
      </c>
      <c r="R418" s="11">
        <f t="shared" si="32"/>
        <v>3354.81</v>
      </c>
      <c r="S418" s="1" t="str">
        <f t="shared" si="33"/>
        <v>Low</v>
      </c>
      <c r="T418" s="1" t="str" cm="1">
        <f t="array" ref="T418">_xlfn.IFS(L418&gt;5,"High",L418=5,"mediam",L418&lt;5,"low")</f>
        <v>low</v>
      </c>
      <c r="U418" s="1" t="b">
        <f t="shared" si="34"/>
        <v>0</v>
      </c>
    </row>
    <row r="419" spans="1:21" x14ac:dyDescent="0.3">
      <c r="A419" s="5">
        <v>10418</v>
      </c>
      <c r="B419" s="1">
        <v>1800</v>
      </c>
      <c r="C419" s="2">
        <v>45279</v>
      </c>
      <c r="D419" s="2">
        <v>45280</v>
      </c>
      <c r="E419" s="1" t="s">
        <v>40</v>
      </c>
      <c r="F419" s="1" t="s">
        <v>54</v>
      </c>
      <c r="G419" s="1" t="s">
        <v>24</v>
      </c>
      <c r="H419" s="1" t="s">
        <v>35</v>
      </c>
      <c r="I419" s="1" t="s">
        <v>52</v>
      </c>
      <c r="J419" s="1" t="s">
        <v>56</v>
      </c>
      <c r="K419" s="1" t="s">
        <v>33</v>
      </c>
      <c r="L419" s="1">
        <v>8</v>
      </c>
      <c r="M419" s="1">
        <v>3905.57</v>
      </c>
      <c r="N419" s="1">
        <v>10</v>
      </c>
      <c r="O419" s="1">
        <v>28120.1</v>
      </c>
      <c r="P419" s="1">
        <f t="shared" si="30"/>
        <v>31244.560000000001</v>
      </c>
      <c r="Q419" s="10">
        <f t="shared" si="31"/>
        <v>2812.01</v>
      </c>
      <c r="R419" s="11">
        <f t="shared" si="32"/>
        <v>28432.550000000003</v>
      </c>
      <c r="S419" s="1" t="str">
        <f t="shared" si="33"/>
        <v>High</v>
      </c>
      <c r="T419" s="1" t="str" cm="1">
        <f t="array" ref="T419">_xlfn.IFS(L419&gt;5,"High",L419=5,"mediam",L419&lt;5,"low")</f>
        <v>High</v>
      </c>
      <c r="U419" s="1" t="str">
        <f t="shared" si="34"/>
        <v>High</v>
      </c>
    </row>
    <row r="420" spans="1:21" x14ac:dyDescent="0.3">
      <c r="A420" s="5">
        <v>10419</v>
      </c>
      <c r="B420" s="1">
        <v>1397</v>
      </c>
      <c r="C420" s="2">
        <v>45122</v>
      </c>
      <c r="D420" s="2">
        <v>45129</v>
      </c>
      <c r="E420" s="1" t="s">
        <v>15</v>
      </c>
      <c r="F420" s="1" t="s">
        <v>16</v>
      </c>
      <c r="G420" s="1" t="s">
        <v>24</v>
      </c>
      <c r="H420" s="1" t="s">
        <v>35</v>
      </c>
      <c r="I420" s="1" t="s">
        <v>26</v>
      </c>
      <c r="J420" s="1" t="s">
        <v>27</v>
      </c>
      <c r="K420" s="1" t="s">
        <v>47</v>
      </c>
      <c r="L420" s="1">
        <v>8</v>
      </c>
      <c r="M420" s="1">
        <v>1975.53</v>
      </c>
      <c r="N420" s="1">
        <v>5</v>
      </c>
      <c r="O420" s="1">
        <v>15014.03</v>
      </c>
      <c r="P420" s="1">
        <f t="shared" si="30"/>
        <v>15804.24</v>
      </c>
      <c r="Q420" s="10">
        <f t="shared" si="31"/>
        <v>750.70150000000012</v>
      </c>
      <c r="R420" s="11">
        <f t="shared" si="32"/>
        <v>15053.538499999999</v>
      </c>
      <c r="S420" s="1" t="str">
        <f t="shared" si="33"/>
        <v>High</v>
      </c>
      <c r="T420" s="1" t="str" cm="1">
        <f t="array" ref="T420">_xlfn.IFS(L420&gt;5,"High",L420=5,"mediam",L420&lt;5,"low")</f>
        <v>High</v>
      </c>
      <c r="U420" s="1" t="str">
        <f t="shared" si="34"/>
        <v>High</v>
      </c>
    </row>
    <row r="421" spans="1:21" x14ac:dyDescent="0.3">
      <c r="A421" s="5">
        <v>10420</v>
      </c>
      <c r="B421" s="1">
        <v>1276</v>
      </c>
      <c r="C421" s="2">
        <v>45207</v>
      </c>
      <c r="D421" s="2">
        <v>45209</v>
      </c>
      <c r="E421" s="1" t="s">
        <v>15</v>
      </c>
      <c r="F421" s="1" t="s">
        <v>29</v>
      </c>
      <c r="G421" s="1" t="s">
        <v>24</v>
      </c>
      <c r="H421" s="1" t="s">
        <v>18</v>
      </c>
      <c r="I421" s="1" t="s">
        <v>19</v>
      </c>
      <c r="J421" s="1" t="s">
        <v>66</v>
      </c>
      <c r="K421" s="1" t="s">
        <v>21</v>
      </c>
      <c r="L421" s="1">
        <v>2</v>
      </c>
      <c r="M421" s="1">
        <v>406.77</v>
      </c>
      <c r="N421" s="1">
        <v>10</v>
      </c>
      <c r="O421" s="1">
        <v>732.19</v>
      </c>
      <c r="P421" s="1">
        <f t="shared" si="30"/>
        <v>813.54</v>
      </c>
      <c r="Q421" s="10">
        <f t="shared" si="31"/>
        <v>73.219000000000008</v>
      </c>
      <c r="R421" s="11">
        <f t="shared" si="32"/>
        <v>740.32099999999991</v>
      </c>
      <c r="S421" s="1" t="str">
        <f t="shared" si="33"/>
        <v>Low</v>
      </c>
      <c r="T421" s="1" t="str" cm="1">
        <f t="array" ref="T421">_xlfn.IFS(L421&gt;5,"High",L421=5,"mediam",L421&lt;5,"low")</f>
        <v>low</v>
      </c>
      <c r="U421" s="1" t="b">
        <f t="shared" si="34"/>
        <v>0</v>
      </c>
    </row>
    <row r="422" spans="1:21" x14ac:dyDescent="0.3">
      <c r="A422" s="5">
        <v>10421</v>
      </c>
      <c r="B422" s="1">
        <v>1815</v>
      </c>
      <c r="C422" s="2">
        <v>45080</v>
      </c>
      <c r="D422" s="2">
        <v>45086</v>
      </c>
      <c r="E422" s="1" t="s">
        <v>46</v>
      </c>
      <c r="F422" s="1" t="s">
        <v>23</v>
      </c>
      <c r="G422" s="1" t="s">
        <v>24</v>
      </c>
      <c r="H422" s="1" t="s">
        <v>18</v>
      </c>
      <c r="I422" s="1" t="s">
        <v>52</v>
      </c>
      <c r="J422" s="1" t="s">
        <v>64</v>
      </c>
      <c r="K422" s="1" t="s">
        <v>45</v>
      </c>
      <c r="L422" s="1">
        <v>4</v>
      </c>
      <c r="M422" s="1">
        <v>335.16</v>
      </c>
      <c r="N422" s="1">
        <v>5</v>
      </c>
      <c r="O422" s="1">
        <v>1273.6099999999999</v>
      </c>
      <c r="P422" s="1">
        <f t="shared" si="30"/>
        <v>1340.64</v>
      </c>
      <c r="Q422" s="10">
        <f t="shared" si="31"/>
        <v>63.680499999999995</v>
      </c>
      <c r="R422" s="11">
        <f t="shared" si="32"/>
        <v>1276.9595000000002</v>
      </c>
      <c r="S422" s="1" t="str">
        <f t="shared" si="33"/>
        <v>Low</v>
      </c>
      <c r="T422" s="1" t="str" cm="1">
        <f t="array" ref="T422">_xlfn.IFS(L422&gt;5,"High",L422=5,"mediam",L422&lt;5,"low")</f>
        <v>low</v>
      </c>
      <c r="U422" s="1" t="b">
        <f t="shared" si="34"/>
        <v>0</v>
      </c>
    </row>
    <row r="423" spans="1:21" x14ac:dyDescent="0.3">
      <c r="A423" s="5">
        <v>10422</v>
      </c>
      <c r="B423" s="1">
        <v>1915</v>
      </c>
      <c r="C423" s="2">
        <v>45059</v>
      </c>
      <c r="D423" s="2">
        <v>45061</v>
      </c>
      <c r="E423" s="1" t="s">
        <v>16</v>
      </c>
      <c r="F423" s="1" t="s">
        <v>54</v>
      </c>
      <c r="G423" s="1" t="s">
        <v>17</v>
      </c>
      <c r="H423" s="1" t="s">
        <v>18</v>
      </c>
      <c r="I423" s="1" t="s">
        <v>52</v>
      </c>
      <c r="J423" s="1" t="s">
        <v>64</v>
      </c>
      <c r="K423" s="1" t="s">
        <v>47</v>
      </c>
      <c r="L423" s="1">
        <v>6</v>
      </c>
      <c r="M423" s="1">
        <v>1288.31</v>
      </c>
      <c r="N423" s="1">
        <v>15</v>
      </c>
      <c r="O423" s="1">
        <v>6570.38</v>
      </c>
      <c r="P423" s="1">
        <f t="shared" si="30"/>
        <v>7729.86</v>
      </c>
      <c r="Q423" s="10">
        <f t="shared" si="31"/>
        <v>985.55700000000002</v>
      </c>
      <c r="R423" s="11">
        <f t="shared" si="32"/>
        <v>6744.3029999999999</v>
      </c>
      <c r="S423" s="1" t="str">
        <f t="shared" si="33"/>
        <v>High</v>
      </c>
      <c r="T423" s="1" t="str" cm="1">
        <f t="array" ref="T423">_xlfn.IFS(L423&gt;5,"High",L423=5,"mediam",L423&lt;5,"low")</f>
        <v>High</v>
      </c>
      <c r="U423" s="1" t="str">
        <f t="shared" si="34"/>
        <v>High</v>
      </c>
    </row>
    <row r="424" spans="1:21" x14ac:dyDescent="0.3">
      <c r="A424" s="5">
        <v>10423</v>
      </c>
      <c r="B424" s="1">
        <v>1503</v>
      </c>
      <c r="C424" s="2">
        <v>45153</v>
      </c>
      <c r="D424" s="2">
        <v>45155</v>
      </c>
      <c r="E424" s="1" t="s">
        <v>40</v>
      </c>
      <c r="F424" s="1" t="s">
        <v>16</v>
      </c>
      <c r="G424" s="1" t="s">
        <v>24</v>
      </c>
      <c r="H424" s="1" t="s">
        <v>44</v>
      </c>
      <c r="I424" s="1" t="s">
        <v>52</v>
      </c>
      <c r="J424" s="1" t="s">
        <v>60</v>
      </c>
      <c r="K424" s="1" t="s">
        <v>47</v>
      </c>
      <c r="L424" s="1">
        <v>9</v>
      </c>
      <c r="M424" s="1">
        <v>3740.3</v>
      </c>
      <c r="N424" s="1">
        <v>10</v>
      </c>
      <c r="O424" s="1">
        <v>30296.43</v>
      </c>
      <c r="P424" s="1">
        <f t="shared" si="30"/>
        <v>33662.700000000004</v>
      </c>
      <c r="Q424" s="10">
        <f t="shared" si="31"/>
        <v>3029.643</v>
      </c>
      <c r="R424" s="11">
        <f t="shared" si="32"/>
        <v>30633.057000000004</v>
      </c>
      <c r="S424" s="1" t="str">
        <f t="shared" si="33"/>
        <v>High</v>
      </c>
      <c r="T424" s="1" t="str" cm="1">
        <f t="array" ref="T424">_xlfn.IFS(L424&gt;5,"High",L424=5,"mediam",L424&lt;5,"low")</f>
        <v>High</v>
      </c>
      <c r="U424" s="1" t="str">
        <f t="shared" si="34"/>
        <v>High</v>
      </c>
    </row>
    <row r="425" spans="1:21" x14ac:dyDescent="0.3">
      <c r="A425" s="5">
        <v>10424</v>
      </c>
      <c r="B425" s="1">
        <v>1895</v>
      </c>
      <c r="C425" s="2">
        <v>45115</v>
      </c>
      <c r="D425" s="2">
        <v>45123</v>
      </c>
      <c r="E425" s="1" t="s">
        <v>37</v>
      </c>
      <c r="F425" s="1" t="s">
        <v>16</v>
      </c>
      <c r="G425" s="1" t="s">
        <v>30</v>
      </c>
      <c r="H425" s="1" t="s">
        <v>42</v>
      </c>
      <c r="I425" s="1" t="s">
        <v>52</v>
      </c>
      <c r="J425" s="1" t="s">
        <v>56</v>
      </c>
      <c r="K425" s="1" t="s">
        <v>45</v>
      </c>
      <c r="L425" s="1">
        <v>8</v>
      </c>
      <c r="M425" s="1">
        <v>2164.37</v>
      </c>
      <c r="N425" s="1">
        <v>10</v>
      </c>
      <c r="O425" s="1">
        <v>15583.46</v>
      </c>
      <c r="P425" s="1">
        <f t="shared" si="30"/>
        <v>17314.96</v>
      </c>
      <c r="Q425" s="10">
        <f t="shared" si="31"/>
        <v>1558.346</v>
      </c>
      <c r="R425" s="11">
        <f t="shared" si="32"/>
        <v>15756.614</v>
      </c>
      <c r="S425" s="1" t="str">
        <f t="shared" si="33"/>
        <v>High</v>
      </c>
      <c r="T425" s="1" t="str" cm="1">
        <f t="array" ref="T425">_xlfn.IFS(L425&gt;5,"High",L425=5,"mediam",L425&lt;5,"low")</f>
        <v>High</v>
      </c>
      <c r="U425" s="1" t="str">
        <f t="shared" si="34"/>
        <v>High</v>
      </c>
    </row>
    <row r="426" spans="1:21" x14ac:dyDescent="0.3">
      <c r="A426" s="5">
        <v>10425</v>
      </c>
      <c r="B426" s="1">
        <v>1391</v>
      </c>
      <c r="C426" s="2">
        <v>45191</v>
      </c>
      <c r="D426" s="2">
        <v>45193</v>
      </c>
      <c r="E426" s="1" t="s">
        <v>16</v>
      </c>
      <c r="F426" s="1" t="s">
        <v>16</v>
      </c>
      <c r="G426" s="1" t="s">
        <v>30</v>
      </c>
      <c r="H426" s="1" t="s">
        <v>18</v>
      </c>
      <c r="I426" s="1" t="s">
        <v>31</v>
      </c>
      <c r="J426" s="1" t="s">
        <v>39</v>
      </c>
      <c r="K426" s="1" t="s">
        <v>33</v>
      </c>
      <c r="L426" s="1">
        <v>8</v>
      </c>
      <c r="M426" s="1">
        <v>1196.3800000000001</v>
      </c>
      <c r="N426" s="1">
        <v>20</v>
      </c>
      <c r="O426" s="1">
        <v>7656.83</v>
      </c>
      <c r="P426" s="1">
        <f t="shared" si="30"/>
        <v>9571.0400000000009</v>
      </c>
      <c r="Q426" s="10">
        <f t="shared" si="31"/>
        <v>1531.366</v>
      </c>
      <c r="R426" s="11">
        <f t="shared" si="32"/>
        <v>8039.6740000000009</v>
      </c>
      <c r="S426" s="1" t="str">
        <f t="shared" si="33"/>
        <v>High</v>
      </c>
      <c r="T426" s="1" t="str" cm="1">
        <f t="array" ref="T426">_xlfn.IFS(L426&gt;5,"High",L426=5,"mediam",L426&lt;5,"low")</f>
        <v>High</v>
      </c>
      <c r="U426" s="1" t="str">
        <f t="shared" si="34"/>
        <v>High</v>
      </c>
    </row>
    <row r="427" spans="1:21" x14ac:dyDescent="0.3">
      <c r="A427" s="5">
        <v>10426</v>
      </c>
      <c r="B427" s="1">
        <v>1134</v>
      </c>
      <c r="C427" s="2">
        <v>45060</v>
      </c>
      <c r="D427" s="2">
        <v>45067</v>
      </c>
      <c r="E427" s="1" t="s">
        <v>16</v>
      </c>
      <c r="F427" s="1" t="s">
        <v>29</v>
      </c>
      <c r="G427" s="1" t="s">
        <v>17</v>
      </c>
      <c r="H427" s="1" t="s">
        <v>18</v>
      </c>
      <c r="I427" s="1" t="s">
        <v>31</v>
      </c>
      <c r="J427" s="1" t="s">
        <v>32</v>
      </c>
      <c r="K427" s="1" t="s">
        <v>47</v>
      </c>
      <c r="L427" s="1">
        <v>7</v>
      </c>
      <c r="M427" s="1">
        <v>1686.79</v>
      </c>
      <c r="N427" s="1">
        <v>10</v>
      </c>
      <c r="O427" s="1">
        <v>10626.78</v>
      </c>
      <c r="P427" s="1">
        <f t="shared" si="30"/>
        <v>11807.529999999999</v>
      </c>
      <c r="Q427" s="10">
        <f t="shared" si="31"/>
        <v>1062.6780000000001</v>
      </c>
      <c r="R427" s="11">
        <f t="shared" si="32"/>
        <v>10744.851999999999</v>
      </c>
      <c r="S427" s="1" t="str">
        <f t="shared" si="33"/>
        <v>High</v>
      </c>
      <c r="T427" s="1" t="str" cm="1">
        <f t="array" ref="T427">_xlfn.IFS(L427&gt;5,"High",L427=5,"mediam",L427&lt;5,"low")</f>
        <v>High</v>
      </c>
      <c r="U427" s="1" t="str">
        <f t="shared" si="34"/>
        <v>High</v>
      </c>
    </row>
    <row r="428" spans="1:21" x14ac:dyDescent="0.3">
      <c r="A428" s="5">
        <v>10427</v>
      </c>
      <c r="B428" s="1">
        <v>1194</v>
      </c>
      <c r="C428" s="2">
        <v>45137</v>
      </c>
      <c r="D428" s="2">
        <v>45140</v>
      </c>
      <c r="E428" s="1" t="s">
        <v>40</v>
      </c>
      <c r="F428" s="1" t="s">
        <v>23</v>
      </c>
      <c r="G428" s="1" t="s">
        <v>24</v>
      </c>
      <c r="H428" s="1" t="s">
        <v>25</v>
      </c>
      <c r="I428" s="1" t="s">
        <v>19</v>
      </c>
      <c r="J428" s="1" t="s">
        <v>55</v>
      </c>
      <c r="K428" s="1" t="s">
        <v>28</v>
      </c>
      <c r="L428" s="1">
        <v>9</v>
      </c>
      <c r="M428" s="1">
        <v>2454.59</v>
      </c>
      <c r="N428" s="1">
        <v>5</v>
      </c>
      <c r="O428" s="1">
        <v>20986.74</v>
      </c>
      <c r="P428" s="1">
        <f t="shared" si="30"/>
        <v>22091.31</v>
      </c>
      <c r="Q428" s="10">
        <f t="shared" si="31"/>
        <v>1049.3370000000002</v>
      </c>
      <c r="R428" s="11">
        <f t="shared" si="32"/>
        <v>21041.973000000002</v>
      </c>
      <c r="S428" s="1" t="str">
        <f t="shared" si="33"/>
        <v>High</v>
      </c>
      <c r="T428" s="1" t="str" cm="1">
        <f t="array" ref="T428">_xlfn.IFS(L428&gt;5,"High",L428=5,"mediam",L428&lt;5,"low")</f>
        <v>High</v>
      </c>
      <c r="U428" s="1" t="str">
        <f t="shared" si="34"/>
        <v>High</v>
      </c>
    </row>
    <row r="429" spans="1:21" x14ac:dyDescent="0.3">
      <c r="A429" s="5">
        <v>10428</v>
      </c>
      <c r="B429" s="1">
        <v>1400</v>
      </c>
      <c r="C429" s="2">
        <v>44986</v>
      </c>
      <c r="D429" s="2">
        <v>44994</v>
      </c>
      <c r="E429" s="1" t="s">
        <v>22</v>
      </c>
      <c r="F429" s="1" t="s">
        <v>29</v>
      </c>
      <c r="G429" s="1" t="s">
        <v>30</v>
      </c>
      <c r="H429" s="1" t="s">
        <v>44</v>
      </c>
      <c r="I429" s="1" t="s">
        <v>49</v>
      </c>
      <c r="J429" s="1" t="s">
        <v>51</v>
      </c>
      <c r="K429" s="1" t="s">
        <v>47</v>
      </c>
      <c r="L429" s="1">
        <v>2</v>
      </c>
      <c r="M429" s="1">
        <v>2663.86</v>
      </c>
      <c r="N429" s="1">
        <v>20</v>
      </c>
      <c r="O429" s="1">
        <v>4262.18</v>
      </c>
      <c r="P429" s="1">
        <f t="shared" si="30"/>
        <v>5327.72</v>
      </c>
      <c r="Q429" s="10">
        <f t="shared" si="31"/>
        <v>852.43600000000015</v>
      </c>
      <c r="R429" s="11">
        <f t="shared" si="32"/>
        <v>4475.2839999999997</v>
      </c>
      <c r="S429" s="1" t="str">
        <f t="shared" si="33"/>
        <v>Low</v>
      </c>
      <c r="T429" s="1" t="str" cm="1">
        <f t="array" ref="T429">_xlfn.IFS(L429&gt;5,"High",L429=5,"mediam",L429&lt;5,"low")</f>
        <v>low</v>
      </c>
      <c r="U429" s="1" t="b">
        <f t="shared" si="34"/>
        <v>0</v>
      </c>
    </row>
    <row r="430" spans="1:21" x14ac:dyDescent="0.3">
      <c r="A430" s="5">
        <v>10429</v>
      </c>
      <c r="B430" s="1">
        <v>1639</v>
      </c>
      <c r="C430" s="2">
        <v>45290</v>
      </c>
      <c r="D430" s="2">
        <v>45297</v>
      </c>
      <c r="E430" s="1" t="s">
        <v>46</v>
      </c>
      <c r="F430" s="1" t="s">
        <v>38</v>
      </c>
      <c r="G430" s="1" t="s">
        <v>17</v>
      </c>
      <c r="H430" s="1" t="s">
        <v>18</v>
      </c>
      <c r="I430" s="1" t="s">
        <v>52</v>
      </c>
      <c r="J430" s="1" t="s">
        <v>56</v>
      </c>
      <c r="K430" s="1" t="s">
        <v>33</v>
      </c>
      <c r="L430" s="1">
        <v>3</v>
      </c>
      <c r="M430" s="1">
        <v>742.59</v>
      </c>
      <c r="N430" s="1">
        <v>10</v>
      </c>
      <c r="O430" s="1">
        <v>2004.99</v>
      </c>
      <c r="P430" s="1">
        <f t="shared" si="30"/>
        <v>2227.77</v>
      </c>
      <c r="Q430" s="10">
        <f t="shared" si="31"/>
        <v>200.49900000000002</v>
      </c>
      <c r="R430" s="11">
        <f t="shared" si="32"/>
        <v>2027.271</v>
      </c>
      <c r="S430" s="1" t="str">
        <f t="shared" si="33"/>
        <v>Low</v>
      </c>
      <c r="T430" s="1" t="str" cm="1">
        <f t="array" ref="T430">_xlfn.IFS(L430&gt;5,"High",L430=5,"mediam",L430&lt;5,"low")</f>
        <v>low</v>
      </c>
      <c r="U430" s="1" t="b">
        <f t="shared" si="34"/>
        <v>0</v>
      </c>
    </row>
    <row r="431" spans="1:21" x14ac:dyDescent="0.3">
      <c r="A431" s="5">
        <v>10430</v>
      </c>
      <c r="B431" s="1">
        <v>1032</v>
      </c>
      <c r="C431" s="2">
        <v>45290</v>
      </c>
      <c r="D431" s="2">
        <v>45298</v>
      </c>
      <c r="E431" s="1" t="s">
        <v>46</v>
      </c>
      <c r="F431" s="1" t="s">
        <v>16</v>
      </c>
      <c r="G431" s="1" t="s">
        <v>24</v>
      </c>
      <c r="H431" s="1" t="s">
        <v>25</v>
      </c>
      <c r="I431" s="1" t="s">
        <v>26</v>
      </c>
      <c r="J431" s="1" t="s">
        <v>69</v>
      </c>
      <c r="K431" s="1" t="s">
        <v>33</v>
      </c>
      <c r="L431" s="1">
        <v>8</v>
      </c>
      <c r="M431" s="1">
        <v>3911.57</v>
      </c>
      <c r="N431" s="1">
        <v>10</v>
      </c>
      <c r="O431" s="1">
        <v>28163.3</v>
      </c>
      <c r="P431" s="1">
        <f t="shared" si="30"/>
        <v>31292.560000000001</v>
      </c>
      <c r="Q431" s="10">
        <f t="shared" si="31"/>
        <v>2816.33</v>
      </c>
      <c r="R431" s="11">
        <f t="shared" si="32"/>
        <v>28476.230000000003</v>
      </c>
      <c r="S431" s="1" t="str">
        <f t="shared" si="33"/>
        <v>High</v>
      </c>
      <c r="T431" s="1" t="str" cm="1">
        <f t="array" ref="T431">_xlfn.IFS(L431&gt;5,"High",L431=5,"mediam",L431&lt;5,"low")</f>
        <v>High</v>
      </c>
      <c r="U431" s="1" t="str">
        <f t="shared" si="34"/>
        <v>High</v>
      </c>
    </row>
    <row r="432" spans="1:21" x14ac:dyDescent="0.3">
      <c r="A432" s="5">
        <v>10431</v>
      </c>
      <c r="B432" s="1">
        <v>1687</v>
      </c>
      <c r="C432" s="2">
        <v>45139</v>
      </c>
      <c r="D432" s="2">
        <v>45146</v>
      </c>
      <c r="E432" s="1" t="s">
        <v>46</v>
      </c>
      <c r="F432" s="1" t="s">
        <v>38</v>
      </c>
      <c r="G432" s="1" t="s">
        <v>30</v>
      </c>
      <c r="H432" s="1" t="s">
        <v>35</v>
      </c>
      <c r="I432" s="1" t="s">
        <v>49</v>
      </c>
      <c r="J432" s="1" t="s">
        <v>51</v>
      </c>
      <c r="K432" s="1" t="s">
        <v>28</v>
      </c>
      <c r="L432" s="1">
        <v>6</v>
      </c>
      <c r="M432" s="1">
        <v>2247.37</v>
      </c>
      <c r="N432" s="1">
        <v>15</v>
      </c>
      <c r="O432" s="1">
        <v>11461.59</v>
      </c>
      <c r="P432" s="1">
        <f t="shared" si="30"/>
        <v>13484.22</v>
      </c>
      <c r="Q432" s="10">
        <f t="shared" si="31"/>
        <v>1719.2384999999999</v>
      </c>
      <c r="R432" s="11">
        <f t="shared" si="32"/>
        <v>11764.9815</v>
      </c>
      <c r="S432" s="1" t="str">
        <f t="shared" si="33"/>
        <v>High</v>
      </c>
      <c r="T432" s="1" t="str" cm="1">
        <f t="array" ref="T432">_xlfn.IFS(L432&gt;5,"High",L432=5,"mediam",L432&lt;5,"low")</f>
        <v>High</v>
      </c>
      <c r="U432" s="1" t="str">
        <f t="shared" si="34"/>
        <v>High</v>
      </c>
    </row>
    <row r="433" spans="1:21" x14ac:dyDescent="0.3">
      <c r="A433" s="5">
        <v>10432</v>
      </c>
      <c r="B433" s="1">
        <v>1459</v>
      </c>
      <c r="C433" s="2">
        <v>45142</v>
      </c>
      <c r="D433" s="2">
        <v>45148</v>
      </c>
      <c r="E433" s="1" t="s">
        <v>46</v>
      </c>
      <c r="F433" s="1" t="s">
        <v>41</v>
      </c>
      <c r="G433" s="1" t="s">
        <v>30</v>
      </c>
      <c r="H433" s="1" t="s">
        <v>18</v>
      </c>
      <c r="I433" s="1" t="s">
        <v>26</v>
      </c>
      <c r="J433" s="1" t="s">
        <v>61</v>
      </c>
      <c r="K433" s="1" t="s">
        <v>47</v>
      </c>
      <c r="L433" s="1">
        <v>9</v>
      </c>
      <c r="M433" s="1">
        <v>672.4</v>
      </c>
      <c r="N433" s="1">
        <v>10</v>
      </c>
      <c r="O433" s="1">
        <v>5446.44</v>
      </c>
      <c r="P433" s="1">
        <f t="shared" si="30"/>
        <v>6051.5999999999995</v>
      </c>
      <c r="Q433" s="10">
        <f t="shared" si="31"/>
        <v>544.64400000000001</v>
      </c>
      <c r="R433" s="11">
        <f t="shared" si="32"/>
        <v>5506.9559999999992</v>
      </c>
      <c r="S433" s="1" t="str">
        <f t="shared" si="33"/>
        <v>High</v>
      </c>
      <c r="T433" s="1" t="str" cm="1">
        <f t="array" ref="T433">_xlfn.IFS(L433&gt;5,"High",L433=5,"mediam",L433&lt;5,"low")</f>
        <v>High</v>
      </c>
      <c r="U433" s="1" t="str">
        <f t="shared" si="34"/>
        <v>High</v>
      </c>
    </row>
    <row r="434" spans="1:21" x14ac:dyDescent="0.3">
      <c r="A434" s="5">
        <v>10433</v>
      </c>
      <c r="B434" s="1">
        <v>1954</v>
      </c>
      <c r="C434" s="2">
        <v>45152</v>
      </c>
      <c r="D434" s="2">
        <v>45159</v>
      </c>
      <c r="E434" s="1" t="s">
        <v>15</v>
      </c>
      <c r="F434" s="1" t="s">
        <v>54</v>
      </c>
      <c r="G434" s="1" t="s">
        <v>17</v>
      </c>
      <c r="H434" s="1" t="s">
        <v>18</v>
      </c>
      <c r="I434" s="1" t="s">
        <v>49</v>
      </c>
      <c r="J434" s="1" t="s">
        <v>51</v>
      </c>
      <c r="K434" s="1" t="s">
        <v>33</v>
      </c>
      <c r="L434" s="1">
        <v>4</v>
      </c>
      <c r="M434" s="1">
        <v>3590.5</v>
      </c>
      <c r="N434" s="1">
        <v>0</v>
      </c>
      <c r="O434" s="1">
        <v>14362</v>
      </c>
      <c r="P434" s="1">
        <f t="shared" si="30"/>
        <v>14362</v>
      </c>
      <c r="Q434" s="10">
        <f t="shared" si="31"/>
        <v>0</v>
      </c>
      <c r="R434" s="11">
        <f t="shared" si="32"/>
        <v>14362</v>
      </c>
      <c r="S434" s="1" t="str">
        <f t="shared" si="33"/>
        <v>Low</v>
      </c>
      <c r="T434" s="1" t="str" cm="1">
        <f t="array" ref="T434">_xlfn.IFS(L434&gt;5,"High",L434=5,"mediam",L434&lt;5,"low")</f>
        <v>low</v>
      </c>
      <c r="U434" s="1" t="b">
        <f t="shared" si="34"/>
        <v>0</v>
      </c>
    </row>
    <row r="435" spans="1:21" x14ac:dyDescent="0.3">
      <c r="A435" s="5">
        <v>10434</v>
      </c>
      <c r="B435" s="1">
        <v>1882</v>
      </c>
      <c r="C435" s="2">
        <v>45057</v>
      </c>
      <c r="D435" s="2">
        <v>45062</v>
      </c>
      <c r="E435" s="1" t="s">
        <v>46</v>
      </c>
      <c r="F435" s="1" t="s">
        <v>54</v>
      </c>
      <c r="G435" s="1" t="s">
        <v>24</v>
      </c>
      <c r="H435" s="1" t="s">
        <v>25</v>
      </c>
      <c r="I435" s="1" t="s">
        <v>19</v>
      </c>
      <c r="J435" s="1" t="s">
        <v>20</v>
      </c>
      <c r="K435" s="1" t="s">
        <v>45</v>
      </c>
      <c r="L435" s="1">
        <v>8</v>
      </c>
      <c r="M435" s="1">
        <v>437.36</v>
      </c>
      <c r="N435" s="1">
        <v>20</v>
      </c>
      <c r="O435" s="1">
        <v>2799.1</v>
      </c>
      <c r="P435" s="1">
        <f t="shared" si="30"/>
        <v>3498.88</v>
      </c>
      <c r="Q435" s="10">
        <f t="shared" si="31"/>
        <v>559.82000000000005</v>
      </c>
      <c r="R435" s="11">
        <f t="shared" si="32"/>
        <v>2939.06</v>
      </c>
      <c r="S435" s="1" t="str">
        <f t="shared" si="33"/>
        <v>High</v>
      </c>
      <c r="T435" s="1" t="str" cm="1">
        <f t="array" ref="T435">_xlfn.IFS(L435&gt;5,"High",L435=5,"mediam",L435&lt;5,"low")</f>
        <v>High</v>
      </c>
      <c r="U435" s="1" t="str">
        <f t="shared" si="34"/>
        <v>High</v>
      </c>
    </row>
    <row r="436" spans="1:21" x14ac:dyDescent="0.3">
      <c r="A436" s="5">
        <v>10435</v>
      </c>
      <c r="B436" s="1">
        <v>1469</v>
      </c>
      <c r="C436" s="2">
        <v>45002</v>
      </c>
      <c r="D436" s="2">
        <v>45009</v>
      </c>
      <c r="E436" s="1" t="s">
        <v>15</v>
      </c>
      <c r="F436" s="1" t="s">
        <v>29</v>
      </c>
      <c r="G436" s="1" t="s">
        <v>24</v>
      </c>
      <c r="H436" s="1" t="s">
        <v>44</v>
      </c>
      <c r="I436" s="1" t="s">
        <v>52</v>
      </c>
      <c r="J436" s="1" t="s">
        <v>56</v>
      </c>
      <c r="K436" s="1" t="s">
        <v>21</v>
      </c>
      <c r="L436" s="1">
        <v>3</v>
      </c>
      <c r="M436" s="1">
        <v>3644.78</v>
      </c>
      <c r="N436" s="1">
        <v>0</v>
      </c>
      <c r="O436" s="1">
        <v>10934.34</v>
      </c>
      <c r="P436" s="1">
        <f t="shared" si="30"/>
        <v>10934.34</v>
      </c>
      <c r="Q436" s="10">
        <f t="shared" si="31"/>
        <v>0</v>
      </c>
      <c r="R436" s="11">
        <f t="shared" si="32"/>
        <v>10934.34</v>
      </c>
      <c r="S436" s="1" t="str">
        <f t="shared" si="33"/>
        <v>Low</v>
      </c>
      <c r="T436" s="1" t="str" cm="1">
        <f t="array" ref="T436">_xlfn.IFS(L436&gt;5,"High",L436=5,"mediam",L436&lt;5,"low")</f>
        <v>low</v>
      </c>
      <c r="U436" s="1" t="b">
        <f t="shared" si="34"/>
        <v>0</v>
      </c>
    </row>
    <row r="437" spans="1:21" x14ac:dyDescent="0.3">
      <c r="A437" s="5">
        <v>10436</v>
      </c>
      <c r="B437" s="1">
        <v>1374</v>
      </c>
      <c r="C437" s="2">
        <v>45212</v>
      </c>
      <c r="D437" s="2">
        <v>45213</v>
      </c>
      <c r="E437" s="1" t="s">
        <v>15</v>
      </c>
      <c r="F437" s="1" t="s">
        <v>23</v>
      </c>
      <c r="G437" s="1" t="s">
        <v>30</v>
      </c>
      <c r="H437" s="1" t="s">
        <v>18</v>
      </c>
      <c r="I437" s="1" t="s">
        <v>52</v>
      </c>
      <c r="J437" s="1" t="s">
        <v>60</v>
      </c>
      <c r="K437" s="1" t="s">
        <v>21</v>
      </c>
      <c r="L437" s="1">
        <v>3</v>
      </c>
      <c r="M437" s="1">
        <v>3986.78</v>
      </c>
      <c r="N437" s="1">
        <v>20</v>
      </c>
      <c r="O437" s="1">
        <v>9568.27</v>
      </c>
      <c r="P437" s="1">
        <f t="shared" si="30"/>
        <v>11960.34</v>
      </c>
      <c r="Q437" s="10">
        <f t="shared" si="31"/>
        <v>1913.6540000000002</v>
      </c>
      <c r="R437" s="11">
        <f t="shared" si="32"/>
        <v>10046.686</v>
      </c>
      <c r="S437" s="1" t="str">
        <f t="shared" si="33"/>
        <v>Low</v>
      </c>
      <c r="T437" s="1" t="str" cm="1">
        <f t="array" ref="T437">_xlfn.IFS(L437&gt;5,"High",L437=5,"mediam",L437&lt;5,"low")</f>
        <v>low</v>
      </c>
      <c r="U437" s="1" t="b">
        <f t="shared" si="34"/>
        <v>0</v>
      </c>
    </row>
    <row r="438" spans="1:21" x14ac:dyDescent="0.3">
      <c r="A438" s="5">
        <v>10437</v>
      </c>
      <c r="B438" s="1">
        <v>1021</v>
      </c>
      <c r="C438" s="2">
        <v>45203</v>
      </c>
      <c r="D438" s="2">
        <v>45204</v>
      </c>
      <c r="E438" s="1" t="s">
        <v>22</v>
      </c>
      <c r="F438" s="1" t="s">
        <v>38</v>
      </c>
      <c r="G438" s="1" t="s">
        <v>30</v>
      </c>
      <c r="H438" s="1" t="s">
        <v>35</v>
      </c>
      <c r="I438" s="1" t="s">
        <v>57</v>
      </c>
      <c r="J438" s="1" t="s">
        <v>62</v>
      </c>
      <c r="K438" s="1" t="s">
        <v>21</v>
      </c>
      <c r="L438" s="1">
        <v>8</v>
      </c>
      <c r="M438" s="1">
        <v>2846.66</v>
      </c>
      <c r="N438" s="1">
        <v>15</v>
      </c>
      <c r="O438" s="1">
        <v>19357.29</v>
      </c>
      <c r="P438" s="1">
        <f t="shared" si="30"/>
        <v>22773.279999999999</v>
      </c>
      <c r="Q438" s="10">
        <f t="shared" si="31"/>
        <v>2903.5934999999999</v>
      </c>
      <c r="R438" s="11">
        <f t="shared" si="32"/>
        <v>19869.6865</v>
      </c>
      <c r="S438" s="1" t="str">
        <f t="shared" si="33"/>
        <v>High</v>
      </c>
      <c r="T438" s="1" t="str" cm="1">
        <f t="array" ref="T438">_xlfn.IFS(L438&gt;5,"High",L438=5,"mediam",L438&lt;5,"low")</f>
        <v>High</v>
      </c>
      <c r="U438" s="1" t="str">
        <f t="shared" si="34"/>
        <v>High</v>
      </c>
    </row>
    <row r="439" spans="1:21" x14ac:dyDescent="0.3">
      <c r="A439" s="5">
        <v>10438</v>
      </c>
      <c r="B439" s="1">
        <v>1749</v>
      </c>
      <c r="C439" s="2">
        <v>45082</v>
      </c>
      <c r="D439" s="2">
        <v>45091</v>
      </c>
      <c r="E439" s="1" t="s">
        <v>46</v>
      </c>
      <c r="F439" s="1" t="s">
        <v>23</v>
      </c>
      <c r="G439" s="1" t="s">
        <v>30</v>
      </c>
      <c r="H439" s="1" t="s">
        <v>18</v>
      </c>
      <c r="I439" s="1" t="s">
        <v>26</v>
      </c>
      <c r="J439" s="1" t="s">
        <v>61</v>
      </c>
      <c r="K439" s="1" t="s">
        <v>47</v>
      </c>
      <c r="L439" s="1">
        <v>5</v>
      </c>
      <c r="M439" s="1">
        <v>3116.22</v>
      </c>
      <c r="N439" s="1">
        <v>10</v>
      </c>
      <c r="O439" s="1">
        <v>14022.99</v>
      </c>
      <c r="P439" s="1">
        <f t="shared" si="30"/>
        <v>15581.099999999999</v>
      </c>
      <c r="Q439" s="10">
        <f t="shared" si="31"/>
        <v>1402.299</v>
      </c>
      <c r="R439" s="11">
        <f t="shared" si="32"/>
        <v>14178.800999999999</v>
      </c>
      <c r="S439" s="1" t="str">
        <f t="shared" si="33"/>
        <v>High</v>
      </c>
      <c r="T439" s="1" t="str" cm="1">
        <f t="array" ref="T439">_xlfn.IFS(L439&gt;5,"High",L439=5,"mediam",L439&lt;5,"low")</f>
        <v>mediam</v>
      </c>
      <c r="U439" s="1" t="b">
        <f t="shared" si="34"/>
        <v>0</v>
      </c>
    </row>
    <row r="440" spans="1:21" x14ac:dyDescent="0.3">
      <c r="A440" s="5">
        <v>10439</v>
      </c>
      <c r="B440" s="1">
        <v>1669</v>
      </c>
      <c r="C440" s="2">
        <v>45174</v>
      </c>
      <c r="D440" s="2">
        <v>45179</v>
      </c>
      <c r="E440" s="1" t="s">
        <v>34</v>
      </c>
      <c r="F440" s="1" t="s">
        <v>29</v>
      </c>
      <c r="G440" s="1" t="s">
        <v>24</v>
      </c>
      <c r="H440" s="1" t="s">
        <v>35</v>
      </c>
      <c r="I440" s="1" t="s">
        <v>49</v>
      </c>
      <c r="J440" s="1" t="s">
        <v>51</v>
      </c>
      <c r="K440" s="1" t="s">
        <v>28</v>
      </c>
      <c r="L440" s="1">
        <v>3</v>
      </c>
      <c r="M440" s="1">
        <v>1448.62</v>
      </c>
      <c r="N440" s="1">
        <v>10</v>
      </c>
      <c r="O440" s="1">
        <v>3911.27</v>
      </c>
      <c r="P440" s="1">
        <f t="shared" si="30"/>
        <v>4345.8599999999997</v>
      </c>
      <c r="Q440" s="10">
        <f t="shared" si="31"/>
        <v>391.12700000000001</v>
      </c>
      <c r="R440" s="11">
        <f t="shared" si="32"/>
        <v>3954.7329999999997</v>
      </c>
      <c r="S440" s="1" t="str">
        <f t="shared" si="33"/>
        <v>Low</v>
      </c>
      <c r="T440" s="1" t="str" cm="1">
        <f t="array" ref="T440">_xlfn.IFS(L440&gt;5,"High",L440=5,"mediam",L440&lt;5,"low")</f>
        <v>low</v>
      </c>
      <c r="U440" s="1" t="b">
        <f t="shared" si="34"/>
        <v>0</v>
      </c>
    </row>
    <row r="441" spans="1:21" x14ac:dyDescent="0.3">
      <c r="A441" s="5">
        <v>10440</v>
      </c>
      <c r="B441" s="1">
        <v>1037</v>
      </c>
      <c r="C441" s="2">
        <v>45144</v>
      </c>
      <c r="D441" s="2">
        <v>45149</v>
      </c>
      <c r="E441" s="1" t="s">
        <v>37</v>
      </c>
      <c r="F441" s="1" t="s">
        <v>54</v>
      </c>
      <c r="G441" s="1" t="s">
        <v>17</v>
      </c>
      <c r="H441" s="1" t="s">
        <v>42</v>
      </c>
      <c r="I441" s="1" t="s">
        <v>49</v>
      </c>
      <c r="J441" s="1" t="s">
        <v>50</v>
      </c>
      <c r="K441" s="1" t="s">
        <v>33</v>
      </c>
      <c r="L441" s="1">
        <v>1</v>
      </c>
      <c r="M441" s="1">
        <v>3775.07</v>
      </c>
      <c r="N441" s="1">
        <v>10</v>
      </c>
      <c r="O441" s="1">
        <v>3397.56</v>
      </c>
      <c r="P441" s="1">
        <f t="shared" si="30"/>
        <v>3775.07</v>
      </c>
      <c r="Q441" s="10">
        <f t="shared" si="31"/>
        <v>339.75600000000003</v>
      </c>
      <c r="R441" s="11">
        <f t="shared" si="32"/>
        <v>3435.3140000000003</v>
      </c>
      <c r="S441" s="1" t="str">
        <f t="shared" si="33"/>
        <v>Low</v>
      </c>
      <c r="T441" s="1" t="str" cm="1">
        <f t="array" ref="T441">_xlfn.IFS(L441&gt;5,"High",L441=5,"mediam",L441&lt;5,"low")</f>
        <v>low</v>
      </c>
      <c r="U441" s="1" t="b">
        <f t="shared" si="34"/>
        <v>0</v>
      </c>
    </row>
    <row r="442" spans="1:21" x14ac:dyDescent="0.3">
      <c r="A442" s="5">
        <v>10441</v>
      </c>
      <c r="B442" s="1">
        <v>1229</v>
      </c>
      <c r="C442" s="2">
        <v>45116</v>
      </c>
      <c r="D442" s="2">
        <v>45119</v>
      </c>
      <c r="E442" s="1" t="s">
        <v>16</v>
      </c>
      <c r="F442" s="1" t="s">
        <v>23</v>
      </c>
      <c r="G442" s="1" t="s">
        <v>17</v>
      </c>
      <c r="H442" s="1" t="s">
        <v>42</v>
      </c>
      <c r="I442" s="1" t="s">
        <v>31</v>
      </c>
      <c r="J442" s="1" t="s">
        <v>65</v>
      </c>
      <c r="K442" s="1" t="s">
        <v>45</v>
      </c>
      <c r="L442" s="1">
        <v>3</v>
      </c>
      <c r="M442" s="1">
        <v>2189.4</v>
      </c>
      <c r="N442" s="1">
        <v>20</v>
      </c>
      <c r="O442" s="1">
        <v>5254.56</v>
      </c>
      <c r="P442" s="1">
        <f t="shared" si="30"/>
        <v>6568.2000000000007</v>
      </c>
      <c r="Q442" s="10">
        <f t="shared" si="31"/>
        <v>1050.912</v>
      </c>
      <c r="R442" s="11">
        <f t="shared" si="32"/>
        <v>5517.2880000000005</v>
      </c>
      <c r="S442" s="1" t="str">
        <f t="shared" si="33"/>
        <v>Low</v>
      </c>
      <c r="T442" s="1" t="str" cm="1">
        <f t="array" ref="T442">_xlfn.IFS(L442&gt;5,"High",L442=5,"mediam",L442&lt;5,"low")</f>
        <v>low</v>
      </c>
      <c r="U442" s="1" t="b">
        <f t="shared" si="34"/>
        <v>0</v>
      </c>
    </row>
    <row r="443" spans="1:21" x14ac:dyDescent="0.3">
      <c r="A443" s="5">
        <v>10442</v>
      </c>
      <c r="B443" s="1">
        <v>1364</v>
      </c>
      <c r="C443" s="2">
        <v>45089</v>
      </c>
      <c r="D443" s="2">
        <v>45094</v>
      </c>
      <c r="E443" s="1" t="s">
        <v>15</v>
      </c>
      <c r="F443" s="1" t="s">
        <v>23</v>
      </c>
      <c r="G443" s="1" t="s">
        <v>24</v>
      </c>
      <c r="H443" s="1" t="s">
        <v>35</v>
      </c>
      <c r="I443" s="1" t="s">
        <v>57</v>
      </c>
      <c r="J443" s="1" t="s">
        <v>58</v>
      </c>
      <c r="K443" s="1" t="s">
        <v>45</v>
      </c>
      <c r="L443" s="1">
        <v>9</v>
      </c>
      <c r="M443" s="1">
        <v>2969.7</v>
      </c>
      <c r="N443" s="1">
        <v>10</v>
      </c>
      <c r="O443" s="1">
        <v>24054.57</v>
      </c>
      <c r="P443" s="1">
        <f t="shared" si="30"/>
        <v>26727.3</v>
      </c>
      <c r="Q443" s="10">
        <f t="shared" si="31"/>
        <v>2405.4569999999999</v>
      </c>
      <c r="R443" s="11">
        <f t="shared" si="32"/>
        <v>24321.843000000001</v>
      </c>
      <c r="S443" s="1" t="str">
        <f t="shared" si="33"/>
        <v>High</v>
      </c>
      <c r="T443" s="1" t="str" cm="1">
        <f t="array" ref="T443">_xlfn.IFS(L443&gt;5,"High",L443=5,"mediam",L443&lt;5,"low")</f>
        <v>High</v>
      </c>
      <c r="U443" s="1" t="str">
        <f t="shared" si="34"/>
        <v>High</v>
      </c>
    </row>
    <row r="444" spans="1:21" x14ac:dyDescent="0.3">
      <c r="A444" s="5">
        <v>10443</v>
      </c>
      <c r="B444" s="1">
        <v>1562</v>
      </c>
      <c r="C444" s="2">
        <v>45106</v>
      </c>
      <c r="D444" s="2">
        <v>45109</v>
      </c>
      <c r="E444" s="1" t="s">
        <v>40</v>
      </c>
      <c r="F444" s="1" t="s">
        <v>54</v>
      </c>
      <c r="G444" s="1" t="s">
        <v>17</v>
      </c>
      <c r="H444" s="1" t="s">
        <v>44</v>
      </c>
      <c r="I444" s="1" t="s">
        <v>31</v>
      </c>
      <c r="J444" s="1" t="s">
        <v>65</v>
      </c>
      <c r="K444" s="1" t="s">
        <v>47</v>
      </c>
      <c r="L444" s="1">
        <v>5</v>
      </c>
      <c r="M444" s="1">
        <v>3707.81</v>
      </c>
      <c r="N444" s="1">
        <v>0</v>
      </c>
      <c r="O444" s="1">
        <v>18539.05</v>
      </c>
      <c r="P444" s="1">
        <f t="shared" si="30"/>
        <v>18539.05</v>
      </c>
      <c r="Q444" s="10">
        <f t="shared" si="31"/>
        <v>0</v>
      </c>
      <c r="R444" s="11">
        <f t="shared" si="32"/>
        <v>18539.05</v>
      </c>
      <c r="S444" s="1" t="str">
        <f t="shared" si="33"/>
        <v>High</v>
      </c>
      <c r="T444" s="1" t="str" cm="1">
        <f t="array" ref="T444">_xlfn.IFS(L444&gt;5,"High",L444=5,"mediam",L444&lt;5,"low")</f>
        <v>mediam</v>
      </c>
      <c r="U444" s="1" t="b">
        <f t="shared" si="34"/>
        <v>0</v>
      </c>
    </row>
    <row r="445" spans="1:21" x14ac:dyDescent="0.3">
      <c r="A445" s="5">
        <v>10444</v>
      </c>
      <c r="B445" s="1">
        <v>1437</v>
      </c>
      <c r="C445" s="2">
        <v>44960</v>
      </c>
      <c r="D445" s="2">
        <v>44969</v>
      </c>
      <c r="E445" s="1" t="s">
        <v>40</v>
      </c>
      <c r="F445" s="1" t="s">
        <v>38</v>
      </c>
      <c r="G445" s="1" t="s">
        <v>30</v>
      </c>
      <c r="H445" s="1" t="s">
        <v>18</v>
      </c>
      <c r="I445" s="1" t="s">
        <v>31</v>
      </c>
      <c r="J445" s="1" t="s">
        <v>32</v>
      </c>
      <c r="K445" s="1" t="s">
        <v>21</v>
      </c>
      <c r="L445" s="1">
        <v>2</v>
      </c>
      <c r="M445" s="1">
        <v>3904.44</v>
      </c>
      <c r="N445" s="1">
        <v>10</v>
      </c>
      <c r="O445" s="1">
        <v>7027.99</v>
      </c>
      <c r="P445" s="1">
        <f t="shared" si="30"/>
        <v>7808.88</v>
      </c>
      <c r="Q445" s="10">
        <f t="shared" si="31"/>
        <v>702.79899999999998</v>
      </c>
      <c r="R445" s="11">
        <f t="shared" si="32"/>
        <v>7106.0810000000001</v>
      </c>
      <c r="S445" s="1" t="str">
        <f t="shared" si="33"/>
        <v>Low</v>
      </c>
      <c r="T445" s="1" t="str" cm="1">
        <f t="array" ref="T445">_xlfn.IFS(L445&gt;5,"High",L445=5,"mediam",L445&lt;5,"low")</f>
        <v>low</v>
      </c>
      <c r="U445" s="1" t="b">
        <f t="shared" si="34"/>
        <v>0</v>
      </c>
    </row>
    <row r="446" spans="1:21" x14ac:dyDescent="0.3">
      <c r="A446" s="5">
        <v>10445</v>
      </c>
      <c r="B446" s="1">
        <v>1775</v>
      </c>
      <c r="C446" s="2">
        <v>44967</v>
      </c>
      <c r="D446" s="2">
        <v>44976</v>
      </c>
      <c r="E446" s="1" t="s">
        <v>37</v>
      </c>
      <c r="F446" s="1" t="s">
        <v>54</v>
      </c>
      <c r="G446" s="1" t="s">
        <v>17</v>
      </c>
      <c r="H446" s="1" t="s">
        <v>18</v>
      </c>
      <c r="I446" s="1" t="s">
        <v>31</v>
      </c>
      <c r="J446" s="1" t="s">
        <v>48</v>
      </c>
      <c r="K446" s="1" t="s">
        <v>47</v>
      </c>
      <c r="L446" s="1">
        <v>7</v>
      </c>
      <c r="M446" s="1">
        <v>3357.84</v>
      </c>
      <c r="N446" s="1">
        <v>15</v>
      </c>
      <c r="O446" s="1">
        <v>19979.150000000001</v>
      </c>
      <c r="P446" s="1">
        <f t="shared" si="30"/>
        <v>23504.880000000001</v>
      </c>
      <c r="Q446" s="10">
        <f t="shared" si="31"/>
        <v>2996.8724999999999</v>
      </c>
      <c r="R446" s="11">
        <f t="shared" si="32"/>
        <v>20508.0075</v>
      </c>
      <c r="S446" s="1" t="str">
        <f t="shared" si="33"/>
        <v>High</v>
      </c>
      <c r="T446" s="1" t="str" cm="1">
        <f t="array" ref="T446">_xlfn.IFS(L446&gt;5,"High",L446=5,"mediam",L446&lt;5,"low")</f>
        <v>High</v>
      </c>
      <c r="U446" s="1" t="str">
        <f t="shared" si="34"/>
        <v>High</v>
      </c>
    </row>
    <row r="447" spans="1:21" x14ac:dyDescent="0.3">
      <c r="A447" s="5">
        <v>10446</v>
      </c>
      <c r="B447" s="1">
        <v>1282</v>
      </c>
      <c r="C447" s="2">
        <v>45233</v>
      </c>
      <c r="D447" s="2">
        <v>45239</v>
      </c>
      <c r="E447" s="1" t="s">
        <v>40</v>
      </c>
      <c r="F447" s="1" t="s">
        <v>23</v>
      </c>
      <c r="G447" s="1" t="s">
        <v>17</v>
      </c>
      <c r="H447" s="1" t="s">
        <v>42</v>
      </c>
      <c r="I447" s="1" t="s">
        <v>26</v>
      </c>
      <c r="J447" s="1" t="s">
        <v>27</v>
      </c>
      <c r="K447" s="1" t="s">
        <v>28</v>
      </c>
      <c r="L447" s="1">
        <v>2</v>
      </c>
      <c r="M447" s="1">
        <v>1316.62</v>
      </c>
      <c r="N447" s="1">
        <v>0</v>
      </c>
      <c r="O447" s="1">
        <v>2633.24</v>
      </c>
      <c r="P447" s="1">
        <f t="shared" si="30"/>
        <v>2633.24</v>
      </c>
      <c r="Q447" s="10">
        <f t="shared" si="31"/>
        <v>0</v>
      </c>
      <c r="R447" s="11">
        <f t="shared" si="32"/>
        <v>2633.24</v>
      </c>
      <c r="S447" s="1" t="str">
        <f t="shared" si="33"/>
        <v>Low</v>
      </c>
      <c r="T447" s="1" t="str" cm="1">
        <f t="array" ref="T447">_xlfn.IFS(L447&gt;5,"High",L447=5,"mediam",L447&lt;5,"low")</f>
        <v>low</v>
      </c>
      <c r="U447" s="1" t="b">
        <f t="shared" si="34"/>
        <v>0</v>
      </c>
    </row>
    <row r="448" spans="1:21" x14ac:dyDescent="0.3">
      <c r="A448" s="5">
        <v>10447</v>
      </c>
      <c r="B448" s="1">
        <v>1026</v>
      </c>
      <c r="C448" s="2">
        <v>45264</v>
      </c>
      <c r="D448" s="2">
        <v>45265</v>
      </c>
      <c r="E448" s="1" t="s">
        <v>34</v>
      </c>
      <c r="F448" s="1" t="s">
        <v>38</v>
      </c>
      <c r="G448" s="1" t="s">
        <v>17</v>
      </c>
      <c r="H448" s="1" t="s">
        <v>35</v>
      </c>
      <c r="I448" s="1" t="s">
        <v>26</v>
      </c>
      <c r="J448" s="1" t="s">
        <v>69</v>
      </c>
      <c r="K448" s="1" t="s">
        <v>28</v>
      </c>
      <c r="L448" s="1">
        <v>4</v>
      </c>
      <c r="M448" s="1">
        <v>3871.21</v>
      </c>
      <c r="N448" s="1">
        <v>10</v>
      </c>
      <c r="O448" s="1">
        <v>13936.36</v>
      </c>
      <c r="P448" s="1">
        <f t="shared" si="30"/>
        <v>15484.84</v>
      </c>
      <c r="Q448" s="10">
        <f t="shared" si="31"/>
        <v>1393.6360000000002</v>
      </c>
      <c r="R448" s="11">
        <f t="shared" si="32"/>
        <v>14091.204</v>
      </c>
      <c r="S448" s="1" t="str">
        <f t="shared" si="33"/>
        <v>Low</v>
      </c>
      <c r="T448" s="1" t="str" cm="1">
        <f t="array" ref="T448">_xlfn.IFS(L448&gt;5,"High",L448=5,"mediam",L448&lt;5,"low")</f>
        <v>low</v>
      </c>
      <c r="U448" s="1" t="b">
        <f t="shared" si="34"/>
        <v>0</v>
      </c>
    </row>
    <row r="449" spans="1:21" x14ac:dyDescent="0.3">
      <c r="A449" s="5">
        <v>10448</v>
      </c>
      <c r="B449" s="1">
        <v>1225</v>
      </c>
      <c r="C449" s="2">
        <v>45240</v>
      </c>
      <c r="D449" s="2">
        <v>45247</v>
      </c>
      <c r="E449" s="1" t="s">
        <v>40</v>
      </c>
      <c r="F449" s="1" t="s">
        <v>38</v>
      </c>
      <c r="G449" s="1" t="s">
        <v>30</v>
      </c>
      <c r="H449" s="1" t="s">
        <v>18</v>
      </c>
      <c r="I449" s="1" t="s">
        <v>19</v>
      </c>
      <c r="J449" s="1" t="s">
        <v>20</v>
      </c>
      <c r="K449" s="1" t="s">
        <v>33</v>
      </c>
      <c r="L449" s="1">
        <v>7</v>
      </c>
      <c r="M449" s="1">
        <v>2568.2600000000002</v>
      </c>
      <c r="N449" s="1">
        <v>10</v>
      </c>
      <c r="O449" s="1">
        <v>16180.04</v>
      </c>
      <c r="P449" s="1">
        <f t="shared" si="30"/>
        <v>17977.82</v>
      </c>
      <c r="Q449" s="10">
        <f t="shared" si="31"/>
        <v>1618.0040000000001</v>
      </c>
      <c r="R449" s="11">
        <f t="shared" si="32"/>
        <v>16359.815999999999</v>
      </c>
      <c r="S449" s="1" t="str">
        <f t="shared" si="33"/>
        <v>High</v>
      </c>
      <c r="T449" s="1" t="str" cm="1">
        <f t="array" ref="T449">_xlfn.IFS(L449&gt;5,"High",L449=5,"mediam",L449&lt;5,"low")</f>
        <v>High</v>
      </c>
      <c r="U449" s="1" t="str">
        <f t="shared" si="34"/>
        <v>High</v>
      </c>
    </row>
    <row r="450" spans="1:21" x14ac:dyDescent="0.3">
      <c r="A450" s="5">
        <v>10449</v>
      </c>
      <c r="B450" s="1">
        <v>1276</v>
      </c>
      <c r="C450" s="2">
        <v>45001</v>
      </c>
      <c r="D450" s="2">
        <v>45008</v>
      </c>
      <c r="E450" s="1" t="s">
        <v>16</v>
      </c>
      <c r="F450" s="1" t="s">
        <v>54</v>
      </c>
      <c r="G450" s="1" t="s">
        <v>24</v>
      </c>
      <c r="H450" s="1" t="s">
        <v>18</v>
      </c>
      <c r="I450" s="1" t="s">
        <v>19</v>
      </c>
      <c r="J450" s="1" t="s">
        <v>66</v>
      </c>
      <c r="K450" s="1" t="s">
        <v>33</v>
      </c>
      <c r="L450" s="1">
        <v>4</v>
      </c>
      <c r="M450" s="1">
        <v>3732.97</v>
      </c>
      <c r="N450" s="1">
        <v>5</v>
      </c>
      <c r="O450" s="1">
        <v>14185.29</v>
      </c>
      <c r="P450" s="1">
        <f t="shared" si="30"/>
        <v>14931.88</v>
      </c>
      <c r="Q450" s="10">
        <f t="shared" si="31"/>
        <v>709.26450000000011</v>
      </c>
      <c r="R450" s="11">
        <f t="shared" si="32"/>
        <v>14222.6155</v>
      </c>
      <c r="S450" s="1" t="str">
        <f t="shared" si="33"/>
        <v>Low</v>
      </c>
      <c r="T450" s="1" t="str" cm="1">
        <f t="array" ref="T450">_xlfn.IFS(L450&gt;5,"High",L450=5,"mediam",L450&lt;5,"low")</f>
        <v>low</v>
      </c>
      <c r="U450" s="1" t="b">
        <f t="shared" si="34"/>
        <v>0</v>
      </c>
    </row>
    <row r="451" spans="1:21" x14ac:dyDescent="0.3">
      <c r="A451" s="5">
        <v>10450</v>
      </c>
      <c r="B451" s="1">
        <v>1797</v>
      </c>
      <c r="C451" s="2">
        <v>45205</v>
      </c>
      <c r="D451" s="2">
        <v>45209</v>
      </c>
      <c r="E451" s="1" t="s">
        <v>16</v>
      </c>
      <c r="F451" s="1" t="s">
        <v>23</v>
      </c>
      <c r="G451" s="1" t="s">
        <v>30</v>
      </c>
      <c r="H451" s="1" t="s">
        <v>44</v>
      </c>
      <c r="I451" s="1" t="s">
        <v>31</v>
      </c>
      <c r="J451" s="1" t="s">
        <v>32</v>
      </c>
      <c r="K451" s="1" t="s">
        <v>28</v>
      </c>
      <c r="L451" s="1">
        <v>7</v>
      </c>
      <c r="M451" s="1">
        <v>2753</v>
      </c>
      <c r="N451" s="1">
        <v>20</v>
      </c>
      <c r="O451" s="1">
        <v>15416.8</v>
      </c>
      <c r="P451" s="1">
        <f t="shared" ref="P451:P500" si="35">L451*M451</f>
        <v>19271</v>
      </c>
      <c r="Q451" s="10">
        <f t="shared" ref="Q451:Q501" si="36">O451*N451%</f>
        <v>3083.36</v>
      </c>
      <c r="R451" s="11">
        <f t="shared" ref="R451:R501" si="37">P451-Q451</f>
        <v>16187.64</v>
      </c>
      <c r="S451" s="1" t="str">
        <f t="shared" ref="S451:S501" si="38">IF(L451&gt;=5,"High","Low")</f>
        <v>High</v>
      </c>
      <c r="T451" s="1" t="str" cm="1">
        <f t="array" ref="T451">_xlfn.IFS(L451&gt;5,"High",L451=5,"mediam",L451&lt;5,"low")</f>
        <v>High</v>
      </c>
      <c r="U451" s="1" t="str">
        <f t="shared" ref="U451:U501" si="39">IF(L451&gt;5,"High",IF(L451="Mediam","Low"))</f>
        <v>High</v>
      </c>
    </row>
    <row r="452" spans="1:21" x14ac:dyDescent="0.3">
      <c r="A452" s="5">
        <v>10451</v>
      </c>
      <c r="B452" s="1">
        <v>1608</v>
      </c>
      <c r="C452" s="2">
        <v>45102</v>
      </c>
      <c r="D452" s="2">
        <v>45110</v>
      </c>
      <c r="E452" s="1" t="s">
        <v>15</v>
      </c>
      <c r="F452" s="1" t="s">
        <v>29</v>
      </c>
      <c r="G452" s="1" t="s">
        <v>24</v>
      </c>
      <c r="H452" s="1" t="s">
        <v>25</v>
      </c>
      <c r="I452" s="1" t="s">
        <v>57</v>
      </c>
      <c r="J452" s="1" t="s">
        <v>59</v>
      </c>
      <c r="K452" s="1" t="s">
        <v>28</v>
      </c>
      <c r="L452" s="1">
        <v>7</v>
      </c>
      <c r="M452" s="1">
        <v>1332.87</v>
      </c>
      <c r="N452" s="1">
        <v>0</v>
      </c>
      <c r="O452" s="1">
        <v>9330.09</v>
      </c>
      <c r="P452" s="1">
        <f t="shared" si="35"/>
        <v>9330.09</v>
      </c>
      <c r="Q452" s="10">
        <f t="shared" si="36"/>
        <v>0</v>
      </c>
      <c r="R452" s="11">
        <f t="shared" si="37"/>
        <v>9330.09</v>
      </c>
      <c r="S452" s="1" t="str">
        <f t="shared" si="38"/>
        <v>High</v>
      </c>
      <c r="T452" s="1" t="str" cm="1">
        <f t="array" ref="T452">_xlfn.IFS(L452&gt;5,"High",L452=5,"mediam",L452&lt;5,"low")</f>
        <v>High</v>
      </c>
      <c r="U452" s="1" t="str">
        <f t="shared" si="39"/>
        <v>High</v>
      </c>
    </row>
    <row r="453" spans="1:21" x14ac:dyDescent="0.3">
      <c r="A453" s="5">
        <v>10452</v>
      </c>
      <c r="B453" s="1">
        <v>1283</v>
      </c>
      <c r="C453" s="2">
        <v>45076</v>
      </c>
      <c r="D453" s="2">
        <v>45082</v>
      </c>
      <c r="E453" s="1" t="s">
        <v>46</v>
      </c>
      <c r="F453" s="1" t="s">
        <v>23</v>
      </c>
      <c r="G453" s="1" t="s">
        <v>24</v>
      </c>
      <c r="H453" s="1" t="s">
        <v>42</v>
      </c>
      <c r="I453" s="1" t="s">
        <v>49</v>
      </c>
      <c r="J453" s="1" t="s">
        <v>68</v>
      </c>
      <c r="K453" s="1" t="s">
        <v>28</v>
      </c>
      <c r="L453" s="1">
        <v>1</v>
      </c>
      <c r="M453" s="1">
        <v>1574.59</v>
      </c>
      <c r="N453" s="1">
        <v>5</v>
      </c>
      <c r="O453" s="1">
        <v>1495.86</v>
      </c>
      <c r="P453" s="1">
        <f t="shared" si="35"/>
        <v>1574.59</v>
      </c>
      <c r="Q453" s="10">
        <f t="shared" si="36"/>
        <v>74.792999999999992</v>
      </c>
      <c r="R453" s="11">
        <f t="shared" si="37"/>
        <v>1499.797</v>
      </c>
      <c r="S453" s="1" t="str">
        <f t="shared" si="38"/>
        <v>Low</v>
      </c>
      <c r="T453" s="1" t="str" cm="1">
        <f t="array" ref="T453">_xlfn.IFS(L453&gt;5,"High",L453=5,"mediam",L453&lt;5,"low")</f>
        <v>low</v>
      </c>
      <c r="U453" s="1" t="b">
        <f t="shared" si="39"/>
        <v>0</v>
      </c>
    </row>
    <row r="454" spans="1:21" x14ac:dyDescent="0.3">
      <c r="A454" s="5">
        <v>10453</v>
      </c>
      <c r="B454" s="1">
        <v>1878</v>
      </c>
      <c r="C454" s="2">
        <v>45199</v>
      </c>
      <c r="D454" s="2">
        <v>45203</v>
      </c>
      <c r="E454" s="1" t="s">
        <v>22</v>
      </c>
      <c r="F454" s="1" t="s">
        <v>16</v>
      </c>
      <c r="G454" s="1" t="s">
        <v>24</v>
      </c>
      <c r="H454" s="1" t="s">
        <v>42</v>
      </c>
      <c r="I454" s="1" t="s">
        <v>26</v>
      </c>
      <c r="J454" s="1" t="s">
        <v>27</v>
      </c>
      <c r="K454" s="1" t="s">
        <v>47</v>
      </c>
      <c r="L454" s="1">
        <v>6</v>
      </c>
      <c r="M454" s="1">
        <v>2269.3200000000002</v>
      </c>
      <c r="N454" s="1">
        <v>15</v>
      </c>
      <c r="O454" s="1">
        <v>11573.53</v>
      </c>
      <c r="P454" s="1">
        <f t="shared" si="35"/>
        <v>13615.920000000002</v>
      </c>
      <c r="Q454" s="10">
        <f t="shared" si="36"/>
        <v>1736.0295000000001</v>
      </c>
      <c r="R454" s="11">
        <f t="shared" si="37"/>
        <v>11879.890500000001</v>
      </c>
      <c r="S454" s="1" t="str">
        <f t="shared" si="38"/>
        <v>High</v>
      </c>
      <c r="T454" s="1" t="str" cm="1">
        <f t="array" ref="T454">_xlfn.IFS(L454&gt;5,"High",L454=5,"mediam",L454&lt;5,"low")</f>
        <v>High</v>
      </c>
      <c r="U454" s="1" t="str">
        <f t="shared" si="39"/>
        <v>High</v>
      </c>
    </row>
    <row r="455" spans="1:21" x14ac:dyDescent="0.3">
      <c r="A455" s="5">
        <v>10454</v>
      </c>
      <c r="B455" s="1">
        <v>1959</v>
      </c>
      <c r="C455" s="2">
        <v>45251</v>
      </c>
      <c r="D455" s="2">
        <v>45255</v>
      </c>
      <c r="E455" s="1" t="s">
        <v>34</v>
      </c>
      <c r="F455" s="1" t="s">
        <v>41</v>
      </c>
      <c r="G455" s="1" t="s">
        <v>17</v>
      </c>
      <c r="H455" s="1" t="s">
        <v>25</v>
      </c>
      <c r="I455" s="1" t="s">
        <v>57</v>
      </c>
      <c r="J455" s="1" t="s">
        <v>58</v>
      </c>
      <c r="K455" s="1" t="s">
        <v>28</v>
      </c>
      <c r="L455" s="1">
        <v>9</v>
      </c>
      <c r="M455" s="1">
        <v>3191.56</v>
      </c>
      <c r="N455" s="1">
        <v>20</v>
      </c>
      <c r="O455" s="1">
        <v>22979.23</v>
      </c>
      <c r="P455" s="1">
        <f t="shared" si="35"/>
        <v>28724.04</v>
      </c>
      <c r="Q455" s="10">
        <f t="shared" si="36"/>
        <v>4595.8460000000005</v>
      </c>
      <c r="R455" s="11">
        <f t="shared" si="37"/>
        <v>24128.194</v>
      </c>
      <c r="S455" s="1" t="str">
        <f t="shared" si="38"/>
        <v>High</v>
      </c>
      <c r="T455" s="1" t="str" cm="1">
        <f t="array" ref="T455">_xlfn.IFS(L455&gt;5,"High",L455=5,"mediam",L455&lt;5,"low")</f>
        <v>High</v>
      </c>
      <c r="U455" s="1" t="str">
        <f t="shared" si="39"/>
        <v>High</v>
      </c>
    </row>
    <row r="456" spans="1:21" x14ac:dyDescent="0.3">
      <c r="A456" s="5">
        <v>10455</v>
      </c>
      <c r="B456" s="1">
        <v>1480</v>
      </c>
      <c r="C456" s="2">
        <v>45034</v>
      </c>
      <c r="D456" s="2">
        <v>45036</v>
      </c>
      <c r="E456" s="1" t="s">
        <v>15</v>
      </c>
      <c r="F456" s="1" t="s">
        <v>29</v>
      </c>
      <c r="G456" s="1" t="s">
        <v>17</v>
      </c>
      <c r="H456" s="1" t="s">
        <v>18</v>
      </c>
      <c r="I456" s="1" t="s">
        <v>52</v>
      </c>
      <c r="J456" s="1" t="s">
        <v>64</v>
      </c>
      <c r="K456" s="1" t="s">
        <v>45</v>
      </c>
      <c r="L456" s="1">
        <v>2</v>
      </c>
      <c r="M456" s="1">
        <v>1374.23</v>
      </c>
      <c r="N456" s="1">
        <v>0</v>
      </c>
      <c r="O456" s="1">
        <v>2748.46</v>
      </c>
      <c r="P456" s="1">
        <f t="shared" si="35"/>
        <v>2748.46</v>
      </c>
      <c r="Q456" s="10">
        <f t="shared" si="36"/>
        <v>0</v>
      </c>
      <c r="R456" s="11">
        <f t="shared" si="37"/>
        <v>2748.46</v>
      </c>
      <c r="S456" s="1" t="str">
        <f t="shared" si="38"/>
        <v>Low</v>
      </c>
      <c r="T456" s="1" t="str" cm="1">
        <f t="array" ref="T456">_xlfn.IFS(L456&gt;5,"High",L456=5,"mediam",L456&lt;5,"low")</f>
        <v>low</v>
      </c>
      <c r="U456" s="1" t="b">
        <f t="shared" si="39"/>
        <v>0</v>
      </c>
    </row>
    <row r="457" spans="1:21" x14ac:dyDescent="0.3">
      <c r="A457" s="5">
        <v>10456</v>
      </c>
      <c r="B457" s="1">
        <v>1452</v>
      </c>
      <c r="C457" s="2">
        <v>45065</v>
      </c>
      <c r="D457" s="2">
        <v>45067</v>
      </c>
      <c r="E457" s="1" t="s">
        <v>34</v>
      </c>
      <c r="F457" s="1" t="s">
        <v>38</v>
      </c>
      <c r="G457" s="1" t="s">
        <v>24</v>
      </c>
      <c r="H457" s="1" t="s">
        <v>44</v>
      </c>
      <c r="I457" s="1" t="s">
        <v>26</v>
      </c>
      <c r="J457" s="1" t="s">
        <v>27</v>
      </c>
      <c r="K457" s="1" t="s">
        <v>21</v>
      </c>
      <c r="L457" s="1">
        <v>3</v>
      </c>
      <c r="M457" s="1">
        <v>2381.96</v>
      </c>
      <c r="N457" s="1">
        <v>10</v>
      </c>
      <c r="O457" s="1">
        <v>6431.29</v>
      </c>
      <c r="P457" s="1">
        <f t="shared" si="35"/>
        <v>7145.88</v>
      </c>
      <c r="Q457" s="10">
        <f t="shared" si="36"/>
        <v>643.12900000000002</v>
      </c>
      <c r="R457" s="11">
        <f t="shared" si="37"/>
        <v>6502.7510000000002</v>
      </c>
      <c r="S457" s="1" t="str">
        <f t="shared" si="38"/>
        <v>Low</v>
      </c>
      <c r="T457" s="1" t="str" cm="1">
        <f t="array" ref="T457">_xlfn.IFS(L457&gt;5,"High",L457=5,"mediam",L457&lt;5,"low")</f>
        <v>low</v>
      </c>
      <c r="U457" s="1" t="b">
        <f t="shared" si="39"/>
        <v>0</v>
      </c>
    </row>
    <row r="458" spans="1:21" x14ac:dyDescent="0.3">
      <c r="A458" s="5">
        <v>10457</v>
      </c>
      <c r="B458" s="1">
        <v>1828</v>
      </c>
      <c r="C458" s="2">
        <v>45276</v>
      </c>
      <c r="D458" s="2">
        <v>45280</v>
      </c>
      <c r="E458" s="1" t="s">
        <v>46</v>
      </c>
      <c r="F458" s="1" t="s">
        <v>29</v>
      </c>
      <c r="G458" s="1" t="s">
        <v>24</v>
      </c>
      <c r="H458" s="1" t="s">
        <v>44</v>
      </c>
      <c r="I458" s="1" t="s">
        <v>26</v>
      </c>
      <c r="J458" s="1" t="s">
        <v>27</v>
      </c>
      <c r="K458" s="1" t="s">
        <v>28</v>
      </c>
      <c r="L458" s="1">
        <v>5</v>
      </c>
      <c r="M458" s="1">
        <v>1480.66</v>
      </c>
      <c r="N458" s="1">
        <v>0</v>
      </c>
      <c r="O458" s="1">
        <v>7403.3</v>
      </c>
      <c r="P458" s="1">
        <f t="shared" si="35"/>
        <v>7403.3</v>
      </c>
      <c r="Q458" s="10">
        <f t="shared" si="36"/>
        <v>0</v>
      </c>
      <c r="R458" s="11">
        <f t="shared" si="37"/>
        <v>7403.3</v>
      </c>
      <c r="S458" s="1" t="str">
        <f t="shared" si="38"/>
        <v>High</v>
      </c>
      <c r="T458" s="1" t="str" cm="1">
        <f t="array" ref="T458">_xlfn.IFS(L458&gt;5,"High",L458=5,"mediam",L458&lt;5,"low")</f>
        <v>mediam</v>
      </c>
      <c r="U458" s="1" t="b">
        <f t="shared" si="39"/>
        <v>0</v>
      </c>
    </row>
    <row r="459" spans="1:21" x14ac:dyDescent="0.3">
      <c r="A459" s="5">
        <v>10458</v>
      </c>
      <c r="B459" s="1">
        <v>1815</v>
      </c>
      <c r="C459" s="2">
        <v>45197</v>
      </c>
      <c r="D459" s="2">
        <v>45202</v>
      </c>
      <c r="E459" s="1" t="s">
        <v>40</v>
      </c>
      <c r="F459" s="1" t="s">
        <v>38</v>
      </c>
      <c r="G459" s="1" t="s">
        <v>17</v>
      </c>
      <c r="H459" s="1" t="s">
        <v>42</v>
      </c>
      <c r="I459" s="1" t="s">
        <v>19</v>
      </c>
      <c r="J459" s="1" t="s">
        <v>55</v>
      </c>
      <c r="K459" s="1" t="s">
        <v>21</v>
      </c>
      <c r="L459" s="1">
        <v>9</v>
      </c>
      <c r="M459" s="1">
        <v>3290.71</v>
      </c>
      <c r="N459" s="1">
        <v>10</v>
      </c>
      <c r="O459" s="1">
        <v>26654.75</v>
      </c>
      <c r="P459" s="1">
        <f t="shared" si="35"/>
        <v>29616.39</v>
      </c>
      <c r="Q459" s="10">
        <f t="shared" si="36"/>
        <v>2665.4750000000004</v>
      </c>
      <c r="R459" s="11">
        <f t="shared" si="37"/>
        <v>26950.915000000001</v>
      </c>
      <c r="S459" s="1" t="str">
        <f t="shared" si="38"/>
        <v>High</v>
      </c>
      <c r="T459" s="1" t="str" cm="1">
        <f t="array" ref="T459">_xlfn.IFS(L459&gt;5,"High",L459=5,"mediam",L459&lt;5,"low")</f>
        <v>High</v>
      </c>
      <c r="U459" s="1" t="str">
        <f t="shared" si="39"/>
        <v>High</v>
      </c>
    </row>
    <row r="460" spans="1:21" x14ac:dyDescent="0.3">
      <c r="A460" s="5">
        <v>10459</v>
      </c>
      <c r="B460" s="1">
        <v>1658</v>
      </c>
      <c r="C460" s="2">
        <v>45273</v>
      </c>
      <c r="D460" s="2">
        <v>45281</v>
      </c>
      <c r="E460" s="1" t="s">
        <v>40</v>
      </c>
      <c r="F460" s="1" t="s">
        <v>38</v>
      </c>
      <c r="G460" s="1" t="s">
        <v>30</v>
      </c>
      <c r="H460" s="1" t="s">
        <v>44</v>
      </c>
      <c r="I460" s="1" t="s">
        <v>49</v>
      </c>
      <c r="J460" s="1" t="s">
        <v>63</v>
      </c>
      <c r="K460" s="1" t="s">
        <v>47</v>
      </c>
      <c r="L460" s="1">
        <v>4</v>
      </c>
      <c r="M460" s="1">
        <v>1946.9</v>
      </c>
      <c r="N460" s="1">
        <v>20</v>
      </c>
      <c r="O460" s="1">
        <v>6230.08</v>
      </c>
      <c r="P460" s="1">
        <f t="shared" si="35"/>
        <v>7787.6</v>
      </c>
      <c r="Q460" s="10">
        <f t="shared" si="36"/>
        <v>1246.0160000000001</v>
      </c>
      <c r="R460" s="11">
        <f t="shared" si="37"/>
        <v>6541.5840000000007</v>
      </c>
      <c r="S460" s="1" t="str">
        <f t="shared" si="38"/>
        <v>Low</v>
      </c>
      <c r="T460" s="1" t="str" cm="1">
        <f t="array" ref="T460">_xlfn.IFS(L460&gt;5,"High",L460=5,"mediam",L460&lt;5,"low")</f>
        <v>low</v>
      </c>
      <c r="U460" s="1" t="b">
        <f t="shared" si="39"/>
        <v>0</v>
      </c>
    </row>
    <row r="461" spans="1:21" x14ac:dyDescent="0.3">
      <c r="A461" s="5">
        <v>10460</v>
      </c>
      <c r="B461" s="1">
        <v>1515</v>
      </c>
      <c r="C461" s="2">
        <v>45215</v>
      </c>
      <c r="D461" s="2">
        <v>45221</v>
      </c>
      <c r="E461" s="1" t="s">
        <v>22</v>
      </c>
      <c r="F461" s="1" t="s">
        <v>29</v>
      </c>
      <c r="G461" s="1" t="s">
        <v>24</v>
      </c>
      <c r="H461" s="1" t="s">
        <v>25</v>
      </c>
      <c r="I461" s="1" t="s">
        <v>49</v>
      </c>
      <c r="J461" s="1" t="s">
        <v>50</v>
      </c>
      <c r="K461" s="1" t="s">
        <v>21</v>
      </c>
      <c r="L461" s="1">
        <v>1</v>
      </c>
      <c r="M461" s="1">
        <v>445.38</v>
      </c>
      <c r="N461" s="1">
        <v>10</v>
      </c>
      <c r="O461" s="1">
        <v>400.84</v>
      </c>
      <c r="P461" s="1">
        <f t="shared" si="35"/>
        <v>445.38</v>
      </c>
      <c r="Q461" s="10">
        <f t="shared" si="36"/>
        <v>40.084000000000003</v>
      </c>
      <c r="R461" s="11">
        <f t="shared" si="37"/>
        <v>405.29599999999999</v>
      </c>
      <c r="S461" s="1" t="str">
        <f t="shared" si="38"/>
        <v>Low</v>
      </c>
      <c r="T461" s="1" t="str" cm="1">
        <f t="array" ref="T461">_xlfn.IFS(L461&gt;5,"High",L461=5,"mediam",L461&lt;5,"low")</f>
        <v>low</v>
      </c>
      <c r="U461" s="1" t="b">
        <f t="shared" si="39"/>
        <v>0</v>
      </c>
    </row>
    <row r="462" spans="1:21" x14ac:dyDescent="0.3">
      <c r="A462" s="5">
        <v>10461</v>
      </c>
      <c r="B462" s="1">
        <v>1546</v>
      </c>
      <c r="C462" s="2">
        <v>45138</v>
      </c>
      <c r="D462" s="2">
        <v>45142</v>
      </c>
      <c r="E462" s="1" t="s">
        <v>46</v>
      </c>
      <c r="F462" s="1" t="s">
        <v>38</v>
      </c>
      <c r="G462" s="1" t="s">
        <v>30</v>
      </c>
      <c r="H462" s="1" t="s">
        <v>18</v>
      </c>
      <c r="I462" s="1" t="s">
        <v>52</v>
      </c>
      <c r="J462" s="1" t="s">
        <v>64</v>
      </c>
      <c r="K462" s="1" t="s">
        <v>47</v>
      </c>
      <c r="L462" s="1">
        <v>4</v>
      </c>
      <c r="M462" s="1">
        <v>789.3</v>
      </c>
      <c r="N462" s="1">
        <v>15</v>
      </c>
      <c r="O462" s="1">
        <v>2683.62</v>
      </c>
      <c r="P462" s="1">
        <f t="shared" si="35"/>
        <v>3157.2</v>
      </c>
      <c r="Q462" s="10">
        <f t="shared" si="36"/>
        <v>402.54299999999995</v>
      </c>
      <c r="R462" s="11">
        <f t="shared" si="37"/>
        <v>2754.6569999999997</v>
      </c>
      <c r="S462" s="1" t="str">
        <f t="shared" si="38"/>
        <v>Low</v>
      </c>
      <c r="T462" s="1" t="str" cm="1">
        <f t="array" ref="T462">_xlfn.IFS(L462&gt;5,"High",L462=5,"mediam",L462&lt;5,"low")</f>
        <v>low</v>
      </c>
      <c r="U462" s="1" t="b">
        <f t="shared" si="39"/>
        <v>0</v>
      </c>
    </row>
    <row r="463" spans="1:21" x14ac:dyDescent="0.3">
      <c r="A463" s="5">
        <v>10462</v>
      </c>
      <c r="B463" s="1">
        <v>1191</v>
      </c>
      <c r="C463" s="2">
        <v>45198</v>
      </c>
      <c r="D463" s="2">
        <v>45205</v>
      </c>
      <c r="E463" s="1" t="s">
        <v>15</v>
      </c>
      <c r="F463" s="1" t="s">
        <v>38</v>
      </c>
      <c r="G463" s="1" t="s">
        <v>17</v>
      </c>
      <c r="H463" s="1" t="s">
        <v>25</v>
      </c>
      <c r="I463" s="1" t="s">
        <v>52</v>
      </c>
      <c r="J463" s="1" t="s">
        <v>64</v>
      </c>
      <c r="K463" s="1" t="s">
        <v>45</v>
      </c>
      <c r="L463" s="1">
        <v>6</v>
      </c>
      <c r="M463" s="1">
        <v>385.25</v>
      </c>
      <c r="N463" s="1">
        <v>10</v>
      </c>
      <c r="O463" s="1">
        <v>2080.35</v>
      </c>
      <c r="P463" s="1">
        <f t="shared" si="35"/>
        <v>2311.5</v>
      </c>
      <c r="Q463" s="10">
        <f t="shared" si="36"/>
        <v>208.035</v>
      </c>
      <c r="R463" s="11">
        <f t="shared" si="37"/>
        <v>2103.4650000000001</v>
      </c>
      <c r="S463" s="1" t="str">
        <f t="shared" si="38"/>
        <v>High</v>
      </c>
      <c r="T463" s="1" t="str" cm="1">
        <f t="array" ref="T463">_xlfn.IFS(L463&gt;5,"High",L463=5,"mediam",L463&lt;5,"low")</f>
        <v>High</v>
      </c>
      <c r="U463" s="1" t="str">
        <f t="shared" si="39"/>
        <v>High</v>
      </c>
    </row>
    <row r="464" spans="1:21" x14ac:dyDescent="0.3">
      <c r="A464" s="5">
        <v>10463</v>
      </c>
      <c r="B464" s="1">
        <v>1048</v>
      </c>
      <c r="C464" s="2">
        <v>44992</v>
      </c>
      <c r="D464" s="2">
        <v>45000</v>
      </c>
      <c r="E464" s="1" t="s">
        <v>22</v>
      </c>
      <c r="F464" s="1" t="s">
        <v>16</v>
      </c>
      <c r="G464" s="1" t="s">
        <v>24</v>
      </c>
      <c r="H464" s="1" t="s">
        <v>35</v>
      </c>
      <c r="I464" s="1" t="s">
        <v>26</v>
      </c>
      <c r="J464" s="1" t="s">
        <v>36</v>
      </c>
      <c r="K464" s="1" t="s">
        <v>47</v>
      </c>
      <c r="L464" s="1">
        <v>5</v>
      </c>
      <c r="M464" s="1">
        <v>2072.3200000000002</v>
      </c>
      <c r="N464" s="1">
        <v>15</v>
      </c>
      <c r="O464" s="1">
        <v>8807.36</v>
      </c>
      <c r="P464" s="1">
        <f t="shared" si="35"/>
        <v>10361.6</v>
      </c>
      <c r="Q464" s="10">
        <f t="shared" si="36"/>
        <v>1321.104</v>
      </c>
      <c r="R464" s="11">
        <f t="shared" si="37"/>
        <v>9040.496000000001</v>
      </c>
      <c r="S464" s="1" t="str">
        <f t="shared" si="38"/>
        <v>High</v>
      </c>
      <c r="T464" s="1" t="str" cm="1">
        <f t="array" ref="T464">_xlfn.IFS(L464&gt;5,"High",L464=5,"mediam",L464&lt;5,"low")</f>
        <v>mediam</v>
      </c>
      <c r="U464" s="1" t="b">
        <f t="shared" si="39"/>
        <v>0</v>
      </c>
    </row>
    <row r="465" spans="1:21" x14ac:dyDescent="0.3">
      <c r="A465" s="5">
        <v>10464</v>
      </c>
      <c r="B465" s="1">
        <v>1511</v>
      </c>
      <c r="C465" s="2">
        <v>45174</v>
      </c>
      <c r="D465" s="2">
        <v>45176</v>
      </c>
      <c r="E465" s="1" t="s">
        <v>46</v>
      </c>
      <c r="F465" s="1" t="s">
        <v>23</v>
      </c>
      <c r="G465" s="1" t="s">
        <v>30</v>
      </c>
      <c r="H465" s="1" t="s">
        <v>42</v>
      </c>
      <c r="I465" s="1" t="s">
        <v>31</v>
      </c>
      <c r="J465" s="1" t="s">
        <v>65</v>
      </c>
      <c r="K465" s="1" t="s">
        <v>47</v>
      </c>
      <c r="L465" s="1">
        <v>1</v>
      </c>
      <c r="M465" s="1">
        <v>559.4</v>
      </c>
      <c r="N465" s="1">
        <v>20</v>
      </c>
      <c r="O465" s="1">
        <v>447.52</v>
      </c>
      <c r="P465" s="1">
        <f t="shared" si="35"/>
        <v>559.4</v>
      </c>
      <c r="Q465" s="10">
        <f t="shared" si="36"/>
        <v>89.504000000000005</v>
      </c>
      <c r="R465" s="11">
        <f t="shared" si="37"/>
        <v>469.89599999999996</v>
      </c>
      <c r="S465" s="1" t="str">
        <f t="shared" si="38"/>
        <v>Low</v>
      </c>
      <c r="T465" s="1" t="str" cm="1">
        <f t="array" ref="T465">_xlfn.IFS(L465&gt;5,"High",L465=5,"mediam",L465&lt;5,"low")</f>
        <v>low</v>
      </c>
      <c r="U465" s="1" t="b">
        <f t="shared" si="39"/>
        <v>0</v>
      </c>
    </row>
    <row r="466" spans="1:21" x14ac:dyDescent="0.3">
      <c r="A466" s="5">
        <v>10465</v>
      </c>
      <c r="B466" s="1">
        <v>1016</v>
      </c>
      <c r="C466" s="2">
        <v>45082</v>
      </c>
      <c r="D466" s="2">
        <v>45089</v>
      </c>
      <c r="E466" s="1" t="s">
        <v>37</v>
      </c>
      <c r="F466" s="1" t="s">
        <v>23</v>
      </c>
      <c r="G466" s="1" t="s">
        <v>30</v>
      </c>
      <c r="H466" s="1" t="s">
        <v>44</v>
      </c>
      <c r="I466" s="1" t="s">
        <v>19</v>
      </c>
      <c r="J466" s="1" t="s">
        <v>43</v>
      </c>
      <c r="K466" s="1" t="s">
        <v>33</v>
      </c>
      <c r="L466" s="1">
        <v>4</v>
      </c>
      <c r="M466" s="1">
        <v>589.44000000000005</v>
      </c>
      <c r="N466" s="1">
        <v>20</v>
      </c>
      <c r="O466" s="1">
        <v>1886.21</v>
      </c>
      <c r="P466" s="1">
        <f t="shared" si="35"/>
        <v>2357.7600000000002</v>
      </c>
      <c r="Q466" s="10">
        <f t="shared" si="36"/>
        <v>377.24200000000002</v>
      </c>
      <c r="R466" s="11">
        <f t="shared" si="37"/>
        <v>1980.5180000000003</v>
      </c>
      <c r="S466" s="1" t="str">
        <f t="shared" si="38"/>
        <v>Low</v>
      </c>
      <c r="T466" s="1" t="str" cm="1">
        <f t="array" ref="T466">_xlfn.IFS(L466&gt;5,"High",L466=5,"mediam",L466&lt;5,"low")</f>
        <v>low</v>
      </c>
      <c r="U466" s="1" t="b">
        <f t="shared" si="39"/>
        <v>0</v>
      </c>
    </row>
    <row r="467" spans="1:21" x14ac:dyDescent="0.3">
      <c r="A467" s="5">
        <v>10466</v>
      </c>
      <c r="B467" s="1">
        <v>1171</v>
      </c>
      <c r="C467" s="2">
        <v>44973</v>
      </c>
      <c r="D467" s="2">
        <v>44975</v>
      </c>
      <c r="E467" s="1" t="s">
        <v>16</v>
      </c>
      <c r="F467" s="1" t="s">
        <v>41</v>
      </c>
      <c r="G467" s="1" t="s">
        <v>30</v>
      </c>
      <c r="H467" s="1" t="s">
        <v>35</v>
      </c>
      <c r="I467" s="1" t="s">
        <v>19</v>
      </c>
      <c r="J467" s="1" t="s">
        <v>43</v>
      </c>
      <c r="K467" s="1" t="s">
        <v>28</v>
      </c>
      <c r="L467" s="1">
        <v>6</v>
      </c>
      <c r="M467" s="1">
        <v>3773.04</v>
      </c>
      <c r="N467" s="1">
        <v>0</v>
      </c>
      <c r="O467" s="1">
        <v>22638.240000000002</v>
      </c>
      <c r="P467" s="1">
        <f t="shared" si="35"/>
        <v>22638.239999999998</v>
      </c>
      <c r="Q467" s="10">
        <f t="shared" si="36"/>
        <v>0</v>
      </c>
      <c r="R467" s="11">
        <f t="shared" si="37"/>
        <v>22638.239999999998</v>
      </c>
      <c r="S467" s="1" t="str">
        <f t="shared" si="38"/>
        <v>High</v>
      </c>
      <c r="T467" s="1" t="str" cm="1">
        <f t="array" ref="T467">_xlfn.IFS(L467&gt;5,"High",L467=5,"mediam",L467&lt;5,"low")</f>
        <v>High</v>
      </c>
      <c r="U467" s="1" t="str">
        <f t="shared" si="39"/>
        <v>High</v>
      </c>
    </row>
    <row r="468" spans="1:21" x14ac:dyDescent="0.3">
      <c r="A468" s="5">
        <v>10467</v>
      </c>
      <c r="B468" s="1">
        <v>1219</v>
      </c>
      <c r="C468" s="2">
        <v>45127</v>
      </c>
      <c r="D468" s="2">
        <v>45129</v>
      </c>
      <c r="E468" s="1" t="s">
        <v>22</v>
      </c>
      <c r="F468" s="1" t="s">
        <v>41</v>
      </c>
      <c r="G468" s="1" t="s">
        <v>17</v>
      </c>
      <c r="H468" s="1" t="s">
        <v>44</v>
      </c>
      <c r="I468" s="1" t="s">
        <v>26</v>
      </c>
      <c r="J468" s="1" t="s">
        <v>69</v>
      </c>
      <c r="K468" s="1" t="s">
        <v>28</v>
      </c>
      <c r="L468" s="1">
        <v>4</v>
      </c>
      <c r="M468" s="1">
        <v>3509.72</v>
      </c>
      <c r="N468" s="1">
        <v>15</v>
      </c>
      <c r="O468" s="1">
        <v>11933.05</v>
      </c>
      <c r="P468" s="1">
        <f t="shared" si="35"/>
        <v>14038.88</v>
      </c>
      <c r="Q468" s="10">
        <f t="shared" si="36"/>
        <v>1789.9574999999998</v>
      </c>
      <c r="R468" s="11">
        <f t="shared" si="37"/>
        <v>12248.922499999999</v>
      </c>
      <c r="S468" s="1" t="str">
        <f t="shared" si="38"/>
        <v>Low</v>
      </c>
      <c r="T468" s="1" t="str" cm="1">
        <f t="array" ref="T468">_xlfn.IFS(L468&gt;5,"High",L468=5,"mediam",L468&lt;5,"low")</f>
        <v>low</v>
      </c>
      <c r="U468" s="1" t="b">
        <f t="shared" si="39"/>
        <v>0</v>
      </c>
    </row>
    <row r="469" spans="1:21" x14ac:dyDescent="0.3">
      <c r="A469" s="5">
        <v>10468</v>
      </c>
      <c r="B469" s="1">
        <v>1157</v>
      </c>
      <c r="C469" s="2">
        <v>45074</v>
      </c>
      <c r="D469" s="2">
        <v>45082</v>
      </c>
      <c r="E469" s="1" t="s">
        <v>22</v>
      </c>
      <c r="F469" s="1" t="s">
        <v>16</v>
      </c>
      <c r="G469" s="1" t="s">
        <v>17</v>
      </c>
      <c r="H469" s="1" t="s">
        <v>18</v>
      </c>
      <c r="I469" s="1" t="s">
        <v>57</v>
      </c>
      <c r="J469" s="1" t="s">
        <v>59</v>
      </c>
      <c r="K469" s="1" t="s">
        <v>45</v>
      </c>
      <c r="L469" s="1">
        <v>9</v>
      </c>
      <c r="M469" s="1">
        <v>1890.53</v>
      </c>
      <c r="N469" s="1">
        <v>15</v>
      </c>
      <c r="O469" s="1">
        <v>14462.55</v>
      </c>
      <c r="P469" s="1">
        <f t="shared" si="35"/>
        <v>17014.77</v>
      </c>
      <c r="Q469" s="10">
        <f t="shared" si="36"/>
        <v>2169.3824999999997</v>
      </c>
      <c r="R469" s="11">
        <f t="shared" si="37"/>
        <v>14845.387500000001</v>
      </c>
      <c r="S469" s="1" t="str">
        <f t="shared" si="38"/>
        <v>High</v>
      </c>
      <c r="T469" s="1" t="str" cm="1">
        <f t="array" ref="T469">_xlfn.IFS(L469&gt;5,"High",L469=5,"mediam",L469&lt;5,"low")</f>
        <v>High</v>
      </c>
      <c r="U469" s="1" t="str">
        <f t="shared" si="39"/>
        <v>High</v>
      </c>
    </row>
    <row r="470" spans="1:21" x14ac:dyDescent="0.3">
      <c r="A470" s="5">
        <v>10469</v>
      </c>
      <c r="B470" s="1">
        <v>1476</v>
      </c>
      <c r="C470" s="2">
        <v>45050</v>
      </c>
      <c r="D470" s="2">
        <v>45052</v>
      </c>
      <c r="E470" s="1" t="s">
        <v>15</v>
      </c>
      <c r="F470" s="1" t="s">
        <v>41</v>
      </c>
      <c r="G470" s="1" t="s">
        <v>30</v>
      </c>
      <c r="H470" s="1" t="s">
        <v>18</v>
      </c>
      <c r="I470" s="1" t="s">
        <v>31</v>
      </c>
      <c r="J470" s="1" t="s">
        <v>48</v>
      </c>
      <c r="K470" s="1" t="s">
        <v>45</v>
      </c>
      <c r="L470" s="1">
        <v>5</v>
      </c>
      <c r="M470" s="1">
        <v>3945.35</v>
      </c>
      <c r="N470" s="1">
        <v>5</v>
      </c>
      <c r="O470" s="1">
        <v>18740.41</v>
      </c>
      <c r="P470" s="1">
        <f t="shared" si="35"/>
        <v>19726.75</v>
      </c>
      <c r="Q470" s="10">
        <f t="shared" si="36"/>
        <v>937.02050000000008</v>
      </c>
      <c r="R470" s="11">
        <f t="shared" si="37"/>
        <v>18789.729500000001</v>
      </c>
      <c r="S470" s="1" t="str">
        <f t="shared" si="38"/>
        <v>High</v>
      </c>
      <c r="T470" s="1" t="str" cm="1">
        <f t="array" ref="T470">_xlfn.IFS(L470&gt;5,"High",L470=5,"mediam",L470&lt;5,"low")</f>
        <v>mediam</v>
      </c>
      <c r="U470" s="1" t="b">
        <f t="shared" si="39"/>
        <v>0</v>
      </c>
    </row>
    <row r="471" spans="1:21" x14ac:dyDescent="0.3">
      <c r="A471" s="5">
        <v>10470</v>
      </c>
      <c r="B471" s="1">
        <v>1045</v>
      </c>
      <c r="C471" s="2">
        <v>44927</v>
      </c>
      <c r="D471" s="2">
        <v>44936</v>
      </c>
      <c r="E471" s="1" t="s">
        <v>34</v>
      </c>
      <c r="F471" s="1" t="s">
        <v>29</v>
      </c>
      <c r="G471" s="1" t="s">
        <v>30</v>
      </c>
      <c r="H471" s="1" t="s">
        <v>18</v>
      </c>
      <c r="I471" s="1" t="s">
        <v>26</v>
      </c>
      <c r="J471" s="1" t="s">
        <v>36</v>
      </c>
      <c r="K471" s="1" t="s">
        <v>28</v>
      </c>
      <c r="L471" s="1">
        <v>8</v>
      </c>
      <c r="M471" s="1">
        <v>150.72</v>
      </c>
      <c r="N471" s="1">
        <v>5</v>
      </c>
      <c r="O471" s="1">
        <v>1145.47</v>
      </c>
      <c r="P471" s="1">
        <f t="shared" si="35"/>
        <v>1205.76</v>
      </c>
      <c r="Q471" s="10">
        <f t="shared" si="36"/>
        <v>57.273500000000006</v>
      </c>
      <c r="R471" s="11">
        <f t="shared" si="37"/>
        <v>1148.4865</v>
      </c>
      <c r="S471" s="1" t="str">
        <f t="shared" si="38"/>
        <v>High</v>
      </c>
      <c r="T471" s="1" t="str" cm="1">
        <f t="array" ref="T471">_xlfn.IFS(L471&gt;5,"High",L471=5,"mediam",L471&lt;5,"low")</f>
        <v>High</v>
      </c>
      <c r="U471" s="1" t="str">
        <f t="shared" si="39"/>
        <v>High</v>
      </c>
    </row>
    <row r="472" spans="1:21" x14ac:dyDescent="0.3">
      <c r="A472" s="5">
        <v>10471</v>
      </c>
      <c r="B472" s="1">
        <v>1372</v>
      </c>
      <c r="C472" s="2">
        <v>45173</v>
      </c>
      <c r="D472" s="2">
        <v>45174</v>
      </c>
      <c r="E472" s="1" t="s">
        <v>37</v>
      </c>
      <c r="F472" s="1" t="s">
        <v>54</v>
      </c>
      <c r="G472" s="1" t="s">
        <v>17</v>
      </c>
      <c r="H472" s="1" t="s">
        <v>44</v>
      </c>
      <c r="I472" s="1" t="s">
        <v>31</v>
      </c>
      <c r="J472" s="1" t="s">
        <v>48</v>
      </c>
      <c r="K472" s="1" t="s">
        <v>33</v>
      </c>
      <c r="L472" s="1">
        <v>9</v>
      </c>
      <c r="M472" s="1">
        <v>2513.8200000000002</v>
      </c>
      <c r="N472" s="1">
        <v>5</v>
      </c>
      <c r="O472" s="1">
        <v>21493.16</v>
      </c>
      <c r="P472" s="1">
        <f t="shared" si="35"/>
        <v>22624.38</v>
      </c>
      <c r="Q472" s="10">
        <f t="shared" si="36"/>
        <v>1074.6580000000001</v>
      </c>
      <c r="R472" s="11">
        <f t="shared" si="37"/>
        <v>21549.722000000002</v>
      </c>
      <c r="S472" s="1" t="str">
        <f t="shared" si="38"/>
        <v>High</v>
      </c>
      <c r="T472" s="1" t="str" cm="1">
        <f t="array" ref="T472">_xlfn.IFS(L472&gt;5,"High",L472=5,"mediam",L472&lt;5,"low")</f>
        <v>High</v>
      </c>
      <c r="U472" s="1" t="str">
        <f t="shared" si="39"/>
        <v>High</v>
      </c>
    </row>
    <row r="473" spans="1:21" x14ac:dyDescent="0.3">
      <c r="A473" s="5">
        <v>10472</v>
      </c>
      <c r="B473" s="1">
        <v>1517</v>
      </c>
      <c r="C473" s="2">
        <v>45269</v>
      </c>
      <c r="D473" s="2">
        <v>45278</v>
      </c>
      <c r="E473" s="1" t="s">
        <v>15</v>
      </c>
      <c r="F473" s="1" t="s">
        <v>54</v>
      </c>
      <c r="G473" s="1" t="s">
        <v>30</v>
      </c>
      <c r="H473" s="1" t="s">
        <v>35</v>
      </c>
      <c r="I473" s="1" t="s">
        <v>31</v>
      </c>
      <c r="J473" s="1" t="s">
        <v>48</v>
      </c>
      <c r="K473" s="1" t="s">
        <v>28</v>
      </c>
      <c r="L473" s="1">
        <v>5</v>
      </c>
      <c r="M473" s="1">
        <v>2523.25</v>
      </c>
      <c r="N473" s="1">
        <v>10</v>
      </c>
      <c r="O473" s="1">
        <v>11354.63</v>
      </c>
      <c r="P473" s="1">
        <f t="shared" si="35"/>
        <v>12616.25</v>
      </c>
      <c r="Q473" s="10">
        <f t="shared" si="36"/>
        <v>1135.463</v>
      </c>
      <c r="R473" s="11">
        <f t="shared" si="37"/>
        <v>11480.787</v>
      </c>
      <c r="S473" s="1" t="str">
        <f t="shared" si="38"/>
        <v>High</v>
      </c>
      <c r="T473" s="1" t="str" cm="1">
        <f t="array" ref="T473">_xlfn.IFS(L473&gt;5,"High",L473=5,"mediam",L473&lt;5,"low")</f>
        <v>mediam</v>
      </c>
      <c r="U473" s="1" t="b">
        <f t="shared" si="39"/>
        <v>0</v>
      </c>
    </row>
    <row r="474" spans="1:21" x14ac:dyDescent="0.3">
      <c r="A474" s="5">
        <v>10473</v>
      </c>
      <c r="B474" s="1">
        <v>1098</v>
      </c>
      <c r="C474" s="2">
        <v>45054</v>
      </c>
      <c r="D474" s="2">
        <v>45055</v>
      </c>
      <c r="E474" s="1" t="s">
        <v>46</v>
      </c>
      <c r="F474" s="1" t="s">
        <v>54</v>
      </c>
      <c r="G474" s="1" t="s">
        <v>30</v>
      </c>
      <c r="H474" s="1" t="s">
        <v>18</v>
      </c>
      <c r="I474" s="1" t="s">
        <v>31</v>
      </c>
      <c r="J474" s="1" t="s">
        <v>48</v>
      </c>
      <c r="K474" s="1" t="s">
        <v>33</v>
      </c>
      <c r="L474" s="1">
        <v>6</v>
      </c>
      <c r="M474" s="1">
        <v>1911.16</v>
      </c>
      <c r="N474" s="1">
        <v>5</v>
      </c>
      <c r="O474" s="1">
        <v>10893.61</v>
      </c>
      <c r="P474" s="1">
        <f t="shared" si="35"/>
        <v>11466.960000000001</v>
      </c>
      <c r="Q474" s="10">
        <f t="shared" si="36"/>
        <v>544.68050000000005</v>
      </c>
      <c r="R474" s="11">
        <f t="shared" si="37"/>
        <v>10922.279500000001</v>
      </c>
      <c r="S474" s="1" t="str">
        <f t="shared" si="38"/>
        <v>High</v>
      </c>
      <c r="T474" s="1" t="str" cm="1">
        <f t="array" ref="T474">_xlfn.IFS(L474&gt;5,"High",L474=5,"mediam",L474&lt;5,"low")</f>
        <v>High</v>
      </c>
      <c r="U474" s="1" t="str">
        <f t="shared" si="39"/>
        <v>High</v>
      </c>
    </row>
    <row r="475" spans="1:21" x14ac:dyDescent="0.3">
      <c r="A475" s="5">
        <v>10474</v>
      </c>
      <c r="B475" s="1">
        <v>1891</v>
      </c>
      <c r="C475" s="2">
        <v>45117</v>
      </c>
      <c r="D475" s="2">
        <v>45119</v>
      </c>
      <c r="E475" s="1" t="s">
        <v>46</v>
      </c>
      <c r="F475" s="1" t="s">
        <v>16</v>
      </c>
      <c r="G475" s="1" t="s">
        <v>17</v>
      </c>
      <c r="H475" s="1" t="s">
        <v>35</v>
      </c>
      <c r="I475" s="1" t="s">
        <v>26</v>
      </c>
      <c r="J475" s="1" t="s">
        <v>27</v>
      </c>
      <c r="K475" s="1" t="s">
        <v>45</v>
      </c>
      <c r="L475" s="1">
        <v>1</v>
      </c>
      <c r="M475" s="1">
        <v>1678.25</v>
      </c>
      <c r="N475" s="1">
        <v>15</v>
      </c>
      <c r="O475" s="1">
        <v>1426.51</v>
      </c>
      <c r="P475" s="1">
        <f t="shared" si="35"/>
        <v>1678.25</v>
      </c>
      <c r="Q475" s="10">
        <f t="shared" si="36"/>
        <v>213.97649999999999</v>
      </c>
      <c r="R475" s="11">
        <f t="shared" si="37"/>
        <v>1464.2735</v>
      </c>
      <c r="S475" s="1" t="str">
        <f t="shared" si="38"/>
        <v>Low</v>
      </c>
      <c r="T475" s="1" t="str" cm="1">
        <f t="array" ref="T475">_xlfn.IFS(L475&gt;5,"High",L475=5,"mediam",L475&lt;5,"low")</f>
        <v>low</v>
      </c>
      <c r="U475" s="1" t="b">
        <f t="shared" si="39"/>
        <v>0</v>
      </c>
    </row>
    <row r="476" spans="1:21" x14ac:dyDescent="0.3">
      <c r="A476" s="5">
        <v>10475</v>
      </c>
      <c r="B476" s="1">
        <v>1744</v>
      </c>
      <c r="C476" s="2">
        <v>44993</v>
      </c>
      <c r="D476" s="2">
        <v>44999</v>
      </c>
      <c r="E476" s="1" t="s">
        <v>46</v>
      </c>
      <c r="F476" s="1" t="s">
        <v>16</v>
      </c>
      <c r="G476" s="1" t="s">
        <v>30</v>
      </c>
      <c r="H476" s="1" t="s">
        <v>44</v>
      </c>
      <c r="I476" s="1" t="s">
        <v>19</v>
      </c>
      <c r="J476" s="1" t="s">
        <v>55</v>
      </c>
      <c r="K476" s="1" t="s">
        <v>21</v>
      </c>
      <c r="L476" s="1">
        <v>7</v>
      </c>
      <c r="M476" s="1">
        <v>1903.23</v>
      </c>
      <c r="N476" s="1">
        <v>10</v>
      </c>
      <c r="O476" s="1">
        <v>11990.35</v>
      </c>
      <c r="P476" s="1">
        <f t="shared" si="35"/>
        <v>13322.61</v>
      </c>
      <c r="Q476" s="10">
        <f t="shared" si="36"/>
        <v>1199.0350000000001</v>
      </c>
      <c r="R476" s="11">
        <f t="shared" si="37"/>
        <v>12123.575000000001</v>
      </c>
      <c r="S476" s="1" t="str">
        <f t="shared" si="38"/>
        <v>High</v>
      </c>
      <c r="T476" s="1" t="str" cm="1">
        <f t="array" ref="T476">_xlfn.IFS(L476&gt;5,"High",L476=5,"mediam",L476&lt;5,"low")</f>
        <v>High</v>
      </c>
      <c r="U476" s="1" t="str">
        <f t="shared" si="39"/>
        <v>High</v>
      </c>
    </row>
    <row r="477" spans="1:21" x14ac:dyDescent="0.3">
      <c r="A477" s="5">
        <v>10476</v>
      </c>
      <c r="B477" s="1">
        <v>1036</v>
      </c>
      <c r="C477" s="2">
        <v>44930</v>
      </c>
      <c r="D477" s="2">
        <v>44936</v>
      </c>
      <c r="E477" s="1" t="s">
        <v>46</v>
      </c>
      <c r="F477" s="1" t="s">
        <v>38</v>
      </c>
      <c r="G477" s="1" t="s">
        <v>30</v>
      </c>
      <c r="H477" s="1" t="s">
        <v>35</v>
      </c>
      <c r="I477" s="1" t="s">
        <v>19</v>
      </c>
      <c r="J477" s="1" t="s">
        <v>20</v>
      </c>
      <c r="K477" s="1" t="s">
        <v>45</v>
      </c>
      <c r="L477" s="1">
        <v>4</v>
      </c>
      <c r="M477" s="1">
        <v>1747.6</v>
      </c>
      <c r="N477" s="1">
        <v>20</v>
      </c>
      <c r="O477" s="1">
        <v>5592.32</v>
      </c>
      <c r="P477" s="1">
        <f t="shared" si="35"/>
        <v>6990.4</v>
      </c>
      <c r="Q477" s="10">
        <f t="shared" si="36"/>
        <v>1118.4639999999999</v>
      </c>
      <c r="R477" s="11">
        <f t="shared" si="37"/>
        <v>5871.9359999999997</v>
      </c>
      <c r="S477" s="1" t="str">
        <f t="shared" si="38"/>
        <v>Low</v>
      </c>
      <c r="T477" s="1" t="str" cm="1">
        <f t="array" ref="T477">_xlfn.IFS(L477&gt;5,"High",L477=5,"mediam",L477&lt;5,"low")</f>
        <v>low</v>
      </c>
      <c r="U477" s="1" t="b">
        <f t="shared" si="39"/>
        <v>0</v>
      </c>
    </row>
    <row r="478" spans="1:21" x14ac:dyDescent="0.3">
      <c r="A478" s="5">
        <v>10477</v>
      </c>
      <c r="B478" s="1">
        <v>1279</v>
      </c>
      <c r="C478" s="2">
        <v>45229</v>
      </c>
      <c r="D478" s="2">
        <v>45230</v>
      </c>
      <c r="E478" s="1" t="s">
        <v>34</v>
      </c>
      <c r="F478" s="1" t="s">
        <v>54</v>
      </c>
      <c r="G478" s="1" t="s">
        <v>30</v>
      </c>
      <c r="H478" s="1" t="s">
        <v>44</v>
      </c>
      <c r="I478" s="1" t="s">
        <v>31</v>
      </c>
      <c r="J478" s="1" t="s">
        <v>48</v>
      </c>
      <c r="K478" s="1" t="s">
        <v>45</v>
      </c>
      <c r="L478" s="1">
        <v>2</v>
      </c>
      <c r="M478" s="1">
        <v>2962.4</v>
      </c>
      <c r="N478" s="1">
        <v>0</v>
      </c>
      <c r="O478" s="1">
        <v>5924.8</v>
      </c>
      <c r="P478" s="1">
        <f t="shared" si="35"/>
        <v>5924.8</v>
      </c>
      <c r="Q478" s="10">
        <f t="shared" si="36"/>
        <v>0</v>
      </c>
      <c r="R478" s="11">
        <f t="shared" si="37"/>
        <v>5924.8</v>
      </c>
      <c r="S478" s="1" t="str">
        <f t="shared" si="38"/>
        <v>Low</v>
      </c>
      <c r="T478" s="1" t="str" cm="1">
        <f t="array" ref="T478">_xlfn.IFS(L478&gt;5,"High",L478=5,"mediam",L478&lt;5,"low")</f>
        <v>low</v>
      </c>
      <c r="U478" s="1" t="b">
        <f t="shared" si="39"/>
        <v>0</v>
      </c>
    </row>
    <row r="479" spans="1:21" x14ac:dyDescent="0.3">
      <c r="A479" s="5">
        <v>10478</v>
      </c>
      <c r="B479" s="1">
        <v>1348</v>
      </c>
      <c r="C479" s="2">
        <v>45220</v>
      </c>
      <c r="D479" s="2">
        <v>45227</v>
      </c>
      <c r="E479" s="1" t="s">
        <v>37</v>
      </c>
      <c r="F479" s="1" t="s">
        <v>29</v>
      </c>
      <c r="G479" s="1" t="s">
        <v>17</v>
      </c>
      <c r="H479" s="1" t="s">
        <v>44</v>
      </c>
      <c r="I479" s="1" t="s">
        <v>57</v>
      </c>
      <c r="J479" s="1" t="s">
        <v>62</v>
      </c>
      <c r="K479" s="1" t="s">
        <v>47</v>
      </c>
      <c r="L479" s="1">
        <v>5</v>
      </c>
      <c r="M479" s="1">
        <v>671.12</v>
      </c>
      <c r="N479" s="1">
        <v>5</v>
      </c>
      <c r="O479" s="1">
        <v>3187.82</v>
      </c>
      <c r="P479" s="1">
        <f t="shared" si="35"/>
        <v>3355.6</v>
      </c>
      <c r="Q479" s="10">
        <f t="shared" si="36"/>
        <v>159.39100000000002</v>
      </c>
      <c r="R479" s="11">
        <f t="shared" si="37"/>
        <v>3196.2089999999998</v>
      </c>
      <c r="S479" s="1" t="str">
        <f t="shared" si="38"/>
        <v>High</v>
      </c>
      <c r="T479" s="1" t="str" cm="1">
        <f t="array" ref="T479">_xlfn.IFS(L479&gt;5,"High",L479=5,"mediam",L479&lt;5,"low")</f>
        <v>mediam</v>
      </c>
      <c r="U479" s="1" t="b">
        <f t="shared" si="39"/>
        <v>0</v>
      </c>
    </row>
    <row r="480" spans="1:21" x14ac:dyDescent="0.3">
      <c r="A480" s="5">
        <v>10479</v>
      </c>
      <c r="B480" s="1">
        <v>1496</v>
      </c>
      <c r="C480" s="2">
        <v>45069</v>
      </c>
      <c r="D480" s="2">
        <v>45077</v>
      </c>
      <c r="E480" s="1" t="s">
        <v>40</v>
      </c>
      <c r="F480" s="1" t="s">
        <v>41</v>
      </c>
      <c r="G480" s="1" t="s">
        <v>30</v>
      </c>
      <c r="H480" s="1" t="s">
        <v>42</v>
      </c>
      <c r="I480" s="1" t="s">
        <v>49</v>
      </c>
      <c r="J480" s="1" t="s">
        <v>68</v>
      </c>
      <c r="K480" s="1" t="s">
        <v>47</v>
      </c>
      <c r="L480" s="1">
        <v>3</v>
      </c>
      <c r="M480" s="1">
        <v>910.91</v>
      </c>
      <c r="N480" s="1">
        <v>20</v>
      </c>
      <c r="O480" s="1">
        <v>2186.1799999999998</v>
      </c>
      <c r="P480" s="1">
        <f t="shared" si="35"/>
        <v>2732.73</v>
      </c>
      <c r="Q480" s="10">
        <f t="shared" si="36"/>
        <v>437.23599999999999</v>
      </c>
      <c r="R480" s="11">
        <f t="shared" si="37"/>
        <v>2295.4940000000001</v>
      </c>
      <c r="S480" s="1" t="str">
        <f t="shared" si="38"/>
        <v>Low</v>
      </c>
      <c r="T480" s="1" t="str" cm="1">
        <f t="array" ref="T480">_xlfn.IFS(L480&gt;5,"High",L480=5,"mediam",L480&lt;5,"low")</f>
        <v>low</v>
      </c>
      <c r="U480" s="1" t="b">
        <f t="shared" si="39"/>
        <v>0</v>
      </c>
    </row>
    <row r="481" spans="1:21" x14ac:dyDescent="0.3">
      <c r="A481" s="5">
        <v>10480</v>
      </c>
      <c r="B481" s="1">
        <v>1301</v>
      </c>
      <c r="C481" s="2">
        <v>45117</v>
      </c>
      <c r="D481" s="2">
        <v>45119</v>
      </c>
      <c r="E481" s="1" t="s">
        <v>16</v>
      </c>
      <c r="F481" s="1" t="s">
        <v>29</v>
      </c>
      <c r="G481" s="1" t="s">
        <v>17</v>
      </c>
      <c r="H481" s="1" t="s">
        <v>44</v>
      </c>
      <c r="I481" s="1" t="s">
        <v>26</v>
      </c>
      <c r="J481" s="1" t="s">
        <v>36</v>
      </c>
      <c r="K481" s="1" t="s">
        <v>47</v>
      </c>
      <c r="L481" s="1">
        <v>6</v>
      </c>
      <c r="M481" s="1">
        <v>845</v>
      </c>
      <c r="N481" s="1">
        <v>15</v>
      </c>
      <c r="O481" s="1">
        <v>4309.5</v>
      </c>
      <c r="P481" s="1">
        <f t="shared" si="35"/>
        <v>5070</v>
      </c>
      <c r="Q481" s="10">
        <f t="shared" si="36"/>
        <v>646.42499999999995</v>
      </c>
      <c r="R481" s="11">
        <f t="shared" si="37"/>
        <v>4423.5749999999998</v>
      </c>
      <c r="S481" s="1" t="str">
        <f t="shared" si="38"/>
        <v>High</v>
      </c>
      <c r="T481" s="1" t="str" cm="1">
        <f t="array" ref="T481">_xlfn.IFS(L481&gt;5,"High",L481=5,"mediam",L481&lt;5,"low")</f>
        <v>High</v>
      </c>
      <c r="U481" s="1" t="str">
        <f t="shared" si="39"/>
        <v>High</v>
      </c>
    </row>
    <row r="482" spans="1:21" x14ac:dyDescent="0.3">
      <c r="A482" s="5">
        <v>10481</v>
      </c>
      <c r="B482" s="1">
        <v>1180</v>
      </c>
      <c r="C482" s="2">
        <v>44947</v>
      </c>
      <c r="D482" s="2">
        <v>44955</v>
      </c>
      <c r="E482" s="1" t="s">
        <v>34</v>
      </c>
      <c r="F482" s="1" t="s">
        <v>41</v>
      </c>
      <c r="G482" s="1" t="s">
        <v>17</v>
      </c>
      <c r="H482" s="1" t="s">
        <v>44</v>
      </c>
      <c r="I482" s="1" t="s">
        <v>49</v>
      </c>
      <c r="J482" s="1" t="s">
        <v>50</v>
      </c>
      <c r="K482" s="1" t="s">
        <v>47</v>
      </c>
      <c r="L482" s="1">
        <v>8</v>
      </c>
      <c r="M482" s="1">
        <v>1160.51</v>
      </c>
      <c r="N482" s="1">
        <v>0</v>
      </c>
      <c r="O482" s="1">
        <v>9284.08</v>
      </c>
      <c r="P482" s="1">
        <f t="shared" si="35"/>
        <v>9284.08</v>
      </c>
      <c r="Q482" s="10">
        <f t="shared" si="36"/>
        <v>0</v>
      </c>
      <c r="R482" s="11">
        <f t="shared" si="37"/>
        <v>9284.08</v>
      </c>
      <c r="S482" s="1" t="str">
        <f t="shared" si="38"/>
        <v>High</v>
      </c>
      <c r="T482" s="1" t="str" cm="1">
        <f t="array" ref="T482">_xlfn.IFS(L482&gt;5,"High",L482=5,"mediam",L482&lt;5,"low")</f>
        <v>High</v>
      </c>
      <c r="U482" s="1" t="str">
        <f t="shared" si="39"/>
        <v>High</v>
      </c>
    </row>
    <row r="483" spans="1:21" x14ac:dyDescent="0.3">
      <c r="A483" s="5">
        <v>10482</v>
      </c>
      <c r="B483" s="1">
        <v>1606</v>
      </c>
      <c r="C483" s="2">
        <v>45153</v>
      </c>
      <c r="D483" s="2">
        <v>45162</v>
      </c>
      <c r="E483" s="1" t="s">
        <v>34</v>
      </c>
      <c r="F483" s="1" t="s">
        <v>54</v>
      </c>
      <c r="G483" s="1" t="s">
        <v>24</v>
      </c>
      <c r="H483" s="1" t="s">
        <v>25</v>
      </c>
      <c r="I483" s="1" t="s">
        <v>57</v>
      </c>
      <c r="J483" s="1" t="s">
        <v>67</v>
      </c>
      <c r="K483" s="1" t="s">
        <v>33</v>
      </c>
      <c r="L483" s="1">
        <v>7</v>
      </c>
      <c r="M483" s="1">
        <v>2172.2399999999998</v>
      </c>
      <c r="N483" s="1">
        <v>20</v>
      </c>
      <c r="O483" s="1">
        <v>12164.54</v>
      </c>
      <c r="P483" s="1">
        <f t="shared" si="35"/>
        <v>15205.679999999998</v>
      </c>
      <c r="Q483" s="10">
        <f t="shared" si="36"/>
        <v>2432.9080000000004</v>
      </c>
      <c r="R483" s="11">
        <f t="shared" si="37"/>
        <v>12772.771999999997</v>
      </c>
      <c r="S483" s="1" t="str">
        <f t="shared" si="38"/>
        <v>High</v>
      </c>
      <c r="T483" s="1" t="str" cm="1">
        <f t="array" ref="T483">_xlfn.IFS(L483&gt;5,"High",L483=5,"mediam",L483&lt;5,"low")</f>
        <v>High</v>
      </c>
      <c r="U483" s="1" t="str">
        <f t="shared" si="39"/>
        <v>High</v>
      </c>
    </row>
    <row r="484" spans="1:21" x14ac:dyDescent="0.3">
      <c r="A484" s="5">
        <v>10483</v>
      </c>
      <c r="B484" s="1">
        <v>1098</v>
      </c>
      <c r="C484" s="2">
        <v>45239</v>
      </c>
      <c r="D484" s="2">
        <v>45245</v>
      </c>
      <c r="E484" s="1" t="s">
        <v>40</v>
      </c>
      <c r="F484" s="1" t="s">
        <v>54</v>
      </c>
      <c r="G484" s="1" t="s">
        <v>24</v>
      </c>
      <c r="H484" s="1" t="s">
        <v>18</v>
      </c>
      <c r="I484" s="1" t="s">
        <v>26</v>
      </c>
      <c r="J484" s="1" t="s">
        <v>61</v>
      </c>
      <c r="K484" s="1" t="s">
        <v>28</v>
      </c>
      <c r="L484" s="1">
        <v>3</v>
      </c>
      <c r="M484" s="1">
        <v>578.15</v>
      </c>
      <c r="N484" s="1">
        <v>0</v>
      </c>
      <c r="O484" s="1">
        <v>1734.45</v>
      </c>
      <c r="P484" s="1">
        <f t="shared" si="35"/>
        <v>1734.4499999999998</v>
      </c>
      <c r="Q484" s="10">
        <f t="shared" si="36"/>
        <v>0</v>
      </c>
      <c r="R484" s="11">
        <f t="shared" si="37"/>
        <v>1734.4499999999998</v>
      </c>
      <c r="S484" s="1" t="str">
        <f t="shared" si="38"/>
        <v>Low</v>
      </c>
      <c r="T484" s="1" t="str" cm="1">
        <f t="array" ref="T484">_xlfn.IFS(L484&gt;5,"High",L484=5,"mediam",L484&lt;5,"low")</f>
        <v>low</v>
      </c>
      <c r="U484" s="1" t="b">
        <f t="shared" si="39"/>
        <v>0</v>
      </c>
    </row>
    <row r="485" spans="1:21" x14ac:dyDescent="0.3">
      <c r="A485" s="5">
        <v>10484</v>
      </c>
      <c r="B485" s="1">
        <v>1699</v>
      </c>
      <c r="C485" s="2">
        <v>45043</v>
      </c>
      <c r="D485" s="2">
        <v>45048</v>
      </c>
      <c r="E485" s="1" t="s">
        <v>40</v>
      </c>
      <c r="F485" s="1" t="s">
        <v>54</v>
      </c>
      <c r="G485" s="1" t="s">
        <v>30</v>
      </c>
      <c r="H485" s="1" t="s">
        <v>42</v>
      </c>
      <c r="I485" s="1" t="s">
        <v>31</v>
      </c>
      <c r="J485" s="1" t="s">
        <v>65</v>
      </c>
      <c r="K485" s="1" t="s">
        <v>21</v>
      </c>
      <c r="L485" s="1">
        <v>8</v>
      </c>
      <c r="M485" s="1">
        <v>3492.45</v>
      </c>
      <c r="N485" s="1">
        <v>5</v>
      </c>
      <c r="O485" s="1">
        <v>26542.62</v>
      </c>
      <c r="P485" s="1">
        <f t="shared" si="35"/>
        <v>27939.599999999999</v>
      </c>
      <c r="Q485" s="10">
        <f t="shared" si="36"/>
        <v>1327.1310000000001</v>
      </c>
      <c r="R485" s="11">
        <f t="shared" si="37"/>
        <v>26612.468999999997</v>
      </c>
      <c r="S485" s="1" t="str">
        <f t="shared" si="38"/>
        <v>High</v>
      </c>
      <c r="T485" s="1" t="str" cm="1">
        <f t="array" ref="T485">_xlfn.IFS(L485&gt;5,"High",L485=5,"mediam",L485&lt;5,"low")</f>
        <v>High</v>
      </c>
      <c r="U485" s="1" t="str">
        <f t="shared" si="39"/>
        <v>High</v>
      </c>
    </row>
    <row r="486" spans="1:21" x14ac:dyDescent="0.3">
      <c r="A486" s="5">
        <v>10485</v>
      </c>
      <c r="B486" s="1">
        <v>1992</v>
      </c>
      <c r="C486" s="2">
        <v>45228</v>
      </c>
      <c r="D486" s="2">
        <v>45237</v>
      </c>
      <c r="E486" s="1" t="s">
        <v>16</v>
      </c>
      <c r="F486" s="1" t="s">
        <v>16</v>
      </c>
      <c r="G486" s="1" t="s">
        <v>17</v>
      </c>
      <c r="H486" s="1" t="s">
        <v>42</v>
      </c>
      <c r="I486" s="1" t="s">
        <v>19</v>
      </c>
      <c r="J486" s="1" t="s">
        <v>43</v>
      </c>
      <c r="K486" s="1" t="s">
        <v>45</v>
      </c>
      <c r="L486" s="1">
        <v>2</v>
      </c>
      <c r="M486" s="1">
        <v>1294.8399999999999</v>
      </c>
      <c r="N486" s="1">
        <v>15</v>
      </c>
      <c r="O486" s="1">
        <v>2201.23</v>
      </c>
      <c r="P486" s="1">
        <f t="shared" si="35"/>
        <v>2589.6799999999998</v>
      </c>
      <c r="Q486" s="10">
        <f t="shared" si="36"/>
        <v>330.18450000000001</v>
      </c>
      <c r="R486" s="11">
        <f t="shared" si="37"/>
        <v>2259.4955</v>
      </c>
      <c r="S486" s="1" t="str">
        <f t="shared" si="38"/>
        <v>Low</v>
      </c>
      <c r="T486" s="1" t="str" cm="1">
        <f t="array" ref="T486">_xlfn.IFS(L486&gt;5,"High",L486=5,"mediam",L486&lt;5,"low")</f>
        <v>low</v>
      </c>
      <c r="U486" s="1" t="b">
        <f t="shared" si="39"/>
        <v>0</v>
      </c>
    </row>
    <row r="487" spans="1:21" x14ac:dyDescent="0.3">
      <c r="A487" s="5">
        <v>10486</v>
      </c>
      <c r="B487" s="1">
        <v>1115</v>
      </c>
      <c r="C487" s="2">
        <v>45068</v>
      </c>
      <c r="D487" s="2">
        <v>45077</v>
      </c>
      <c r="E487" s="1" t="s">
        <v>16</v>
      </c>
      <c r="F487" s="1" t="s">
        <v>41</v>
      </c>
      <c r="G487" s="1" t="s">
        <v>24</v>
      </c>
      <c r="H487" s="1" t="s">
        <v>42</v>
      </c>
      <c r="I487" s="1" t="s">
        <v>49</v>
      </c>
      <c r="J487" s="1" t="s">
        <v>63</v>
      </c>
      <c r="K487" s="1" t="s">
        <v>33</v>
      </c>
      <c r="L487" s="1">
        <v>9</v>
      </c>
      <c r="M487" s="1">
        <v>775.77</v>
      </c>
      <c r="N487" s="1">
        <v>0</v>
      </c>
      <c r="O487" s="1">
        <v>6981.93</v>
      </c>
      <c r="P487" s="1">
        <f t="shared" si="35"/>
        <v>6981.93</v>
      </c>
      <c r="Q487" s="10">
        <f t="shared" si="36"/>
        <v>0</v>
      </c>
      <c r="R487" s="11">
        <f t="shared" si="37"/>
        <v>6981.93</v>
      </c>
      <c r="S487" s="1" t="str">
        <f t="shared" si="38"/>
        <v>High</v>
      </c>
      <c r="T487" s="1" t="str" cm="1">
        <f t="array" ref="T487">_xlfn.IFS(L487&gt;5,"High",L487=5,"mediam",L487&lt;5,"low")</f>
        <v>High</v>
      </c>
      <c r="U487" s="1" t="str">
        <f t="shared" si="39"/>
        <v>High</v>
      </c>
    </row>
    <row r="488" spans="1:21" x14ac:dyDescent="0.3">
      <c r="A488" s="5">
        <v>10487</v>
      </c>
      <c r="B488" s="1">
        <v>1190</v>
      </c>
      <c r="C488" s="2">
        <v>44965</v>
      </c>
      <c r="D488" s="2">
        <v>44966</v>
      </c>
      <c r="E488" s="1" t="s">
        <v>40</v>
      </c>
      <c r="F488" s="1" t="s">
        <v>16</v>
      </c>
      <c r="G488" s="1" t="s">
        <v>30</v>
      </c>
      <c r="H488" s="1" t="s">
        <v>25</v>
      </c>
      <c r="I488" s="1" t="s">
        <v>52</v>
      </c>
      <c r="J488" s="1" t="s">
        <v>53</v>
      </c>
      <c r="K488" s="1" t="s">
        <v>21</v>
      </c>
      <c r="L488" s="1">
        <v>4</v>
      </c>
      <c r="M488" s="1">
        <v>2751.14</v>
      </c>
      <c r="N488" s="1">
        <v>20</v>
      </c>
      <c r="O488" s="1">
        <v>8803.65</v>
      </c>
      <c r="P488" s="1">
        <f t="shared" si="35"/>
        <v>11004.56</v>
      </c>
      <c r="Q488" s="10">
        <f t="shared" si="36"/>
        <v>1760.73</v>
      </c>
      <c r="R488" s="11">
        <f t="shared" si="37"/>
        <v>9243.83</v>
      </c>
      <c r="S488" s="1" t="str">
        <f t="shared" si="38"/>
        <v>Low</v>
      </c>
      <c r="T488" s="1" t="str" cm="1">
        <f t="array" ref="T488">_xlfn.IFS(L488&gt;5,"High",L488=5,"mediam",L488&lt;5,"low")</f>
        <v>low</v>
      </c>
      <c r="U488" s="1" t="b">
        <f t="shared" si="39"/>
        <v>0</v>
      </c>
    </row>
    <row r="489" spans="1:21" x14ac:dyDescent="0.3">
      <c r="A489" s="5">
        <v>10488</v>
      </c>
      <c r="B489" s="1">
        <v>1252</v>
      </c>
      <c r="C489" s="2">
        <v>45281</v>
      </c>
      <c r="D489" s="2">
        <v>45284</v>
      </c>
      <c r="E489" s="1" t="s">
        <v>46</v>
      </c>
      <c r="F489" s="1" t="s">
        <v>16</v>
      </c>
      <c r="G489" s="1" t="s">
        <v>24</v>
      </c>
      <c r="H489" s="1" t="s">
        <v>44</v>
      </c>
      <c r="I489" s="1" t="s">
        <v>52</v>
      </c>
      <c r="J489" s="1" t="s">
        <v>60</v>
      </c>
      <c r="K489" s="1" t="s">
        <v>33</v>
      </c>
      <c r="L489" s="1">
        <v>1</v>
      </c>
      <c r="M489" s="1">
        <v>296.63</v>
      </c>
      <c r="N489" s="1">
        <v>5</v>
      </c>
      <c r="O489" s="1">
        <v>281.8</v>
      </c>
      <c r="P489" s="1">
        <f t="shared" si="35"/>
        <v>296.63</v>
      </c>
      <c r="Q489" s="10">
        <f t="shared" si="36"/>
        <v>14.090000000000002</v>
      </c>
      <c r="R489" s="11">
        <f t="shared" si="37"/>
        <v>282.54000000000002</v>
      </c>
      <c r="S489" s="1" t="str">
        <f t="shared" si="38"/>
        <v>Low</v>
      </c>
      <c r="T489" s="1" t="str" cm="1">
        <f t="array" ref="T489">_xlfn.IFS(L489&gt;5,"High",L489=5,"mediam",L489&lt;5,"low")</f>
        <v>low</v>
      </c>
      <c r="U489" s="1" t="b">
        <f t="shared" si="39"/>
        <v>0</v>
      </c>
    </row>
    <row r="490" spans="1:21" x14ac:dyDescent="0.3">
      <c r="A490" s="5">
        <v>10489</v>
      </c>
      <c r="B490" s="1">
        <v>1980</v>
      </c>
      <c r="C490" s="2">
        <v>45178</v>
      </c>
      <c r="D490" s="2">
        <v>45187</v>
      </c>
      <c r="E490" s="1" t="s">
        <v>34</v>
      </c>
      <c r="F490" s="1" t="s">
        <v>23</v>
      </c>
      <c r="G490" s="1" t="s">
        <v>24</v>
      </c>
      <c r="H490" s="1" t="s">
        <v>18</v>
      </c>
      <c r="I490" s="1" t="s">
        <v>57</v>
      </c>
      <c r="J490" s="1" t="s">
        <v>62</v>
      </c>
      <c r="K490" s="1" t="s">
        <v>33</v>
      </c>
      <c r="L490" s="1">
        <v>8</v>
      </c>
      <c r="M490" s="1">
        <v>2536.88</v>
      </c>
      <c r="N490" s="1">
        <v>5</v>
      </c>
      <c r="O490" s="1">
        <v>19280.29</v>
      </c>
      <c r="P490" s="1">
        <f t="shared" si="35"/>
        <v>20295.04</v>
      </c>
      <c r="Q490" s="10">
        <f t="shared" si="36"/>
        <v>964.01450000000011</v>
      </c>
      <c r="R490" s="11">
        <f t="shared" si="37"/>
        <v>19331.0255</v>
      </c>
      <c r="S490" s="1" t="str">
        <f t="shared" si="38"/>
        <v>High</v>
      </c>
      <c r="T490" s="1" t="str" cm="1">
        <f t="array" ref="T490">_xlfn.IFS(L490&gt;5,"High",L490=5,"mediam",L490&lt;5,"low")</f>
        <v>High</v>
      </c>
      <c r="U490" s="1" t="str">
        <f t="shared" si="39"/>
        <v>High</v>
      </c>
    </row>
    <row r="491" spans="1:21" x14ac:dyDescent="0.3">
      <c r="A491" s="5">
        <v>10490</v>
      </c>
      <c r="B491" s="1">
        <v>1927</v>
      </c>
      <c r="C491" s="2">
        <v>45259</v>
      </c>
      <c r="D491" s="2">
        <v>45261</v>
      </c>
      <c r="E491" s="1" t="s">
        <v>15</v>
      </c>
      <c r="F491" s="1" t="s">
        <v>29</v>
      </c>
      <c r="G491" s="1" t="s">
        <v>17</v>
      </c>
      <c r="H491" s="1" t="s">
        <v>35</v>
      </c>
      <c r="I491" s="1" t="s">
        <v>31</v>
      </c>
      <c r="J491" s="1" t="s">
        <v>32</v>
      </c>
      <c r="K491" s="1" t="s">
        <v>45</v>
      </c>
      <c r="L491" s="1">
        <v>7</v>
      </c>
      <c r="M491" s="1">
        <v>2838.06</v>
      </c>
      <c r="N491" s="1">
        <v>20</v>
      </c>
      <c r="O491" s="1">
        <v>15893.14</v>
      </c>
      <c r="P491" s="1">
        <f t="shared" si="35"/>
        <v>19866.419999999998</v>
      </c>
      <c r="Q491" s="10">
        <f t="shared" si="36"/>
        <v>3178.6280000000002</v>
      </c>
      <c r="R491" s="11">
        <f t="shared" si="37"/>
        <v>16687.791999999998</v>
      </c>
      <c r="S491" s="1" t="str">
        <f t="shared" si="38"/>
        <v>High</v>
      </c>
      <c r="T491" s="1" t="str" cm="1">
        <f t="array" ref="T491">_xlfn.IFS(L491&gt;5,"High",L491=5,"mediam",L491&lt;5,"low")</f>
        <v>High</v>
      </c>
      <c r="U491" s="1" t="str">
        <f t="shared" si="39"/>
        <v>High</v>
      </c>
    </row>
    <row r="492" spans="1:21" x14ac:dyDescent="0.3">
      <c r="A492" s="5">
        <v>10491</v>
      </c>
      <c r="B492" s="1">
        <v>1982</v>
      </c>
      <c r="C492" s="2">
        <v>45133</v>
      </c>
      <c r="D492" s="2">
        <v>45137</v>
      </c>
      <c r="E492" s="1" t="s">
        <v>16</v>
      </c>
      <c r="F492" s="1" t="s">
        <v>29</v>
      </c>
      <c r="G492" s="1" t="s">
        <v>17</v>
      </c>
      <c r="H492" s="1" t="s">
        <v>44</v>
      </c>
      <c r="I492" s="1" t="s">
        <v>49</v>
      </c>
      <c r="J492" s="1" t="s">
        <v>63</v>
      </c>
      <c r="K492" s="1" t="s">
        <v>28</v>
      </c>
      <c r="L492" s="1">
        <v>5</v>
      </c>
      <c r="M492" s="1">
        <v>977.43</v>
      </c>
      <c r="N492" s="1">
        <v>20</v>
      </c>
      <c r="O492" s="1">
        <v>3909.72</v>
      </c>
      <c r="P492" s="1">
        <f t="shared" si="35"/>
        <v>4887.1499999999996</v>
      </c>
      <c r="Q492" s="10">
        <f t="shared" si="36"/>
        <v>781.94399999999996</v>
      </c>
      <c r="R492" s="11">
        <f t="shared" si="37"/>
        <v>4105.2060000000001</v>
      </c>
      <c r="S492" s="1" t="str">
        <f t="shared" si="38"/>
        <v>High</v>
      </c>
      <c r="T492" s="1" t="str" cm="1">
        <f t="array" ref="T492">_xlfn.IFS(L492&gt;5,"High",L492=5,"mediam",L492&lt;5,"low")</f>
        <v>mediam</v>
      </c>
      <c r="U492" s="1" t="b">
        <f t="shared" si="39"/>
        <v>0</v>
      </c>
    </row>
    <row r="493" spans="1:21" x14ac:dyDescent="0.3">
      <c r="A493" s="5">
        <v>10492</v>
      </c>
      <c r="B493" s="1">
        <v>1160</v>
      </c>
      <c r="C493" s="2">
        <v>45136</v>
      </c>
      <c r="D493" s="2">
        <v>45140</v>
      </c>
      <c r="E493" s="1" t="s">
        <v>16</v>
      </c>
      <c r="F493" s="1" t="s">
        <v>38</v>
      </c>
      <c r="G493" s="1" t="s">
        <v>24</v>
      </c>
      <c r="H493" s="1" t="s">
        <v>25</v>
      </c>
      <c r="I493" s="1" t="s">
        <v>31</v>
      </c>
      <c r="J493" s="1" t="s">
        <v>32</v>
      </c>
      <c r="K493" s="1" t="s">
        <v>47</v>
      </c>
      <c r="L493" s="1">
        <v>5</v>
      </c>
      <c r="M493" s="1">
        <v>311.56</v>
      </c>
      <c r="N493" s="1">
        <v>0</v>
      </c>
      <c r="O493" s="1">
        <v>1557.8</v>
      </c>
      <c r="P493" s="1">
        <f t="shared" si="35"/>
        <v>1557.8</v>
      </c>
      <c r="Q493" s="10">
        <f t="shared" si="36"/>
        <v>0</v>
      </c>
      <c r="R493" s="11">
        <f t="shared" si="37"/>
        <v>1557.8</v>
      </c>
      <c r="S493" s="1" t="str">
        <f t="shared" si="38"/>
        <v>High</v>
      </c>
      <c r="T493" s="1" t="str" cm="1">
        <f t="array" ref="T493">_xlfn.IFS(L493&gt;5,"High",L493=5,"mediam",L493&lt;5,"low")</f>
        <v>mediam</v>
      </c>
      <c r="U493" s="1" t="b">
        <f t="shared" si="39"/>
        <v>0</v>
      </c>
    </row>
    <row r="494" spans="1:21" x14ac:dyDescent="0.3">
      <c r="A494" s="5">
        <v>10493</v>
      </c>
      <c r="B494" s="1">
        <v>1255</v>
      </c>
      <c r="C494" s="2">
        <v>45041</v>
      </c>
      <c r="D494" s="2">
        <v>45043</v>
      </c>
      <c r="E494" s="1" t="s">
        <v>40</v>
      </c>
      <c r="F494" s="1" t="s">
        <v>16</v>
      </c>
      <c r="G494" s="1" t="s">
        <v>24</v>
      </c>
      <c r="H494" s="1" t="s">
        <v>44</v>
      </c>
      <c r="I494" s="1" t="s">
        <v>49</v>
      </c>
      <c r="J494" s="1" t="s">
        <v>68</v>
      </c>
      <c r="K494" s="1" t="s">
        <v>28</v>
      </c>
      <c r="L494" s="1">
        <v>7</v>
      </c>
      <c r="M494" s="1">
        <v>1550.03</v>
      </c>
      <c r="N494" s="1">
        <v>10</v>
      </c>
      <c r="O494" s="1">
        <v>9765.19</v>
      </c>
      <c r="P494" s="1">
        <f t="shared" si="35"/>
        <v>10850.21</v>
      </c>
      <c r="Q494" s="10">
        <f t="shared" si="36"/>
        <v>976.51900000000012</v>
      </c>
      <c r="R494" s="11">
        <f t="shared" si="37"/>
        <v>9873.6909999999989</v>
      </c>
      <c r="S494" s="1" t="str">
        <f t="shared" si="38"/>
        <v>High</v>
      </c>
      <c r="T494" s="1" t="str" cm="1">
        <f t="array" ref="T494">_xlfn.IFS(L494&gt;5,"High",L494=5,"mediam",L494&lt;5,"low")</f>
        <v>High</v>
      </c>
      <c r="U494" s="1" t="str">
        <f t="shared" si="39"/>
        <v>High</v>
      </c>
    </row>
    <row r="495" spans="1:21" x14ac:dyDescent="0.3">
      <c r="A495" s="5">
        <v>10494</v>
      </c>
      <c r="B495" s="1">
        <v>1322</v>
      </c>
      <c r="C495" s="2">
        <v>45151</v>
      </c>
      <c r="D495" s="2">
        <v>45154</v>
      </c>
      <c r="E495" s="1" t="s">
        <v>37</v>
      </c>
      <c r="F495" s="1" t="s">
        <v>41</v>
      </c>
      <c r="G495" s="1" t="s">
        <v>17</v>
      </c>
      <c r="H495" s="1" t="s">
        <v>44</v>
      </c>
      <c r="I495" s="1" t="s">
        <v>57</v>
      </c>
      <c r="J495" s="1" t="s">
        <v>67</v>
      </c>
      <c r="K495" s="1" t="s">
        <v>45</v>
      </c>
      <c r="L495" s="1">
        <v>5</v>
      </c>
      <c r="M495" s="1">
        <v>529.59</v>
      </c>
      <c r="N495" s="1">
        <v>5</v>
      </c>
      <c r="O495" s="1">
        <v>2515.5500000000002</v>
      </c>
      <c r="P495" s="1">
        <f t="shared" si="35"/>
        <v>2647.9500000000003</v>
      </c>
      <c r="Q495" s="10">
        <f t="shared" si="36"/>
        <v>125.77750000000002</v>
      </c>
      <c r="R495" s="11">
        <f t="shared" si="37"/>
        <v>2522.1725000000001</v>
      </c>
      <c r="S495" s="1" t="str">
        <f t="shared" si="38"/>
        <v>High</v>
      </c>
      <c r="T495" s="1" t="str" cm="1">
        <f t="array" ref="T495">_xlfn.IFS(L495&gt;5,"High",L495=5,"mediam",L495&lt;5,"low")</f>
        <v>mediam</v>
      </c>
      <c r="U495" s="1" t="b">
        <f t="shared" si="39"/>
        <v>0</v>
      </c>
    </row>
    <row r="496" spans="1:21" x14ac:dyDescent="0.3">
      <c r="A496" s="5">
        <v>10495</v>
      </c>
      <c r="B496" s="1">
        <v>1127</v>
      </c>
      <c r="C496" s="2">
        <v>45060</v>
      </c>
      <c r="D496" s="2">
        <v>45063</v>
      </c>
      <c r="E496" s="1" t="s">
        <v>15</v>
      </c>
      <c r="F496" s="1" t="s">
        <v>23</v>
      </c>
      <c r="G496" s="1" t="s">
        <v>30</v>
      </c>
      <c r="H496" s="1" t="s">
        <v>25</v>
      </c>
      <c r="I496" s="1" t="s">
        <v>57</v>
      </c>
      <c r="J496" s="1" t="s">
        <v>59</v>
      </c>
      <c r="K496" s="1" t="s">
        <v>45</v>
      </c>
      <c r="L496" s="1">
        <v>8</v>
      </c>
      <c r="M496" s="1">
        <v>598.44000000000005</v>
      </c>
      <c r="N496" s="1">
        <v>0</v>
      </c>
      <c r="O496" s="1">
        <v>4787.5200000000004</v>
      </c>
      <c r="P496" s="1">
        <f t="shared" si="35"/>
        <v>4787.5200000000004</v>
      </c>
      <c r="Q496" s="10">
        <f t="shared" si="36"/>
        <v>0</v>
      </c>
      <c r="R496" s="11">
        <f t="shared" si="37"/>
        <v>4787.5200000000004</v>
      </c>
      <c r="S496" s="1" t="str">
        <f t="shared" si="38"/>
        <v>High</v>
      </c>
      <c r="T496" s="1" t="str" cm="1">
        <f t="array" ref="T496">_xlfn.IFS(L496&gt;5,"High",L496=5,"mediam",L496&lt;5,"low")</f>
        <v>High</v>
      </c>
      <c r="U496" s="1" t="str">
        <f t="shared" si="39"/>
        <v>High</v>
      </c>
    </row>
    <row r="497" spans="1:21" x14ac:dyDescent="0.3">
      <c r="A497" s="5">
        <v>10496</v>
      </c>
      <c r="B497" s="1">
        <v>1017</v>
      </c>
      <c r="C497" s="2">
        <v>45177</v>
      </c>
      <c r="D497" s="2">
        <v>45178</v>
      </c>
      <c r="E497" s="1" t="s">
        <v>15</v>
      </c>
      <c r="F497" s="1" t="s">
        <v>23</v>
      </c>
      <c r="G497" s="1" t="s">
        <v>17</v>
      </c>
      <c r="H497" s="1" t="s">
        <v>42</v>
      </c>
      <c r="I497" s="1" t="s">
        <v>52</v>
      </c>
      <c r="J497" s="1" t="s">
        <v>60</v>
      </c>
      <c r="K497" s="1" t="s">
        <v>45</v>
      </c>
      <c r="L497" s="1">
        <v>6</v>
      </c>
      <c r="M497" s="1">
        <v>1128.9100000000001</v>
      </c>
      <c r="N497" s="1">
        <v>20</v>
      </c>
      <c r="O497" s="1">
        <v>5418.77</v>
      </c>
      <c r="P497" s="1">
        <f t="shared" si="35"/>
        <v>6773.4600000000009</v>
      </c>
      <c r="Q497" s="10">
        <f t="shared" si="36"/>
        <v>1083.7540000000001</v>
      </c>
      <c r="R497" s="11">
        <f t="shared" si="37"/>
        <v>5689.706000000001</v>
      </c>
      <c r="S497" s="1" t="str">
        <f t="shared" si="38"/>
        <v>High</v>
      </c>
      <c r="T497" s="1" t="str" cm="1">
        <f t="array" ref="T497">_xlfn.IFS(L497&gt;5,"High",L497=5,"mediam",L497&lt;5,"low")</f>
        <v>High</v>
      </c>
      <c r="U497" s="1" t="str">
        <f t="shared" si="39"/>
        <v>High</v>
      </c>
    </row>
    <row r="498" spans="1:21" x14ac:dyDescent="0.3">
      <c r="A498" s="5">
        <v>10497</v>
      </c>
      <c r="B498" s="1">
        <v>1792</v>
      </c>
      <c r="C498" s="2">
        <v>45145</v>
      </c>
      <c r="D498" s="2">
        <v>45151</v>
      </c>
      <c r="E498" s="1" t="s">
        <v>16</v>
      </c>
      <c r="F498" s="1" t="s">
        <v>29</v>
      </c>
      <c r="G498" s="1" t="s">
        <v>24</v>
      </c>
      <c r="H498" s="1" t="s">
        <v>42</v>
      </c>
      <c r="I498" s="1" t="s">
        <v>31</v>
      </c>
      <c r="J498" s="1" t="s">
        <v>39</v>
      </c>
      <c r="K498" s="1" t="s">
        <v>21</v>
      </c>
      <c r="L498" s="1">
        <v>5</v>
      </c>
      <c r="M498" s="1">
        <v>1287.55</v>
      </c>
      <c r="N498" s="1">
        <v>0</v>
      </c>
      <c r="O498" s="1">
        <v>6437.75</v>
      </c>
      <c r="P498" s="1">
        <f t="shared" si="35"/>
        <v>6437.75</v>
      </c>
      <c r="Q498" s="10">
        <f t="shared" si="36"/>
        <v>0</v>
      </c>
      <c r="R498" s="11">
        <f t="shared" si="37"/>
        <v>6437.75</v>
      </c>
      <c r="S498" s="1" t="str">
        <f t="shared" si="38"/>
        <v>High</v>
      </c>
      <c r="T498" s="1" t="str" cm="1">
        <f t="array" ref="T498">_xlfn.IFS(L498&gt;5,"High",L498=5,"mediam",L498&lt;5,"low")</f>
        <v>mediam</v>
      </c>
      <c r="U498" s="1" t="b">
        <f t="shared" si="39"/>
        <v>0</v>
      </c>
    </row>
    <row r="499" spans="1:21" x14ac:dyDescent="0.3">
      <c r="A499" s="5">
        <v>10498</v>
      </c>
      <c r="B499" s="1">
        <v>1734</v>
      </c>
      <c r="C499" s="2">
        <v>45017</v>
      </c>
      <c r="D499" s="2">
        <v>45025</v>
      </c>
      <c r="E499" s="1" t="s">
        <v>46</v>
      </c>
      <c r="F499" s="1" t="s">
        <v>16</v>
      </c>
      <c r="G499" s="1" t="s">
        <v>30</v>
      </c>
      <c r="H499" s="1" t="s">
        <v>18</v>
      </c>
      <c r="I499" s="1" t="s">
        <v>26</v>
      </c>
      <c r="J499" s="1" t="s">
        <v>36</v>
      </c>
      <c r="K499" s="1" t="s">
        <v>28</v>
      </c>
      <c r="L499" s="1">
        <v>9</v>
      </c>
      <c r="M499" s="1">
        <v>2190.39</v>
      </c>
      <c r="N499" s="1">
        <v>20</v>
      </c>
      <c r="O499" s="1">
        <v>15770.81</v>
      </c>
      <c r="P499" s="1">
        <f t="shared" si="35"/>
        <v>19713.509999999998</v>
      </c>
      <c r="Q499" s="10">
        <f t="shared" si="36"/>
        <v>3154.1620000000003</v>
      </c>
      <c r="R499" s="11">
        <f t="shared" si="37"/>
        <v>16559.347999999998</v>
      </c>
      <c r="S499" s="1" t="str">
        <f t="shared" si="38"/>
        <v>High</v>
      </c>
      <c r="T499" s="1" t="str" cm="1">
        <f t="array" ref="T499">_xlfn.IFS(L499&gt;5,"High",L499=5,"mediam",L499&lt;5,"low")</f>
        <v>High</v>
      </c>
      <c r="U499" s="1" t="str">
        <f t="shared" si="39"/>
        <v>High</v>
      </c>
    </row>
    <row r="500" spans="1:21" x14ac:dyDescent="0.3">
      <c r="A500" s="5">
        <v>10499</v>
      </c>
      <c r="B500" s="1">
        <v>1565</v>
      </c>
      <c r="C500" s="2">
        <v>45280</v>
      </c>
      <c r="D500" s="2">
        <v>45283</v>
      </c>
      <c r="E500" s="1" t="s">
        <v>37</v>
      </c>
      <c r="F500" s="1" t="s">
        <v>38</v>
      </c>
      <c r="G500" s="1" t="s">
        <v>24</v>
      </c>
      <c r="H500" s="1" t="s">
        <v>18</v>
      </c>
      <c r="I500" s="1" t="s">
        <v>52</v>
      </c>
      <c r="J500" s="1" t="s">
        <v>60</v>
      </c>
      <c r="K500" s="1" t="s">
        <v>28</v>
      </c>
      <c r="L500" s="1">
        <v>2</v>
      </c>
      <c r="M500" s="1">
        <v>2761.81</v>
      </c>
      <c r="N500" s="1">
        <v>15</v>
      </c>
      <c r="O500" s="1">
        <v>4695.08</v>
      </c>
      <c r="P500" s="1">
        <f t="shared" si="35"/>
        <v>5523.62</v>
      </c>
      <c r="Q500" s="10">
        <f t="shared" si="36"/>
        <v>704.26199999999994</v>
      </c>
      <c r="R500" s="11">
        <f t="shared" si="37"/>
        <v>4819.3580000000002</v>
      </c>
      <c r="S500" s="1" t="str">
        <f t="shared" si="38"/>
        <v>Low</v>
      </c>
      <c r="T500" s="1" t="str" cm="1">
        <f t="array" ref="T500">_xlfn.IFS(L500&gt;5,"High",L500=5,"mediam",L500&lt;5,"low")</f>
        <v>low</v>
      </c>
      <c r="U500" s="1" t="b">
        <f t="shared" si="39"/>
        <v>0</v>
      </c>
    </row>
    <row r="501" spans="1:21" x14ac:dyDescent="0.3">
      <c r="A501" s="5">
        <v>10500</v>
      </c>
      <c r="B501" s="1">
        <v>1569</v>
      </c>
      <c r="C501" s="2">
        <v>44972</v>
      </c>
      <c r="D501" s="2">
        <v>44977</v>
      </c>
      <c r="E501" s="1" t="s">
        <v>15</v>
      </c>
      <c r="F501" s="1" t="s">
        <v>16</v>
      </c>
      <c r="G501" s="1" t="s">
        <v>30</v>
      </c>
      <c r="H501" s="1" t="s">
        <v>42</v>
      </c>
      <c r="I501" s="1" t="s">
        <v>31</v>
      </c>
      <c r="J501" s="1" t="s">
        <v>65</v>
      </c>
      <c r="K501" s="1" t="s">
        <v>33</v>
      </c>
      <c r="L501" s="1">
        <v>1</v>
      </c>
      <c r="M501" s="1">
        <v>2432.17</v>
      </c>
      <c r="N501" s="1">
        <v>20</v>
      </c>
      <c r="O501" s="1">
        <v>1945.74</v>
      </c>
      <c r="P501" s="1">
        <f>L501*M501</f>
        <v>2432.17</v>
      </c>
      <c r="Q501" s="10">
        <f t="shared" si="36"/>
        <v>389.14800000000002</v>
      </c>
      <c r="R501" s="11">
        <f t="shared" si="37"/>
        <v>2043.0219999999999</v>
      </c>
      <c r="S501" s="1" t="str">
        <f t="shared" si="38"/>
        <v>Low</v>
      </c>
      <c r="T501" s="1" t="str" cm="1">
        <f t="array" ref="T501">_xlfn.IFS(L501&gt;5,"High",L501=5,"mediam",L501&lt;5,"low")</f>
        <v>low</v>
      </c>
      <c r="U501" s="1" t="b">
        <f t="shared" si="39"/>
        <v>0</v>
      </c>
    </row>
    <row r="502" spans="1:21" x14ac:dyDescent="0.3">
      <c r="Q502" s="9"/>
    </row>
    <row r="503" spans="1:21" x14ac:dyDescent="0.3">
      <c r="Q503" s="9"/>
    </row>
  </sheetData>
  <dataValidations count="3">
    <dataValidation type="list" allowBlank="1" showInputMessage="1" showErrorMessage="1" sqref="Z5 Z9 Z11 Z13 Z15 Z17 Z21 Z24" xr:uid="{68652A77-381E-4013-8E74-1354F845E81E}">
      <formula1>$AB$2:$AB$6</formula1>
    </dataValidation>
    <dataValidation type="list" allowBlank="1" showInputMessage="1" showErrorMessage="1" sqref="AD2" xr:uid="{483D8737-B460-4C10-8A82-B607158CBBA3}">
      <formula1>$AD$2</formula1>
    </dataValidation>
    <dataValidation type="list" allowBlank="1" showInputMessage="1" showErrorMessage="1" sqref="Y21" xr:uid="{BBD66E6D-3B8B-4C62-9937-249438600082}">
      <formula1>$AD$2:$AD$8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95A13-8A9F-4268-B1BF-A31FB660C0DE}">
  <dimension ref="A1:AE501"/>
  <sheetViews>
    <sheetView topLeftCell="H1" zoomScale="71" workbookViewId="0">
      <selection activeCell="AB18" sqref="AB18"/>
    </sheetView>
  </sheetViews>
  <sheetFormatPr defaultRowHeight="14.4" x14ac:dyDescent="0.3"/>
  <cols>
    <col min="3" max="3" width="12.77734375" customWidth="1"/>
    <col min="4" max="4" width="13.21875" customWidth="1"/>
    <col min="21" max="21" width="11.21875" customWidth="1"/>
    <col min="23" max="23" width="13.5546875" customWidth="1"/>
    <col min="24" max="24" width="10.6640625" customWidth="1"/>
    <col min="30" max="30" width="11" customWidth="1"/>
    <col min="31" max="31" width="14.21875" customWidth="1"/>
  </cols>
  <sheetData>
    <row r="1" spans="1:31" x14ac:dyDescent="0.3">
      <c r="A1" s="4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7" t="s">
        <v>70</v>
      </c>
      <c r="Q1" s="8" t="s">
        <v>72</v>
      </c>
      <c r="R1" s="8" t="s">
        <v>71</v>
      </c>
      <c r="S1" s="12" t="s">
        <v>73</v>
      </c>
      <c r="T1" s="12" t="s">
        <v>74</v>
      </c>
      <c r="U1" s="12" t="s">
        <v>75</v>
      </c>
    </row>
    <row r="2" spans="1:31" x14ac:dyDescent="0.3">
      <c r="A2" s="5">
        <v>10001</v>
      </c>
      <c r="B2" s="1">
        <v>1102</v>
      </c>
      <c r="C2" s="2">
        <v>45197</v>
      </c>
      <c r="D2" s="2">
        <v>45203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  <c r="L2" s="1">
        <v>7</v>
      </c>
      <c r="M2" s="1">
        <v>2843.87</v>
      </c>
      <c r="N2" s="1">
        <v>0</v>
      </c>
      <c r="O2" s="1">
        <v>19907.09</v>
      </c>
      <c r="P2" s="1">
        <f>L2*M2</f>
        <v>19907.09</v>
      </c>
      <c r="Q2" s="10">
        <f>O2*N2%</f>
        <v>0</v>
      </c>
      <c r="R2" s="11">
        <f>P2-Q2</f>
        <v>19907.09</v>
      </c>
      <c r="S2" s="1" t="str">
        <f>IF(L2&gt;=5,"High","Low")</f>
        <v>High</v>
      </c>
      <c r="T2" s="1" t="str" cm="1">
        <f t="array" ref="T2">_xlfn.IFS(L2&gt;5,"High",L2=5,"mediam",L2&lt;5,"low")</f>
        <v>High</v>
      </c>
      <c r="U2" s="1" t="str">
        <f>IF(L2&gt;5,"High",IF(L2=V1,"Low"))</f>
        <v>High</v>
      </c>
      <c r="W2" s="4" t="s">
        <v>0</v>
      </c>
      <c r="X2" s="3" t="s">
        <v>4</v>
      </c>
      <c r="Z2" s="1">
        <v>1102</v>
      </c>
      <c r="AA2" s="5">
        <v>10001</v>
      </c>
      <c r="AC2" s="4" t="s">
        <v>0</v>
      </c>
      <c r="AD2" s="3" t="s">
        <v>3</v>
      </c>
      <c r="AE2" s="3" t="s">
        <v>9</v>
      </c>
    </row>
    <row r="3" spans="1:31" x14ac:dyDescent="0.3">
      <c r="A3" s="5">
        <v>10002</v>
      </c>
      <c r="B3" s="1">
        <v>1435</v>
      </c>
      <c r="C3" s="2">
        <v>45199</v>
      </c>
      <c r="D3" s="2">
        <v>45203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>
        <v>9</v>
      </c>
      <c r="M3" s="1">
        <v>2525.23</v>
      </c>
      <c r="N3" s="1">
        <v>5</v>
      </c>
      <c r="O3" s="1">
        <v>21590.720000000001</v>
      </c>
      <c r="P3" s="1">
        <f t="shared" ref="P3:P66" si="0">L3*M3</f>
        <v>22727.07</v>
      </c>
      <c r="Q3" s="10">
        <f t="shared" ref="Q3:Q66" si="1">O3*N3%</f>
        <v>1079.5360000000001</v>
      </c>
      <c r="R3" s="11">
        <f t="shared" ref="R3:R66" si="2">P3-Q3</f>
        <v>21647.534</v>
      </c>
      <c r="S3" s="1" t="str">
        <f t="shared" ref="S3:S66" si="3">IF(L3&gt;=5,"High","Low")</f>
        <v>High</v>
      </c>
      <c r="T3" s="1" t="str" cm="1">
        <f t="array" ref="T3">_xlfn.IFS(L3&gt;5,"High",L3=5,"mediam",L3&lt;5,"low")</f>
        <v>High</v>
      </c>
      <c r="U3" s="1" t="str">
        <f t="shared" ref="U3:U66" si="4">IF(L3&gt;5,"High",IF(L3="Mediam","Low"))</f>
        <v>High</v>
      </c>
      <c r="W3" s="4">
        <v>10003</v>
      </c>
      <c r="X3" s="3" t="str">
        <f>VLOOKUP(W3,A1:U501,5,FALSE)</f>
        <v>Chennai</v>
      </c>
      <c r="Z3" s="1">
        <v>1435</v>
      </c>
      <c r="AA3" s="5">
        <v>10002</v>
      </c>
      <c r="AC3" s="4">
        <v>10005</v>
      </c>
      <c r="AD3" s="24" cm="1">
        <f t="array" ref="AD3:AE3">VLOOKUP(AC3,A1:U501,{4,10},FALSE)</f>
        <v>45244</v>
      </c>
      <c r="AE3" s="3" t="str">
        <v>Jacket</v>
      </c>
    </row>
    <row r="4" spans="1:31" x14ac:dyDescent="0.3">
      <c r="A4" s="5">
        <v>10003</v>
      </c>
      <c r="B4" s="1">
        <v>1860</v>
      </c>
      <c r="C4" s="2">
        <v>45109</v>
      </c>
      <c r="D4" s="2">
        <v>45114</v>
      </c>
      <c r="E4" s="1" t="s">
        <v>15</v>
      </c>
      <c r="F4" s="1" t="s">
        <v>29</v>
      </c>
      <c r="G4" s="1" t="s">
        <v>30</v>
      </c>
      <c r="H4" s="1" t="s">
        <v>25</v>
      </c>
      <c r="I4" s="1" t="s">
        <v>31</v>
      </c>
      <c r="J4" s="1" t="s">
        <v>32</v>
      </c>
      <c r="K4" s="1" t="s">
        <v>33</v>
      </c>
      <c r="L4" s="1">
        <v>6</v>
      </c>
      <c r="M4" s="1">
        <v>3474.34</v>
      </c>
      <c r="N4" s="1">
        <v>15</v>
      </c>
      <c r="O4" s="1">
        <v>17719.13</v>
      </c>
      <c r="P4" s="1">
        <f t="shared" si="0"/>
        <v>20846.04</v>
      </c>
      <c r="Q4" s="10">
        <f t="shared" si="1"/>
        <v>2657.8695000000002</v>
      </c>
      <c r="R4" s="11">
        <f t="shared" si="2"/>
        <v>18188.1705</v>
      </c>
      <c r="S4" s="1" t="str">
        <f t="shared" si="3"/>
        <v>High</v>
      </c>
      <c r="T4" s="1" t="str" cm="1">
        <f t="array" ref="T4">_xlfn.IFS(L4&gt;5,"High",L4=5,"mediam",L4&lt;5,"low")</f>
        <v>High</v>
      </c>
      <c r="U4" s="1" t="str">
        <f t="shared" si="4"/>
        <v>High</v>
      </c>
      <c r="Z4" s="1">
        <v>1860</v>
      </c>
      <c r="AA4" s="5">
        <v>10003</v>
      </c>
    </row>
    <row r="5" spans="1:31" x14ac:dyDescent="0.3">
      <c r="A5" s="5">
        <v>10004</v>
      </c>
      <c r="B5" s="1">
        <v>1270</v>
      </c>
      <c r="C5" s="2">
        <v>45079</v>
      </c>
      <c r="D5" s="2">
        <v>45087</v>
      </c>
      <c r="E5" s="1" t="s">
        <v>34</v>
      </c>
      <c r="F5" s="1" t="s">
        <v>29</v>
      </c>
      <c r="G5" s="1" t="s">
        <v>24</v>
      </c>
      <c r="H5" s="1" t="s">
        <v>35</v>
      </c>
      <c r="I5" s="1" t="s">
        <v>26</v>
      </c>
      <c r="J5" s="1" t="s">
        <v>36</v>
      </c>
      <c r="K5" s="1" t="s">
        <v>21</v>
      </c>
      <c r="L5" s="1">
        <v>1</v>
      </c>
      <c r="M5" s="1">
        <v>1008.79</v>
      </c>
      <c r="N5" s="1">
        <v>15</v>
      </c>
      <c r="O5" s="1">
        <v>857.47</v>
      </c>
      <c r="P5" s="1">
        <f t="shared" si="0"/>
        <v>1008.79</v>
      </c>
      <c r="Q5" s="10">
        <f t="shared" si="1"/>
        <v>128.62049999999999</v>
      </c>
      <c r="R5" s="11">
        <f t="shared" si="2"/>
        <v>880.16949999999997</v>
      </c>
      <c r="S5" s="1" t="str">
        <f t="shared" si="3"/>
        <v>Low</v>
      </c>
      <c r="T5" s="1" t="str" cm="1">
        <f t="array" ref="T5">_xlfn.IFS(L5&gt;5,"High",L5=5,"mediam",L5&lt;5,"low")</f>
        <v>low</v>
      </c>
      <c r="U5" s="1" t="b">
        <f t="shared" si="4"/>
        <v>0</v>
      </c>
      <c r="W5" s="3" t="s">
        <v>1</v>
      </c>
      <c r="X5" s="3" t="s">
        <v>11</v>
      </c>
      <c r="Z5" s="1">
        <v>1270</v>
      </c>
      <c r="AA5" s="5">
        <v>10004</v>
      </c>
    </row>
    <row r="6" spans="1:31" x14ac:dyDescent="0.3">
      <c r="A6" s="5">
        <v>10005</v>
      </c>
      <c r="B6" s="1">
        <v>1106</v>
      </c>
      <c r="C6" s="2">
        <v>45241</v>
      </c>
      <c r="D6" s="2">
        <v>45244</v>
      </c>
      <c r="E6" s="1" t="s">
        <v>37</v>
      </c>
      <c r="F6" s="1" t="s">
        <v>38</v>
      </c>
      <c r="G6" s="1" t="s">
        <v>30</v>
      </c>
      <c r="H6" s="1" t="s">
        <v>18</v>
      </c>
      <c r="I6" s="1" t="s">
        <v>31</v>
      </c>
      <c r="J6" s="1" t="s">
        <v>39</v>
      </c>
      <c r="K6" s="1" t="s">
        <v>21</v>
      </c>
      <c r="L6" s="1">
        <v>7</v>
      </c>
      <c r="M6" s="1">
        <v>3511.47</v>
      </c>
      <c r="N6" s="1">
        <v>20</v>
      </c>
      <c r="O6" s="1">
        <v>19664.23</v>
      </c>
      <c r="P6" s="1">
        <f t="shared" si="0"/>
        <v>24580.289999999997</v>
      </c>
      <c r="Q6" s="10">
        <f t="shared" si="1"/>
        <v>3932.846</v>
      </c>
      <c r="R6" s="11">
        <f t="shared" si="2"/>
        <v>20647.443999999996</v>
      </c>
      <c r="S6" s="1" t="str">
        <f t="shared" si="3"/>
        <v>High</v>
      </c>
      <c r="T6" s="1" t="str" cm="1">
        <f t="array" ref="T6">_xlfn.IFS(L6&gt;5,"High",L6=5,"mediam",L6&lt;5,"low")</f>
        <v>High</v>
      </c>
      <c r="U6" s="1" t="str">
        <f t="shared" si="4"/>
        <v>High</v>
      </c>
      <c r="W6" s="1">
        <v>1276</v>
      </c>
      <c r="X6" s="1">
        <f>VLOOKUP(W6,B1:U501,11,FALSE)</f>
        <v>5</v>
      </c>
      <c r="Z6" s="1">
        <v>1106</v>
      </c>
      <c r="AA6" s="5">
        <v>10005</v>
      </c>
    </row>
    <row r="7" spans="1:31" x14ac:dyDescent="0.3">
      <c r="A7" s="5">
        <v>10006</v>
      </c>
      <c r="B7" s="1">
        <v>1071</v>
      </c>
      <c r="C7" s="2">
        <v>45260</v>
      </c>
      <c r="D7" s="2">
        <v>45263</v>
      </c>
      <c r="E7" s="1" t="s">
        <v>40</v>
      </c>
      <c r="F7" s="1" t="s">
        <v>41</v>
      </c>
      <c r="G7" s="1" t="s">
        <v>24</v>
      </c>
      <c r="H7" s="1" t="s">
        <v>42</v>
      </c>
      <c r="I7" s="1" t="s">
        <v>19</v>
      </c>
      <c r="J7" s="1" t="s">
        <v>43</v>
      </c>
      <c r="K7" s="1" t="s">
        <v>33</v>
      </c>
      <c r="L7" s="1">
        <v>3</v>
      </c>
      <c r="M7" s="1">
        <v>3189.55</v>
      </c>
      <c r="N7" s="1">
        <v>10</v>
      </c>
      <c r="O7" s="1">
        <v>8611.7800000000007</v>
      </c>
      <c r="P7" s="1">
        <f t="shared" si="0"/>
        <v>9568.6500000000015</v>
      </c>
      <c r="Q7" s="10">
        <f t="shared" si="1"/>
        <v>861.17800000000011</v>
      </c>
      <c r="R7" s="11">
        <f t="shared" si="2"/>
        <v>8707.4720000000016</v>
      </c>
      <c r="S7" s="1" t="str">
        <f t="shared" si="3"/>
        <v>Low</v>
      </c>
      <c r="T7" s="1" t="str" cm="1">
        <f t="array" ref="T7">_xlfn.IFS(L7&gt;5,"High",L7=5,"mediam",L7&lt;5,"low")</f>
        <v>low</v>
      </c>
      <c r="U7" s="1" t="b">
        <f t="shared" si="4"/>
        <v>0</v>
      </c>
      <c r="Z7" s="1">
        <v>1071</v>
      </c>
      <c r="AA7" s="5">
        <v>10006</v>
      </c>
    </row>
    <row r="8" spans="1:31" x14ac:dyDescent="0.3">
      <c r="A8" s="5">
        <v>10007</v>
      </c>
      <c r="B8" s="1">
        <v>1700</v>
      </c>
      <c r="C8" s="2">
        <v>45050</v>
      </c>
      <c r="D8" s="2">
        <v>45054</v>
      </c>
      <c r="E8" s="1" t="s">
        <v>34</v>
      </c>
      <c r="F8" s="1" t="s">
        <v>41</v>
      </c>
      <c r="G8" s="1" t="s">
        <v>17</v>
      </c>
      <c r="H8" s="1" t="s">
        <v>44</v>
      </c>
      <c r="I8" s="1" t="s">
        <v>31</v>
      </c>
      <c r="J8" s="1" t="s">
        <v>32</v>
      </c>
      <c r="K8" s="1" t="s">
        <v>45</v>
      </c>
      <c r="L8" s="1">
        <v>5</v>
      </c>
      <c r="M8" s="1">
        <v>3030.42</v>
      </c>
      <c r="N8" s="1">
        <v>10</v>
      </c>
      <c r="O8" s="1">
        <v>13636.89</v>
      </c>
      <c r="P8" s="1">
        <f t="shared" si="0"/>
        <v>15152.1</v>
      </c>
      <c r="Q8" s="10">
        <f t="shared" si="1"/>
        <v>1363.6890000000001</v>
      </c>
      <c r="R8" s="11">
        <f t="shared" si="2"/>
        <v>13788.411</v>
      </c>
      <c r="S8" s="1" t="str">
        <f t="shared" si="3"/>
        <v>High</v>
      </c>
      <c r="T8" s="1" t="str" cm="1">
        <f t="array" ref="T8">_xlfn.IFS(L8&gt;5,"High",L8=5,"mediam",L8&lt;5,"low")</f>
        <v>mediam</v>
      </c>
      <c r="U8" s="1" t="b">
        <f>IF(L8&gt;5,"High",IF(L8="Mediam","Low"))</f>
        <v>0</v>
      </c>
      <c r="Z8" s="1">
        <v>1700</v>
      </c>
      <c r="AA8" s="5">
        <v>10007</v>
      </c>
    </row>
    <row r="9" spans="1:31" x14ac:dyDescent="0.3">
      <c r="A9" s="5">
        <v>10008</v>
      </c>
      <c r="B9" s="1">
        <v>1020</v>
      </c>
      <c r="C9" s="2">
        <v>45040</v>
      </c>
      <c r="D9" s="2">
        <v>45041</v>
      </c>
      <c r="E9" s="1" t="s">
        <v>46</v>
      </c>
      <c r="F9" s="1" t="s">
        <v>16</v>
      </c>
      <c r="G9" s="1" t="s">
        <v>24</v>
      </c>
      <c r="H9" s="1" t="s">
        <v>18</v>
      </c>
      <c r="I9" s="1" t="s">
        <v>31</v>
      </c>
      <c r="J9" s="1" t="s">
        <v>32</v>
      </c>
      <c r="K9" s="1" t="s">
        <v>47</v>
      </c>
      <c r="L9" s="1">
        <v>4</v>
      </c>
      <c r="M9" s="1">
        <v>2310.83</v>
      </c>
      <c r="N9" s="1">
        <v>10</v>
      </c>
      <c r="O9" s="1">
        <v>8318.99</v>
      </c>
      <c r="P9" s="1">
        <f t="shared" si="0"/>
        <v>9243.32</v>
      </c>
      <c r="Q9" s="10">
        <f t="shared" si="1"/>
        <v>831.899</v>
      </c>
      <c r="R9" s="11">
        <f t="shared" si="2"/>
        <v>8411.4210000000003</v>
      </c>
      <c r="S9" s="1" t="str">
        <f t="shared" si="3"/>
        <v>Low</v>
      </c>
      <c r="T9" s="1" t="str" cm="1">
        <f t="array" ref="T9">_xlfn.IFS(L9&gt;5,"High",L9=5,"mediam",L9&lt;5,"low")</f>
        <v>low</v>
      </c>
      <c r="U9" s="1" t="b">
        <f t="shared" ref="U9:U72" si="5">IF(L9&gt;5,"High",IF(L9="Mediam","Low"))</f>
        <v>0</v>
      </c>
      <c r="Z9" s="1">
        <v>1020</v>
      </c>
      <c r="AA9" s="5">
        <v>10008</v>
      </c>
    </row>
    <row r="10" spans="1:31" x14ac:dyDescent="0.3">
      <c r="A10" s="5">
        <v>10009</v>
      </c>
      <c r="B10" s="1">
        <v>1614</v>
      </c>
      <c r="C10" s="2">
        <v>45204</v>
      </c>
      <c r="D10" s="2">
        <v>45213</v>
      </c>
      <c r="E10" s="1" t="s">
        <v>15</v>
      </c>
      <c r="F10" s="1" t="s">
        <v>29</v>
      </c>
      <c r="G10" s="1" t="s">
        <v>24</v>
      </c>
      <c r="H10" s="1" t="s">
        <v>25</v>
      </c>
      <c r="I10" s="1" t="s">
        <v>31</v>
      </c>
      <c r="J10" s="1" t="s">
        <v>48</v>
      </c>
      <c r="K10" s="1" t="s">
        <v>28</v>
      </c>
      <c r="L10" s="1">
        <v>5</v>
      </c>
      <c r="M10" s="1">
        <v>1098.04</v>
      </c>
      <c r="N10" s="1">
        <v>15</v>
      </c>
      <c r="O10" s="1">
        <v>4666.67</v>
      </c>
      <c r="P10" s="1">
        <f t="shared" si="0"/>
        <v>5490.2</v>
      </c>
      <c r="Q10" s="10">
        <f t="shared" si="1"/>
        <v>700.00049999999999</v>
      </c>
      <c r="R10" s="11">
        <f t="shared" si="2"/>
        <v>4790.1994999999997</v>
      </c>
      <c r="S10" s="1" t="str">
        <f t="shared" si="3"/>
        <v>High</v>
      </c>
      <c r="T10" s="1" t="str" cm="1">
        <f t="array" ref="T10">_xlfn.IFS(L10&gt;5,"High",L10=5,"mediam",L10&lt;5,"low")</f>
        <v>mediam</v>
      </c>
      <c r="U10" s="1" t="b">
        <f t="shared" si="5"/>
        <v>0</v>
      </c>
      <c r="Z10" s="1">
        <v>1614</v>
      </c>
      <c r="AA10" s="5">
        <v>10009</v>
      </c>
    </row>
    <row r="11" spans="1:31" x14ac:dyDescent="0.3">
      <c r="A11" s="5">
        <v>10010</v>
      </c>
      <c r="B11" s="1">
        <v>1121</v>
      </c>
      <c r="C11" s="2">
        <v>45139</v>
      </c>
      <c r="D11" s="2">
        <v>45147</v>
      </c>
      <c r="E11" s="1" t="s">
        <v>34</v>
      </c>
      <c r="F11" s="1" t="s">
        <v>38</v>
      </c>
      <c r="G11" s="1" t="s">
        <v>24</v>
      </c>
      <c r="H11" s="1" t="s">
        <v>35</v>
      </c>
      <c r="I11" s="1" t="s">
        <v>49</v>
      </c>
      <c r="J11" s="1" t="s">
        <v>50</v>
      </c>
      <c r="K11" s="1" t="s">
        <v>47</v>
      </c>
      <c r="L11" s="1">
        <v>5</v>
      </c>
      <c r="M11" s="1">
        <v>1780.66</v>
      </c>
      <c r="N11" s="1">
        <v>20</v>
      </c>
      <c r="O11" s="1">
        <v>7122.64</v>
      </c>
      <c r="P11" s="1">
        <f t="shared" si="0"/>
        <v>8903.3000000000011</v>
      </c>
      <c r="Q11" s="10">
        <f t="shared" si="1"/>
        <v>1424.5280000000002</v>
      </c>
      <c r="R11" s="11">
        <f t="shared" si="2"/>
        <v>7478.7720000000008</v>
      </c>
      <c r="S11" s="1" t="str">
        <f t="shared" si="3"/>
        <v>High</v>
      </c>
      <c r="T11" s="1" t="str" cm="1">
        <f t="array" ref="T11">_xlfn.IFS(L11&gt;5,"High",L11=5,"mediam",L11&lt;5,"low")</f>
        <v>mediam</v>
      </c>
      <c r="U11" s="1" t="b">
        <f t="shared" si="5"/>
        <v>0</v>
      </c>
      <c r="Z11" s="1">
        <v>1121</v>
      </c>
      <c r="AA11" s="5">
        <v>10010</v>
      </c>
    </row>
    <row r="12" spans="1:31" x14ac:dyDescent="0.3">
      <c r="A12" s="5">
        <v>10011</v>
      </c>
      <c r="B12" s="1">
        <v>1466</v>
      </c>
      <c r="C12" s="2">
        <v>45098</v>
      </c>
      <c r="D12" s="2">
        <v>45106</v>
      </c>
      <c r="E12" s="1" t="s">
        <v>34</v>
      </c>
      <c r="F12" s="1" t="s">
        <v>38</v>
      </c>
      <c r="G12" s="1" t="s">
        <v>17</v>
      </c>
      <c r="H12" s="1" t="s">
        <v>35</v>
      </c>
      <c r="I12" s="1" t="s">
        <v>49</v>
      </c>
      <c r="J12" s="1" t="s">
        <v>50</v>
      </c>
      <c r="K12" s="1" t="s">
        <v>33</v>
      </c>
      <c r="L12" s="1">
        <v>6</v>
      </c>
      <c r="M12" s="1">
        <v>3205.25</v>
      </c>
      <c r="N12" s="1">
        <v>0</v>
      </c>
      <c r="O12" s="1">
        <v>19231.5</v>
      </c>
      <c r="P12" s="1">
        <f t="shared" si="0"/>
        <v>19231.5</v>
      </c>
      <c r="Q12" s="10">
        <f t="shared" si="1"/>
        <v>0</v>
      </c>
      <c r="R12" s="11">
        <f t="shared" si="2"/>
        <v>19231.5</v>
      </c>
      <c r="S12" s="1" t="str">
        <f t="shared" si="3"/>
        <v>High</v>
      </c>
      <c r="T12" s="1" t="str" cm="1">
        <f t="array" ref="T12">_xlfn.IFS(L12&gt;5,"High",L12=5,"mediam",L12&lt;5,"low")</f>
        <v>High</v>
      </c>
      <c r="U12" s="1" t="str">
        <f t="shared" si="5"/>
        <v>High</v>
      </c>
      <c r="Z12" s="1">
        <v>1466</v>
      </c>
      <c r="AA12" s="5">
        <v>10011</v>
      </c>
    </row>
    <row r="13" spans="1:31" x14ac:dyDescent="0.3">
      <c r="A13" s="5">
        <v>10012</v>
      </c>
      <c r="B13" s="1">
        <v>1214</v>
      </c>
      <c r="C13" s="2">
        <v>45214</v>
      </c>
      <c r="D13" s="2">
        <v>45220</v>
      </c>
      <c r="E13" s="1" t="s">
        <v>46</v>
      </c>
      <c r="F13" s="1" t="s">
        <v>23</v>
      </c>
      <c r="G13" s="1" t="s">
        <v>24</v>
      </c>
      <c r="H13" s="1" t="s">
        <v>44</v>
      </c>
      <c r="I13" s="1" t="s">
        <v>49</v>
      </c>
      <c r="J13" s="1" t="s">
        <v>51</v>
      </c>
      <c r="K13" s="1" t="s">
        <v>21</v>
      </c>
      <c r="L13" s="1">
        <v>6</v>
      </c>
      <c r="M13" s="1">
        <v>272.35000000000002</v>
      </c>
      <c r="N13" s="1">
        <v>5</v>
      </c>
      <c r="O13" s="1">
        <v>1552.39</v>
      </c>
      <c r="P13" s="1">
        <f t="shared" si="0"/>
        <v>1634.1000000000001</v>
      </c>
      <c r="Q13" s="10">
        <f t="shared" si="1"/>
        <v>77.619500000000016</v>
      </c>
      <c r="R13" s="11">
        <f t="shared" si="2"/>
        <v>1556.4805000000001</v>
      </c>
      <c r="S13" s="1" t="str">
        <f t="shared" si="3"/>
        <v>High</v>
      </c>
      <c r="T13" s="1" t="str" cm="1">
        <f t="array" ref="T13">_xlfn.IFS(L13&gt;5,"High",L13=5,"mediam",L13&lt;5,"low")</f>
        <v>High</v>
      </c>
      <c r="U13" s="1" t="str">
        <f t="shared" si="5"/>
        <v>High</v>
      </c>
      <c r="Z13" s="1">
        <v>1214</v>
      </c>
      <c r="AA13" s="5">
        <v>10012</v>
      </c>
    </row>
    <row r="14" spans="1:31" x14ac:dyDescent="0.3">
      <c r="A14" s="5">
        <v>10013</v>
      </c>
      <c r="B14" s="1">
        <v>1330</v>
      </c>
      <c r="C14" s="2">
        <v>45100</v>
      </c>
      <c r="D14" s="2">
        <v>45107</v>
      </c>
      <c r="E14" s="1" t="s">
        <v>16</v>
      </c>
      <c r="F14" s="1" t="s">
        <v>23</v>
      </c>
      <c r="G14" s="1" t="s">
        <v>17</v>
      </c>
      <c r="H14" s="1" t="s">
        <v>35</v>
      </c>
      <c r="I14" s="1" t="s">
        <v>19</v>
      </c>
      <c r="J14" s="1" t="s">
        <v>43</v>
      </c>
      <c r="K14" s="1" t="s">
        <v>21</v>
      </c>
      <c r="L14" s="1">
        <v>8</v>
      </c>
      <c r="M14" s="1">
        <v>3160.9</v>
      </c>
      <c r="N14" s="1">
        <v>0</v>
      </c>
      <c r="O14" s="1">
        <v>25287.200000000001</v>
      </c>
      <c r="P14" s="1">
        <f t="shared" si="0"/>
        <v>25287.200000000001</v>
      </c>
      <c r="Q14" s="10">
        <f t="shared" si="1"/>
        <v>0</v>
      </c>
      <c r="R14" s="11">
        <f t="shared" si="2"/>
        <v>25287.200000000001</v>
      </c>
      <c r="S14" s="1" t="str">
        <f t="shared" si="3"/>
        <v>High</v>
      </c>
      <c r="T14" s="1" t="str" cm="1">
        <f t="array" ref="T14">_xlfn.IFS(L14&gt;5,"High",L14=5,"mediam",L14&lt;5,"low")</f>
        <v>High</v>
      </c>
      <c r="U14" s="1" t="str">
        <f t="shared" si="5"/>
        <v>High</v>
      </c>
      <c r="Z14" s="1">
        <v>1330</v>
      </c>
      <c r="AA14" s="5">
        <v>10013</v>
      </c>
    </row>
    <row r="15" spans="1:31" x14ac:dyDescent="0.3">
      <c r="A15" s="5">
        <v>10014</v>
      </c>
      <c r="B15" s="1">
        <v>1458</v>
      </c>
      <c r="C15" s="2">
        <v>45039</v>
      </c>
      <c r="D15" s="2">
        <v>45045</v>
      </c>
      <c r="E15" s="1" t="s">
        <v>37</v>
      </c>
      <c r="F15" s="1" t="s">
        <v>38</v>
      </c>
      <c r="G15" s="1" t="s">
        <v>30</v>
      </c>
      <c r="H15" s="1" t="s">
        <v>35</v>
      </c>
      <c r="I15" s="1" t="s">
        <v>26</v>
      </c>
      <c r="J15" s="1" t="s">
        <v>36</v>
      </c>
      <c r="K15" s="1" t="s">
        <v>28</v>
      </c>
      <c r="L15" s="1">
        <v>8</v>
      </c>
      <c r="M15" s="1">
        <v>1074.27</v>
      </c>
      <c r="N15" s="1">
        <v>15</v>
      </c>
      <c r="O15" s="1">
        <v>7305.04</v>
      </c>
      <c r="P15" s="1">
        <f t="shared" si="0"/>
        <v>8594.16</v>
      </c>
      <c r="Q15" s="10">
        <f t="shared" si="1"/>
        <v>1095.7559999999999</v>
      </c>
      <c r="R15" s="11">
        <f t="shared" si="2"/>
        <v>7498.4040000000005</v>
      </c>
      <c r="S15" s="1" t="str">
        <f t="shared" si="3"/>
        <v>High</v>
      </c>
      <c r="T15" s="1" t="str" cm="1">
        <f t="array" ref="T15">_xlfn.IFS(L15&gt;5,"High",L15=5,"mediam",L15&lt;5,"low")</f>
        <v>High</v>
      </c>
      <c r="U15" s="1" t="str">
        <f t="shared" si="5"/>
        <v>High</v>
      </c>
      <c r="Z15" s="1">
        <v>1458</v>
      </c>
      <c r="AA15" s="5">
        <v>10014</v>
      </c>
    </row>
    <row r="16" spans="1:31" x14ac:dyDescent="0.3">
      <c r="A16" s="5">
        <v>10015</v>
      </c>
      <c r="B16" s="1">
        <v>1087</v>
      </c>
      <c r="C16" s="2">
        <v>45048</v>
      </c>
      <c r="D16" s="2">
        <v>45057</v>
      </c>
      <c r="E16" s="1" t="s">
        <v>40</v>
      </c>
      <c r="F16" s="1" t="s">
        <v>23</v>
      </c>
      <c r="G16" s="1" t="s">
        <v>24</v>
      </c>
      <c r="H16" s="1" t="s">
        <v>18</v>
      </c>
      <c r="I16" s="1" t="s">
        <v>52</v>
      </c>
      <c r="J16" s="1" t="s">
        <v>53</v>
      </c>
      <c r="K16" s="1" t="s">
        <v>21</v>
      </c>
      <c r="L16" s="1">
        <v>9</v>
      </c>
      <c r="M16" s="1">
        <v>705.59</v>
      </c>
      <c r="N16" s="1">
        <v>10</v>
      </c>
      <c r="O16" s="1">
        <v>5715.28</v>
      </c>
      <c r="P16" s="1">
        <f t="shared" si="0"/>
        <v>6350.31</v>
      </c>
      <c r="Q16" s="10">
        <f t="shared" si="1"/>
        <v>571.52800000000002</v>
      </c>
      <c r="R16" s="11">
        <f t="shared" si="2"/>
        <v>5778.7820000000002</v>
      </c>
      <c r="S16" s="1" t="str">
        <f t="shared" si="3"/>
        <v>High</v>
      </c>
      <c r="T16" s="1" t="str" cm="1">
        <f t="array" ref="T16">_xlfn.IFS(L16&gt;5,"High",L16=5,"mediam",L16&lt;5,"low")</f>
        <v>High</v>
      </c>
      <c r="U16" s="1" t="str">
        <f t="shared" si="5"/>
        <v>High</v>
      </c>
      <c r="Z16" s="1">
        <v>1087</v>
      </c>
      <c r="AA16" s="5">
        <v>10015</v>
      </c>
    </row>
    <row r="17" spans="1:27" x14ac:dyDescent="0.3">
      <c r="A17" s="5">
        <v>10016</v>
      </c>
      <c r="B17" s="1">
        <v>1372</v>
      </c>
      <c r="C17" s="2">
        <v>44958</v>
      </c>
      <c r="D17" s="2">
        <v>44961</v>
      </c>
      <c r="E17" s="1" t="s">
        <v>22</v>
      </c>
      <c r="F17" s="1" t="s">
        <v>29</v>
      </c>
      <c r="G17" s="1" t="s">
        <v>17</v>
      </c>
      <c r="H17" s="1" t="s">
        <v>42</v>
      </c>
      <c r="I17" s="1" t="s">
        <v>31</v>
      </c>
      <c r="J17" s="1" t="s">
        <v>39</v>
      </c>
      <c r="K17" s="1" t="s">
        <v>21</v>
      </c>
      <c r="L17" s="1">
        <v>8</v>
      </c>
      <c r="M17" s="1">
        <v>595.45000000000005</v>
      </c>
      <c r="N17" s="1">
        <v>5</v>
      </c>
      <c r="O17" s="1">
        <v>4525.42</v>
      </c>
      <c r="P17" s="1">
        <f t="shared" si="0"/>
        <v>4763.6000000000004</v>
      </c>
      <c r="Q17" s="10">
        <f t="shared" si="1"/>
        <v>226.27100000000002</v>
      </c>
      <c r="R17" s="11">
        <f t="shared" si="2"/>
        <v>4537.3290000000006</v>
      </c>
      <c r="S17" s="1" t="str">
        <f t="shared" si="3"/>
        <v>High</v>
      </c>
      <c r="T17" s="1" t="str" cm="1">
        <f t="array" ref="T17">_xlfn.IFS(L17&gt;5,"High",L17=5,"mediam",L17&lt;5,"low")</f>
        <v>High</v>
      </c>
      <c r="U17" s="1" t="str">
        <f t="shared" si="5"/>
        <v>High</v>
      </c>
      <c r="Z17" s="1">
        <v>1372</v>
      </c>
      <c r="AA17" s="5">
        <v>10016</v>
      </c>
    </row>
    <row r="18" spans="1:27" x14ac:dyDescent="0.3">
      <c r="A18" s="5">
        <v>10017</v>
      </c>
      <c r="B18" s="1">
        <v>1099</v>
      </c>
      <c r="C18" s="2">
        <v>45148</v>
      </c>
      <c r="D18" s="2">
        <v>45151</v>
      </c>
      <c r="E18" s="1" t="s">
        <v>16</v>
      </c>
      <c r="F18" s="1" t="s">
        <v>54</v>
      </c>
      <c r="G18" s="1" t="s">
        <v>17</v>
      </c>
      <c r="H18" s="1" t="s">
        <v>44</v>
      </c>
      <c r="I18" s="1" t="s">
        <v>31</v>
      </c>
      <c r="J18" s="1" t="s">
        <v>39</v>
      </c>
      <c r="K18" s="1" t="s">
        <v>28</v>
      </c>
      <c r="L18" s="1">
        <v>2</v>
      </c>
      <c r="M18" s="1">
        <v>254.91</v>
      </c>
      <c r="N18" s="1">
        <v>15</v>
      </c>
      <c r="O18" s="1">
        <v>433.35</v>
      </c>
      <c r="P18" s="1">
        <f t="shared" si="0"/>
        <v>509.82</v>
      </c>
      <c r="Q18" s="10">
        <f t="shared" si="1"/>
        <v>65.002499999999998</v>
      </c>
      <c r="R18" s="11">
        <f t="shared" si="2"/>
        <v>444.8175</v>
      </c>
      <c r="S18" s="1" t="str">
        <f t="shared" si="3"/>
        <v>Low</v>
      </c>
      <c r="T18" s="1" t="str" cm="1">
        <f t="array" ref="T18">_xlfn.IFS(L18&gt;5,"High",L18=5,"mediam",L18&lt;5,"low")</f>
        <v>low</v>
      </c>
      <c r="U18" s="1" t="b">
        <f t="shared" si="5"/>
        <v>0</v>
      </c>
      <c r="Z18" s="1">
        <v>1099</v>
      </c>
      <c r="AA18" s="5">
        <v>10017</v>
      </c>
    </row>
    <row r="19" spans="1:27" x14ac:dyDescent="0.3">
      <c r="A19" s="5">
        <v>10018</v>
      </c>
      <c r="B19" s="1">
        <v>1871</v>
      </c>
      <c r="C19" s="2">
        <v>45045</v>
      </c>
      <c r="D19" s="2">
        <v>45048</v>
      </c>
      <c r="E19" s="1" t="s">
        <v>15</v>
      </c>
      <c r="F19" s="1" t="s">
        <v>29</v>
      </c>
      <c r="G19" s="1" t="s">
        <v>24</v>
      </c>
      <c r="H19" s="1" t="s">
        <v>18</v>
      </c>
      <c r="I19" s="1" t="s">
        <v>19</v>
      </c>
      <c r="J19" s="1" t="s">
        <v>55</v>
      </c>
      <c r="K19" s="1" t="s">
        <v>28</v>
      </c>
      <c r="L19" s="1">
        <v>1</v>
      </c>
      <c r="M19" s="1">
        <v>2165.81</v>
      </c>
      <c r="N19" s="1">
        <v>15</v>
      </c>
      <c r="O19" s="1">
        <v>1840.94</v>
      </c>
      <c r="P19" s="1">
        <f t="shared" si="0"/>
        <v>2165.81</v>
      </c>
      <c r="Q19" s="10">
        <f t="shared" si="1"/>
        <v>276.14100000000002</v>
      </c>
      <c r="R19" s="11">
        <f t="shared" si="2"/>
        <v>1889.6689999999999</v>
      </c>
      <c r="S19" s="1" t="str">
        <f t="shared" si="3"/>
        <v>Low</v>
      </c>
      <c r="T19" s="1" t="str" cm="1">
        <f t="array" ref="T19">_xlfn.IFS(L19&gt;5,"High",L19=5,"mediam",L19&lt;5,"low")</f>
        <v>low</v>
      </c>
      <c r="U19" s="1" t="b">
        <f t="shared" si="5"/>
        <v>0</v>
      </c>
      <c r="Z19" s="1">
        <v>1871</v>
      </c>
      <c r="AA19" s="5">
        <v>10018</v>
      </c>
    </row>
    <row r="20" spans="1:27" x14ac:dyDescent="0.3">
      <c r="A20" s="5">
        <v>10019</v>
      </c>
      <c r="B20" s="1">
        <v>1663</v>
      </c>
      <c r="C20" s="2">
        <v>44965</v>
      </c>
      <c r="D20" s="2">
        <v>44968</v>
      </c>
      <c r="E20" s="1" t="s">
        <v>34</v>
      </c>
      <c r="F20" s="1" t="s">
        <v>38</v>
      </c>
      <c r="G20" s="1" t="s">
        <v>30</v>
      </c>
      <c r="H20" s="1" t="s">
        <v>42</v>
      </c>
      <c r="I20" s="1" t="s">
        <v>31</v>
      </c>
      <c r="J20" s="1" t="s">
        <v>39</v>
      </c>
      <c r="K20" s="1" t="s">
        <v>33</v>
      </c>
      <c r="L20" s="1">
        <v>2</v>
      </c>
      <c r="M20" s="1">
        <v>990.3</v>
      </c>
      <c r="N20" s="1">
        <v>15</v>
      </c>
      <c r="O20" s="1">
        <v>1683.51</v>
      </c>
      <c r="P20" s="1">
        <f t="shared" si="0"/>
        <v>1980.6</v>
      </c>
      <c r="Q20" s="10">
        <f t="shared" si="1"/>
        <v>252.5265</v>
      </c>
      <c r="R20" s="11">
        <f t="shared" si="2"/>
        <v>1728.0735</v>
      </c>
      <c r="S20" s="1" t="str">
        <f t="shared" si="3"/>
        <v>Low</v>
      </c>
      <c r="T20" s="1" t="str" cm="1">
        <f t="array" ref="T20">_xlfn.IFS(L20&gt;5,"High",L20=5,"mediam",L20&lt;5,"low")</f>
        <v>low</v>
      </c>
      <c r="U20" s="1" t="b">
        <f t="shared" si="5"/>
        <v>0</v>
      </c>
      <c r="Z20" s="1">
        <v>1663</v>
      </c>
      <c r="AA20" s="5">
        <v>10019</v>
      </c>
    </row>
    <row r="21" spans="1:27" x14ac:dyDescent="0.3">
      <c r="A21" s="5">
        <v>10020</v>
      </c>
      <c r="B21" s="1">
        <v>1130</v>
      </c>
      <c r="C21" s="2">
        <v>45194</v>
      </c>
      <c r="D21" s="2">
        <v>45203</v>
      </c>
      <c r="E21" s="1" t="s">
        <v>46</v>
      </c>
      <c r="F21" s="1" t="s">
        <v>38</v>
      </c>
      <c r="G21" s="1" t="s">
        <v>17</v>
      </c>
      <c r="H21" s="1" t="s">
        <v>18</v>
      </c>
      <c r="I21" s="1" t="s">
        <v>49</v>
      </c>
      <c r="J21" s="1" t="s">
        <v>51</v>
      </c>
      <c r="K21" s="1" t="s">
        <v>21</v>
      </c>
      <c r="L21" s="1">
        <v>2</v>
      </c>
      <c r="M21" s="1">
        <v>3959.31</v>
      </c>
      <c r="N21" s="1">
        <v>5</v>
      </c>
      <c r="O21" s="1">
        <v>7522.69</v>
      </c>
      <c r="P21" s="1">
        <f t="shared" si="0"/>
        <v>7918.62</v>
      </c>
      <c r="Q21" s="10">
        <f t="shared" si="1"/>
        <v>376.1345</v>
      </c>
      <c r="R21" s="11">
        <f t="shared" si="2"/>
        <v>7542.4854999999998</v>
      </c>
      <c r="S21" s="1" t="str">
        <f t="shared" si="3"/>
        <v>Low</v>
      </c>
      <c r="T21" s="1" t="str" cm="1">
        <f t="array" ref="T21">_xlfn.IFS(L21&gt;5,"High",L21=5,"mediam",L21&lt;5,"low")</f>
        <v>low</v>
      </c>
      <c r="U21" s="1" t="b">
        <f t="shared" si="5"/>
        <v>0</v>
      </c>
      <c r="Z21" s="1">
        <v>1130</v>
      </c>
      <c r="AA21" s="5">
        <v>10020</v>
      </c>
    </row>
    <row r="22" spans="1:27" x14ac:dyDescent="0.3">
      <c r="A22" s="5">
        <v>10021</v>
      </c>
      <c r="B22" s="1">
        <v>1661</v>
      </c>
      <c r="C22" s="2">
        <v>45159</v>
      </c>
      <c r="D22" s="2">
        <v>45163</v>
      </c>
      <c r="E22" s="1" t="s">
        <v>46</v>
      </c>
      <c r="F22" s="1" t="s">
        <v>29</v>
      </c>
      <c r="G22" s="1" t="s">
        <v>24</v>
      </c>
      <c r="H22" s="1" t="s">
        <v>18</v>
      </c>
      <c r="I22" s="1" t="s">
        <v>52</v>
      </c>
      <c r="J22" s="1" t="s">
        <v>56</v>
      </c>
      <c r="K22" s="1" t="s">
        <v>21</v>
      </c>
      <c r="L22" s="1">
        <v>3</v>
      </c>
      <c r="M22" s="1">
        <v>2361.58</v>
      </c>
      <c r="N22" s="1">
        <v>5</v>
      </c>
      <c r="O22" s="1">
        <v>6730.5</v>
      </c>
      <c r="P22" s="1">
        <f t="shared" si="0"/>
        <v>7084.74</v>
      </c>
      <c r="Q22" s="10">
        <f t="shared" si="1"/>
        <v>336.52500000000003</v>
      </c>
      <c r="R22" s="11">
        <f t="shared" si="2"/>
        <v>6748.2150000000001</v>
      </c>
      <c r="S22" s="1" t="str">
        <f t="shared" si="3"/>
        <v>Low</v>
      </c>
      <c r="T22" s="1" t="str" cm="1">
        <f t="array" ref="T22">_xlfn.IFS(L22&gt;5,"High",L22=5,"mediam",L22&lt;5,"low")</f>
        <v>low</v>
      </c>
      <c r="U22" s="1" t="b">
        <f t="shared" si="5"/>
        <v>0</v>
      </c>
      <c r="Z22" s="1">
        <v>1661</v>
      </c>
      <c r="AA22" s="5">
        <v>10021</v>
      </c>
    </row>
    <row r="23" spans="1:27" x14ac:dyDescent="0.3">
      <c r="A23" s="5">
        <v>10022</v>
      </c>
      <c r="B23" s="1">
        <v>1308</v>
      </c>
      <c r="C23" s="2">
        <v>44944</v>
      </c>
      <c r="D23" s="2">
        <v>44951</v>
      </c>
      <c r="E23" s="1" t="s">
        <v>37</v>
      </c>
      <c r="F23" s="1" t="s">
        <v>23</v>
      </c>
      <c r="G23" s="1" t="s">
        <v>30</v>
      </c>
      <c r="H23" s="1" t="s">
        <v>35</v>
      </c>
      <c r="I23" s="1" t="s">
        <v>57</v>
      </c>
      <c r="J23" s="1" t="s">
        <v>58</v>
      </c>
      <c r="K23" s="1" t="s">
        <v>33</v>
      </c>
      <c r="L23" s="1">
        <v>7</v>
      </c>
      <c r="M23" s="1">
        <v>680.86</v>
      </c>
      <c r="N23" s="1">
        <v>20</v>
      </c>
      <c r="O23" s="1">
        <v>3812.82</v>
      </c>
      <c r="P23" s="1">
        <f t="shared" si="0"/>
        <v>4766.0200000000004</v>
      </c>
      <c r="Q23" s="10">
        <f t="shared" si="1"/>
        <v>762.56400000000008</v>
      </c>
      <c r="R23" s="11">
        <f t="shared" si="2"/>
        <v>4003.4560000000001</v>
      </c>
      <c r="S23" s="1" t="str">
        <f t="shared" si="3"/>
        <v>High</v>
      </c>
      <c r="T23" s="1" t="str" cm="1">
        <f t="array" ref="T23">_xlfn.IFS(L23&gt;5,"High",L23=5,"mediam",L23&lt;5,"low")</f>
        <v>High</v>
      </c>
      <c r="U23" s="1" t="str">
        <f t="shared" si="5"/>
        <v>High</v>
      </c>
      <c r="Z23" s="1">
        <v>1308</v>
      </c>
      <c r="AA23" s="5">
        <v>10022</v>
      </c>
    </row>
    <row r="24" spans="1:27" x14ac:dyDescent="0.3">
      <c r="A24" s="5">
        <v>10023</v>
      </c>
      <c r="B24" s="1">
        <v>1769</v>
      </c>
      <c r="C24" s="2">
        <v>45075</v>
      </c>
      <c r="D24" s="2">
        <v>45084</v>
      </c>
      <c r="E24" s="1" t="s">
        <v>16</v>
      </c>
      <c r="F24" s="1" t="s">
        <v>23</v>
      </c>
      <c r="G24" s="1" t="s">
        <v>17</v>
      </c>
      <c r="H24" s="1" t="s">
        <v>42</v>
      </c>
      <c r="I24" s="1" t="s">
        <v>31</v>
      </c>
      <c r="J24" s="1" t="s">
        <v>32</v>
      </c>
      <c r="K24" s="1" t="s">
        <v>45</v>
      </c>
      <c r="L24" s="1">
        <v>2</v>
      </c>
      <c r="M24" s="1">
        <v>2801.74</v>
      </c>
      <c r="N24" s="1">
        <v>20</v>
      </c>
      <c r="O24" s="1">
        <v>4482.78</v>
      </c>
      <c r="P24" s="1">
        <f t="shared" si="0"/>
        <v>5603.48</v>
      </c>
      <c r="Q24" s="10">
        <f t="shared" si="1"/>
        <v>896.55600000000004</v>
      </c>
      <c r="R24" s="11">
        <f t="shared" si="2"/>
        <v>4706.9239999999991</v>
      </c>
      <c r="S24" s="1" t="str">
        <f t="shared" si="3"/>
        <v>Low</v>
      </c>
      <c r="T24" s="1" t="str" cm="1">
        <f t="array" ref="T24">_xlfn.IFS(L24&gt;5,"High",L24=5,"mediam",L24&lt;5,"low")</f>
        <v>low</v>
      </c>
      <c r="U24" s="1" t="b">
        <f t="shared" si="5"/>
        <v>0</v>
      </c>
      <c r="Z24" s="1">
        <v>1769</v>
      </c>
      <c r="AA24" s="5">
        <v>10023</v>
      </c>
    </row>
    <row r="25" spans="1:27" x14ac:dyDescent="0.3">
      <c r="A25" s="5">
        <v>10024</v>
      </c>
      <c r="B25" s="1">
        <v>1343</v>
      </c>
      <c r="C25" s="2">
        <v>45075</v>
      </c>
      <c r="D25" s="2">
        <v>45082</v>
      </c>
      <c r="E25" s="1" t="s">
        <v>22</v>
      </c>
      <c r="F25" s="1" t="s">
        <v>41</v>
      </c>
      <c r="G25" s="1" t="s">
        <v>17</v>
      </c>
      <c r="H25" s="1" t="s">
        <v>44</v>
      </c>
      <c r="I25" s="1" t="s">
        <v>49</v>
      </c>
      <c r="J25" s="1" t="s">
        <v>51</v>
      </c>
      <c r="K25" s="1" t="s">
        <v>45</v>
      </c>
      <c r="L25" s="1">
        <v>1</v>
      </c>
      <c r="M25" s="1">
        <v>3606.31</v>
      </c>
      <c r="N25" s="1">
        <v>0</v>
      </c>
      <c r="O25" s="1">
        <v>3606.31</v>
      </c>
      <c r="P25" s="1">
        <f t="shared" si="0"/>
        <v>3606.31</v>
      </c>
      <c r="Q25" s="10">
        <f t="shared" si="1"/>
        <v>0</v>
      </c>
      <c r="R25" s="11">
        <f t="shared" si="2"/>
        <v>3606.31</v>
      </c>
      <c r="S25" s="1" t="str">
        <f t="shared" si="3"/>
        <v>Low</v>
      </c>
      <c r="T25" s="1" t="str" cm="1">
        <f t="array" ref="T25">_xlfn.IFS(L25&gt;5,"High",L25=5,"mediam",L25&lt;5,"low")</f>
        <v>low</v>
      </c>
      <c r="U25" s="1" t="b">
        <f t="shared" si="5"/>
        <v>0</v>
      </c>
      <c r="Z25" s="1">
        <v>1343</v>
      </c>
      <c r="AA25" s="5">
        <v>10024</v>
      </c>
    </row>
    <row r="26" spans="1:27" x14ac:dyDescent="0.3">
      <c r="A26" s="5">
        <v>10025</v>
      </c>
      <c r="B26" s="1">
        <v>1491</v>
      </c>
      <c r="C26" s="2">
        <v>45052</v>
      </c>
      <c r="D26" s="2">
        <v>45061</v>
      </c>
      <c r="E26" s="1" t="s">
        <v>37</v>
      </c>
      <c r="F26" s="1" t="s">
        <v>38</v>
      </c>
      <c r="G26" s="1" t="s">
        <v>30</v>
      </c>
      <c r="H26" s="1" t="s">
        <v>44</v>
      </c>
      <c r="I26" s="1" t="s">
        <v>57</v>
      </c>
      <c r="J26" s="1" t="s">
        <v>59</v>
      </c>
      <c r="K26" s="1" t="s">
        <v>45</v>
      </c>
      <c r="L26" s="1">
        <v>6</v>
      </c>
      <c r="M26" s="1">
        <v>3018.94</v>
      </c>
      <c r="N26" s="1">
        <v>5</v>
      </c>
      <c r="O26" s="1">
        <v>17207.96</v>
      </c>
      <c r="P26" s="1">
        <f t="shared" si="0"/>
        <v>18113.64</v>
      </c>
      <c r="Q26" s="10">
        <f t="shared" si="1"/>
        <v>860.39800000000002</v>
      </c>
      <c r="R26" s="11">
        <f t="shared" si="2"/>
        <v>17253.241999999998</v>
      </c>
      <c r="S26" s="1" t="str">
        <f t="shared" si="3"/>
        <v>High</v>
      </c>
      <c r="T26" s="1" t="str" cm="1">
        <f t="array" ref="T26">_xlfn.IFS(L26&gt;5,"High",L26=5,"mediam",L26&lt;5,"low")</f>
        <v>High</v>
      </c>
      <c r="U26" s="1" t="str">
        <f t="shared" si="5"/>
        <v>High</v>
      </c>
      <c r="Z26" s="1">
        <v>1491</v>
      </c>
      <c r="AA26" s="5">
        <v>10025</v>
      </c>
    </row>
    <row r="27" spans="1:27" x14ac:dyDescent="0.3">
      <c r="A27" s="5">
        <v>10026</v>
      </c>
      <c r="B27" s="1">
        <v>1413</v>
      </c>
      <c r="C27" s="2">
        <v>45228</v>
      </c>
      <c r="D27" s="2">
        <v>45231</v>
      </c>
      <c r="E27" s="1" t="s">
        <v>34</v>
      </c>
      <c r="F27" s="1" t="s">
        <v>16</v>
      </c>
      <c r="G27" s="1" t="s">
        <v>30</v>
      </c>
      <c r="H27" s="1" t="s">
        <v>42</v>
      </c>
      <c r="I27" s="1" t="s">
        <v>52</v>
      </c>
      <c r="J27" s="1" t="s">
        <v>60</v>
      </c>
      <c r="K27" s="1" t="s">
        <v>33</v>
      </c>
      <c r="L27" s="1">
        <v>9</v>
      </c>
      <c r="M27" s="1">
        <v>444.29</v>
      </c>
      <c r="N27" s="1">
        <v>5</v>
      </c>
      <c r="O27" s="1">
        <v>3798.68</v>
      </c>
      <c r="P27" s="1">
        <f t="shared" si="0"/>
        <v>3998.61</v>
      </c>
      <c r="Q27" s="10">
        <f t="shared" si="1"/>
        <v>189.934</v>
      </c>
      <c r="R27" s="11">
        <f t="shared" si="2"/>
        <v>3808.6759999999999</v>
      </c>
      <c r="S27" s="1" t="str">
        <f t="shared" si="3"/>
        <v>High</v>
      </c>
      <c r="T27" s="1" t="str" cm="1">
        <f t="array" ref="T27">_xlfn.IFS(L27&gt;5,"High",L27=5,"mediam",L27&lt;5,"low")</f>
        <v>High</v>
      </c>
      <c r="U27" s="1" t="str">
        <f t="shared" si="5"/>
        <v>High</v>
      </c>
      <c r="Z27" s="1">
        <v>1413</v>
      </c>
      <c r="AA27" s="5">
        <v>10026</v>
      </c>
    </row>
    <row r="28" spans="1:27" x14ac:dyDescent="0.3">
      <c r="A28" s="5">
        <v>10027</v>
      </c>
      <c r="B28" s="1">
        <v>1805</v>
      </c>
      <c r="C28" s="2">
        <v>45286</v>
      </c>
      <c r="D28" s="2">
        <v>45290</v>
      </c>
      <c r="E28" s="1" t="s">
        <v>37</v>
      </c>
      <c r="F28" s="1" t="s">
        <v>41</v>
      </c>
      <c r="G28" s="1" t="s">
        <v>24</v>
      </c>
      <c r="H28" s="1" t="s">
        <v>35</v>
      </c>
      <c r="I28" s="1" t="s">
        <v>57</v>
      </c>
      <c r="J28" s="1" t="s">
        <v>58</v>
      </c>
      <c r="K28" s="1" t="s">
        <v>21</v>
      </c>
      <c r="L28" s="1">
        <v>3</v>
      </c>
      <c r="M28" s="1">
        <v>3599.15</v>
      </c>
      <c r="N28" s="1">
        <v>5</v>
      </c>
      <c r="O28" s="1">
        <v>10257.58</v>
      </c>
      <c r="P28" s="1">
        <f t="shared" si="0"/>
        <v>10797.45</v>
      </c>
      <c r="Q28" s="10">
        <f t="shared" si="1"/>
        <v>512.87900000000002</v>
      </c>
      <c r="R28" s="11">
        <f t="shared" si="2"/>
        <v>10284.571</v>
      </c>
      <c r="S28" s="1" t="str">
        <f t="shared" si="3"/>
        <v>Low</v>
      </c>
      <c r="T28" s="1" t="str" cm="1">
        <f t="array" ref="T28">_xlfn.IFS(L28&gt;5,"High",L28=5,"mediam",L28&lt;5,"low")</f>
        <v>low</v>
      </c>
      <c r="U28" s="1" t="b">
        <f t="shared" si="5"/>
        <v>0</v>
      </c>
      <c r="Z28" s="1">
        <v>1805</v>
      </c>
      <c r="AA28" s="5">
        <v>10027</v>
      </c>
    </row>
    <row r="29" spans="1:27" x14ac:dyDescent="0.3">
      <c r="A29" s="5">
        <v>10028</v>
      </c>
      <c r="B29" s="1">
        <v>1385</v>
      </c>
      <c r="C29" s="2">
        <v>45164</v>
      </c>
      <c r="D29" s="2">
        <v>45172</v>
      </c>
      <c r="E29" s="1" t="s">
        <v>40</v>
      </c>
      <c r="F29" s="1" t="s">
        <v>23</v>
      </c>
      <c r="G29" s="1" t="s">
        <v>24</v>
      </c>
      <c r="H29" s="1" t="s">
        <v>25</v>
      </c>
      <c r="I29" s="1" t="s">
        <v>49</v>
      </c>
      <c r="J29" s="1" t="s">
        <v>51</v>
      </c>
      <c r="K29" s="1" t="s">
        <v>33</v>
      </c>
      <c r="L29" s="1">
        <v>6</v>
      </c>
      <c r="M29" s="1">
        <v>3206.63</v>
      </c>
      <c r="N29" s="1">
        <v>20</v>
      </c>
      <c r="O29" s="1">
        <v>15391.82</v>
      </c>
      <c r="P29" s="1">
        <f t="shared" si="0"/>
        <v>19239.78</v>
      </c>
      <c r="Q29" s="10">
        <f t="shared" si="1"/>
        <v>3078.364</v>
      </c>
      <c r="R29" s="11">
        <f t="shared" si="2"/>
        <v>16161.415999999999</v>
      </c>
      <c r="S29" s="1" t="str">
        <f t="shared" si="3"/>
        <v>High</v>
      </c>
      <c r="T29" s="1" t="str" cm="1">
        <f t="array" ref="T29">_xlfn.IFS(L29&gt;5,"High",L29=5,"mediam",L29&lt;5,"low")</f>
        <v>High</v>
      </c>
      <c r="U29" s="1" t="str">
        <f t="shared" si="5"/>
        <v>High</v>
      </c>
      <c r="Z29" s="1">
        <v>1385</v>
      </c>
      <c r="AA29" s="5">
        <v>10028</v>
      </c>
    </row>
    <row r="30" spans="1:27" x14ac:dyDescent="0.3">
      <c r="A30" s="5">
        <v>10029</v>
      </c>
      <c r="B30" s="1">
        <v>1191</v>
      </c>
      <c r="C30" s="2">
        <v>45061</v>
      </c>
      <c r="D30" s="2">
        <v>45067</v>
      </c>
      <c r="E30" s="1" t="s">
        <v>46</v>
      </c>
      <c r="F30" s="1" t="s">
        <v>29</v>
      </c>
      <c r="G30" s="1" t="s">
        <v>17</v>
      </c>
      <c r="H30" s="1" t="s">
        <v>18</v>
      </c>
      <c r="I30" s="1" t="s">
        <v>26</v>
      </c>
      <c r="J30" s="1" t="s">
        <v>27</v>
      </c>
      <c r="K30" s="1" t="s">
        <v>33</v>
      </c>
      <c r="L30" s="1">
        <v>3</v>
      </c>
      <c r="M30" s="1">
        <v>759.47</v>
      </c>
      <c r="N30" s="1">
        <v>15</v>
      </c>
      <c r="O30" s="1">
        <v>1936.65</v>
      </c>
      <c r="P30" s="1">
        <f t="shared" si="0"/>
        <v>2278.41</v>
      </c>
      <c r="Q30" s="10">
        <f t="shared" si="1"/>
        <v>290.4975</v>
      </c>
      <c r="R30" s="11">
        <f t="shared" si="2"/>
        <v>1987.9124999999999</v>
      </c>
      <c r="S30" s="1" t="str">
        <f t="shared" si="3"/>
        <v>Low</v>
      </c>
      <c r="T30" s="1" t="str" cm="1">
        <f t="array" ref="T30">_xlfn.IFS(L30&gt;5,"High",L30=5,"mediam",L30&lt;5,"low")</f>
        <v>low</v>
      </c>
      <c r="U30" s="1" t="b">
        <f t="shared" si="5"/>
        <v>0</v>
      </c>
      <c r="Z30" s="1">
        <v>1191</v>
      </c>
      <c r="AA30" s="5">
        <v>10029</v>
      </c>
    </row>
    <row r="31" spans="1:27" x14ac:dyDescent="0.3">
      <c r="A31" s="5">
        <v>10030</v>
      </c>
      <c r="B31" s="1">
        <v>1955</v>
      </c>
      <c r="C31" s="2">
        <v>45077</v>
      </c>
      <c r="D31" s="2">
        <v>45082</v>
      </c>
      <c r="E31" s="1" t="s">
        <v>46</v>
      </c>
      <c r="F31" s="1" t="s">
        <v>23</v>
      </c>
      <c r="G31" s="1" t="s">
        <v>30</v>
      </c>
      <c r="H31" s="1" t="s">
        <v>35</v>
      </c>
      <c r="I31" s="1" t="s">
        <v>26</v>
      </c>
      <c r="J31" s="1" t="s">
        <v>61</v>
      </c>
      <c r="K31" s="1" t="s">
        <v>45</v>
      </c>
      <c r="L31" s="1">
        <v>1</v>
      </c>
      <c r="M31" s="1">
        <v>349.38</v>
      </c>
      <c r="N31" s="1">
        <v>10</v>
      </c>
      <c r="O31" s="1">
        <v>314.44</v>
      </c>
      <c r="P31" s="1">
        <f t="shared" si="0"/>
        <v>349.38</v>
      </c>
      <c r="Q31" s="10">
        <f t="shared" si="1"/>
        <v>31.444000000000003</v>
      </c>
      <c r="R31" s="11">
        <f t="shared" si="2"/>
        <v>317.93599999999998</v>
      </c>
      <c r="S31" s="1" t="str">
        <f t="shared" si="3"/>
        <v>Low</v>
      </c>
      <c r="T31" s="1" t="str" cm="1">
        <f t="array" ref="T31">_xlfn.IFS(L31&gt;5,"High",L31=5,"mediam",L31&lt;5,"low")</f>
        <v>low</v>
      </c>
      <c r="U31" s="1" t="b">
        <f t="shared" si="5"/>
        <v>0</v>
      </c>
      <c r="Z31" s="1">
        <v>1955</v>
      </c>
      <c r="AA31" s="5">
        <v>10030</v>
      </c>
    </row>
    <row r="32" spans="1:27" x14ac:dyDescent="0.3">
      <c r="A32" s="5">
        <v>10031</v>
      </c>
      <c r="B32" s="1">
        <v>1276</v>
      </c>
      <c r="C32" s="2">
        <v>45162</v>
      </c>
      <c r="D32" s="2">
        <v>45166</v>
      </c>
      <c r="E32" s="1" t="s">
        <v>15</v>
      </c>
      <c r="F32" s="1" t="s">
        <v>29</v>
      </c>
      <c r="G32" s="1" t="s">
        <v>30</v>
      </c>
      <c r="H32" s="1" t="s">
        <v>42</v>
      </c>
      <c r="I32" s="1" t="s">
        <v>57</v>
      </c>
      <c r="J32" s="1" t="s">
        <v>62</v>
      </c>
      <c r="K32" s="1" t="s">
        <v>47</v>
      </c>
      <c r="L32" s="1">
        <v>5</v>
      </c>
      <c r="M32" s="1">
        <v>2295.65</v>
      </c>
      <c r="N32" s="1">
        <v>20</v>
      </c>
      <c r="O32" s="1">
        <v>9182.6</v>
      </c>
      <c r="P32" s="1">
        <f t="shared" si="0"/>
        <v>11478.25</v>
      </c>
      <c r="Q32" s="10">
        <f t="shared" si="1"/>
        <v>1836.5200000000002</v>
      </c>
      <c r="R32" s="11">
        <f t="shared" si="2"/>
        <v>9641.73</v>
      </c>
      <c r="S32" s="1" t="str">
        <f t="shared" si="3"/>
        <v>High</v>
      </c>
      <c r="T32" s="1" t="str" cm="1">
        <f t="array" ref="T32">_xlfn.IFS(L32&gt;5,"High",L32=5,"mediam",L32&lt;5,"low")</f>
        <v>mediam</v>
      </c>
      <c r="U32" s="1" t="b">
        <f t="shared" si="5"/>
        <v>0</v>
      </c>
      <c r="Z32" s="1">
        <v>1276</v>
      </c>
      <c r="AA32" s="5">
        <v>10031</v>
      </c>
    </row>
    <row r="33" spans="1:27" x14ac:dyDescent="0.3">
      <c r="A33" s="5">
        <v>10032</v>
      </c>
      <c r="B33" s="1">
        <v>1160</v>
      </c>
      <c r="C33" s="2">
        <v>45150</v>
      </c>
      <c r="D33" s="2">
        <v>45158</v>
      </c>
      <c r="E33" s="1" t="s">
        <v>15</v>
      </c>
      <c r="F33" s="1" t="s">
        <v>41</v>
      </c>
      <c r="G33" s="1" t="s">
        <v>30</v>
      </c>
      <c r="H33" s="1" t="s">
        <v>18</v>
      </c>
      <c r="I33" s="1" t="s">
        <v>19</v>
      </c>
      <c r="J33" s="1" t="s">
        <v>43</v>
      </c>
      <c r="K33" s="1" t="s">
        <v>21</v>
      </c>
      <c r="L33" s="1">
        <v>4</v>
      </c>
      <c r="M33" s="1">
        <v>750.74</v>
      </c>
      <c r="N33" s="1">
        <v>5</v>
      </c>
      <c r="O33" s="1">
        <v>2852.81</v>
      </c>
      <c r="P33" s="1">
        <f t="shared" si="0"/>
        <v>3002.96</v>
      </c>
      <c r="Q33" s="10">
        <f t="shared" si="1"/>
        <v>142.6405</v>
      </c>
      <c r="R33" s="11">
        <f t="shared" si="2"/>
        <v>2860.3195000000001</v>
      </c>
      <c r="S33" s="1" t="str">
        <f t="shared" si="3"/>
        <v>Low</v>
      </c>
      <c r="T33" s="1" t="str" cm="1">
        <f t="array" ref="T33">_xlfn.IFS(L33&gt;5,"High",L33=5,"mediam",L33&lt;5,"low")</f>
        <v>low</v>
      </c>
      <c r="U33" s="1" t="b">
        <f t="shared" si="5"/>
        <v>0</v>
      </c>
      <c r="Z33" s="1">
        <v>1160</v>
      </c>
      <c r="AA33" s="5">
        <v>10032</v>
      </c>
    </row>
    <row r="34" spans="1:27" x14ac:dyDescent="0.3">
      <c r="A34" s="5">
        <v>10033</v>
      </c>
      <c r="B34" s="1">
        <v>1459</v>
      </c>
      <c r="C34" s="2">
        <v>45129</v>
      </c>
      <c r="D34" s="2">
        <v>45130</v>
      </c>
      <c r="E34" s="1" t="s">
        <v>22</v>
      </c>
      <c r="F34" s="1" t="s">
        <v>38</v>
      </c>
      <c r="G34" s="1" t="s">
        <v>17</v>
      </c>
      <c r="H34" s="1" t="s">
        <v>44</v>
      </c>
      <c r="I34" s="1" t="s">
        <v>57</v>
      </c>
      <c r="J34" s="1" t="s">
        <v>59</v>
      </c>
      <c r="K34" s="1" t="s">
        <v>45</v>
      </c>
      <c r="L34" s="1">
        <v>7</v>
      </c>
      <c r="M34" s="1">
        <v>3363.18</v>
      </c>
      <c r="N34" s="1">
        <v>20</v>
      </c>
      <c r="O34" s="1">
        <v>18833.810000000001</v>
      </c>
      <c r="P34" s="1">
        <f t="shared" si="0"/>
        <v>23542.26</v>
      </c>
      <c r="Q34" s="10">
        <f t="shared" si="1"/>
        <v>3766.7620000000006</v>
      </c>
      <c r="R34" s="11">
        <f t="shared" si="2"/>
        <v>19775.498</v>
      </c>
      <c r="S34" s="1" t="str">
        <f t="shared" si="3"/>
        <v>High</v>
      </c>
      <c r="T34" s="1" t="str" cm="1">
        <f t="array" ref="T34">_xlfn.IFS(L34&gt;5,"High",L34=5,"mediam",L34&lt;5,"low")</f>
        <v>High</v>
      </c>
      <c r="U34" s="1" t="str">
        <f t="shared" si="5"/>
        <v>High</v>
      </c>
      <c r="Z34" s="1">
        <v>1459</v>
      </c>
      <c r="AA34" s="5">
        <v>10033</v>
      </c>
    </row>
    <row r="35" spans="1:27" x14ac:dyDescent="0.3">
      <c r="A35" s="5">
        <v>10034</v>
      </c>
      <c r="B35" s="1">
        <v>1313</v>
      </c>
      <c r="C35" s="2">
        <v>45182</v>
      </c>
      <c r="D35" s="2">
        <v>45191</v>
      </c>
      <c r="E35" s="1" t="s">
        <v>34</v>
      </c>
      <c r="F35" s="1" t="s">
        <v>23</v>
      </c>
      <c r="G35" s="1" t="s">
        <v>30</v>
      </c>
      <c r="H35" s="1" t="s">
        <v>25</v>
      </c>
      <c r="I35" s="1" t="s">
        <v>31</v>
      </c>
      <c r="J35" s="1" t="s">
        <v>48</v>
      </c>
      <c r="K35" s="1" t="s">
        <v>47</v>
      </c>
      <c r="L35" s="1">
        <v>6</v>
      </c>
      <c r="M35" s="1">
        <v>1529.59</v>
      </c>
      <c r="N35" s="1">
        <v>0</v>
      </c>
      <c r="O35" s="1">
        <v>9177.5400000000009</v>
      </c>
      <c r="P35" s="1">
        <f t="shared" si="0"/>
        <v>9177.5399999999991</v>
      </c>
      <c r="Q35" s="10">
        <f t="shared" si="1"/>
        <v>0</v>
      </c>
      <c r="R35" s="11">
        <f t="shared" si="2"/>
        <v>9177.5399999999991</v>
      </c>
      <c r="S35" s="1" t="str">
        <f t="shared" si="3"/>
        <v>High</v>
      </c>
      <c r="T35" s="1" t="str" cm="1">
        <f t="array" ref="T35">_xlfn.IFS(L35&gt;5,"High",L35=5,"mediam",L35&lt;5,"low")</f>
        <v>High</v>
      </c>
      <c r="U35" s="1" t="str">
        <f t="shared" si="5"/>
        <v>High</v>
      </c>
      <c r="Z35" s="1">
        <v>1313</v>
      </c>
      <c r="AA35" s="5">
        <v>10034</v>
      </c>
    </row>
    <row r="36" spans="1:27" x14ac:dyDescent="0.3">
      <c r="A36" s="5">
        <v>10035</v>
      </c>
      <c r="B36" s="1">
        <v>1021</v>
      </c>
      <c r="C36" s="2">
        <v>45012</v>
      </c>
      <c r="D36" s="2">
        <v>45013</v>
      </c>
      <c r="E36" s="1" t="s">
        <v>40</v>
      </c>
      <c r="F36" s="1" t="s">
        <v>29</v>
      </c>
      <c r="G36" s="1" t="s">
        <v>30</v>
      </c>
      <c r="H36" s="1" t="s">
        <v>44</v>
      </c>
      <c r="I36" s="1" t="s">
        <v>31</v>
      </c>
      <c r="J36" s="1" t="s">
        <v>48</v>
      </c>
      <c r="K36" s="1" t="s">
        <v>47</v>
      </c>
      <c r="L36" s="1">
        <v>7</v>
      </c>
      <c r="M36" s="1">
        <v>3664.64</v>
      </c>
      <c r="N36" s="1">
        <v>5</v>
      </c>
      <c r="O36" s="1">
        <v>24369.86</v>
      </c>
      <c r="P36" s="1">
        <f t="shared" si="0"/>
        <v>25652.48</v>
      </c>
      <c r="Q36" s="10">
        <f t="shared" si="1"/>
        <v>1218.4930000000002</v>
      </c>
      <c r="R36" s="11">
        <f t="shared" si="2"/>
        <v>24433.987000000001</v>
      </c>
      <c r="S36" s="1" t="str">
        <f t="shared" si="3"/>
        <v>High</v>
      </c>
      <c r="T36" s="1" t="str" cm="1">
        <f t="array" ref="T36">_xlfn.IFS(L36&gt;5,"High",L36=5,"mediam",L36&lt;5,"low")</f>
        <v>High</v>
      </c>
      <c r="U36" s="1" t="str">
        <f t="shared" si="5"/>
        <v>High</v>
      </c>
      <c r="Z36" s="1">
        <v>1021</v>
      </c>
      <c r="AA36" s="5">
        <v>10035</v>
      </c>
    </row>
    <row r="37" spans="1:27" x14ac:dyDescent="0.3">
      <c r="A37" s="5">
        <v>10036</v>
      </c>
      <c r="B37" s="1">
        <v>1252</v>
      </c>
      <c r="C37" s="2">
        <v>45076</v>
      </c>
      <c r="D37" s="2">
        <v>45084</v>
      </c>
      <c r="E37" s="1" t="s">
        <v>16</v>
      </c>
      <c r="F37" s="1" t="s">
        <v>38</v>
      </c>
      <c r="G37" s="1" t="s">
        <v>17</v>
      </c>
      <c r="H37" s="1" t="s">
        <v>42</v>
      </c>
      <c r="I37" s="1" t="s">
        <v>26</v>
      </c>
      <c r="J37" s="1" t="s">
        <v>27</v>
      </c>
      <c r="K37" s="1" t="s">
        <v>28</v>
      </c>
      <c r="L37" s="1">
        <v>5</v>
      </c>
      <c r="M37" s="1">
        <v>2327.9</v>
      </c>
      <c r="N37" s="1">
        <v>0</v>
      </c>
      <c r="O37" s="1">
        <v>11639.5</v>
      </c>
      <c r="P37" s="1">
        <f t="shared" si="0"/>
        <v>11639.5</v>
      </c>
      <c r="Q37" s="10">
        <f t="shared" si="1"/>
        <v>0</v>
      </c>
      <c r="R37" s="11">
        <f t="shared" si="2"/>
        <v>11639.5</v>
      </c>
      <c r="S37" s="1" t="str">
        <f t="shared" si="3"/>
        <v>High</v>
      </c>
      <c r="T37" s="1" t="str" cm="1">
        <f t="array" ref="T37">_xlfn.IFS(L37&gt;5,"High",L37=5,"mediam",L37&lt;5,"low")</f>
        <v>mediam</v>
      </c>
      <c r="U37" s="1" t="b">
        <f t="shared" si="5"/>
        <v>0</v>
      </c>
      <c r="Z37" s="1">
        <v>1252</v>
      </c>
      <c r="AA37" s="5">
        <v>10036</v>
      </c>
    </row>
    <row r="38" spans="1:27" x14ac:dyDescent="0.3">
      <c r="A38" s="5">
        <v>10037</v>
      </c>
      <c r="B38" s="1">
        <v>1747</v>
      </c>
      <c r="C38" s="2">
        <v>45161</v>
      </c>
      <c r="D38" s="2">
        <v>45165</v>
      </c>
      <c r="E38" s="1" t="s">
        <v>37</v>
      </c>
      <c r="F38" s="1" t="s">
        <v>16</v>
      </c>
      <c r="G38" s="1" t="s">
        <v>24</v>
      </c>
      <c r="H38" s="1" t="s">
        <v>18</v>
      </c>
      <c r="I38" s="1" t="s">
        <v>19</v>
      </c>
      <c r="J38" s="1" t="s">
        <v>55</v>
      </c>
      <c r="K38" s="1" t="s">
        <v>21</v>
      </c>
      <c r="L38" s="1">
        <v>4</v>
      </c>
      <c r="M38" s="1">
        <v>853.29</v>
      </c>
      <c r="N38" s="1">
        <v>5</v>
      </c>
      <c r="O38" s="1">
        <v>3242.5</v>
      </c>
      <c r="P38" s="1">
        <f t="shared" si="0"/>
        <v>3413.16</v>
      </c>
      <c r="Q38" s="10">
        <f t="shared" si="1"/>
        <v>162.125</v>
      </c>
      <c r="R38" s="11">
        <f t="shared" si="2"/>
        <v>3251.0349999999999</v>
      </c>
      <c r="S38" s="1" t="str">
        <f t="shared" si="3"/>
        <v>Low</v>
      </c>
      <c r="T38" s="1" t="str" cm="1">
        <f t="array" ref="T38">_xlfn.IFS(L38&gt;5,"High",L38=5,"mediam",L38&lt;5,"low")</f>
        <v>low</v>
      </c>
      <c r="U38" s="1" t="b">
        <f t="shared" si="5"/>
        <v>0</v>
      </c>
      <c r="Z38" s="1">
        <v>1747</v>
      </c>
      <c r="AA38" s="5">
        <v>10037</v>
      </c>
    </row>
    <row r="39" spans="1:27" x14ac:dyDescent="0.3">
      <c r="A39" s="5">
        <v>10038</v>
      </c>
      <c r="B39" s="1">
        <v>1856</v>
      </c>
      <c r="C39" s="2">
        <v>45271</v>
      </c>
      <c r="D39" s="2">
        <v>45280</v>
      </c>
      <c r="E39" s="1" t="s">
        <v>22</v>
      </c>
      <c r="F39" s="1" t="s">
        <v>29</v>
      </c>
      <c r="G39" s="1" t="s">
        <v>24</v>
      </c>
      <c r="H39" s="1" t="s">
        <v>42</v>
      </c>
      <c r="I39" s="1" t="s">
        <v>49</v>
      </c>
      <c r="J39" s="1" t="s">
        <v>63</v>
      </c>
      <c r="K39" s="1" t="s">
        <v>47</v>
      </c>
      <c r="L39" s="1">
        <v>7</v>
      </c>
      <c r="M39" s="1">
        <v>687.46</v>
      </c>
      <c r="N39" s="1">
        <v>20</v>
      </c>
      <c r="O39" s="1">
        <v>3849.78</v>
      </c>
      <c r="P39" s="1">
        <f t="shared" si="0"/>
        <v>4812.22</v>
      </c>
      <c r="Q39" s="10">
        <f t="shared" si="1"/>
        <v>769.95600000000013</v>
      </c>
      <c r="R39" s="11">
        <f t="shared" si="2"/>
        <v>4042.2640000000001</v>
      </c>
      <c r="S39" s="1" t="str">
        <f t="shared" si="3"/>
        <v>High</v>
      </c>
      <c r="T39" s="1" t="str" cm="1">
        <f t="array" ref="T39">_xlfn.IFS(L39&gt;5,"High",L39=5,"mediam",L39&lt;5,"low")</f>
        <v>High</v>
      </c>
      <c r="U39" s="1" t="str">
        <f t="shared" si="5"/>
        <v>High</v>
      </c>
      <c r="Z39" s="1">
        <v>1856</v>
      </c>
      <c r="AA39" s="5">
        <v>10038</v>
      </c>
    </row>
    <row r="40" spans="1:27" x14ac:dyDescent="0.3">
      <c r="A40" s="5">
        <v>10039</v>
      </c>
      <c r="B40" s="1">
        <v>1560</v>
      </c>
      <c r="C40" s="2">
        <v>44948</v>
      </c>
      <c r="D40" s="2">
        <v>44953</v>
      </c>
      <c r="E40" s="1" t="s">
        <v>34</v>
      </c>
      <c r="F40" s="1" t="s">
        <v>41</v>
      </c>
      <c r="G40" s="1" t="s">
        <v>17</v>
      </c>
      <c r="H40" s="1" t="s">
        <v>18</v>
      </c>
      <c r="I40" s="1" t="s">
        <v>31</v>
      </c>
      <c r="J40" s="1" t="s">
        <v>48</v>
      </c>
      <c r="K40" s="1" t="s">
        <v>45</v>
      </c>
      <c r="L40" s="1">
        <v>7</v>
      </c>
      <c r="M40" s="1">
        <v>2369.42</v>
      </c>
      <c r="N40" s="1">
        <v>15</v>
      </c>
      <c r="O40" s="1">
        <v>14098.05</v>
      </c>
      <c r="P40" s="1">
        <f t="shared" si="0"/>
        <v>16585.940000000002</v>
      </c>
      <c r="Q40" s="10">
        <f t="shared" si="1"/>
        <v>2114.7075</v>
      </c>
      <c r="R40" s="11">
        <f t="shared" si="2"/>
        <v>14471.232500000002</v>
      </c>
      <c r="S40" s="1" t="str">
        <f t="shared" si="3"/>
        <v>High</v>
      </c>
      <c r="T40" s="1" t="str" cm="1">
        <f t="array" ref="T40">_xlfn.IFS(L40&gt;5,"High",L40=5,"mediam",L40&lt;5,"low")</f>
        <v>High</v>
      </c>
      <c r="U40" s="1" t="str">
        <f t="shared" si="5"/>
        <v>High</v>
      </c>
      <c r="Z40" s="1">
        <v>1560</v>
      </c>
      <c r="AA40" s="5">
        <v>10039</v>
      </c>
    </row>
    <row r="41" spans="1:27" x14ac:dyDescent="0.3">
      <c r="A41" s="5">
        <v>10040</v>
      </c>
      <c r="B41" s="1">
        <v>1474</v>
      </c>
      <c r="C41" s="2">
        <v>45274</v>
      </c>
      <c r="D41" s="2">
        <v>45277</v>
      </c>
      <c r="E41" s="1" t="s">
        <v>15</v>
      </c>
      <c r="F41" s="1" t="s">
        <v>16</v>
      </c>
      <c r="G41" s="1" t="s">
        <v>30</v>
      </c>
      <c r="H41" s="1" t="s">
        <v>35</v>
      </c>
      <c r="I41" s="1" t="s">
        <v>26</v>
      </c>
      <c r="J41" s="1" t="s">
        <v>27</v>
      </c>
      <c r="K41" s="1" t="s">
        <v>28</v>
      </c>
      <c r="L41" s="1">
        <v>6</v>
      </c>
      <c r="M41" s="1">
        <v>3083.25</v>
      </c>
      <c r="N41" s="1">
        <v>10</v>
      </c>
      <c r="O41" s="1">
        <v>16649.55</v>
      </c>
      <c r="P41" s="1">
        <f t="shared" si="0"/>
        <v>18499.5</v>
      </c>
      <c r="Q41" s="10">
        <f t="shared" si="1"/>
        <v>1664.9549999999999</v>
      </c>
      <c r="R41" s="11">
        <f t="shared" si="2"/>
        <v>16834.544999999998</v>
      </c>
      <c r="S41" s="1" t="str">
        <f t="shared" si="3"/>
        <v>High</v>
      </c>
      <c r="T41" s="1" t="str" cm="1">
        <f t="array" ref="T41">_xlfn.IFS(L41&gt;5,"High",L41=5,"mediam",L41&lt;5,"low")</f>
        <v>High</v>
      </c>
      <c r="U41" s="1" t="str">
        <f t="shared" si="5"/>
        <v>High</v>
      </c>
      <c r="Z41" s="1">
        <v>1474</v>
      </c>
      <c r="AA41" s="5">
        <v>10040</v>
      </c>
    </row>
    <row r="42" spans="1:27" x14ac:dyDescent="0.3">
      <c r="A42" s="5">
        <v>10041</v>
      </c>
      <c r="B42" s="1">
        <v>1058</v>
      </c>
      <c r="C42" s="2">
        <v>45211</v>
      </c>
      <c r="D42" s="2">
        <v>45220</v>
      </c>
      <c r="E42" s="1" t="s">
        <v>37</v>
      </c>
      <c r="F42" s="1" t="s">
        <v>16</v>
      </c>
      <c r="G42" s="1" t="s">
        <v>17</v>
      </c>
      <c r="H42" s="1" t="s">
        <v>25</v>
      </c>
      <c r="I42" s="1" t="s">
        <v>52</v>
      </c>
      <c r="J42" s="1" t="s">
        <v>64</v>
      </c>
      <c r="K42" s="1" t="s">
        <v>21</v>
      </c>
      <c r="L42" s="1">
        <v>8</v>
      </c>
      <c r="M42" s="1">
        <v>3158.8</v>
      </c>
      <c r="N42" s="1">
        <v>0</v>
      </c>
      <c r="O42" s="1">
        <v>25270.400000000001</v>
      </c>
      <c r="P42" s="1">
        <f t="shared" si="0"/>
        <v>25270.400000000001</v>
      </c>
      <c r="Q42" s="10">
        <f t="shared" si="1"/>
        <v>0</v>
      </c>
      <c r="R42" s="11">
        <f t="shared" si="2"/>
        <v>25270.400000000001</v>
      </c>
      <c r="S42" s="1" t="str">
        <f t="shared" si="3"/>
        <v>High</v>
      </c>
      <c r="T42" s="1" t="str" cm="1">
        <f t="array" ref="T42">_xlfn.IFS(L42&gt;5,"High",L42=5,"mediam",L42&lt;5,"low")</f>
        <v>High</v>
      </c>
      <c r="U42" s="1" t="str">
        <f t="shared" si="5"/>
        <v>High</v>
      </c>
      <c r="Z42" s="1">
        <v>1058</v>
      </c>
      <c r="AA42" s="5">
        <v>10041</v>
      </c>
    </row>
    <row r="43" spans="1:27" x14ac:dyDescent="0.3">
      <c r="A43" s="5">
        <v>10042</v>
      </c>
      <c r="B43" s="1">
        <v>1510</v>
      </c>
      <c r="C43" s="2">
        <v>45195</v>
      </c>
      <c r="D43" s="2">
        <v>45204</v>
      </c>
      <c r="E43" s="1" t="s">
        <v>15</v>
      </c>
      <c r="F43" s="1" t="s">
        <v>54</v>
      </c>
      <c r="G43" s="1" t="s">
        <v>24</v>
      </c>
      <c r="H43" s="1" t="s">
        <v>35</v>
      </c>
      <c r="I43" s="1" t="s">
        <v>26</v>
      </c>
      <c r="J43" s="1" t="s">
        <v>27</v>
      </c>
      <c r="K43" s="1" t="s">
        <v>33</v>
      </c>
      <c r="L43" s="1">
        <v>4</v>
      </c>
      <c r="M43" s="1">
        <v>1211.67</v>
      </c>
      <c r="N43" s="1">
        <v>20</v>
      </c>
      <c r="O43" s="1">
        <v>3877.34</v>
      </c>
      <c r="P43" s="1">
        <f t="shared" si="0"/>
        <v>4846.68</v>
      </c>
      <c r="Q43" s="10">
        <f t="shared" si="1"/>
        <v>775.46800000000007</v>
      </c>
      <c r="R43" s="11">
        <f t="shared" si="2"/>
        <v>4071.2120000000004</v>
      </c>
      <c r="S43" s="1" t="str">
        <f t="shared" si="3"/>
        <v>Low</v>
      </c>
      <c r="T43" s="1" t="str" cm="1">
        <f t="array" ref="T43">_xlfn.IFS(L43&gt;5,"High",L43=5,"mediam",L43&lt;5,"low")</f>
        <v>low</v>
      </c>
      <c r="U43" s="1" t="b">
        <f t="shared" si="5"/>
        <v>0</v>
      </c>
      <c r="Z43" s="1">
        <v>1510</v>
      </c>
      <c r="AA43" s="5">
        <v>10042</v>
      </c>
    </row>
    <row r="44" spans="1:27" x14ac:dyDescent="0.3">
      <c r="A44" s="5">
        <v>10043</v>
      </c>
      <c r="B44" s="1">
        <v>1681</v>
      </c>
      <c r="C44" s="2">
        <v>45184</v>
      </c>
      <c r="D44" s="2">
        <v>45188</v>
      </c>
      <c r="E44" s="1" t="s">
        <v>37</v>
      </c>
      <c r="F44" s="1" t="s">
        <v>23</v>
      </c>
      <c r="G44" s="1" t="s">
        <v>24</v>
      </c>
      <c r="H44" s="1" t="s">
        <v>35</v>
      </c>
      <c r="I44" s="1" t="s">
        <v>31</v>
      </c>
      <c r="J44" s="1" t="s">
        <v>48</v>
      </c>
      <c r="K44" s="1" t="s">
        <v>45</v>
      </c>
      <c r="L44" s="1">
        <v>5</v>
      </c>
      <c r="M44" s="1">
        <v>936.35</v>
      </c>
      <c r="N44" s="1">
        <v>15</v>
      </c>
      <c r="O44" s="1">
        <v>3979.49</v>
      </c>
      <c r="P44" s="1">
        <f t="shared" si="0"/>
        <v>4681.75</v>
      </c>
      <c r="Q44" s="10">
        <f t="shared" si="1"/>
        <v>596.92349999999999</v>
      </c>
      <c r="R44" s="11">
        <f t="shared" si="2"/>
        <v>4084.8265000000001</v>
      </c>
      <c r="S44" s="1" t="str">
        <f t="shared" si="3"/>
        <v>High</v>
      </c>
      <c r="T44" s="1" t="str" cm="1">
        <f t="array" ref="T44">_xlfn.IFS(L44&gt;5,"High",L44=5,"mediam",L44&lt;5,"low")</f>
        <v>mediam</v>
      </c>
      <c r="U44" s="1" t="b">
        <f t="shared" si="5"/>
        <v>0</v>
      </c>
      <c r="Z44" s="1">
        <v>1681</v>
      </c>
      <c r="AA44" s="5">
        <v>10043</v>
      </c>
    </row>
    <row r="45" spans="1:27" x14ac:dyDescent="0.3">
      <c r="A45" s="5">
        <v>10044</v>
      </c>
      <c r="B45" s="1">
        <v>1475</v>
      </c>
      <c r="C45" s="2">
        <v>44955</v>
      </c>
      <c r="D45" s="2">
        <v>44959</v>
      </c>
      <c r="E45" s="1" t="s">
        <v>16</v>
      </c>
      <c r="F45" s="1" t="s">
        <v>29</v>
      </c>
      <c r="G45" s="1" t="s">
        <v>17</v>
      </c>
      <c r="H45" s="1" t="s">
        <v>42</v>
      </c>
      <c r="I45" s="1" t="s">
        <v>31</v>
      </c>
      <c r="J45" s="1" t="s">
        <v>48</v>
      </c>
      <c r="K45" s="1" t="s">
        <v>47</v>
      </c>
      <c r="L45" s="1">
        <v>4</v>
      </c>
      <c r="M45" s="1">
        <v>214.51</v>
      </c>
      <c r="N45" s="1">
        <v>20</v>
      </c>
      <c r="O45" s="1">
        <v>686.43</v>
      </c>
      <c r="P45" s="1">
        <f t="shared" si="0"/>
        <v>858.04</v>
      </c>
      <c r="Q45" s="10">
        <f t="shared" si="1"/>
        <v>137.286</v>
      </c>
      <c r="R45" s="11">
        <f t="shared" si="2"/>
        <v>720.75399999999991</v>
      </c>
      <c r="S45" s="1" t="str">
        <f t="shared" si="3"/>
        <v>Low</v>
      </c>
      <c r="T45" s="1" t="str" cm="1">
        <f t="array" ref="T45">_xlfn.IFS(L45&gt;5,"High",L45=5,"mediam",L45&lt;5,"low")</f>
        <v>low</v>
      </c>
      <c r="U45" s="1" t="b">
        <f t="shared" si="5"/>
        <v>0</v>
      </c>
      <c r="Z45" s="1">
        <v>1475</v>
      </c>
      <c r="AA45" s="5">
        <v>10044</v>
      </c>
    </row>
    <row r="46" spans="1:27" x14ac:dyDescent="0.3">
      <c r="A46" s="5">
        <v>10045</v>
      </c>
      <c r="B46" s="1">
        <v>1699</v>
      </c>
      <c r="C46" s="2">
        <v>45139</v>
      </c>
      <c r="D46" s="2">
        <v>45147</v>
      </c>
      <c r="E46" s="1" t="s">
        <v>34</v>
      </c>
      <c r="F46" s="1" t="s">
        <v>16</v>
      </c>
      <c r="G46" s="1" t="s">
        <v>17</v>
      </c>
      <c r="H46" s="1" t="s">
        <v>25</v>
      </c>
      <c r="I46" s="1" t="s">
        <v>26</v>
      </c>
      <c r="J46" s="1" t="s">
        <v>61</v>
      </c>
      <c r="K46" s="1" t="s">
        <v>47</v>
      </c>
      <c r="L46" s="1">
        <v>1</v>
      </c>
      <c r="M46" s="1">
        <v>2764.92</v>
      </c>
      <c r="N46" s="1">
        <v>0</v>
      </c>
      <c r="O46" s="1">
        <v>2764.92</v>
      </c>
      <c r="P46" s="1">
        <f t="shared" si="0"/>
        <v>2764.92</v>
      </c>
      <c r="Q46" s="10">
        <f t="shared" si="1"/>
        <v>0</v>
      </c>
      <c r="R46" s="11">
        <f t="shared" si="2"/>
        <v>2764.92</v>
      </c>
      <c r="S46" s="1" t="str">
        <f t="shared" si="3"/>
        <v>Low</v>
      </c>
      <c r="T46" s="1" t="str" cm="1">
        <f t="array" ref="T46">_xlfn.IFS(L46&gt;5,"High",L46=5,"mediam",L46&lt;5,"low")</f>
        <v>low</v>
      </c>
      <c r="U46" s="1" t="b">
        <f t="shared" si="5"/>
        <v>0</v>
      </c>
      <c r="Z46" s="1">
        <v>1699</v>
      </c>
      <c r="AA46" s="5">
        <v>10045</v>
      </c>
    </row>
    <row r="47" spans="1:27" x14ac:dyDescent="0.3">
      <c r="A47" s="5">
        <v>10046</v>
      </c>
      <c r="B47" s="1">
        <v>1975</v>
      </c>
      <c r="C47" s="2">
        <v>45209</v>
      </c>
      <c r="D47" s="2">
        <v>45211</v>
      </c>
      <c r="E47" s="1" t="s">
        <v>37</v>
      </c>
      <c r="F47" s="1" t="s">
        <v>54</v>
      </c>
      <c r="G47" s="1" t="s">
        <v>24</v>
      </c>
      <c r="H47" s="1" t="s">
        <v>18</v>
      </c>
      <c r="I47" s="1" t="s">
        <v>49</v>
      </c>
      <c r="J47" s="1" t="s">
        <v>51</v>
      </c>
      <c r="K47" s="1" t="s">
        <v>45</v>
      </c>
      <c r="L47" s="1">
        <v>8</v>
      </c>
      <c r="M47" s="1">
        <v>444.79</v>
      </c>
      <c r="N47" s="1">
        <v>10</v>
      </c>
      <c r="O47" s="1">
        <v>3202.49</v>
      </c>
      <c r="P47" s="1">
        <f t="shared" si="0"/>
        <v>3558.32</v>
      </c>
      <c r="Q47" s="10">
        <f t="shared" si="1"/>
        <v>320.24900000000002</v>
      </c>
      <c r="R47" s="11">
        <f t="shared" si="2"/>
        <v>3238.0709999999999</v>
      </c>
      <c r="S47" s="1" t="str">
        <f t="shared" si="3"/>
        <v>High</v>
      </c>
      <c r="T47" s="1" t="str" cm="1">
        <f t="array" ref="T47">_xlfn.IFS(L47&gt;5,"High",L47=5,"mediam",L47&lt;5,"low")</f>
        <v>High</v>
      </c>
      <c r="U47" s="1" t="str">
        <f t="shared" si="5"/>
        <v>High</v>
      </c>
      <c r="Z47" s="1">
        <v>1975</v>
      </c>
      <c r="AA47" s="5">
        <v>10046</v>
      </c>
    </row>
    <row r="48" spans="1:27" x14ac:dyDescent="0.3">
      <c r="A48" s="5">
        <v>10047</v>
      </c>
      <c r="B48" s="1">
        <v>1782</v>
      </c>
      <c r="C48" s="2">
        <v>44976</v>
      </c>
      <c r="D48" s="2">
        <v>44985</v>
      </c>
      <c r="E48" s="1" t="s">
        <v>40</v>
      </c>
      <c r="F48" s="1" t="s">
        <v>41</v>
      </c>
      <c r="G48" s="1" t="s">
        <v>17</v>
      </c>
      <c r="H48" s="1" t="s">
        <v>18</v>
      </c>
      <c r="I48" s="1" t="s">
        <v>57</v>
      </c>
      <c r="J48" s="1" t="s">
        <v>62</v>
      </c>
      <c r="K48" s="1" t="s">
        <v>47</v>
      </c>
      <c r="L48" s="1">
        <v>1</v>
      </c>
      <c r="M48" s="1">
        <v>1769.93</v>
      </c>
      <c r="N48" s="1">
        <v>20</v>
      </c>
      <c r="O48" s="1">
        <v>1415.94</v>
      </c>
      <c r="P48" s="1">
        <f t="shared" si="0"/>
        <v>1769.93</v>
      </c>
      <c r="Q48" s="10">
        <f t="shared" si="1"/>
        <v>283.18800000000005</v>
      </c>
      <c r="R48" s="11">
        <f t="shared" si="2"/>
        <v>1486.742</v>
      </c>
      <c r="S48" s="1" t="str">
        <f t="shared" si="3"/>
        <v>Low</v>
      </c>
      <c r="T48" s="1" t="str" cm="1">
        <f t="array" ref="T48">_xlfn.IFS(L48&gt;5,"High",L48=5,"mediam",L48&lt;5,"low")</f>
        <v>low</v>
      </c>
      <c r="U48" s="1" t="b">
        <f t="shared" si="5"/>
        <v>0</v>
      </c>
      <c r="Z48" s="1">
        <v>1782</v>
      </c>
      <c r="AA48" s="5">
        <v>10047</v>
      </c>
    </row>
    <row r="49" spans="1:27" x14ac:dyDescent="0.3">
      <c r="A49" s="5">
        <v>10048</v>
      </c>
      <c r="B49" s="1">
        <v>1189</v>
      </c>
      <c r="C49" s="2">
        <v>45021</v>
      </c>
      <c r="D49" s="2">
        <v>45027</v>
      </c>
      <c r="E49" s="1" t="s">
        <v>22</v>
      </c>
      <c r="F49" s="1" t="s">
        <v>38</v>
      </c>
      <c r="G49" s="1" t="s">
        <v>24</v>
      </c>
      <c r="H49" s="1" t="s">
        <v>44</v>
      </c>
      <c r="I49" s="1" t="s">
        <v>31</v>
      </c>
      <c r="J49" s="1" t="s">
        <v>65</v>
      </c>
      <c r="K49" s="1" t="s">
        <v>28</v>
      </c>
      <c r="L49" s="1">
        <v>5</v>
      </c>
      <c r="M49" s="1">
        <v>2466.48</v>
      </c>
      <c r="N49" s="1">
        <v>5</v>
      </c>
      <c r="O49" s="1">
        <v>11715.78</v>
      </c>
      <c r="P49" s="1">
        <f t="shared" si="0"/>
        <v>12332.4</v>
      </c>
      <c r="Q49" s="10">
        <f t="shared" si="1"/>
        <v>585.7890000000001</v>
      </c>
      <c r="R49" s="11">
        <f t="shared" si="2"/>
        <v>11746.610999999999</v>
      </c>
      <c r="S49" s="1" t="str">
        <f t="shared" si="3"/>
        <v>High</v>
      </c>
      <c r="T49" s="1" t="str" cm="1">
        <f t="array" ref="T49">_xlfn.IFS(L49&gt;5,"High",L49=5,"mediam",L49&lt;5,"low")</f>
        <v>mediam</v>
      </c>
      <c r="U49" s="1" t="b">
        <f t="shared" si="5"/>
        <v>0</v>
      </c>
      <c r="Z49" s="1">
        <v>1189</v>
      </c>
      <c r="AA49" s="5">
        <v>10048</v>
      </c>
    </row>
    <row r="50" spans="1:27" x14ac:dyDescent="0.3">
      <c r="A50" s="5">
        <v>10049</v>
      </c>
      <c r="B50" s="1">
        <v>1957</v>
      </c>
      <c r="C50" s="2">
        <v>45014</v>
      </c>
      <c r="D50" s="2">
        <v>45023</v>
      </c>
      <c r="E50" s="1" t="s">
        <v>46</v>
      </c>
      <c r="F50" s="1" t="s">
        <v>29</v>
      </c>
      <c r="G50" s="1" t="s">
        <v>17</v>
      </c>
      <c r="H50" s="1" t="s">
        <v>18</v>
      </c>
      <c r="I50" s="1" t="s">
        <v>26</v>
      </c>
      <c r="J50" s="1" t="s">
        <v>27</v>
      </c>
      <c r="K50" s="1" t="s">
        <v>21</v>
      </c>
      <c r="L50" s="1">
        <v>6</v>
      </c>
      <c r="M50" s="1">
        <v>3757.87</v>
      </c>
      <c r="N50" s="1">
        <v>15</v>
      </c>
      <c r="O50" s="1">
        <v>19165.14</v>
      </c>
      <c r="P50" s="1">
        <f t="shared" si="0"/>
        <v>22547.22</v>
      </c>
      <c r="Q50" s="10">
        <f t="shared" si="1"/>
        <v>2874.7709999999997</v>
      </c>
      <c r="R50" s="11">
        <f t="shared" si="2"/>
        <v>19672.449000000001</v>
      </c>
      <c r="S50" s="1" t="str">
        <f t="shared" si="3"/>
        <v>High</v>
      </c>
      <c r="T50" s="1" t="str" cm="1">
        <f t="array" ref="T50">_xlfn.IFS(L50&gt;5,"High",L50=5,"mediam",L50&lt;5,"low")</f>
        <v>High</v>
      </c>
      <c r="U50" s="1" t="str">
        <f t="shared" si="5"/>
        <v>High</v>
      </c>
      <c r="Z50" s="1">
        <v>1957</v>
      </c>
      <c r="AA50" s="5">
        <v>10049</v>
      </c>
    </row>
    <row r="51" spans="1:27" x14ac:dyDescent="0.3">
      <c r="A51" s="5">
        <v>10050</v>
      </c>
      <c r="B51" s="1">
        <v>1686</v>
      </c>
      <c r="C51" s="2">
        <v>44970</v>
      </c>
      <c r="D51" s="2">
        <v>44978</v>
      </c>
      <c r="E51" s="1" t="s">
        <v>40</v>
      </c>
      <c r="F51" s="1" t="s">
        <v>16</v>
      </c>
      <c r="G51" s="1" t="s">
        <v>17</v>
      </c>
      <c r="H51" s="1" t="s">
        <v>42</v>
      </c>
      <c r="I51" s="1" t="s">
        <v>26</v>
      </c>
      <c r="J51" s="1" t="s">
        <v>61</v>
      </c>
      <c r="K51" s="1" t="s">
        <v>28</v>
      </c>
      <c r="L51" s="1">
        <v>6</v>
      </c>
      <c r="M51" s="1">
        <v>1350.44</v>
      </c>
      <c r="N51" s="1">
        <v>20</v>
      </c>
      <c r="O51" s="1">
        <v>6482.11</v>
      </c>
      <c r="P51" s="1">
        <f t="shared" si="0"/>
        <v>8102.64</v>
      </c>
      <c r="Q51" s="10">
        <f t="shared" si="1"/>
        <v>1296.422</v>
      </c>
      <c r="R51" s="11">
        <f t="shared" si="2"/>
        <v>6806.2180000000008</v>
      </c>
      <c r="S51" s="1" t="str">
        <f t="shared" si="3"/>
        <v>High</v>
      </c>
      <c r="T51" s="1" t="str" cm="1">
        <f t="array" ref="T51">_xlfn.IFS(L51&gt;5,"High",L51=5,"mediam",L51&lt;5,"low")</f>
        <v>High</v>
      </c>
      <c r="U51" s="1" t="str">
        <f t="shared" si="5"/>
        <v>High</v>
      </c>
      <c r="Z51" s="1">
        <v>1686</v>
      </c>
      <c r="AA51" s="5">
        <v>10050</v>
      </c>
    </row>
    <row r="52" spans="1:27" x14ac:dyDescent="0.3">
      <c r="A52" s="5">
        <v>10051</v>
      </c>
      <c r="B52" s="1">
        <v>1957</v>
      </c>
      <c r="C52" s="2">
        <v>45204</v>
      </c>
      <c r="D52" s="2">
        <v>45211</v>
      </c>
      <c r="E52" s="1" t="s">
        <v>40</v>
      </c>
      <c r="F52" s="1" t="s">
        <v>23</v>
      </c>
      <c r="G52" s="1" t="s">
        <v>17</v>
      </c>
      <c r="H52" s="1" t="s">
        <v>35</v>
      </c>
      <c r="I52" s="1" t="s">
        <v>19</v>
      </c>
      <c r="J52" s="1" t="s">
        <v>66</v>
      </c>
      <c r="K52" s="1" t="s">
        <v>47</v>
      </c>
      <c r="L52" s="1">
        <v>5</v>
      </c>
      <c r="M52" s="1">
        <v>1111.6199999999999</v>
      </c>
      <c r="N52" s="1">
        <v>15</v>
      </c>
      <c r="O52" s="1">
        <v>4724.3900000000003</v>
      </c>
      <c r="P52" s="1">
        <f t="shared" si="0"/>
        <v>5558.0999999999995</v>
      </c>
      <c r="Q52" s="10">
        <f t="shared" si="1"/>
        <v>708.6585</v>
      </c>
      <c r="R52" s="11">
        <f t="shared" si="2"/>
        <v>4849.441499999999</v>
      </c>
      <c r="S52" s="1" t="str">
        <f t="shared" si="3"/>
        <v>High</v>
      </c>
      <c r="T52" s="1" t="str" cm="1">
        <f t="array" ref="T52">_xlfn.IFS(L52&gt;5,"High",L52=5,"mediam",L52&lt;5,"low")</f>
        <v>mediam</v>
      </c>
      <c r="U52" s="1" t="b">
        <f t="shared" si="5"/>
        <v>0</v>
      </c>
      <c r="Z52" s="1">
        <v>1957</v>
      </c>
      <c r="AA52" s="5">
        <v>10051</v>
      </c>
    </row>
    <row r="53" spans="1:27" x14ac:dyDescent="0.3">
      <c r="A53" s="5">
        <v>10052</v>
      </c>
      <c r="B53" s="1">
        <v>1562</v>
      </c>
      <c r="C53" s="2">
        <v>45097</v>
      </c>
      <c r="D53" s="2">
        <v>45098</v>
      </c>
      <c r="E53" s="1" t="s">
        <v>22</v>
      </c>
      <c r="F53" s="1" t="s">
        <v>54</v>
      </c>
      <c r="G53" s="1" t="s">
        <v>24</v>
      </c>
      <c r="H53" s="1" t="s">
        <v>35</v>
      </c>
      <c r="I53" s="1" t="s">
        <v>57</v>
      </c>
      <c r="J53" s="1" t="s">
        <v>62</v>
      </c>
      <c r="K53" s="1" t="s">
        <v>33</v>
      </c>
      <c r="L53" s="1">
        <v>3</v>
      </c>
      <c r="M53" s="1">
        <v>2668.52</v>
      </c>
      <c r="N53" s="1">
        <v>5</v>
      </c>
      <c r="O53" s="1">
        <v>7605.28</v>
      </c>
      <c r="P53" s="1">
        <f t="shared" si="0"/>
        <v>8005.5599999999995</v>
      </c>
      <c r="Q53" s="10">
        <f t="shared" si="1"/>
        <v>380.26400000000001</v>
      </c>
      <c r="R53" s="11">
        <f t="shared" si="2"/>
        <v>7625.2959999999994</v>
      </c>
      <c r="S53" s="1" t="str">
        <f t="shared" si="3"/>
        <v>Low</v>
      </c>
      <c r="T53" s="1" t="str" cm="1">
        <f t="array" ref="T53">_xlfn.IFS(L53&gt;5,"High",L53=5,"mediam",L53&lt;5,"low")</f>
        <v>low</v>
      </c>
      <c r="U53" s="1" t="b">
        <f t="shared" si="5"/>
        <v>0</v>
      </c>
      <c r="Z53" s="1">
        <v>1562</v>
      </c>
      <c r="AA53" s="5">
        <v>10052</v>
      </c>
    </row>
    <row r="54" spans="1:27" x14ac:dyDescent="0.3">
      <c r="A54" s="5">
        <v>10053</v>
      </c>
      <c r="B54" s="1">
        <v>1875</v>
      </c>
      <c r="C54" s="2">
        <v>45115</v>
      </c>
      <c r="D54" s="2">
        <v>45118</v>
      </c>
      <c r="E54" s="1" t="s">
        <v>46</v>
      </c>
      <c r="F54" s="1" t="s">
        <v>16</v>
      </c>
      <c r="G54" s="1" t="s">
        <v>17</v>
      </c>
      <c r="H54" s="1" t="s">
        <v>35</v>
      </c>
      <c r="I54" s="1" t="s">
        <v>52</v>
      </c>
      <c r="J54" s="1" t="s">
        <v>64</v>
      </c>
      <c r="K54" s="1" t="s">
        <v>21</v>
      </c>
      <c r="L54" s="1">
        <v>5</v>
      </c>
      <c r="M54" s="1">
        <v>2534.0700000000002</v>
      </c>
      <c r="N54" s="1">
        <v>10</v>
      </c>
      <c r="O54" s="1">
        <v>11403.31</v>
      </c>
      <c r="P54" s="1">
        <f t="shared" si="0"/>
        <v>12670.35</v>
      </c>
      <c r="Q54" s="10">
        <f t="shared" si="1"/>
        <v>1140.3309999999999</v>
      </c>
      <c r="R54" s="11">
        <f t="shared" si="2"/>
        <v>11530.019</v>
      </c>
      <c r="S54" s="1" t="str">
        <f t="shared" si="3"/>
        <v>High</v>
      </c>
      <c r="T54" s="1" t="str" cm="1">
        <f t="array" ref="T54">_xlfn.IFS(L54&gt;5,"High",L54=5,"mediam",L54&lt;5,"low")</f>
        <v>mediam</v>
      </c>
      <c r="U54" s="1" t="b">
        <f t="shared" si="5"/>
        <v>0</v>
      </c>
      <c r="Z54" s="1">
        <v>1875</v>
      </c>
      <c r="AA54" s="5">
        <v>10053</v>
      </c>
    </row>
    <row r="55" spans="1:27" x14ac:dyDescent="0.3">
      <c r="A55" s="5">
        <v>10054</v>
      </c>
      <c r="B55" s="1">
        <v>1566</v>
      </c>
      <c r="C55" s="2">
        <v>45279</v>
      </c>
      <c r="D55" s="2">
        <v>45281</v>
      </c>
      <c r="E55" s="1" t="s">
        <v>40</v>
      </c>
      <c r="F55" s="1" t="s">
        <v>23</v>
      </c>
      <c r="G55" s="1" t="s">
        <v>24</v>
      </c>
      <c r="H55" s="1" t="s">
        <v>25</v>
      </c>
      <c r="I55" s="1" t="s">
        <v>49</v>
      </c>
      <c r="J55" s="1" t="s">
        <v>50</v>
      </c>
      <c r="K55" s="1" t="s">
        <v>21</v>
      </c>
      <c r="L55" s="1">
        <v>8</v>
      </c>
      <c r="M55" s="1">
        <v>1428.62</v>
      </c>
      <c r="N55" s="1">
        <v>10</v>
      </c>
      <c r="O55" s="1">
        <v>10286.06</v>
      </c>
      <c r="P55" s="1">
        <f t="shared" si="0"/>
        <v>11428.96</v>
      </c>
      <c r="Q55" s="10">
        <f t="shared" si="1"/>
        <v>1028.606</v>
      </c>
      <c r="R55" s="11">
        <f t="shared" si="2"/>
        <v>10400.353999999999</v>
      </c>
      <c r="S55" s="1" t="str">
        <f t="shared" si="3"/>
        <v>High</v>
      </c>
      <c r="T55" s="1" t="str" cm="1">
        <f t="array" ref="T55">_xlfn.IFS(L55&gt;5,"High",L55=5,"mediam",L55&lt;5,"low")</f>
        <v>High</v>
      </c>
      <c r="U55" s="1" t="str">
        <f t="shared" si="5"/>
        <v>High</v>
      </c>
      <c r="Z55" s="1">
        <v>1566</v>
      </c>
      <c r="AA55" s="5">
        <v>10054</v>
      </c>
    </row>
    <row r="56" spans="1:27" x14ac:dyDescent="0.3">
      <c r="A56" s="5">
        <v>10055</v>
      </c>
      <c r="B56" s="1">
        <v>1243</v>
      </c>
      <c r="C56" s="2">
        <v>45110</v>
      </c>
      <c r="D56" s="2">
        <v>45115</v>
      </c>
      <c r="E56" s="1" t="s">
        <v>37</v>
      </c>
      <c r="F56" s="1" t="s">
        <v>16</v>
      </c>
      <c r="G56" s="1" t="s">
        <v>24</v>
      </c>
      <c r="H56" s="1" t="s">
        <v>18</v>
      </c>
      <c r="I56" s="1" t="s">
        <v>52</v>
      </c>
      <c r="J56" s="1" t="s">
        <v>64</v>
      </c>
      <c r="K56" s="1" t="s">
        <v>45</v>
      </c>
      <c r="L56" s="1">
        <v>2</v>
      </c>
      <c r="M56" s="1">
        <v>3723.19</v>
      </c>
      <c r="N56" s="1">
        <v>5</v>
      </c>
      <c r="O56" s="1">
        <v>7074.06</v>
      </c>
      <c r="P56" s="1">
        <f t="shared" si="0"/>
        <v>7446.38</v>
      </c>
      <c r="Q56" s="10">
        <f t="shared" si="1"/>
        <v>353.70300000000003</v>
      </c>
      <c r="R56" s="11">
        <f t="shared" si="2"/>
        <v>7092.6769999999997</v>
      </c>
      <c r="S56" s="1" t="str">
        <f t="shared" si="3"/>
        <v>Low</v>
      </c>
      <c r="T56" s="1" t="str" cm="1">
        <f t="array" ref="T56">_xlfn.IFS(L56&gt;5,"High",L56=5,"mediam",L56&lt;5,"low")</f>
        <v>low</v>
      </c>
      <c r="U56" s="1" t="b">
        <f t="shared" si="5"/>
        <v>0</v>
      </c>
      <c r="Z56" s="1">
        <v>1243</v>
      </c>
      <c r="AA56" s="5">
        <v>10055</v>
      </c>
    </row>
    <row r="57" spans="1:27" x14ac:dyDescent="0.3">
      <c r="A57" s="5">
        <v>10056</v>
      </c>
      <c r="B57" s="1">
        <v>1831</v>
      </c>
      <c r="C57" s="2">
        <v>44929</v>
      </c>
      <c r="D57" s="2">
        <v>44934</v>
      </c>
      <c r="E57" s="1" t="s">
        <v>37</v>
      </c>
      <c r="F57" s="1" t="s">
        <v>29</v>
      </c>
      <c r="G57" s="1" t="s">
        <v>17</v>
      </c>
      <c r="H57" s="1" t="s">
        <v>42</v>
      </c>
      <c r="I57" s="1" t="s">
        <v>57</v>
      </c>
      <c r="J57" s="1" t="s">
        <v>62</v>
      </c>
      <c r="K57" s="1" t="s">
        <v>45</v>
      </c>
      <c r="L57" s="1">
        <v>6</v>
      </c>
      <c r="M57" s="1">
        <v>3402.72</v>
      </c>
      <c r="N57" s="1">
        <v>15</v>
      </c>
      <c r="O57" s="1">
        <v>17353.87</v>
      </c>
      <c r="P57" s="1">
        <f t="shared" si="0"/>
        <v>20416.32</v>
      </c>
      <c r="Q57" s="10">
        <f t="shared" si="1"/>
        <v>2603.0804999999996</v>
      </c>
      <c r="R57" s="11">
        <f t="shared" si="2"/>
        <v>17813.2395</v>
      </c>
      <c r="S57" s="1" t="str">
        <f t="shared" si="3"/>
        <v>High</v>
      </c>
      <c r="T57" s="1" t="str" cm="1">
        <f t="array" ref="T57">_xlfn.IFS(L57&gt;5,"High",L57=5,"mediam",L57&lt;5,"low")</f>
        <v>High</v>
      </c>
      <c r="U57" s="1" t="str">
        <f t="shared" si="5"/>
        <v>High</v>
      </c>
      <c r="Z57" s="1">
        <v>1831</v>
      </c>
      <c r="AA57" s="5">
        <v>10056</v>
      </c>
    </row>
    <row r="58" spans="1:27" x14ac:dyDescent="0.3">
      <c r="A58" s="5">
        <v>10057</v>
      </c>
      <c r="B58" s="1">
        <v>1504</v>
      </c>
      <c r="C58" s="2">
        <v>45117</v>
      </c>
      <c r="D58" s="2">
        <v>45122</v>
      </c>
      <c r="E58" s="1" t="s">
        <v>37</v>
      </c>
      <c r="F58" s="1" t="s">
        <v>29</v>
      </c>
      <c r="G58" s="1" t="s">
        <v>17</v>
      </c>
      <c r="H58" s="1" t="s">
        <v>25</v>
      </c>
      <c r="I58" s="1" t="s">
        <v>57</v>
      </c>
      <c r="J58" s="1" t="s">
        <v>58</v>
      </c>
      <c r="K58" s="1" t="s">
        <v>33</v>
      </c>
      <c r="L58" s="1">
        <v>9</v>
      </c>
      <c r="M58" s="1">
        <v>1012.33</v>
      </c>
      <c r="N58" s="1">
        <v>20</v>
      </c>
      <c r="O58" s="1">
        <v>7288.78</v>
      </c>
      <c r="P58" s="1">
        <f t="shared" si="0"/>
        <v>9110.9700000000012</v>
      </c>
      <c r="Q58" s="10">
        <f t="shared" si="1"/>
        <v>1457.7560000000001</v>
      </c>
      <c r="R58" s="11">
        <f t="shared" si="2"/>
        <v>7653.2140000000009</v>
      </c>
      <c r="S58" s="1" t="str">
        <f t="shared" si="3"/>
        <v>High</v>
      </c>
      <c r="T58" s="1" t="str" cm="1">
        <f t="array" ref="T58">_xlfn.IFS(L58&gt;5,"High",L58=5,"mediam",L58&lt;5,"low")</f>
        <v>High</v>
      </c>
      <c r="U58" s="1" t="str">
        <f t="shared" si="5"/>
        <v>High</v>
      </c>
      <c r="Z58" s="1">
        <v>1504</v>
      </c>
      <c r="AA58" s="5">
        <v>10057</v>
      </c>
    </row>
    <row r="59" spans="1:27" x14ac:dyDescent="0.3">
      <c r="A59" s="5">
        <v>10058</v>
      </c>
      <c r="B59" s="1">
        <v>1130</v>
      </c>
      <c r="C59" s="2">
        <v>45044</v>
      </c>
      <c r="D59" s="2">
        <v>45048</v>
      </c>
      <c r="E59" s="1" t="s">
        <v>46</v>
      </c>
      <c r="F59" s="1" t="s">
        <v>29</v>
      </c>
      <c r="G59" s="1" t="s">
        <v>24</v>
      </c>
      <c r="H59" s="1" t="s">
        <v>44</v>
      </c>
      <c r="I59" s="1" t="s">
        <v>57</v>
      </c>
      <c r="J59" s="1" t="s">
        <v>59</v>
      </c>
      <c r="K59" s="1" t="s">
        <v>21</v>
      </c>
      <c r="L59" s="1">
        <v>8</v>
      </c>
      <c r="M59" s="1">
        <v>1070.7</v>
      </c>
      <c r="N59" s="1">
        <v>5</v>
      </c>
      <c r="O59" s="1">
        <v>8137.32</v>
      </c>
      <c r="P59" s="1">
        <f t="shared" si="0"/>
        <v>8565.6</v>
      </c>
      <c r="Q59" s="10">
        <f t="shared" si="1"/>
        <v>406.86599999999999</v>
      </c>
      <c r="R59" s="11">
        <f t="shared" si="2"/>
        <v>8158.7340000000004</v>
      </c>
      <c r="S59" s="1" t="str">
        <f t="shared" si="3"/>
        <v>High</v>
      </c>
      <c r="T59" s="1" t="str" cm="1">
        <f t="array" ref="T59">_xlfn.IFS(L59&gt;5,"High",L59=5,"mediam",L59&lt;5,"low")</f>
        <v>High</v>
      </c>
      <c r="U59" s="1" t="str">
        <f t="shared" si="5"/>
        <v>High</v>
      </c>
      <c r="Z59" s="1">
        <v>1130</v>
      </c>
      <c r="AA59" s="5">
        <v>10058</v>
      </c>
    </row>
    <row r="60" spans="1:27" x14ac:dyDescent="0.3">
      <c r="A60" s="5">
        <v>10059</v>
      </c>
      <c r="B60" s="1">
        <v>1484</v>
      </c>
      <c r="C60" s="2">
        <v>44945</v>
      </c>
      <c r="D60" s="2">
        <v>44950</v>
      </c>
      <c r="E60" s="1" t="s">
        <v>40</v>
      </c>
      <c r="F60" s="1" t="s">
        <v>41</v>
      </c>
      <c r="G60" s="1" t="s">
        <v>24</v>
      </c>
      <c r="H60" s="1" t="s">
        <v>42</v>
      </c>
      <c r="I60" s="1" t="s">
        <v>52</v>
      </c>
      <c r="J60" s="1" t="s">
        <v>64</v>
      </c>
      <c r="K60" s="1" t="s">
        <v>33</v>
      </c>
      <c r="L60" s="1">
        <v>8</v>
      </c>
      <c r="M60" s="1">
        <v>2122.36</v>
      </c>
      <c r="N60" s="1">
        <v>0</v>
      </c>
      <c r="O60" s="1">
        <v>16978.88</v>
      </c>
      <c r="P60" s="1">
        <f t="shared" si="0"/>
        <v>16978.88</v>
      </c>
      <c r="Q60" s="10">
        <f t="shared" si="1"/>
        <v>0</v>
      </c>
      <c r="R60" s="11">
        <f t="shared" si="2"/>
        <v>16978.88</v>
      </c>
      <c r="S60" s="1" t="str">
        <f t="shared" si="3"/>
        <v>High</v>
      </c>
      <c r="T60" s="1" t="str" cm="1">
        <f t="array" ref="T60">_xlfn.IFS(L60&gt;5,"High",L60=5,"mediam",L60&lt;5,"low")</f>
        <v>High</v>
      </c>
      <c r="U60" s="1" t="str">
        <f t="shared" si="5"/>
        <v>High</v>
      </c>
      <c r="Z60" s="1">
        <v>1484</v>
      </c>
      <c r="AA60" s="5">
        <v>10059</v>
      </c>
    </row>
    <row r="61" spans="1:27" x14ac:dyDescent="0.3">
      <c r="A61" s="5">
        <v>10060</v>
      </c>
      <c r="B61" s="1">
        <v>1818</v>
      </c>
      <c r="C61" s="2">
        <v>44949</v>
      </c>
      <c r="D61" s="2">
        <v>44952</v>
      </c>
      <c r="E61" s="1" t="s">
        <v>46</v>
      </c>
      <c r="F61" s="1" t="s">
        <v>41</v>
      </c>
      <c r="G61" s="1" t="s">
        <v>30</v>
      </c>
      <c r="H61" s="1" t="s">
        <v>42</v>
      </c>
      <c r="I61" s="1" t="s">
        <v>57</v>
      </c>
      <c r="J61" s="1" t="s">
        <v>62</v>
      </c>
      <c r="K61" s="1" t="s">
        <v>45</v>
      </c>
      <c r="L61" s="1">
        <v>8</v>
      </c>
      <c r="M61" s="1">
        <v>3128.25</v>
      </c>
      <c r="N61" s="1">
        <v>15</v>
      </c>
      <c r="O61" s="1">
        <v>21272.1</v>
      </c>
      <c r="P61" s="1">
        <f t="shared" si="0"/>
        <v>25026</v>
      </c>
      <c r="Q61" s="10">
        <f t="shared" si="1"/>
        <v>3190.8149999999996</v>
      </c>
      <c r="R61" s="11">
        <f t="shared" si="2"/>
        <v>21835.185000000001</v>
      </c>
      <c r="S61" s="1" t="str">
        <f t="shared" si="3"/>
        <v>High</v>
      </c>
      <c r="T61" s="1" t="str" cm="1">
        <f t="array" ref="T61">_xlfn.IFS(L61&gt;5,"High",L61=5,"mediam",L61&lt;5,"low")</f>
        <v>High</v>
      </c>
      <c r="U61" s="1" t="str">
        <f t="shared" si="5"/>
        <v>High</v>
      </c>
      <c r="Z61" s="1">
        <v>1818</v>
      </c>
      <c r="AA61" s="5">
        <v>10060</v>
      </c>
    </row>
    <row r="62" spans="1:27" x14ac:dyDescent="0.3">
      <c r="A62" s="5">
        <v>10061</v>
      </c>
      <c r="B62" s="1">
        <v>1646</v>
      </c>
      <c r="C62" s="2">
        <v>44956</v>
      </c>
      <c r="D62" s="2">
        <v>44957</v>
      </c>
      <c r="E62" s="1" t="s">
        <v>37</v>
      </c>
      <c r="F62" s="1" t="s">
        <v>54</v>
      </c>
      <c r="G62" s="1" t="s">
        <v>24</v>
      </c>
      <c r="H62" s="1" t="s">
        <v>42</v>
      </c>
      <c r="I62" s="1" t="s">
        <v>26</v>
      </c>
      <c r="J62" s="1" t="s">
        <v>36</v>
      </c>
      <c r="K62" s="1" t="s">
        <v>45</v>
      </c>
      <c r="L62" s="1">
        <v>7</v>
      </c>
      <c r="M62" s="1">
        <v>319.56</v>
      </c>
      <c r="N62" s="1">
        <v>10</v>
      </c>
      <c r="O62" s="1">
        <v>2013.23</v>
      </c>
      <c r="P62" s="1">
        <f t="shared" si="0"/>
        <v>2236.92</v>
      </c>
      <c r="Q62" s="10">
        <f t="shared" si="1"/>
        <v>201.32300000000001</v>
      </c>
      <c r="R62" s="11">
        <f t="shared" si="2"/>
        <v>2035.597</v>
      </c>
      <c r="S62" s="1" t="str">
        <f t="shared" si="3"/>
        <v>High</v>
      </c>
      <c r="T62" s="1" t="str" cm="1">
        <f t="array" ref="T62">_xlfn.IFS(L62&gt;5,"High",L62=5,"mediam",L62&lt;5,"low")</f>
        <v>High</v>
      </c>
      <c r="U62" s="1" t="str">
        <f t="shared" si="5"/>
        <v>High</v>
      </c>
      <c r="Z62" s="1">
        <v>1646</v>
      </c>
      <c r="AA62" s="5">
        <v>10061</v>
      </c>
    </row>
    <row r="63" spans="1:27" x14ac:dyDescent="0.3">
      <c r="A63" s="5">
        <v>10062</v>
      </c>
      <c r="B63" s="1">
        <v>1020</v>
      </c>
      <c r="C63" s="2">
        <v>45221</v>
      </c>
      <c r="D63" s="2">
        <v>45226</v>
      </c>
      <c r="E63" s="1" t="s">
        <v>22</v>
      </c>
      <c r="F63" s="1" t="s">
        <v>29</v>
      </c>
      <c r="G63" s="1" t="s">
        <v>30</v>
      </c>
      <c r="H63" s="1" t="s">
        <v>35</v>
      </c>
      <c r="I63" s="1" t="s">
        <v>52</v>
      </c>
      <c r="J63" s="1" t="s">
        <v>56</v>
      </c>
      <c r="K63" s="1" t="s">
        <v>21</v>
      </c>
      <c r="L63" s="1">
        <v>8</v>
      </c>
      <c r="M63" s="1">
        <v>2819.34</v>
      </c>
      <c r="N63" s="1">
        <v>5</v>
      </c>
      <c r="O63" s="1">
        <v>21426.98</v>
      </c>
      <c r="P63" s="1">
        <f t="shared" si="0"/>
        <v>22554.720000000001</v>
      </c>
      <c r="Q63" s="10">
        <f t="shared" si="1"/>
        <v>1071.3489999999999</v>
      </c>
      <c r="R63" s="11">
        <f t="shared" si="2"/>
        <v>21483.371000000003</v>
      </c>
      <c r="S63" s="1" t="str">
        <f t="shared" si="3"/>
        <v>High</v>
      </c>
      <c r="T63" s="1" t="str" cm="1">
        <f t="array" ref="T63">_xlfn.IFS(L63&gt;5,"High",L63=5,"mediam",L63&lt;5,"low")</f>
        <v>High</v>
      </c>
      <c r="U63" s="1" t="str">
        <f t="shared" si="5"/>
        <v>High</v>
      </c>
      <c r="Z63" s="1">
        <v>1020</v>
      </c>
      <c r="AA63" s="5">
        <v>10062</v>
      </c>
    </row>
    <row r="64" spans="1:27" x14ac:dyDescent="0.3">
      <c r="A64" s="5">
        <v>10063</v>
      </c>
      <c r="B64" s="1">
        <v>1840</v>
      </c>
      <c r="C64" s="2">
        <v>45034</v>
      </c>
      <c r="D64" s="2">
        <v>45043</v>
      </c>
      <c r="E64" s="1" t="s">
        <v>40</v>
      </c>
      <c r="F64" s="1" t="s">
        <v>23</v>
      </c>
      <c r="G64" s="1" t="s">
        <v>30</v>
      </c>
      <c r="H64" s="1" t="s">
        <v>42</v>
      </c>
      <c r="I64" s="1" t="s">
        <v>57</v>
      </c>
      <c r="J64" s="1" t="s">
        <v>62</v>
      </c>
      <c r="K64" s="1" t="s">
        <v>28</v>
      </c>
      <c r="L64" s="1">
        <v>6</v>
      </c>
      <c r="M64" s="1">
        <v>2645.71</v>
      </c>
      <c r="N64" s="1">
        <v>10</v>
      </c>
      <c r="O64" s="1">
        <v>14286.83</v>
      </c>
      <c r="P64" s="1">
        <f t="shared" si="0"/>
        <v>15874.26</v>
      </c>
      <c r="Q64" s="10">
        <f t="shared" si="1"/>
        <v>1428.683</v>
      </c>
      <c r="R64" s="11">
        <f t="shared" si="2"/>
        <v>14445.577000000001</v>
      </c>
      <c r="S64" s="1" t="str">
        <f t="shared" si="3"/>
        <v>High</v>
      </c>
      <c r="T64" s="1" t="str" cm="1">
        <f t="array" ref="T64">_xlfn.IFS(L64&gt;5,"High",L64=5,"mediam",L64&lt;5,"low")</f>
        <v>High</v>
      </c>
      <c r="U64" s="1" t="str">
        <f t="shared" si="5"/>
        <v>High</v>
      </c>
      <c r="Z64" s="1">
        <v>1840</v>
      </c>
      <c r="AA64" s="5">
        <v>10063</v>
      </c>
    </row>
    <row r="65" spans="1:27" x14ac:dyDescent="0.3">
      <c r="A65" s="5">
        <v>10064</v>
      </c>
      <c r="B65" s="1">
        <v>1166</v>
      </c>
      <c r="C65" s="2">
        <v>45207</v>
      </c>
      <c r="D65" s="2">
        <v>45216</v>
      </c>
      <c r="E65" s="1" t="s">
        <v>40</v>
      </c>
      <c r="F65" s="1" t="s">
        <v>16</v>
      </c>
      <c r="G65" s="1" t="s">
        <v>30</v>
      </c>
      <c r="H65" s="1" t="s">
        <v>18</v>
      </c>
      <c r="I65" s="1" t="s">
        <v>26</v>
      </c>
      <c r="J65" s="1" t="s">
        <v>36</v>
      </c>
      <c r="K65" s="1" t="s">
        <v>47</v>
      </c>
      <c r="L65" s="1">
        <v>2</v>
      </c>
      <c r="M65" s="1">
        <v>1041.2</v>
      </c>
      <c r="N65" s="1">
        <v>15</v>
      </c>
      <c r="O65" s="1">
        <v>1770.04</v>
      </c>
      <c r="P65" s="1">
        <f t="shared" si="0"/>
        <v>2082.4</v>
      </c>
      <c r="Q65" s="10">
        <f t="shared" si="1"/>
        <v>265.50599999999997</v>
      </c>
      <c r="R65" s="11">
        <f t="shared" si="2"/>
        <v>1816.8940000000002</v>
      </c>
      <c r="S65" s="1" t="str">
        <f t="shared" si="3"/>
        <v>Low</v>
      </c>
      <c r="T65" s="1" t="str" cm="1">
        <f t="array" ref="T65">_xlfn.IFS(L65&gt;5,"High",L65=5,"mediam",L65&lt;5,"low")</f>
        <v>low</v>
      </c>
      <c r="U65" s="1" t="b">
        <f t="shared" si="5"/>
        <v>0</v>
      </c>
      <c r="Z65" s="1">
        <v>1166</v>
      </c>
      <c r="AA65" s="5">
        <v>10064</v>
      </c>
    </row>
    <row r="66" spans="1:27" x14ac:dyDescent="0.3">
      <c r="A66" s="5">
        <v>10065</v>
      </c>
      <c r="B66" s="1">
        <v>1273</v>
      </c>
      <c r="C66" s="2">
        <v>45054</v>
      </c>
      <c r="D66" s="2">
        <v>45058</v>
      </c>
      <c r="E66" s="1" t="s">
        <v>15</v>
      </c>
      <c r="F66" s="1" t="s">
        <v>38</v>
      </c>
      <c r="G66" s="1" t="s">
        <v>17</v>
      </c>
      <c r="H66" s="1" t="s">
        <v>42</v>
      </c>
      <c r="I66" s="1" t="s">
        <v>19</v>
      </c>
      <c r="J66" s="1" t="s">
        <v>43</v>
      </c>
      <c r="K66" s="1" t="s">
        <v>45</v>
      </c>
      <c r="L66" s="1">
        <v>2</v>
      </c>
      <c r="M66" s="1">
        <v>2773.21</v>
      </c>
      <c r="N66" s="1">
        <v>10</v>
      </c>
      <c r="O66" s="1">
        <v>4991.78</v>
      </c>
      <c r="P66" s="1">
        <f t="shared" si="0"/>
        <v>5546.42</v>
      </c>
      <c r="Q66" s="10">
        <f t="shared" si="1"/>
        <v>499.178</v>
      </c>
      <c r="R66" s="11">
        <f t="shared" si="2"/>
        <v>5047.2420000000002</v>
      </c>
      <c r="S66" s="1" t="str">
        <f t="shared" si="3"/>
        <v>Low</v>
      </c>
      <c r="T66" s="1" t="str" cm="1">
        <f t="array" ref="T66">_xlfn.IFS(L66&gt;5,"High",L66=5,"mediam",L66&lt;5,"low")</f>
        <v>low</v>
      </c>
      <c r="U66" s="1" t="b">
        <f t="shared" si="5"/>
        <v>0</v>
      </c>
      <c r="Z66" s="1">
        <v>1273</v>
      </c>
      <c r="AA66" s="5">
        <v>10065</v>
      </c>
    </row>
    <row r="67" spans="1:27" x14ac:dyDescent="0.3">
      <c r="A67" s="5">
        <v>10066</v>
      </c>
      <c r="B67" s="1">
        <v>1387</v>
      </c>
      <c r="C67" s="2">
        <v>45155</v>
      </c>
      <c r="D67" s="2">
        <v>45158</v>
      </c>
      <c r="E67" s="1" t="s">
        <v>15</v>
      </c>
      <c r="F67" s="1" t="s">
        <v>23</v>
      </c>
      <c r="G67" s="1" t="s">
        <v>17</v>
      </c>
      <c r="H67" s="1" t="s">
        <v>35</v>
      </c>
      <c r="I67" s="1" t="s">
        <v>57</v>
      </c>
      <c r="J67" s="1" t="s">
        <v>67</v>
      </c>
      <c r="K67" s="1" t="s">
        <v>45</v>
      </c>
      <c r="L67" s="1">
        <v>8</v>
      </c>
      <c r="M67" s="1">
        <v>3769.71</v>
      </c>
      <c r="N67" s="1">
        <v>5</v>
      </c>
      <c r="O67" s="1">
        <v>28649.8</v>
      </c>
      <c r="P67" s="1">
        <f t="shared" ref="P67:P130" si="6">L67*M67</f>
        <v>30157.68</v>
      </c>
      <c r="Q67" s="10">
        <f t="shared" ref="Q67:Q130" si="7">O67*N67%</f>
        <v>1432.49</v>
      </c>
      <c r="R67" s="11">
        <f t="shared" ref="R67:R130" si="8">P67-Q67</f>
        <v>28725.19</v>
      </c>
      <c r="S67" s="1" t="str">
        <f t="shared" ref="S67:S130" si="9">IF(L67&gt;=5,"High","Low")</f>
        <v>High</v>
      </c>
      <c r="T67" s="1" t="str" cm="1">
        <f t="array" ref="T67">_xlfn.IFS(L67&gt;5,"High",L67=5,"mediam",L67&lt;5,"low")</f>
        <v>High</v>
      </c>
      <c r="U67" s="1" t="str">
        <f t="shared" si="5"/>
        <v>High</v>
      </c>
      <c r="Z67" s="1">
        <v>1387</v>
      </c>
      <c r="AA67" s="5">
        <v>10066</v>
      </c>
    </row>
    <row r="68" spans="1:27" x14ac:dyDescent="0.3">
      <c r="A68" s="5">
        <v>10067</v>
      </c>
      <c r="B68" s="1">
        <v>1600</v>
      </c>
      <c r="C68" s="2">
        <v>45037</v>
      </c>
      <c r="D68" s="2">
        <v>45038</v>
      </c>
      <c r="E68" s="1" t="s">
        <v>16</v>
      </c>
      <c r="F68" s="1" t="s">
        <v>41</v>
      </c>
      <c r="G68" s="1" t="s">
        <v>24</v>
      </c>
      <c r="H68" s="1" t="s">
        <v>42</v>
      </c>
      <c r="I68" s="1" t="s">
        <v>52</v>
      </c>
      <c r="J68" s="1" t="s">
        <v>64</v>
      </c>
      <c r="K68" s="1" t="s">
        <v>28</v>
      </c>
      <c r="L68" s="1">
        <v>1</v>
      </c>
      <c r="M68" s="1">
        <v>330.13</v>
      </c>
      <c r="N68" s="1">
        <v>15</v>
      </c>
      <c r="O68" s="1">
        <v>280.61</v>
      </c>
      <c r="P68" s="1">
        <f t="shared" si="6"/>
        <v>330.13</v>
      </c>
      <c r="Q68" s="10">
        <f t="shared" si="7"/>
        <v>42.091500000000003</v>
      </c>
      <c r="R68" s="11">
        <f t="shared" si="8"/>
        <v>288.0385</v>
      </c>
      <c r="S68" s="1" t="str">
        <f t="shared" si="9"/>
        <v>Low</v>
      </c>
      <c r="T68" s="1" t="str" cm="1">
        <f t="array" ref="T68">_xlfn.IFS(L68&gt;5,"High",L68=5,"mediam",L68&lt;5,"low")</f>
        <v>low</v>
      </c>
      <c r="U68" s="1" t="b">
        <f t="shared" si="5"/>
        <v>0</v>
      </c>
      <c r="Z68" s="1">
        <v>1600</v>
      </c>
      <c r="AA68" s="5">
        <v>10067</v>
      </c>
    </row>
    <row r="69" spans="1:27" x14ac:dyDescent="0.3">
      <c r="A69" s="5">
        <v>10068</v>
      </c>
      <c r="B69" s="1">
        <v>1315</v>
      </c>
      <c r="C69" s="2">
        <v>45062</v>
      </c>
      <c r="D69" s="2">
        <v>45064</v>
      </c>
      <c r="E69" s="1" t="s">
        <v>34</v>
      </c>
      <c r="F69" s="1" t="s">
        <v>41</v>
      </c>
      <c r="G69" s="1" t="s">
        <v>30</v>
      </c>
      <c r="H69" s="1" t="s">
        <v>44</v>
      </c>
      <c r="I69" s="1" t="s">
        <v>31</v>
      </c>
      <c r="J69" s="1" t="s">
        <v>48</v>
      </c>
      <c r="K69" s="1" t="s">
        <v>28</v>
      </c>
      <c r="L69" s="1">
        <v>6</v>
      </c>
      <c r="M69" s="1">
        <v>1380.66</v>
      </c>
      <c r="N69" s="1">
        <v>0</v>
      </c>
      <c r="O69" s="1">
        <v>8283.9599999999991</v>
      </c>
      <c r="P69" s="1">
        <f t="shared" si="6"/>
        <v>8283.9600000000009</v>
      </c>
      <c r="Q69" s="10">
        <f t="shared" si="7"/>
        <v>0</v>
      </c>
      <c r="R69" s="11">
        <f t="shared" si="8"/>
        <v>8283.9600000000009</v>
      </c>
      <c r="S69" s="1" t="str">
        <f t="shared" si="9"/>
        <v>High</v>
      </c>
      <c r="T69" s="1" t="str" cm="1">
        <f t="array" ref="T69">_xlfn.IFS(L69&gt;5,"High",L69=5,"mediam",L69&lt;5,"low")</f>
        <v>High</v>
      </c>
      <c r="U69" s="1" t="str">
        <f t="shared" si="5"/>
        <v>High</v>
      </c>
      <c r="Z69" s="1">
        <v>1315</v>
      </c>
      <c r="AA69" s="5">
        <v>10068</v>
      </c>
    </row>
    <row r="70" spans="1:27" x14ac:dyDescent="0.3">
      <c r="A70" s="5">
        <v>10069</v>
      </c>
      <c r="B70" s="1">
        <v>1013</v>
      </c>
      <c r="C70" s="2">
        <v>45288</v>
      </c>
      <c r="D70" s="2">
        <v>45296</v>
      </c>
      <c r="E70" s="1" t="s">
        <v>15</v>
      </c>
      <c r="F70" s="1" t="s">
        <v>23</v>
      </c>
      <c r="G70" s="1" t="s">
        <v>17</v>
      </c>
      <c r="H70" s="1" t="s">
        <v>44</v>
      </c>
      <c r="I70" s="1" t="s">
        <v>57</v>
      </c>
      <c r="J70" s="1" t="s">
        <v>62</v>
      </c>
      <c r="K70" s="1" t="s">
        <v>33</v>
      </c>
      <c r="L70" s="1">
        <v>6</v>
      </c>
      <c r="M70" s="1">
        <v>1836.98</v>
      </c>
      <c r="N70" s="1">
        <v>5</v>
      </c>
      <c r="O70" s="1">
        <v>10470.790000000001</v>
      </c>
      <c r="P70" s="1">
        <f t="shared" si="6"/>
        <v>11021.880000000001</v>
      </c>
      <c r="Q70" s="10">
        <f t="shared" si="7"/>
        <v>523.53950000000009</v>
      </c>
      <c r="R70" s="11">
        <f t="shared" si="8"/>
        <v>10498.3405</v>
      </c>
      <c r="S70" s="1" t="str">
        <f t="shared" si="9"/>
        <v>High</v>
      </c>
      <c r="T70" s="1" t="str" cm="1">
        <f t="array" ref="T70">_xlfn.IFS(L70&gt;5,"High",L70=5,"mediam",L70&lt;5,"low")</f>
        <v>High</v>
      </c>
      <c r="U70" s="1" t="str">
        <f t="shared" si="5"/>
        <v>High</v>
      </c>
      <c r="Z70" s="1">
        <v>1013</v>
      </c>
      <c r="AA70" s="5">
        <v>10069</v>
      </c>
    </row>
    <row r="71" spans="1:27" x14ac:dyDescent="0.3">
      <c r="A71" s="5">
        <v>10070</v>
      </c>
      <c r="B71" s="1">
        <v>1241</v>
      </c>
      <c r="C71" s="2">
        <v>45112</v>
      </c>
      <c r="D71" s="2">
        <v>45113</v>
      </c>
      <c r="E71" s="1" t="s">
        <v>46</v>
      </c>
      <c r="F71" s="1" t="s">
        <v>41</v>
      </c>
      <c r="G71" s="1" t="s">
        <v>17</v>
      </c>
      <c r="H71" s="1" t="s">
        <v>35</v>
      </c>
      <c r="I71" s="1" t="s">
        <v>31</v>
      </c>
      <c r="J71" s="1" t="s">
        <v>39</v>
      </c>
      <c r="K71" s="1" t="s">
        <v>33</v>
      </c>
      <c r="L71" s="1">
        <v>4</v>
      </c>
      <c r="M71" s="1">
        <v>3612.15</v>
      </c>
      <c r="N71" s="1">
        <v>20</v>
      </c>
      <c r="O71" s="1">
        <v>11558.88</v>
      </c>
      <c r="P71" s="1">
        <f t="shared" si="6"/>
        <v>14448.6</v>
      </c>
      <c r="Q71" s="10">
        <f t="shared" si="7"/>
        <v>2311.7759999999998</v>
      </c>
      <c r="R71" s="11">
        <f t="shared" si="8"/>
        <v>12136.824000000001</v>
      </c>
      <c r="S71" s="1" t="str">
        <f t="shared" si="9"/>
        <v>Low</v>
      </c>
      <c r="T71" s="1" t="str" cm="1">
        <f t="array" ref="T71">_xlfn.IFS(L71&gt;5,"High",L71=5,"mediam",L71&lt;5,"low")</f>
        <v>low</v>
      </c>
      <c r="U71" s="1" t="b">
        <f t="shared" si="5"/>
        <v>0</v>
      </c>
      <c r="Z71" s="1">
        <v>1241</v>
      </c>
      <c r="AA71" s="5">
        <v>10070</v>
      </c>
    </row>
    <row r="72" spans="1:27" x14ac:dyDescent="0.3">
      <c r="A72" s="5">
        <v>10071</v>
      </c>
      <c r="B72" s="1">
        <v>1776</v>
      </c>
      <c r="C72" s="2">
        <v>45070</v>
      </c>
      <c r="D72" s="2">
        <v>45078</v>
      </c>
      <c r="E72" s="1" t="s">
        <v>15</v>
      </c>
      <c r="F72" s="1" t="s">
        <v>29</v>
      </c>
      <c r="G72" s="1" t="s">
        <v>17</v>
      </c>
      <c r="H72" s="1" t="s">
        <v>18</v>
      </c>
      <c r="I72" s="1" t="s">
        <v>26</v>
      </c>
      <c r="J72" s="1" t="s">
        <v>61</v>
      </c>
      <c r="K72" s="1" t="s">
        <v>47</v>
      </c>
      <c r="L72" s="1">
        <v>3</v>
      </c>
      <c r="M72" s="1">
        <v>3854.71</v>
      </c>
      <c r="N72" s="1">
        <v>5</v>
      </c>
      <c r="O72" s="1">
        <v>10985.92</v>
      </c>
      <c r="P72" s="1">
        <f t="shared" si="6"/>
        <v>11564.130000000001</v>
      </c>
      <c r="Q72" s="10">
        <f t="shared" si="7"/>
        <v>549.29600000000005</v>
      </c>
      <c r="R72" s="11">
        <f t="shared" si="8"/>
        <v>11014.834000000001</v>
      </c>
      <c r="S72" s="1" t="str">
        <f t="shared" si="9"/>
        <v>Low</v>
      </c>
      <c r="T72" s="1" t="str" cm="1">
        <f t="array" ref="T72">_xlfn.IFS(L72&gt;5,"High",L72=5,"mediam",L72&lt;5,"low")</f>
        <v>low</v>
      </c>
      <c r="U72" s="1" t="b">
        <f t="shared" si="5"/>
        <v>0</v>
      </c>
      <c r="Z72" s="1">
        <v>1776</v>
      </c>
      <c r="AA72" s="5">
        <v>10071</v>
      </c>
    </row>
    <row r="73" spans="1:27" x14ac:dyDescent="0.3">
      <c r="A73" s="5">
        <v>10072</v>
      </c>
      <c r="B73" s="1">
        <v>1345</v>
      </c>
      <c r="C73" s="2">
        <v>44998</v>
      </c>
      <c r="D73" s="2">
        <v>45005</v>
      </c>
      <c r="E73" s="1" t="s">
        <v>16</v>
      </c>
      <c r="F73" s="1" t="s">
        <v>54</v>
      </c>
      <c r="G73" s="1" t="s">
        <v>17</v>
      </c>
      <c r="H73" s="1" t="s">
        <v>18</v>
      </c>
      <c r="I73" s="1" t="s">
        <v>19</v>
      </c>
      <c r="J73" s="1" t="s">
        <v>55</v>
      </c>
      <c r="K73" s="1" t="s">
        <v>47</v>
      </c>
      <c r="L73" s="1">
        <v>3</v>
      </c>
      <c r="M73" s="1">
        <v>1859.84</v>
      </c>
      <c r="N73" s="1">
        <v>15</v>
      </c>
      <c r="O73" s="1">
        <v>4742.59</v>
      </c>
      <c r="P73" s="1">
        <f t="shared" si="6"/>
        <v>5579.5199999999995</v>
      </c>
      <c r="Q73" s="10">
        <f t="shared" si="7"/>
        <v>711.38850000000002</v>
      </c>
      <c r="R73" s="11">
        <f t="shared" si="8"/>
        <v>4868.1314999999995</v>
      </c>
      <c r="S73" s="1" t="str">
        <f t="shared" si="9"/>
        <v>Low</v>
      </c>
      <c r="T73" s="1" t="str" cm="1">
        <f t="array" ref="T73">_xlfn.IFS(L73&gt;5,"High",L73=5,"mediam",L73&lt;5,"low")</f>
        <v>low</v>
      </c>
      <c r="U73" s="1" t="b">
        <f t="shared" ref="U73:U136" si="10">IF(L73&gt;5,"High",IF(L73="Mediam","Low"))</f>
        <v>0</v>
      </c>
      <c r="Z73" s="1">
        <v>1345</v>
      </c>
      <c r="AA73" s="5">
        <v>10072</v>
      </c>
    </row>
    <row r="74" spans="1:27" x14ac:dyDescent="0.3">
      <c r="A74" s="5">
        <v>10073</v>
      </c>
      <c r="B74" s="1">
        <v>1564</v>
      </c>
      <c r="C74" s="2">
        <v>45055</v>
      </c>
      <c r="D74" s="2">
        <v>45063</v>
      </c>
      <c r="E74" s="1" t="s">
        <v>40</v>
      </c>
      <c r="F74" s="1" t="s">
        <v>16</v>
      </c>
      <c r="G74" s="1" t="s">
        <v>17</v>
      </c>
      <c r="H74" s="1" t="s">
        <v>25</v>
      </c>
      <c r="I74" s="1" t="s">
        <v>49</v>
      </c>
      <c r="J74" s="1" t="s">
        <v>68</v>
      </c>
      <c r="K74" s="1" t="s">
        <v>21</v>
      </c>
      <c r="L74" s="1">
        <v>1</v>
      </c>
      <c r="M74" s="1">
        <v>3037.61</v>
      </c>
      <c r="N74" s="1">
        <v>5</v>
      </c>
      <c r="O74" s="1">
        <v>2885.73</v>
      </c>
      <c r="P74" s="1">
        <f t="shared" si="6"/>
        <v>3037.61</v>
      </c>
      <c r="Q74" s="10">
        <f t="shared" si="7"/>
        <v>144.28650000000002</v>
      </c>
      <c r="R74" s="11">
        <f t="shared" si="8"/>
        <v>2893.3235</v>
      </c>
      <c r="S74" s="1" t="str">
        <f t="shared" si="9"/>
        <v>Low</v>
      </c>
      <c r="T74" s="1" t="str" cm="1">
        <f t="array" ref="T74">_xlfn.IFS(L74&gt;5,"High",L74=5,"mediam",L74&lt;5,"low")</f>
        <v>low</v>
      </c>
      <c r="U74" s="1" t="b">
        <f t="shared" si="10"/>
        <v>0</v>
      </c>
      <c r="Z74" s="1">
        <v>1564</v>
      </c>
      <c r="AA74" s="5">
        <v>10073</v>
      </c>
    </row>
    <row r="75" spans="1:27" x14ac:dyDescent="0.3">
      <c r="A75" s="5">
        <v>10074</v>
      </c>
      <c r="B75" s="1">
        <v>1897</v>
      </c>
      <c r="C75" s="2">
        <v>45290</v>
      </c>
      <c r="D75" s="2">
        <v>45296</v>
      </c>
      <c r="E75" s="1" t="s">
        <v>16</v>
      </c>
      <c r="F75" s="1" t="s">
        <v>54</v>
      </c>
      <c r="G75" s="1" t="s">
        <v>30</v>
      </c>
      <c r="H75" s="1" t="s">
        <v>35</v>
      </c>
      <c r="I75" s="1" t="s">
        <v>19</v>
      </c>
      <c r="J75" s="1" t="s">
        <v>43</v>
      </c>
      <c r="K75" s="1" t="s">
        <v>33</v>
      </c>
      <c r="L75" s="1">
        <v>3</v>
      </c>
      <c r="M75" s="1">
        <v>2196.89</v>
      </c>
      <c r="N75" s="1">
        <v>0</v>
      </c>
      <c r="O75" s="1">
        <v>6590.67</v>
      </c>
      <c r="P75" s="1">
        <f t="shared" si="6"/>
        <v>6590.67</v>
      </c>
      <c r="Q75" s="10">
        <f t="shared" si="7"/>
        <v>0</v>
      </c>
      <c r="R75" s="11">
        <f t="shared" si="8"/>
        <v>6590.67</v>
      </c>
      <c r="S75" s="1" t="str">
        <f t="shared" si="9"/>
        <v>Low</v>
      </c>
      <c r="T75" s="1" t="str" cm="1">
        <f t="array" ref="T75">_xlfn.IFS(L75&gt;5,"High",L75=5,"mediam",L75&lt;5,"low")</f>
        <v>low</v>
      </c>
      <c r="U75" s="1" t="b">
        <f t="shared" si="10"/>
        <v>0</v>
      </c>
      <c r="Z75" s="1">
        <v>1897</v>
      </c>
      <c r="AA75" s="5">
        <v>10074</v>
      </c>
    </row>
    <row r="76" spans="1:27" x14ac:dyDescent="0.3">
      <c r="A76" s="5">
        <v>10075</v>
      </c>
      <c r="B76" s="1">
        <v>1339</v>
      </c>
      <c r="C76" s="2">
        <v>45187</v>
      </c>
      <c r="D76" s="2">
        <v>45196</v>
      </c>
      <c r="E76" s="1" t="s">
        <v>40</v>
      </c>
      <c r="F76" s="1" t="s">
        <v>16</v>
      </c>
      <c r="G76" s="1" t="s">
        <v>30</v>
      </c>
      <c r="H76" s="1" t="s">
        <v>42</v>
      </c>
      <c r="I76" s="1" t="s">
        <v>57</v>
      </c>
      <c r="J76" s="1" t="s">
        <v>58</v>
      </c>
      <c r="K76" s="1" t="s">
        <v>45</v>
      </c>
      <c r="L76" s="1">
        <v>4</v>
      </c>
      <c r="M76" s="1">
        <v>2220.46</v>
      </c>
      <c r="N76" s="1">
        <v>0</v>
      </c>
      <c r="O76" s="1">
        <v>8881.84</v>
      </c>
      <c r="P76" s="1">
        <f t="shared" si="6"/>
        <v>8881.84</v>
      </c>
      <c r="Q76" s="10">
        <f t="shared" si="7"/>
        <v>0</v>
      </c>
      <c r="R76" s="11">
        <f t="shared" si="8"/>
        <v>8881.84</v>
      </c>
      <c r="S76" s="1" t="str">
        <f t="shared" si="9"/>
        <v>Low</v>
      </c>
      <c r="T76" s="1" t="str" cm="1">
        <f t="array" ref="T76">_xlfn.IFS(L76&gt;5,"High",L76=5,"mediam",L76&lt;5,"low")</f>
        <v>low</v>
      </c>
      <c r="U76" s="1" t="b">
        <f t="shared" si="10"/>
        <v>0</v>
      </c>
      <c r="Z76" s="1">
        <v>1339</v>
      </c>
      <c r="AA76" s="5">
        <v>10075</v>
      </c>
    </row>
    <row r="77" spans="1:27" x14ac:dyDescent="0.3">
      <c r="A77" s="5">
        <v>10076</v>
      </c>
      <c r="B77" s="1">
        <v>1091</v>
      </c>
      <c r="C77" s="2">
        <v>44929</v>
      </c>
      <c r="D77" s="2">
        <v>44932</v>
      </c>
      <c r="E77" s="1" t="s">
        <v>22</v>
      </c>
      <c r="F77" s="1" t="s">
        <v>16</v>
      </c>
      <c r="G77" s="1" t="s">
        <v>30</v>
      </c>
      <c r="H77" s="1" t="s">
        <v>35</v>
      </c>
      <c r="I77" s="1" t="s">
        <v>31</v>
      </c>
      <c r="J77" s="1" t="s">
        <v>39</v>
      </c>
      <c r="K77" s="1" t="s">
        <v>33</v>
      </c>
      <c r="L77" s="1">
        <v>5</v>
      </c>
      <c r="M77" s="1">
        <v>1220.68</v>
      </c>
      <c r="N77" s="1">
        <v>20</v>
      </c>
      <c r="O77" s="1">
        <v>4882.72</v>
      </c>
      <c r="P77" s="1">
        <f t="shared" si="6"/>
        <v>6103.4000000000005</v>
      </c>
      <c r="Q77" s="10">
        <f t="shared" si="7"/>
        <v>976.5440000000001</v>
      </c>
      <c r="R77" s="11">
        <f t="shared" si="8"/>
        <v>5126.8560000000007</v>
      </c>
      <c r="S77" s="1" t="str">
        <f t="shared" si="9"/>
        <v>High</v>
      </c>
      <c r="T77" s="1" t="str" cm="1">
        <f t="array" ref="T77">_xlfn.IFS(L77&gt;5,"High",L77=5,"mediam",L77&lt;5,"low")</f>
        <v>mediam</v>
      </c>
      <c r="U77" s="1" t="b">
        <f t="shared" si="10"/>
        <v>0</v>
      </c>
      <c r="Z77" s="1">
        <v>1091</v>
      </c>
      <c r="AA77" s="5">
        <v>10076</v>
      </c>
    </row>
    <row r="78" spans="1:27" x14ac:dyDescent="0.3">
      <c r="A78" s="5">
        <v>10077</v>
      </c>
      <c r="B78" s="1">
        <v>1366</v>
      </c>
      <c r="C78" s="2">
        <v>45030</v>
      </c>
      <c r="D78" s="2">
        <v>45034</v>
      </c>
      <c r="E78" s="1" t="s">
        <v>22</v>
      </c>
      <c r="F78" s="1" t="s">
        <v>54</v>
      </c>
      <c r="G78" s="1" t="s">
        <v>30</v>
      </c>
      <c r="H78" s="1" t="s">
        <v>25</v>
      </c>
      <c r="I78" s="1" t="s">
        <v>31</v>
      </c>
      <c r="J78" s="1" t="s">
        <v>32</v>
      </c>
      <c r="K78" s="1" t="s">
        <v>45</v>
      </c>
      <c r="L78" s="1">
        <v>3</v>
      </c>
      <c r="M78" s="1">
        <v>985.28</v>
      </c>
      <c r="N78" s="1">
        <v>10</v>
      </c>
      <c r="O78" s="1">
        <v>2660.26</v>
      </c>
      <c r="P78" s="1">
        <f t="shared" si="6"/>
        <v>2955.84</v>
      </c>
      <c r="Q78" s="10">
        <f t="shared" si="7"/>
        <v>266.02600000000001</v>
      </c>
      <c r="R78" s="11">
        <f t="shared" si="8"/>
        <v>2689.8140000000003</v>
      </c>
      <c r="S78" s="1" t="str">
        <f t="shared" si="9"/>
        <v>Low</v>
      </c>
      <c r="T78" s="1" t="str" cm="1">
        <f t="array" ref="T78">_xlfn.IFS(L78&gt;5,"High",L78=5,"mediam",L78&lt;5,"low")</f>
        <v>low</v>
      </c>
      <c r="U78" s="1" t="b">
        <f t="shared" si="10"/>
        <v>0</v>
      </c>
      <c r="Z78" s="1">
        <v>1366</v>
      </c>
      <c r="AA78" s="5">
        <v>10077</v>
      </c>
    </row>
    <row r="79" spans="1:27" x14ac:dyDescent="0.3">
      <c r="A79" s="5">
        <v>10078</v>
      </c>
      <c r="B79" s="1">
        <v>1955</v>
      </c>
      <c r="C79" s="2">
        <v>45150</v>
      </c>
      <c r="D79" s="2">
        <v>45156</v>
      </c>
      <c r="E79" s="1" t="s">
        <v>40</v>
      </c>
      <c r="F79" s="1" t="s">
        <v>23</v>
      </c>
      <c r="G79" s="1" t="s">
        <v>24</v>
      </c>
      <c r="H79" s="1" t="s">
        <v>35</v>
      </c>
      <c r="I79" s="1" t="s">
        <v>52</v>
      </c>
      <c r="J79" s="1" t="s">
        <v>60</v>
      </c>
      <c r="K79" s="1" t="s">
        <v>28</v>
      </c>
      <c r="L79" s="1">
        <v>6</v>
      </c>
      <c r="M79" s="1">
        <v>1258.82</v>
      </c>
      <c r="N79" s="1">
        <v>15</v>
      </c>
      <c r="O79" s="1">
        <v>6419.98</v>
      </c>
      <c r="P79" s="1">
        <f t="shared" si="6"/>
        <v>7552.92</v>
      </c>
      <c r="Q79" s="10">
        <f t="shared" si="7"/>
        <v>962.99699999999984</v>
      </c>
      <c r="R79" s="11">
        <f t="shared" si="8"/>
        <v>6589.9230000000007</v>
      </c>
      <c r="S79" s="1" t="str">
        <f t="shared" si="9"/>
        <v>High</v>
      </c>
      <c r="T79" s="1" t="str" cm="1">
        <f t="array" ref="T79">_xlfn.IFS(L79&gt;5,"High",L79=5,"mediam",L79&lt;5,"low")</f>
        <v>High</v>
      </c>
      <c r="U79" s="1" t="str">
        <f t="shared" si="10"/>
        <v>High</v>
      </c>
      <c r="Z79" s="1">
        <v>1955</v>
      </c>
      <c r="AA79" s="5">
        <v>10078</v>
      </c>
    </row>
    <row r="80" spans="1:27" x14ac:dyDescent="0.3">
      <c r="A80" s="5">
        <v>10079</v>
      </c>
      <c r="B80" s="1">
        <v>1454</v>
      </c>
      <c r="C80" s="2">
        <v>45246</v>
      </c>
      <c r="D80" s="2">
        <v>45254</v>
      </c>
      <c r="E80" s="1" t="s">
        <v>34</v>
      </c>
      <c r="F80" s="1" t="s">
        <v>16</v>
      </c>
      <c r="G80" s="1" t="s">
        <v>30</v>
      </c>
      <c r="H80" s="1" t="s">
        <v>35</v>
      </c>
      <c r="I80" s="1" t="s">
        <v>31</v>
      </c>
      <c r="J80" s="1" t="s">
        <v>32</v>
      </c>
      <c r="K80" s="1" t="s">
        <v>33</v>
      </c>
      <c r="L80" s="1">
        <v>5</v>
      </c>
      <c r="M80" s="1">
        <v>2291.86</v>
      </c>
      <c r="N80" s="1">
        <v>15</v>
      </c>
      <c r="O80" s="1">
        <v>9740.4</v>
      </c>
      <c r="P80" s="1">
        <f t="shared" si="6"/>
        <v>11459.300000000001</v>
      </c>
      <c r="Q80" s="10">
        <f t="shared" si="7"/>
        <v>1461.06</v>
      </c>
      <c r="R80" s="11">
        <f t="shared" si="8"/>
        <v>9998.2400000000016</v>
      </c>
      <c r="S80" s="1" t="str">
        <f t="shared" si="9"/>
        <v>High</v>
      </c>
      <c r="T80" s="1" t="str" cm="1">
        <f t="array" ref="T80">_xlfn.IFS(L80&gt;5,"High",L80=5,"mediam",L80&lt;5,"low")</f>
        <v>mediam</v>
      </c>
      <c r="U80" s="1" t="b">
        <f t="shared" si="10"/>
        <v>0</v>
      </c>
      <c r="Z80" s="1">
        <v>1454</v>
      </c>
      <c r="AA80" s="5">
        <v>10079</v>
      </c>
    </row>
    <row r="81" spans="1:27" x14ac:dyDescent="0.3">
      <c r="A81" s="5">
        <v>10080</v>
      </c>
      <c r="B81" s="1">
        <v>1427</v>
      </c>
      <c r="C81" s="2">
        <v>45288</v>
      </c>
      <c r="D81" s="2">
        <v>45293</v>
      </c>
      <c r="E81" s="1" t="s">
        <v>15</v>
      </c>
      <c r="F81" s="1" t="s">
        <v>54</v>
      </c>
      <c r="G81" s="1" t="s">
        <v>17</v>
      </c>
      <c r="H81" s="1" t="s">
        <v>25</v>
      </c>
      <c r="I81" s="1" t="s">
        <v>52</v>
      </c>
      <c r="J81" s="1" t="s">
        <v>56</v>
      </c>
      <c r="K81" s="1" t="s">
        <v>28</v>
      </c>
      <c r="L81" s="1">
        <v>3</v>
      </c>
      <c r="M81" s="1">
        <v>262.25</v>
      </c>
      <c r="N81" s="1">
        <v>10</v>
      </c>
      <c r="O81" s="1">
        <v>708.07</v>
      </c>
      <c r="P81" s="1">
        <f t="shared" si="6"/>
        <v>786.75</v>
      </c>
      <c r="Q81" s="10">
        <f t="shared" si="7"/>
        <v>70.807000000000002</v>
      </c>
      <c r="R81" s="11">
        <f t="shared" si="8"/>
        <v>715.94299999999998</v>
      </c>
      <c r="S81" s="1" t="str">
        <f t="shared" si="9"/>
        <v>Low</v>
      </c>
      <c r="T81" s="1" t="str" cm="1">
        <f t="array" ref="T81">_xlfn.IFS(L81&gt;5,"High",L81=5,"mediam",L81&lt;5,"low")</f>
        <v>low</v>
      </c>
      <c r="U81" s="1" t="b">
        <f t="shared" si="10"/>
        <v>0</v>
      </c>
      <c r="Z81" s="1">
        <v>1427</v>
      </c>
      <c r="AA81" s="5">
        <v>10080</v>
      </c>
    </row>
    <row r="82" spans="1:27" x14ac:dyDescent="0.3">
      <c r="A82" s="5">
        <v>10081</v>
      </c>
      <c r="B82" s="1">
        <v>1508</v>
      </c>
      <c r="C82" s="2">
        <v>45280</v>
      </c>
      <c r="D82" s="2">
        <v>45283</v>
      </c>
      <c r="E82" s="1" t="s">
        <v>46</v>
      </c>
      <c r="F82" s="1" t="s">
        <v>16</v>
      </c>
      <c r="G82" s="1" t="s">
        <v>30</v>
      </c>
      <c r="H82" s="1" t="s">
        <v>18</v>
      </c>
      <c r="I82" s="1" t="s">
        <v>26</v>
      </c>
      <c r="J82" s="1" t="s">
        <v>27</v>
      </c>
      <c r="K82" s="1" t="s">
        <v>47</v>
      </c>
      <c r="L82" s="1">
        <v>6</v>
      </c>
      <c r="M82" s="1">
        <v>3642.91</v>
      </c>
      <c r="N82" s="1">
        <v>0</v>
      </c>
      <c r="O82" s="1">
        <v>21857.46</v>
      </c>
      <c r="P82" s="1">
        <f t="shared" si="6"/>
        <v>21857.46</v>
      </c>
      <c r="Q82" s="10">
        <f t="shared" si="7"/>
        <v>0</v>
      </c>
      <c r="R82" s="11">
        <f t="shared" si="8"/>
        <v>21857.46</v>
      </c>
      <c r="S82" s="1" t="str">
        <f t="shared" si="9"/>
        <v>High</v>
      </c>
      <c r="T82" s="1" t="str" cm="1">
        <f t="array" ref="T82">_xlfn.IFS(L82&gt;5,"High",L82=5,"mediam",L82&lt;5,"low")</f>
        <v>High</v>
      </c>
      <c r="U82" s="1" t="str">
        <f t="shared" si="10"/>
        <v>High</v>
      </c>
      <c r="Z82" s="1">
        <v>1508</v>
      </c>
      <c r="AA82" s="5">
        <v>10081</v>
      </c>
    </row>
    <row r="83" spans="1:27" x14ac:dyDescent="0.3">
      <c r="A83" s="5">
        <v>10082</v>
      </c>
      <c r="B83" s="1">
        <v>1775</v>
      </c>
      <c r="C83" s="2">
        <v>44936</v>
      </c>
      <c r="D83" s="2">
        <v>44942</v>
      </c>
      <c r="E83" s="1" t="s">
        <v>46</v>
      </c>
      <c r="F83" s="1" t="s">
        <v>38</v>
      </c>
      <c r="G83" s="1" t="s">
        <v>24</v>
      </c>
      <c r="H83" s="1" t="s">
        <v>42</v>
      </c>
      <c r="I83" s="1" t="s">
        <v>49</v>
      </c>
      <c r="J83" s="1" t="s">
        <v>63</v>
      </c>
      <c r="K83" s="1" t="s">
        <v>47</v>
      </c>
      <c r="L83" s="1">
        <v>6</v>
      </c>
      <c r="M83" s="1">
        <v>751.69</v>
      </c>
      <c r="N83" s="1">
        <v>0</v>
      </c>
      <c r="O83" s="1">
        <v>4510.1400000000003</v>
      </c>
      <c r="P83" s="1">
        <f t="shared" si="6"/>
        <v>4510.1400000000003</v>
      </c>
      <c r="Q83" s="10">
        <f t="shared" si="7"/>
        <v>0</v>
      </c>
      <c r="R83" s="11">
        <f t="shared" si="8"/>
        <v>4510.1400000000003</v>
      </c>
      <c r="S83" s="1" t="str">
        <f t="shared" si="9"/>
        <v>High</v>
      </c>
      <c r="T83" s="1" t="str" cm="1">
        <f t="array" ref="T83">_xlfn.IFS(L83&gt;5,"High",L83=5,"mediam",L83&lt;5,"low")</f>
        <v>High</v>
      </c>
      <c r="U83" s="1" t="str">
        <f t="shared" si="10"/>
        <v>High</v>
      </c>
      <c r="Z83" s="1">
        <v>1775</v>
      </c>
      <c r="AA83" s="5">
        <v>10082</v>
      </c>
    </row>
    <row r="84" spans="1:27" x14ac:dyDescent="0.3">
      <c r="A84" s="5">
        <v>10083</v>
      </c>
      <c r="B84" s="1">
        <v>1942</v>
      </c>
      <c r="C84" s="2">
        <v>45228</v>
      </c>
      <c r="D84" s="2">
        <v>45232</v>
      </c>
      <c r="E84" s="1" t="s">
        <v>37</v>
      </c>
      <c r="F84" s="1" t="s">
        <v>23</v>
      </c>
      <c r="G84" s="1" t="s">
        <v>17</v>
      </c>
      <c r="H84" s="1" t="s">
        <v>25</v>
      </c>
      <c r="I84" s="1" t="s">
        <v>57</v>
      </c>
      <c r="J84" s="1" t="s">
        <v>62</v>
      </c>
      <c r="K84" s="1" t="s">
        <v>21</v>
      </c>
      <c r="L84" s="1">
        <v>8</v>
      </c>
      <c r="M84" s="1">
        <v>997.34</v>
      </c>
      <c r="N84" s="1">
        <v>5</v>
      </c>
      <c r="O84" s="1">
        <v>7579.78</v>
      </c>
      <c r="P84" s="1">
        <f t="shared" si="6"/>
        <v>7978.72</v>
      </c>
      <c r="Q84" s="10">
        <f t="shared" si="7"/>
        <v>378.98900000000003</v>
      </c>
      <c r="R84" s="11">
        <f t="shared" si="8"/>
        <v>7599.7309999999998</v>
      </c>
      <c r="S84" s="1" t="str">
        <f t="shared" si="9"/>
        <v>High</v>
      </c>
      <c r="T84" s="1" t="str" cm="1">
        <f t="array" ref="T84">_xlfn.IFS(L84&gt;5,"High",L84=5,"mediam",L84&lt;5,"low")</f>
        <v>High</v>
      </c>
      <c r="U84" s="1" t="str">
        <f t="shared" si="10"/>
        <v>High</v>
      </c>
      <c r="Z84" s="1">
        <v>1942</v>
      </c>
      <c r="AA84" s="5">
        <v>10083</v>
      </c>
    </row>
    <row r="85" spans="1:27" x14ac:dyDescent="0.3">
      <c r="A85" s="5">
        <v>10084</v>
      </c>
      <c r="B85" s="1">
        <v>1034</v>
      </c>
      <c r="C85" s="2">
        <v>45157</v>
      </c>
      <c r="D85" s="2">
        <v>45166</v>
      </c>
      <c r="E85" s="1" t="s">
        <v>40</v>
      </c>
      <c r="F85" s="1" t="s">
        <v>29</v>
      </c>
      <c r="G85" s="1" t="s">
        <v>30</v>
      </c>
      <c r="H85" s="1" t="s">
        <v>44</v>
      </c>
      <c r="I85" s="1" t="s">
        <v>52</v>
      </c>
      <c r="J85" s="1" t="s">
        <v>56</v>
      </c>
      <c r="K85" s="1" t="s">
        <v>33</v>
      </c>
      <c r="L85" s="1">
        <v>2</v>
      </c>
      <c r="M85" s="1">
        <v>2145.36</v>
      </c>
      <c r="N85" s="1">
        <v>20</v>
      </c>
      <c r="O85" s="1">
        <v>3432.58</v>
      </c>
      <c r="P85" s="1">
        <f t="shared" si="6"/>
        <v>4290.72</v>
      </c>
      <c r="Q85" s="10">
        <f t="shared" si="7"/>
        <v>686.51600000000008</v>
      </c>
      <c r="R85" s="11">
        <f t="shared" si="8"/>
        <v>3604.2040000000002</v>
      </c>
      <c r="S85" s="1" t="str">
        <f t="shared" si="9"/>
        <v>Low</v>
      </c>
      <c r="T85" s="1" t="str" cm="1">
        <f t="array" ref="T85">_xlfn.IFS(L85&gt;5,"High",L85=5,"mediam",L85&lt;5,"low")</f>
        <v>low</v>
      </c>
      <c r="U85" s="1" t="b">
        <f t="shared" si="10"/>
        <v>0</v>
      </c>
      <c r="Z85" s="1">
        <v>1034</v>
      </c>
      <c r="AA85" s="5">
        <v>10084</v>
      </c>
    </row>
    <row r="86" spans="1:27" x14ac:dyDescent="0.3">
      <c r="A86" s="5">
        <v>10085</v>
      </c>
      <c r="B86" s="1">
        <v>1205</v>
      </c>
      <c r="C86" s="2">
        <v>45145</v>
      </c>
      <c r="D86" s="2">
        <v>45148</v>
      </c>
      <c r="E86" s="1" t="s">
        <v>46</v>
      </c>
      <c r="F86" s="1" t="s">
        <v>16</v>
      </c>
      <c r="G86" s="1" t="s">
        <v>30</v>
      </c>
      <c r="H86" s="1" t="s">
        <v>18</v>
      </c>
      <c r="I86" s="1" t="s">
        <v>49</v>
      </c>
      <c r="J86" s="1" t="s">
        <v>50</v>
      </c>
      <c r="K86" s="1" t="s">
        <v>28</v>
      </c>
      <c r="L86" s="1">
        <v>1</v>
      </c>
      <c r="M86" s="1">
        <v>2883.94</v>
      </c>
      <c r="N86" s="1">
        <v>20</v>
      </c>
      <c r="O86" s="1">
        <v>2307.15</v>
      </c>
      <c r="P86" s="1">
        <f t="shared" si="6"/>
        <v>2883.94</v>
      </c>
      <c r="Q86" s="10">
        <f t="shared" si="7"/>
        <v>461.43000000000006</v>
      </c>
      <c r="R86" s="11">
        <f t="shared" si="8"/>
        <v>2422.5100000000002</v>
      </c>
      <c r="S86" s="1" t="str">
        <f t="shared" si="9"/>
        <v>Low</v>
      </c>
      <c r="T86" s="1" t="str" cm="1">
        <f t="array" ref="T86">_xlfn.IFS(L86&gt;5,"High",L86=5,"mediam",L86&lt;5,"low")</f>
        <v>low</v>
      </c>
      <c r="U86" s="1" t="b">
        <f t="shared" si="10"/>
        <v>0</v>
      </c>
      <c r="Z86" s="1">
        <v>1205</v>
      </c>
      <c r="AA86" s="5">
        <v>10085</v>
      </c>
    </row>
    <row r="87" spans="1:27" x14ac:dyDescent="0.3">
      <c r="A87" s="5">
        <v>10086</v>
      </c>
      <c r="B87" s="1">
        <v>1080</v>
      </c>
      <c r="C87" s="2">
        <v>44992</v>
      </c>
      <c r="D87" s="2">
        <v>44996</v>
      </c>
      <c r="E87" s="1" t="s">
        <v>34</v>
      </c>
      <c r="F87" s="1" t="s">
        <v>38</v>
      </c>
      <c r="G87" s="1" t="s">
        <v>30</v>
      </c>
      <c r="H87" s="1" t="s">
        <v>44</v>
      </c>
      <c r="I87" s="1" t="s">
        <v>31</v>
      </c>
      <c r="J87" s="1" t="s">
        <v>65</v>
      </c>
      <c r="K87" s="1" t="s">
        <v>45</v>
      </c>
      <c r="L87" s="1">
        <v>4</v>
      </c>
      <c r="M87" s="1">
        <v>518.55999999999995</v>
      </c>
      <c r="N87" s="1">
        <v>20</v>
      </c>
      <c r="O87" s="1">
        <v>1659.39</v>
      </c>
      <c r="P87" s="1">
        <f t="shared" si="6"/>
        <v>2074.2399999999998</v>
      </c>
      <c r="Q87" s="10">
        <f t="shared" si="7"/>
        <v>331.87800000000004</v>
      </c>
      <c r="R87" s="11">
        <f t="shared" si="8"/>
        <v>1742.3619999999996</v>
      </c>
      <c r="S87" s="1" t="str">
        <f t="shared" si="9"/>
        <v>Low</v>
      </c>
      <c r="T87" s="1" t="str" cm="1">
        <f t="array" ref="T87">_xlfn.IFS(L87&gt;5,"High",L87=5,"mediam",L87&lt;5,"low")</f>
        <v>low</v>
      </c>
      <c r="U87" s="1" t="b">
        <f t="shared" si="10"/>
        <v>0</v>
      </c>
      <c r="Z87" s="1">
        <v>1080</v>
      </c>
      <c r="AA87" s="5">
        <v>10086</v>
      </c>
    </row>
    <row r="88" spans="1:27" x14ac:dyDescent="0.3">
      <c r="A88" s="5">
        <v>10087</v>
      </c>
      <c r="B88" s="1">
        <v>1931</v>
      </c>
      <c r="C88" s="2">
        <v>45038</v>
      </c>
      <c r="D88" s="2">
        <v>45045</v>
      </c>
      <c r="E88" s="1" t="s">
        <v>40</v>
      </c>
      <c r="F88" s="1" t="s">
        <v>29</v>
      </c>
      <c r="G88" s="1" t="s">
        <v>17</v>
      </c>
      <c r="H88" s="1" t="s">
        <v>18</v>
      </c>
      <c r="I88" s="1" t="s">
        <v>31</v>
      </c>
      <c r="J88" s="1" t="s">
        <v>39</v>
      </c>
      <c r="K88" s="1" t="s">
        <v>47</v>
      </c>
      <c r="L88" s="1">
        <v>7</v>
      </c>
      <c r="M88" s="1">
        <v>1373.12</v>
      </c>
      <c r="N88" s="1">
        <v>5</v>
      </c>
      <c r="O88" s="1">
        <v>9131.25</v>
      </c>
      <c r="P88" s="1">
        <f t="shared" si="6"/>
        <v>9611.84</v>
      </c>
      <c r="Q88" s="10">
        <f t="shared" si="7"/>
        <v>456.5625</v>
      </c>
      <c r="R88" s="11">
        <f t="shared" si="8"/>
        <v>9155.2775000000001</v>
      </c>
      <c r="S88" s="1" t="str">
        <f t="shared" si="9"/>
        <v>High</v>
      </c>
      <c r="T88" s="1" t="str" cm="1">
        <f t="array" ref="T88">_xlfn.IFS(L88&gt;5,"High",L88=5,"mediam",L88&lt;5,"low")</f>
        <v>High</v>
      </c>
      <c r="U88" s="1" t="str">
        <f t="shared" si="10"/>
        <v>High</v>
      </c>
      <c r="Z88" s="1">
        <v>1931</v>
      </c>
      <c r="AA88" s="5">
        <v>10087</v>
      </c>
    </row>
    <row r="89" spans="1:27" x14ac:dyDescent="0.3">
      <c r="A89" s="5">
        <v>10088</v>
      </c>
      <c r="B89" s="1">
        <v>1561</v>
      </c>
      <c r="C89" s="2">
        <v>44939</v>
      </c>
      <c r="D89" s="2">
        <v>44946</v>
      </c>
      <c r="E89" s="1" t="s">
        <v>34</v>
      </c>
      <c r="F89" s="1" t="s">
        <v>29</v>
      </c>
      <c r="G89" s="1" t="s">
        <v>17</v>
      </c>
      <c r="H89" s="1" t="s">
        <v>42</v>
      </c>
      <c r="I89" s="1" t="s">
        <v>49</v>
      </c>
      <c r="J89" s="1" t="s">
        <v>63</v>
      </c>
      <c r="K89" s="1" t="s">
        <v>47</v>
      </c>
      <c r="L89" s="1">
        <v>3</v>
      </c>
      <c r="M89" s="1">
        <v>3879.4</v>
      </c>
      <c r="N89" s="1">
        <v>20</v>
      </c>
      <c r="O89" s="1">
        <v>9310.56</v>
      </c>
      <c r="P89" s="1">
        <f t="shared" si="6"/>
        <v>11638.2</v>
      </c>
      <c r="Q89" s="10">
        <f t="shared" si="7"/>
        <v>1862.1120000000001</v>
      </c>
      <c r="R89" s="11">
        <f t="shared" si="8"/>
        <v>9776.0879999999997</v>
      </c>
      <c r="S89" s="1" t="str">
        <f t="shared" si="9"/>
        <v>Low</v>
      </c>
      <c r="T89" s="1" t="str" cm="1">
        <f t="array" ref="T89">_xlfn.IFS(L89&gt;5,"High",L89=5,"mediam",L89&lt;5,"low")</f>
        <v>low</v>
      </c>
      <c r="U89" s="1" t="b">
        <f t="shared" si="10"/>
        <v>0</v>
      </c>
      <c r="Z89" s="1">
        <v>1561</v>
      </c>
      <c r="AA89" s="5">
        <v>10088</v>
      </c>
    </row>
    <row r="90" spans="1:27" x14ac:dyDescent="0.3">
      <c r="A90" s="5">
        <v>10089</v>
      </c>
      <c r="B90" s="1">
        <v>1871</v>
      </c>
      <c r="C90" s="2">
        <v>45012</v>
      </c>
      <c r="D90" s="2">
        <v>45016</v>
      </c>
      <c r="E90" s="1" t="s">
        <v>46</v>
      </c>
      <c r="F90" s="1" t="s">
        <v>16</v>
      </c>
      <c r="G90" s="1" t="s">
        <v>24</v>
      </c>
      <c r="H90" s="1" t="s">
        <v>42</v>
      </c>
      <c r="I90" s="1" t="s">
        <v>31</v>
      </c>
      <c r="J90" s="1" t="s">
        <v>48</v>
      </c>
      <c r="K90" s="1" t="s">
        <v>45</v>
      </c>
      <c r="L90" s="1">
        <v>3</v>
      </c>
      <c r="M90" s="1">
        <v>1160.02</v>
      </c>
      <c r="N90" s="1">
        <v>10</v>
      </c>
      <c r="O90" s="1">
        <v>3132.05</v>
      </c>
      <c r="P90" s="1">
        <f t="shared" si="6"/>
        <v>3480.06</v>
      </c>
      <c r="Q90" s="10">
        <f t="shared" si="7"/>
        <v>313.20500000000004</v>
      </c>
      <c r="R90" s="11">
        <f t="shared" si="8"/>
        <v>3166.855</v>
      </c>
      <c r="S90" s="1" t="str">
        <f t="shared" si="9"/>
        <v>Low</v>
      </c>
      <c r="T90" s="1" t="str" cm="1">
        <f t="array" ref="T90">_xlfn.IFS(L90&gt;5,"High",L90=5,"mediam",L90&lt;5,"low")</f>
        <v>low</v>
      </c>
      <c r="U90" s="1" t="b">
        <f t="shared" si="10"/>
        <v>0</v>
      </c>
      <c r="Z90" s="1">
        <v>1871</v>
      </c>
      <c r="AA90" s="5">
        <v>10089</v>
      </c>
    </row>
    <row r="91" spans="1:27" x14ac:dyDescent="0.3">
      <c r="A91" s="5">
        <v>10090</v>
      </c>
      <c r="B91" s="1">
        <v>1387</v>
      </c>
      <c r="C91" s="2">
        <v>45160</v>
      </c>
      <c r="D91" s="2">
        <v>45166</v>
      </c>
      <c r="E91" s="1" t="s">
        <v>46</v>
      </c>
      <c r="F91" s="1" t="s">
        <v>54</v>
      </c>
      <c r="G91" s="1" t="s">
        <v>17</v>
      </c>
      <c r="H91" s="1" t="s">
        <v>35</v>
      </c>
      <c r="I91" s="1" t="s">
        <v>26</v>
      </c>
      <c r="J91" s="1" t="s">
        <v>27</v>
      </c>
      <c r="K91" s="1" t="s">
        <v>28</v>
      </c>
      <c r="L91" s="1">
        <v>5</v>
      </c>
      <c r="M91" s="1">
        <v>1355.24</v>
      </c>
      <c r="N91" s="1">
        <v>5</v>
      </c>
      <c r="O91" s="1">
        <v>6437.39</v>
      </c>
      <c r="P91" s="1">
        <f t="shared" si="6"/>
        <v>6776.2</v>
      </c>
      <c r="Q91" s="10">
        <f t="shared" si="7"/>
        <v>321.86950000000002</v>
      </c>
      <c r="R91" s="11">
        <f t="shared" si="8"/>
        <v>6454.3305</v>
      </c>
      <c r="S91" s="1" t="str">
        <f t="shared" si="9"/>
        <v>High</v>
      </c>
      <c r="T91" s="1" t="str" cm="1">
        <f t="array" ref="T91">_xlfn.IFS(L91&gt;5,"High",L91=5,"mediam",L91&lt;5,"low")</f>
        <v>mediam</v>
      </c>
      <c r="U91" s="1" t="b">
        <f t="shared" si="10"/>
        <v>0</v>
      </c>
      <c r="Z91" s="1">
        <v>1387</v>
      </c>
      <c r="AA91" s="5">
        <v>10090</v>
      </c>
    </row>
    <row r="92" spans="1:27" x14ac:dyDescent="0.3">
      <c r="A92" s="5">
        <v>10091</v>
      </c>
      <c r="B92" s="1">
        <v>1001</v>
      </c>
      <c r="C92" s="2">
        <v>45016</v>
      </c>
      <c r="D92" s="2">
        <v>45019</v>
      </c>
      <c r="E92" s="1" t="s">
        <v>37</v>
      </c>
      <c r="F92" s="1" t="s">
        <v>16</v>
      </c>
      <c r="G92" s="1" t="s">
        <v>17</v>
      </c>
      <c r="H92" s="1" t="s">
        <v>44</v>
      </c>
      <c r="I92" s="1" t="s">
        <v>26</v>
      </c>
      <c r="J92" s="1" t="s">
        <v>27</v>
      </c>
      <c r="K92" s="1" t="s">
        <v>28</v>
      </c>
      <c r="L92" s="1">
        <v>5</v>
      </c>
      <c r="M92" s="1">
        <v>3370.52</v>
      </c>
      <c r="N92" s="1">
        <v>10</v>
      </c>
      <c r="O92" s="1">
        <v>15167.34</v>
      </c>
      <c r="P92" s="1">
        <f t="shared" si="6"/>
        <v>16852.599999999999</v>
      </c>
      <c r="Q92" s="10">
        <f t="shared" si="7"/>
        <v>1516.7340000000002</v>
      </c>
      <c r="R92" s="11">
        <f t="shared" si="8"/>
        <v>15335.865999999998</v>
      </c>
      <c r="S92" s="1" t="str">
        <f t="shared" si="9"/>
        <v>High</v>
      </c>
      <c r="T92" s="1" t="str" cm="1">
        <f t="array" ref="T92">_xlfn.IFS(L92&gt;5,"High",L92=5,"mediam",L92&lt;5,"low")</f>
        <v>mediam</v>
      </c>
      <c r="U92" s="1" t="b">
        <f t="shared" si="10"/>
        <v>0</v>
      </c>
      <c r="Z92" s="1">
        <v>1001</v>
      </c>
      <c r="AA92" s="5">
        <v>10091</v>
      </c>
    </row>
    <row r="93" spans="1:27" x14ac:dyDescent="0.3">
      <c r="A93" s="5">
        <v>10092</v>
      </c>
      <c r="B93" s="1">
        <v>1389</v>
      </c>
      <c r="C93" s="2">
        <v>45240</v>
      </c>
      <c r="D93" s="2">
        <v>45246</v>
      </c>
      <c r="E93" s="1" t="s">
        <v>46</v>
      </c>
      <c r="F93" s="1" t="s">
        <v>38</v>
      </c>
      <c r="G93" s="1" t="s">
        <v>30</v>
      </c>
      <c r="H93" s="1" t="s">
        <v>18</v>
      </c>
      <c r="I93" s="1" t="s">
        <v>49</v>
      </c>
      <c r="J93" s="1" t="s">
        <v>50</v>
      </c>
      <c r="K93" s="1" t="s">
        <v>33</v>
      </c>
      <c r="L93" s="1">
        <v>3</v>
      </c>
      <c r="M93" s="1">
        <v>343.33</v>
      </c>
      <c r="N93" s="1">
        <v>5</v>
      </c>
      <c r="O93" s="1">
        <v>978.49</v>
      </c>
      <c r="P93" s="1">
        <f t="shared" si="6"/>
        <v>1029.99</v>
      </c>
      <c r="Q93" s="10">
        <f t="shared" si="7"/>
        <v>48.924500000000002</v>
      </c>
      <c r="R93" s="11">
        <f t="shared" si="8"/>
        <v>981.06550000000004</v>
      </c>
      <c r="S93" s="1" t="str">
        <f t="shared" si="9"/>
        <v>Low</v>
      </c>
      <c r="T93" s="1" t="str" cm="1">
        <f t="array" ref="T93">_xlfn.IFS(L93&gt;5,"High",L93=5,"mediam",L93&lt;5,"low")</f>
        <v>low</v>
      </c>
      <c r="U93" s="1" t="b">
        <f t="shared" si="10"/>
        <v>0</v>
      </c>
      <c r="Z93" s="1">
        <v>1389</v>
      </c>
      <c r="AA93" s="5">
        <v>10092</v>
      </c>
    </row>
    <row r="94" spans="1:27" x14ac:dyDescent="0.3">
      <c r="A94" s="5">
        <v>10093</v>
      </c>
      <c r="B94" s="1">
        <v>1565</v>
      </c>
      <c r="C94" s="2">
        <v>44980</v>
      </c>
      <c r="D94" s="2">
        <v>44982</v>
      </c>
      <c r="E94" s="1" t="s">
        <v>40</v>
      </c>
      <c r="F94" s="1" t="s">
        <v>29</v>
      </c>
      <c r="G94" s="1" t="s">
        <v>17</v>
      </c>
      <c r="H94" s="1" t="s">
        <v>42</v>
      </c>
      <c r="I94" s="1" t="s">
        <v>52</v>
      </c>
      <c r="J94" s="1" t="s">
        <v>56</v>
      </c>
      <c r="K94" s="1" t="s">
        <v>33</v>
      </c>
      <c r="L94" s="1">
        <v>9</v>
      </c>
      <c r="M94" s="1">
        <v>1938.76</v>
      </c>
      <c r="N94" s="1">
        <v>20</v>
      </c>
      <c r="O94" s="1">
        <v>13959.07</v>
      </c>
      <c r="P94" s="1">
        <f t="shared" si="6"/>
        <v>17448.84</v>
      </c>
      <c r="Q94" s="10">
        <f t="shared" si="7"/>
        <v>2791.8140000000003</v>
      </c>
      <c r="R94" s="11">
        <f t="shared" si="8"/>
        <v>14657.026</v>
      </c>
      <c r="S94" s="1" t="str">
        <f t="shared" si="9"/>
        <v>High</v>
      </c>
      <c r="T94" s="1" t="str" cm="1">
        <f t="array" ref="T94">_xlfn.IFS(L94&gt;5,"High",L94=5,"mediam",L94&lt;5,"low")</f>
        <v>High</v>
      </c>
      <c r="U94" s="1" t="str">
        <f t="shared" si="10"/>
        <v>High</v>
      </c>
      <c r="Z94" s="1">
        <v>1565</v>
      </c>
      <c r="AA94" s="5">
        <v>10093</v>
      </c>
    </row>
    <row r="95" spans="1:27" x14ac:dyDescent="0.3">
      <c r="A95" s="5">
        <v>10094</v>
      </c>
      <c r="B95" s="1">
        <v>1105</v>
      </c>
      <c r="C95" s="2">
        <v>44938</v>
      </c>
      <c r="D95" s="2">
        <v>44946</v>
      </c>
      <c r="E95" s="1" t="s">
        <v>22</v>
      </c>
      <c r="F95" s="1" t="s">
        <v>16</v>
      </c>
      <c r="G95" s="1" t="s">
        <v>30</v>
      </c>
      <c r="H95" s="1" t="s">
        <v>25</v>
      </c>
      <c r="I95" s="1" t="s">
        <v>52</v>
      </c>
      <c r="J95" s="1" t="s">
        <v>60</v>
      </c>
      <c r="K95" s="1" t="s">
        <v>21</v>
      </c>
      <c r="L95" s="1">
        <v>4</v>
      </c>
      <c r="M95" s="1">
        <v>1611.52</v>
      </c>
      <c r="N95" s="1">
        <v>10</v>
      </c>
      <c r="O95" s="1">
        <v>5801.47</v>
      </c>
      <c r="P95" s="1">
        <f t="shared" si="6"/>
        <v>6446.08</v>
      </c>
      <c r="Q95" s="10">
        <f t="shared" si="7"/>
        <v>580.14700000000005</v>
      </c>
      <c r="R95" s="11">
        <f t="shared" si="8"/>
        <v>5865.933</v>
      </c>
      <c r="S95" s="1" t="str">
        <f t="shared" si="9"/>
        <v>Low</v>
      </c>
      <c r="T95" s="1" t="str" cm="1">
        <f t="array" ref="T95">_xlfn.IFS(L95&gt;5,"High",L95=5,"mediam",L95&lt;5,"low")</f>
        <v>low</v>
      </c>
      <c r="U95" s="1" t="b">
        <f t="shared" si="10"/>
        <v>0</v>
      </c>
      <c r="Z95" s="1">
        <v>1105</v>
      </c>
      <c r="AA95" s="5">
        <v>10094</v>
      </c>
    </row>
    <row r="96" spans="1:27" x14ac:dyDescent="0.3">
      <c r="A96" s="5">
        <v>10095</v>
      </c>
      <c r="B96" s="1">
        <v>1771</v>
      </c>
      <c r="C96" s="2">
        <v>45135</v>
      </c>
      <c r="D96" s="2">
        <v>45137</v>
      </c>
      <c r="E96" s="1" t="s">
        <v>40</v>
      </c>
      <c r="F96" s="1" t="s">
        <v>54</v>
      </c>
      <c r="G96" s="1" t="s">
        <v>30</v>
      </c>
      <c r="H96" s="1" t="s">
        <v>42</v>
      </c>
      <c r="I96" s="1" t="s">
        <v>49</v>
      </c>
      <c r="J96" s="1" t="s">
        <v>50</v>
      </c>
      <c r="K96" s="1" t="s">
        <v>47</v>
      </c>
      <c r="L96" s="1">
        <v>3</v>
      </c>
      <c r="M96" s="1">
        <v>1368.86</v>
      </c>
      <c r="N96" s="1">
        <v>10</v>
      </c>
      <c r="O96" s="1">
        <v>3695.92</v>
      </c>
      <c r="P96" s="1">
        <f t="shared" si="6"/>
        <v>4106.58</v>
      </c>
      <c r="Q96" s="10">
        <f t="shared" si="7"/>
        <v>369.59200000000004</v>
      </c>
      <c r="R96" s="11">
        <f t="shared" si="8"/>
        <v>3736.9879999999998</v>
      </c>
      <c r="S96" s="1" t="str">
        <f t="shared" si="9"/>
        <v>Low</v>
      </c>
      <c r="T96" s="1" t="str" cm="1">
        <f t="array" ref="T96">_xlfn.IFS(L96&gt;5,"High",L96=5,"mediam",L96&lt;5,"low")</f>
        <v>low</v>
      </c>
      <c r="U96" s="1" t="b">
        <f t="shared" si="10"/>
        <v>0</v>
      </c>
      <c r="Z96" s="1">
        <v>1771</v>
      </c>
      <c r="AA96" s="5">
        <v>10095</v>
      </c>
    </row>
    <row r="97" spans="1:27" x14ac:dyDescent="0.3">
      <c r="A97" s="5">
        <v>10096</v>
      </c>
      <c r="B97" s="1">
        <v>1821</v>
      </c>
      <c r="C97" s="2">
        <v>44940</v>
      </c>
      <c r="D97" s="2">
        <v>44947</v>
      </c>
      <c r="E97" s="1" t="s">
        <v>40</v>
      </c>
      <c r="F97" s="1" t="s">
        <v>16</v>
      </c>
      <c r="G97" s="1" t="s">
        <v>17</v>
      </c>
      <c r="H97" s="1" t="s">
        <v>25</v>
      </c>
      <c r="I97" s="1" t="s">
        <v>52</v>
      </c>
      <c r="J97" s="1" t="s">
        <v>60</v>
      </c>
      <c r="K97" s="1" t="s">
        <v>33</v>
      </c>
      <c r="L97" s="1">
        <v>2</v>
      </c>
      <c r="M97" s="1">
        <v>1249.94</v>
      </c>
      <c r="N97" s="1">
        <v>10</v>
      </c>
      <c r="O97" s="1">
        <v>2249.89</v>
      </c>
      <c r="P97" s="1">
        <f t="shared" si="6"/>
        <v>2499.88</v>
      </c>
      <c r="Q97" s="10">
        <f t="shared" si="7"/>
        <v>224.989</v>
      </c>
      <c r="R97" s="11">
        <f t="shared" si="8"/>
        <v>2274.8910000000001</v>
      </c>
      <c r="S97" s="1" t="str">
        <f t="shared" si="9"/>
        <v>Low</v>
      </c>
      <c r="T97" s="1" t="str" cm="1">
        <f t="array" ref="T97">_xlfn.IFS(L97&gt;5,"High",L97=5,"mediam",L97&lt;5,"low")</f>
        <v>low</v>
      </c>
      <c r="U97" s="1" t="b">
        <f t="shared" si="10"/>
        <v>0</v>
      </c>
      <c r="Z97" s="1">
        <v>1821</v>
      </c>
      <c r="AA97" s="5">
        <v>10096</v>
      </c>
    </row>
    <row r="98" spans="1:27" x14ac:dyDescent="0.3">
      <c r="A98" s="5">
        <v>10097</v>
      </c>
      <c r="B98" s="1">
        <v>1476</v>
      </c>
      <c r="C98" s="2">
        <v>45047</v>
      </c>
      <c r="D98" s="2">
        <v>45056</v>
      </c>
      <c r="E98" s="1" t="s">
        <v>37</v>
      </c>
      <c r="F98" s="1" t="s">
        <v>23</v>
      </c>
      <c r="G98" s="1" t="s">
        <v>24</v>
      </c>
      <c r="H98" s="1" t="s">
        <v>18</v>
      </c>
      <c r="I98" s="1" t="s">
        <v>52</v>
      </c>
      <c r="J98" s="1" t="s">
        <v>60</v>
      </c>
      <c r="K98" s="1" t="s">
        <v>28</v>
      </c>
      <c r="L98" s="1">
        <v>9</v>
      </c>
      <c r="M98" s="1">
        <v>501.79</v>
      </c>
      <c r="N98" s="1">
        <v>5</v>
      </c>
      <c r="O98" s="1">
        <v>4290.3</v>
      </c>
      <c r="P98" s="1">
        <f t="shared" si="6"/>
        <v>4516.1100000000006</v>
      </c>
      <c r="Q98" s="10">
        <f t="shared" si="7"/>
        <v>214.51500000000001</v>
      </c>
      <c r="R98" s="11">
        <f t="shared" si="8"/>
        <v>4301.5950000000003</v>
      </c>
      <c r="S98" s="1" t="str">
        <f t="shared" si="9"/>
        <v>High</v>
      </c>
      <c r="T98" s="1" t="str" cm="1">
        <f t="array" ref="T98">_xlfn.IFS(L98&gt;5,"High",L98=5,"mediam",L98&lt;5,"low")</f>
        <v>High</v>
      </c>
      <c r="U98" s="1" t="str">
        <f t="shared" si="10"/>
        <v>High</v>
      </c>
      <c r="Z98" s="1">
        <v>1476</v>
      </c>
      <c r="AA98" s="5">
        <v>10097</v>
      </c>
    </row>
    <row r="99" spans="1:27" x14ac:dyDescent="0.3">
      <c r="A99" s="5">
        <v>10098</v>
      </c>
      <c r="B99" s="1">
        <v>1702</v>
      </c>
      <c r="C99" s="2">
        <v>44946</v>
      </c>
      <c r="D99" s="2">
        <v>44947</v>
      </c>
      <c r="E99" s="1" t="s">
        <v>37</v>
      </c>
      <c r="F99" s="1" t="s">
        <v>54</v>
      </c>
      <c r="G99" s="1" t="s">
        <v>24</v>
      </c>
      <c r="H99" s="1" t="s">
        <v>42</v>
      </c>
      <c r="I99" s="1" t="s">
        <v>26</v>
      </c>
      <c r="J99" s="1" t="s">
        <v>36</v>
      </c>
      <c r="K99" s="1" t="s">
        <v>45</v>
      </c>
      <c r="L99" s="1">
        <v>4</v>
      </c>
      <c r="M99" s="1">
        <v>1362.08</v>
      </c>
      <c r="N99" s="1">
        <v>15</v>
      </c>
      <c r="O99" s="1">
        <v>4631.07</v>
      </c>
      <c r="P99" s="1">
        <f t="shared" si="6"/>
        <v>5448.32</v>
      </c>
      <c r="Q99" s="10">
        <f t="shared" si="7"/>
        <v>694.66049999999996</v>
      </c>
      <c r="R99" s="11">
        <f t="shared" si="8"/>
        <v>4753.6594999999998</v>
      </c>
      <c r="S99" s="1" t="str">
        <f t="shared" si="9"/>
        <v>Low</v>
      </c>
      <c r="T99" s="1" t="str" cm="1">
        <f t="array" ref="T99">_xlfn.IFS(L99&gt;5,"High",L99=5,"mediam",L99&lt;5,"low")</f>
        <v>low</v>
      </c>
      <c r="U99" s="1" t="b">
        <f t="shared" si="10"/>
        <v>0</v>
      </c>
      <c r="Z99" s="1">
        <v>1702</v>
      </c>
      <c r="AA99" s="5">
        <v>10098</v>
      </c>
    </row>
    <row r="100" spans="1:27" x14ac:dyDescent="0.3">
      <c r="A100" s="5">
        <v>10099</v>
      </c>
      <c r="B100" s="1">
        <v>1401</v>
      </c>
      <c r="C100" s="2">
        <v>45001</v>
      </c>
      <c r="D100" s="2">
        <v>45009</v>
      </c>
      <c r="E100" s="1" t="s">
        <v>46</v>
      </c>
      <c r="F100" s="1" t="s">
        <v>38</v>
      </c>
      <c r="G100" s="1" t="s">
        <v>17</v>
      </c>
      <c r="H100" s="1" t="s">
        <v>42</v>
      </c>
      <c r="I100" s="1" t="s">
        <v>52</v>
      </c>
      <c r="J100" s="1" t="s">
        <v>53</v>
      </c>
      <c r="K100" s="1" t="s">
        <v>28</v>
      </c>
      <c r="L100" s="1">
        <v>3</v>
      </c>
      <c r="M100" s="1">
        <v>315.75</v>
      </c>
      <c r="N100" s="1">
        <v>20</v>
      </c>
      <c r="O100" s="1">
        <v>757.8</v>
      </c>
      <c r="P100" s="1">
        <f t="shared" si="6"/>
        <v>947.25</v>
      </c>
      <c r="Q100" s="10">
        <f t="shared" si="7"/>
        <v>151.56</v>
      </c>
      <c r="R100" s="11">
        <f t="shared" si="8"/>
        <v>795.69</v>
      </c>
      <c r="S100" s="1" t="str">
        <f t="shared" si="9"/>
        <v>Low</v>
      </c>
      <c r="T100" s="1" t="str" cm="1">
        <f t="array" ref="T100">_xlfn.IFS(L100&gt;5,"High",L100=5,"mediam",L100&lt;5,"low")</f>
        <v>low</v>
      </c>
      <c r="U100" s="1" t="b">
        <f t="shared" si="10"/>
        <v>0</v>
      </c>
      <c r="Z100" s="1">
        <v>1401</v>
      </c>
      <c r="AA100" s="5">
        <v>10099</v>
      </c>
    </row>
    <row r="101" spans="1:27" x14ac:dyDescent="0.3">
      <c r="A101" s="5">
        <v>10100</v>
      </c>
      <c r="B101" s="1">
        <v>1729</v>
      </c>
      <c r="C101" s="2">
        <v>45169</v>
      </c>
      <c r="D101" s="2">
        <v>45176</v>
      </c>
      <c r="E101" s="1" t="s">
        <v>16</v>
      </c>
      <c r="F101" s="1" t="s">
        <v>29</v>
      </c>
      <c r="G101" s="1" t="s">
        <v>24</v>
      </c>
      <c r="H101" s="1" t="s">
        <v>18</v>
      </c>
      <c r="I101" s="1" t="s">
        <v>19</v>
      </c>
      <c r="J101" s="1" t="s">
        <v>43</v>
      </c>
      <c r="K101" s="1" t="s">
        <v>47</v>
      </c>
      <c r="L101" s="1">
        <v>7</v>
      </c>
      <c r="M101" s="1">
        <v>3156.71</v>
      </c>
      <c r="N101" s="1">
        <v>10</v>
      </c>
      <c r="O101" s="1">
        <v>19887.27</v>
      </c>
      <c r="P101" s="1">
        <f t="shared" si="6"/>
        <v>22096.97</v>
      </c>
      <c r="Q101" s="10">
        <f t="shared" si="7"/>
        <v>1988.7270000000001</v>
      </c>
      <c r="R101" s="11">
        <f t="shared" si="8"/>
        <v>20108.243000000002</v>
      </c>
      <c r="S101" s="1" t="str">
        <f t="shared" si="9"/>
        <v>High</v>
      </c>
      <c r="T101" s="1" t="str" cm="1">
        <f t="array" ref="T101">_xlfn.IFS(L101&gt;5,"High",L101=5,"mediam",L101&lt;5,"low")</f>
        <v>High</v>
      </c>
      <c r="U101" s="1" t="str">
        <f t="shared" si="10"/>
        <v>High</v>
      </c>
      <c r="Z101" s="1">
        <v>1729</v>
      </c>
      <c r="AA101" s="5">
        <v>10100</v>
      </c>
    </row>
    <row r="102" spans="1:27" x14ac:dyDescent="0.3">
      <c r="A102" s="5">
        <v>10101</v>
      </c>
      <c r="B102" s="1">
        <v>1555</v>
      </c>
      <c r="C102" s="2">
        <v>45149</v>
      </c>
      <c r="D102" s="2">
        <v>45155</v>
      </c>
      <c r="E102" s="1" t="s">
        <v>16</v>
      </c>
      <c r="F102" s="1" t="s">
        <v>16</v>
      </c>
      <c r="G102" s="1" t="s">
        <v>30</v>
      </c>
      <c r="H102" s="1" t="s">
        <v>42</v>
      </c>
      <c r="I102" s="1" t="s">
        <v>57</v>
      </c>
      <c r="J102" s="1" t="s">
        <v>59</v>
      </c>
      <c r="K102" s="1" t="s">
        <v>28</v>
      </c>
      <c r="L102" s="1">
        <v>8</v>
      </c>
      <c r="M102" s="1">
        <v>1683.18</v>
      </c>
      <c r="N102" s="1">
        <v>15</v>
      </c>
      <c r="O102" s="1">
        <v>11445.62</v>
      </c>
      <c r="P102" s="1">
        <f t="shared" si="6"/>
        <v>13465.44</v>
      </c>
      <c r="Q102" s="10">
        <f t="shared" si="7"/>
        <v>1716.8430000000001</v>
      </c>
      <c r="R102" s="11">
        <f t="shared" si="8"/>
        <v>11748.597</v>
      </c>
      <c r="S102" s="1" t="str">
        <f t="shared" si="9"/>
        <v>High</v>
      </c>
      <c r="T102" s="1" t="str" cm="1">
        <f t="array" ref="T102">_xlfn.IFS(L102&gt;5,"High",L102=5,"mediam",L102&lt;5,"low")</f>
        <v>High</v>
      </c>
      <c r="U102" s="1" t="str">
        <f t="shared" si="10"/>
        <v>High</v>
      </c>
      <c r="Z102" s="1">
        <v>1555</v>
      </c>
      <c r="AA102" s="5">
        <v>10101</v>
      </c>
    </row>
    <row r="103" spans="1:27" x14ac:dyDescent="0.3">
      <c r="A103" s="5">
        <v>10102</v>
      </c>
      <c r="B103" s="1">
        <v>1161</v>
      </c>
      <c r="C103" s="2">
        <v>44996</v>
      </c>
      <c r="D103" s="2">
        <v>45002</v>
      </c>
      <c r="E103" s="1" t="s">
        <v>37</v>
      </c>
      <c r="F103" s="1" t="s">
        <v>54</v>
      </c>
      <c r="G103" s="1" t="s">
        <v>30</v>
      </c>
      <c r="H103" s="1" t="s">
        <v>25</v>
      </c>
      <c r="I103" s="1" t="s">
        <v>31</v>
      </c>
      <c r="J103" s="1" t="s">
        <v>39</v>
      </c>
      <c r="K103" s="1" t="s">
        <v>21</v>
      </c>
      <c r="L103" s="1">
        <v>2</v>
      </c>
      <c r="M103" s="1">
        <v>1859.03</v>
      </c>
      <c r="N103" s="1">
        <v>20</v>
      </c>
      <c r="O103" s="1">
        <v>2974.45</v>
      </c>
      <c r="P103" s="1">
        <f t="shared" si="6"/>
        <v>3718.06</v>
      </c>
      <c r="Q103" s="10">
        <f t="shared" si="7"/>
        <v>594.89</v>
      </c>
      <c r="R103" s="11">
        <f t="shared" si="8"/>
        <v>3123.17</v>
      </c>
      <c r="S103" s="1" t="str">
        <f t="shared" si="9"/>
        <v>Low</v>
      </c>
      <c r="T103" s="1" t="str" cm="1">
        <f t="array" ref="T103">_xlfn.IFS(L103&gt;5,"High",L103=5,"mediam",L103&lt;5,"low")</f>
        <v>low</v>
      </c>
      <c r="U103" s="1" t="b">
        <f t="shared" si="10"/>
        <v>0</v>
      </c>
      <c r="Z103" s="1">
        <v>1161</v>
      </c>
      <c r="AA103" s="5">
        <v>10102</v>
      </c>
    </row>
    <row r="104" spans="1:27" x14ac:dyDescent="0.3">
      <c r="A104" s="5">
        <v>10103</v>
      </c>
      <c r="B104" s="1">
        <v>1201</v>
      </c>
      <c r="C104" s="2">
        <v>45238</v>
      </c>
      <c r="D104" s="2">
        <v>45244</v>
      </c>
      <c r="E104" s="1" t="s">
        <v>46</v>
      </c>
      <c r="F104" s="1" t="s">
        <v>23</v>
      </c>
      <c r="G104" s="1" t="s">
        <v>17</v>
      </c>
      <c r="H104" s="1" t="s">
        <v>42</v>
      </c>
      <c r="I104" s="1" t="s">
        <v>19</v>
      </c>
      <c r="J104" s="1" t="s">
        <v>20</v>
      </c>
      <c r="K104" s="1" t="s">
        <v>47</v>
      </c>
      <c r="L104" s="1">
        <v>7</v>
      </c>
      <c r="M104" s="1">
        <v>3590.34</v>
      </c>
      <c r="N104" s="1">
        <v>20</v>
      </c>
      <c r="O104" s="1">
        <v>20105.900000000001</v>
      </c>
      <c r="P104" s="1">
        <f t="shared" si="6"/>
        <v>25132.38</v>
      </c>
      <c r="Q104" s="10">
        <f t="shared" si="7"/>
        <v>4021.1800000000003</v>
      </c>
      <c r="R104" s="11">
        <f t="shared" si="8"/>
        <v>21111.200000000001</v>
      </c>
      <c r="S104" s="1" t="str">
        <f t="shared" si="9"/>
        <v>High</v>
      </c>
      <c r="T104" s="1" t="str" cm="1">
        <f t="array" ref="T104">_xlfn.IFS(L104&gt;5,"High",L104=5,"mediam",L104&lt;5,"low")</f>
        <v>High</v>
      </c>
      <c r="U104" s="1" t="str">
        <f t="shared" si="10"/>
        <v>High</v>
      </c>
      <c r="Z104" s="1">
        <v>1201</v>
      </c>
      <c r="AA104" s="5">
        <v>10103</v>
      </c>
    </row>
    <row r="105" spans="1:27" x14ac:dyDescent="0.3">
      <c r="A105" s="5">
        <v>10104</v>
      </c>
      <c r="B105" s="1">
        <v>1957</v>
      </c>
      <c r="C105" s="2">
        <v>45137</v>
      </c>
      <c r="D105" s="2">
        <v>45146</v>
      </c>
      <c r="E105" s="1" t="s">
        <v>16</v>
      </c>
      <c r="F105" s="1" t="s">
        <v>54</v>
      </c>
      <c r="G105" s="1" t="s">
        <v>24</v>
      </c>
      <c r="H105" s="1" t="s">
        <v>44</v>
      </c>
      <c r="I105" s="1" t="s">
        <v>52</v>
      </c>
      <c r="J105" s="1" t="s">
        <v>53</v>
      </c>
      <c r="K105" s="1" t="s">
        <v>45</v>
      </c>
      <c r="L105" s="1">
        <v>5</v>
      </c>
      <c r="M105" s="1">
        <v>2683.51</v>
      </c>
      <c r="N105" s="1">
        <v>10</v>
      </c>
      <c r="O105" s="1">
        <v>12075.79</v>
      </c>
      <c r="P105" s="1">
        <f t="shared" si="6"/>
        <v>13417.550000000001</v>
      </c>
      <c r="Q105" s="10">
        <f t="shared" si="7"/>
        <v>1207.5790000000002</v>
      </c>
      <c r="R105" s="11">
        <f t="shared" si="8"/>
        <v>12209.971000000001</v>
      </c>
      <c r="S105" s="1" t="str">
        <f t="shared" si="9"/>
        <v>High</v>
      </c>
      <c r="T105" s="1" t="str" cm="1">
        <f t="array" ref="T105">_xlfn.IFS(L105&gt;5,"High",L105=5,"mediam",L105&lt;5,"low")</f>
        <v>mediam</v>
      </c>
      <c r="U105" s="1" t="b">
        <f t="shared" si="10"/>
        <v>0</v>
      </c>
      <c r="Z105" s="1">
        <v>1957</v>
      </c>
      <c r="AA105" s="5">
        <v>10104</v>
      </c>
    </row>
    <row r="106" spans="1:27" x14ac:dyDescent="0.3">
      <c r="A106" s="5">
        <v>10105</v>
      </c>
      <c r="B106" s="1">
        <v>1995</v>
      </c>
      <c r="C106" s="2">
        <v>45027</v>
      </c>
      <c r="D106" s="2">
        <v>45029</v>
      </c>
      <c r="E106" s="1" t="s">
        <v>46</v>
      </c>
      <c r="F106" s="1" t="s">
        <v>41</v>
      </c>
      <c r="G106" s="1" t="s">
        <v>24</v>
      </c>
      <c r="H106" s="1" t="s">
        <v>35</v>
      </c>
      <c r="I106" s="1" t="s">
        <v>26</v>
      </c>
      <c r="J106" s="1" t="s">
        <v>27</v>
      </c>
      <c r="K106" s="1" t="s">
        <v>21</v>
      </c>
      <c r="L106" s="1">
        <v>5</v>
      </c>
      <c r="M106" s="1">
        <v>181.03</v>
      </c>
      <c r="N106" s="1">
        <v>10</v>
      </c>
      <c r="O106" s="1">
        <v>814.63</v>
      </c>
      <c r="P106" s="1">
        <f t="shared" si="6"/>
        <v>905.15</v>
      </c>
      <c r="Q106" s="10">
        <f t="shared" si="7"/>
        <v>81.463000000000008</v>
      </c>
      <c r="R106" s="11">
        <f t="shared" si="8"/>
        <v>823.68700000000001</v>
      </c>
      <c r="S106" s="1" t="str">
        <f t="shared" si="9"/>
        <v>High</v>
      </c>
      <c r="T106" s="1" t="str" cm="1">
        <f t="array" ref="T106">_xlfn.IFS(L106&gt;5,"High",L106=5,"mediam",L106&lt;5,"low")</f>
        <v>mediam</v>
      </c>
      <c r="U106" s="1" t="b">
        <f t="shared" si="10"/>
        <v>0</v>
      </c>
      <c r="Z106" s="1">
        <v>1995</v>
      </c>
      <c r="AA106" s="5">
        <v>10105</v>
      </c>
    </row>
    <row r="107" spans="1:27" x14ac:dyDescent="0.3">
      <c r="A107" s="5">
        <v>10106</v>
      </c>
      <c r="B107" s="1">
        <v>1269</v>
      </c>
      <c r="C107" s="2">
        <v>45112</v>
      </c>
      <c r="D107" s="2">
        <v>45113</v>
      </c>
      <c r="E107" s="1" t="s">
        <v>46</v>
      </c>
      <c r="F107" s="1" t="s">
        <v>23</v>
      </c>
      <c r="G107" s="1" t="s">
        <v>30</v>
      </c>
      <c r="H107" s="1" t="s">
        <v>25</v>
      </c>
      <c r="I107" s="1" t="s">
        <v>49</v>
      </c>
      <c r="J107" s="1" t="s">
        <v>63</v>
      </c>
      <c r="K107" s="1" t="s">
        <v>47</v>
      </c>
      <c r="L107" s="1">
        <v>3</v>
      </c>
      <c r="M107" s="1">
        <v>3781.22</v>
      </c>
      <c r="N107" s="1">
        <v>5</v>
      </c>
      <c r="O107" s="1">
        <v>10776.48</v>
      </c>
      <c r="P107" s="1">
        <f t="shared" si="6"/>
        <v>11343.66</v>
      </c>
      <c r="Q107" s="10">
        <f t="shared" si="7"/>
        <v>538.82399999999996</v>
      </c>
      <c r="R107" s="11">
        <f t="shared" si="8"/>
        <v>10804.835999999999</v>
      </c>
      <c r="S107" s="1" t="str">
        <f t="shared" si="9"/>
        <v>Low</v>
      </c>
      <c r="T107" s="1" t="str" cm="1">
        <f t="array" ref="T107">_xlfn.IFS(L107&gt;5,"High",L107=5,"mediam",L107&lt;5,"low")</f>
        <v>low</v>
      </c>
      <c r="U107" s="1" t="b">
        <f t="shared" si="10"/>
        <v>0</v>
      </c>
      <c r="Z107" s="1">
        <v>1269</v>
      </c>
      <c r="AA107" s="5">
        <v>10106</v>
      </c>
    </row>
    <row r="108" spans="1:27" x14ac:dyDescent="0.3">
      <c r="A108" s="5">
        <v>10107</v>
      </c>
      <c r="B108" s="1">
        <v>1862</v>
      </c>
      <c r="C108" s="2">
        <v>45058</v>
      </c>
      <c r="D108" s="2">
        <v>45064</v>
      </c>
      <c r="E108" s="1" t="s">
        <v>46</v>
      </c>
      <c r="F108" s="1" t="s">
        <v>38</v>
      </c>
      <c r="G108" s="1" t="s">
        <v>17</v>
      </c>
      <c r="H108" s="1" t="s">
        <v>44</v>
      </c>
      <c r="I108" s="1" t="s">
        <v>52</v>
      </c>
      <c r="J108" s="1" t="s">
        <v>60</v>
      </c>
      <c r="K108" s="1" t="s">
        <v>45</v>
      </c>
      <c r="L108" s="1">
        <v>5</v>
      </c>
      <c r="M108" s="1">
        <v>1063.01</v>
      </c>
      <c r="N108" s="1">
        <v>15</v>
      </c>
      <c r="O108" s="1">
        <v>4517.79</v>
      </c>
      <c r="P108" s="1">
        <f t="shared" si="6"/>
        <v>5315.05</v>
      </c>
      <c r="Q108" s="10">
        <f t="shared" si="7"/>
        <v>677.66849999999999</v>
      </c>
      <c r="R108" s="11">
        <f t="shared" si="8"/>
        <v>4637.3815000000004</v>
      </c>
      <c r="S108" s="1" t="str">
        <f t="shared" si="9"/>
        <v>High</v>
      </c>
      <c r="T108" s="1" t="str" cm="1">
        <f t="array" ref="T108">_xlfn.IFS(L108&gt;5,"High",L108=5,"mediam",L108&lt;5,"low")</f>
        <v>mediam</v>
      </c>
      <c r="U108" s="1" t="b">
        <f t="shared" si="10"/>
        <v>0</v>
      </c>
      <c r="Z108" s="1">
        <v>1862</v>
      </c>
      <c r="AA108" s="5">
        <v>10107</v>
      </c>
    </row>
    <row r="109" spans="1:27" x14ac:dyDescent="0.3">
      <c r="A109" s="5">
        <v>10108</v>
      </c>
      <c r="B109" s="1">
        <v>1815</v>
      </c>
      <c r="C109" s="2">
        <v>45037</v>
      </c>
      <c r="D109" s="2">
        <v>45045</v>
      </c>
      <c r="E109" s="1" t="s">
        <v>15</v>
      </c>
      <c r="F109" s="1" t="s">
        <v>29</v>
      </c>
      <c r="G109" s="1" t="s">
        <v>24</v>
      </c>
      <c r="H109" s="1" t="s">
        <v>18</v>
      </c>
      <c r="I109" s="1" t="s">
        <v>26</v>
      </c>
      <c r="J109" s="1" t="s">
        <v>36</v>
      </c>
      <c r="K109" s="1" t="s">
        <v>21</v>
      </c>
      <c r="L109" s="1">
        <v>2</v>
      </c>
      <c r="M109" s="1">
        <v>564.30999999999995</v>
      </c>
      <c r="N109" s="1">
        <v>15</v>
      </c>
      <c r="O109" s="1">
        <v>959.33</v>
      </c>
      <c r="P109" s="1">
        <f t="shared" si="6"/>
        <v>1128.6199999999999</v>
      </c>
      <c r="Q109" s="10">
        <f t="shared" si="7"/>
        <v>143.89949999999999</v>
      </c>
      <c r="R109" s="11">
        <f t="shared" si="8"/>
        <v>984.7204999999999</v>
      </c>
      <c r="S109" s="1" t="str">
        <f t="shared" si="9"/>
        <v>Low</v>
      </c>
      <c r="T109" s="1" t="str" cm="1">
        <f t="array" ref="T109">_xlfn.IFS(L109&gt;5,"High",L109=5,"mediam",L109&lt;5,"low")</f>
        <v>low</v>
      </c>
      <c r="U109" s="1" t="b">
        <f t="shared" si="10"/>
        <v>0</v>
      </c>
      <c r="Z109" s="1">
        <v>1815</v>
      </c>
      <c r="AA109" s="5">
        <v>10108</v>
      </c>
    </row>
    <row r="110" spans="1:27" x14ac:dyDescent="0.3">
      <c r="A110" s="5">
        <v>10109</v>
      </c>
      <c r="B110" s="1">
        <v>1270</v>
      </c>
      <c r="C110" s="2">
        <v>45058</v>
      </c>
      <c r="D110" s="2">
        <v>45061</v>
      </c>
      <c r="E110" s="1" t="s">
        <v>40</v>
      </c>
      <c r="F110" s="1" t="s">
        <v>38</v>
      </c>
      <c r="G110" s="1" t="s">
        <v>17</v>
      </c>
      <c r="H110" s="1" t="s">
        <v>25</v>
      </c>
      <c r="I110" s="1" t="s">
        <v>57</v>
      </c>
      <c r="J110" s="1" t="s">
        <v>59</v>
      </c>
      <c r="K110" s="1" t="s">
        <v>21</v>
      </c>
      <c r="L110" s="1">
        <v>4</v>
      </c>
      <c r="M110" s="1">
        <v>3107.29</v>
      </c>
      <c r="N110" s="1">
        <v>10</v>
      </c>
      <c r="O110" s="1">
        <v>11186.24</v>
      </c>
      <c r="P110" s="1">
        <f t="shared" si="6"/>
        <v>12429.16</v>
      </c>
      <c r="Q110" s="10">
        <f t="shared" si="7"/>
        <v>1118.624</v>
      </c>
      <c r="R110" s="11">
        <f t="shared" si="8"/>
        <v>11310.536</v>
      </c>
      <c r="S110" s="1" t="str">
        <f t="shared" si="9"/>
        <v>Low</v>
      </c>
      <c r="T110" s="1" t="str" cm="1">
        <f t="array" ref="T110">_xlfn.IFS(L110&gt;5,"High",L110=5,"mediam",L110&lt;5,"low")</f>
        <v>low</v>
      </c>
      <c r="U110" s="1" t="b">
        <f t="shared" si="10"/>
        <v>0</v>
      </c>
      <c r="Z110" s="1">
        <v>1270</v>
      </c>
      <c r="AA110" s="5">
        <v>10109</v>
      </c>
    </row>
    <row r="111" spans="1:27" x14ac:dyDescent="0.3">
      <c r="A111" s="5">
        <v>10110</v>
      </c>
      <c r="B111" s="1">
        <v>1455</v>
      </c>
      <c r="C111" s="2">
        <v>44946</v>
      </c>
      <c r="D111" s="2">
        <v>44947</v>
      </c>
      <c r="E111" s="1" t="s">
        <v>46</v>
      </c>
      <c r="F111" s="1" t="s">
        <v>16</v>
      </c>
      <c r="G111" s="1" t="s">
        <v>24</v>
      </c>
      <c r="H111" s="1" t="s">
        <v>35</v>
      </c>
      <c r="I111" s="1" t="s">
        <v>52</v>
      </c>
      <c r="J111" s="1" t="s">
        <v>56</v>
      </c>
      <c r="K111" s="1" t="s">
        <v>47</v>
      </c>
      <c r="L111" s="1">
        <v>6</v>
      </c>
      <c r="M111" s="1">
        <v>2076.84</v>
      </c>
      <c r="N111" s="1">
        <v>20</v>
      </c>
      <c r="O111" s="1">
        <v>9968.83</v>
      </c>
      <c r="P111" s="1">
        <f t="shared" si="6"/>
        <v>12461.04</v>
      </c>
      <c r="Q111" s="10">
        <f t="shared" si="7"/>
        <v>1993.7660000000001</v>
      </c>
      <c r="R111" s="11">
        <f t="shared" si="8"/>
        <v>10467.274000000001</v>
      </c>
      <c r="S111" s="1" t="str">
        <f t="shared" si="9"/>
        <v>High</v>
      </c>
      <c r="T111" s="1" t="str" cm="1">
        <f t="array" ref="T111">_xlfn.IFS(L111&gt;5,"High",L111=5,"mediam",L111&lt;5,"low")</f>
        <v>High</v>
      </c>
      <c r="U111" s="1" t="str">
        <f t="shared" si="10"/>
        <v>High</v>
      </c>
      <c r="Z111" s="1">
        <v>1455</v>
      </c>
      <c r="AA111" s="5">
        <v>10110</v>
      </c>
    </row>
    <row r="112" spans="1:27" x14ac:dyDescent="0.3">
      <c r="A112" s="5">
        <v>10111</v>
      </c>
      <c r="B112" s="1">
        <v>1461</v>
      </c>
      <c r="C112" s="2">
        <v>44950</v>
      </c>
      <c r="D112" s="2">
        <v>44959</v>
      </c>
      <c r="E112" s="1" t="s">
        <v>15</v>
      </c>
      <c r="F112" s="1" t="s">
        <v>54</v>
      </c>
      <c r="G112" s="1" t="s">
        <v>30</v>
      </c>
      <c r="H112" s="1" t="s">
        <v>35</v>
      </c>
      <c r="I112" s="1" t="s">
        <v>49</v>
      </c>
      <c r="J112" s="1" t="s">
        <v>68</v>
      </c>
      <c r="K112" s="1" t="s">
        <v>33</v>
      </c>
      <c r="L112" s="1">
        <v>1</v>
      </c>
      <c r="M112" s="1">
        <v>1820.02</v>
      </c>
      <c r="N112" s="1">
        <v>10</v>
      </c>
      <c r="O112" s="1">
        <v>1638.02</v>
      </c>
      <c r="P112" s="1">
        <f t="shared" si="6"/>
        <v>1820.02</v>
      </c>
      <c r="Q112" s="10">
        <f t="shared" si="7"/>
        <v>163.80200000000002</v>
      </c>
      <c r="R112" s="11">
        <f t="shared" si="8"/>
        <v>1656.2179999999998</v>
      </c>
      <c r="S112" s="1" t="str">
        <f t="shared" si="9"/>
        <v>Low</v>
      </c>
      <c r="T112" s="1" t="str" cm="1">
        <f t="array" ref="T112">_xlfn.IFS(L112&gt;5,"High",L112=5,"mediam",L112&lt;5,"low")</f>
        <v>low</v>
      </c>
      <c r="U112" s="1" t="b">
        <f t="shared" si="10"/>
        <v>0</v>
      </c>
      <c r="Z112" s="1">
        <v>1461</v>
      </c>
      <c r="AA112" s="5">
        <v>10111</v>
      </c>
    </row>
    <row r="113" spans="1:27" x14ac:dyDescent="0.3">
      <c r="A113" s="5">
        <v>10112</v>
      </c>
      <c r="B113" s="1">
        <v>1726</v>
      </c>
      <c r="C113" s="2">
        <v>45153</v>
      </c>
      <c r="D113" s="2">
        <v>45154</v>
      </c>
      <c r="E113" s="1" t="s">
        <v>37</v>
      </c>
      <c r="F113" s="1" t="s">
        <v>41</v>
      </c>
      <c r="G113" s="1" t="s">
        <v>30</v>
      </c>
      <c r="H113" s="1" t="s">
        <v>18</v>
      </c>
      <c r="I113" s="1" t="s">
        <v>26</v>
      </c>
      <c r="J113" s="1" t="s">
        <v>36</v>
      </c>
      <c r="K113" s="1" t="s">
        <v>21</v>
      </c>
      <c r="L113" s="1">
        <v>4</v>
      </c>
      <c r="M113" s="1">
        <v>1110.5899999999999</v>
      </c>
      <c r="N113" s="1">
        <v>20</v>
      </c>
      <c r="O113" s="1">
        <v>3553.89</v>
      </c>
      <c r="P113" s="1">
        <f t="shared" si="6"/>
        <v>4442.3599999999997</v>
      </c>
      <c r="Q113" s="10">
        <f t="shared" si="7"/>
        <v>710.77800000000002</v>
      </c>
      <c r="R113" s="11">
        <f t="shared" si="8"/>
        <v>3731.5819999999994</v>
      </c>
      <c r="S113" s="1" t="str">
        <f t="shared" si="9"/>
        <v>Low</v>
      </c>
      <c r="T113" s="1" t="str" cm="1">
        <f t="array" ref="T113">_xlfn.IFS(L113&gt;5,"High",L113=5,"mediam",L113&lt;5,"low")</f>
        <v>low</v>
      </c>
      <c r="U113" s="1" t="b">
        <f t="shared" si="10"/>
        <v>0</v>
      </c>
      <c r="Z113" s="1">
        <v>1726</v>
      </c>
      <c r="AA113" s="5">
        <v>10112</v>
      </c>
    </row>
    <row r="114" spans="1:27" x14ac:dyDescent="0.3">
      <c r="A114" s="5">
        <v>10113</v>
      </c>
      <c r="B114" s="1">
        <v>1251</v>
      </c>
      <c r="C114" s="2">
        <v>45080</v>
      </c>
      <c r="D114" s="2">
        <v>45083</v>
      </c>
      <c r="E114" s="1" t="s">
        <v>16</v>
      </c>
      <c r="F114" s="1" t="s">
        <v>23</v>
      </c>
      <c r="G114" s="1" t="s">
        <v>17</v>
      </c>
      <c r="H114" s="1" t="s">
        <v>18</v>
      </c>
      <c r="I114" s="1" t="s">
        <v>26</v>
      </c>
      <c r="J114" s="1" t="s">
        <v>61</v>
      </c>
      <c r="K114" s="1" t="s">
        <v>21</v>
      </c>
      <c r="L114" s="1">
        <v>6</v>
      </c>
      <c r="M114" s="1">
        <v>2257.77</v>
      </c>
      <c r="N114" s="1">
        <v>20</v>
      </c>
      <c r="O114" s="1">
        <v>10837.3</v>
      </c>
      <c r="P114" s="1">
        <f t="shared" si="6"/>
        <v>13546.619999999999</v>
      </c>
      <c r="Q114" s="10">
        <f t="shared" si="7"/>
        <v>2167.46</v>
      </c>
      <c r="R114" s="11">
        <f t="shared" si="8"/>
        <v>11379.16</v>
      </c>
      <c r="S114" s="1" t="str">
        <f t="shared" si="9"/>
        <v>High</v>
      </c>
      <c r="T114" s="1" t="str" cm="1">
        <f t="array" ref="T114">_xlfn.IFS(L114&gt;5,"High",L114=5,"mediam",L114&lt;5,"low")</f>
        <v>High</v>
      </c>
      <c r="U114" s="1" t="str">
        <f t="shared" si="10"/>
        <v>High</v>
      </c>
      <c r="Z114" s="1">
        <v>1251</v>
      </c>
      <c r="AA114" s="5">
        <v>10113</v>
      </c>
    </row>
    <row r="115" spans="1:27" x14ac:dyDescent="0.3">
      <c r="A115" s="5">
        <v>10114</v>
      </c>
      <c r="B115" s="1">
        <v>1701</v>
      </c>
      <c r="C115" s="2">
        <v>45219</v>
      </c>
      <c r="D115" s="2">
        <v>45227</v>
      </c>
      <c r="E115" s="1" t="s">
        <v>40</v>
      </c>
      <c r="F115" s="1" t="s">
        <v>23</v>
      </c>
      <c r="G115" s="1" t="s">
        <v>30</v>
      </c>
      <c r="H115" s="1" t="s">
        <v>25</v>
      </c>
      <c r="I115" s="1" t="s">
        <v>26</v>
      </c>
      <c r="J115" s="1" t="s">
        <v>69</v>
      </c>
      <c r="K115" s="1" t="s">
        <v>45</v>
      </c>
      <c r="L115" s="1">
        <v>9</v>
      </c>
      <c r="M115" s="1">
        <v>1206.3800000000001</v>
      </c>
      <c r="N115" s="1">
        <v>10</v>
      </c>
      <c r="O115" s="1">
        <v>9771.68</v>
      </c>
      <c r="P115" s="1">
        <f t="shared" si="6"/>
        <v>10857.420000000002</v>
      </c>
      <c r="Q115" s="10">
        <f t="shared" si="7"/>
        <v>977.16800000000012</v>
      </c>
      <c r="R115" s="11">
        <f t="shared" si="8"/>
        <v>9880.2520000000022</v>
      </c>
      <c r="S115" s="1" t="str">
        <f t="shared" si="9"/>
        <v>High</v>
      </c>
      <c r="T115" s="1" t="str" cm="1">
        <f t="array" ref="T115">_xlfn.IFS(L115&gt;5,"High",L115=5,"mediam",L115&lt;5,"low")</f>
        <v>High</v>
      </c>
      <c r="U115" s="1" t="str">
        <f t="shared" si="10"/>
        <v>High</v>
      </c>
      <c r="Z115" s="1">
        <v>1701</v>
      </c>
      <c r="AA115" s="5">
        <v>10114</v>
      </c>
    </row>
    <row r="116" spans="1:27" x14ac:dyDescent="0.3">
      <c r="A116" s="5">
        <v>10115</v>
      </c>
      <c r="B116" s="1">
        <v>1295</v>
      </c>
      <c r="C116" s="2">
        <v>45156</v>
      </c>
      <c r="D116" s="2">
        <v>45159</v>
      </c>
      <c r="E116" s="1" t="s">
        <v>22</v>
      </c>
      <c r="F116" s="1" t="s">
        <v>54</v>
      </c>
      <c r="G116" s="1" t="s">
        <v>24</v>
      </c>
      <c r="H116" s="1" t="s">
        <v>42</v>
      </c>
      <c r="I116" s="1" t="s">
        <v>57</v>
      </c>
      <c r="J116" s="1" t="s">
        <v>62</v>
      </c>
      <c r="K116" s="1" t="s">
        <v>28</v>
      </c>
      <c r="L116" s="1">
        <v>2</v>
      </c>
      <c r="M116" s="1">
        <v>3621.09</v>
      </c>
      <c r="N116" s="1">
        <v>0</v>
      </c>
      <c r="O116" s="1">
        <v>7242.18</v>
      </c>
      <c r="P116" s="1">
        <f t="shared" si="6"/>
        <v>7242.18</v>
      </c>
      <c r="Q116" s="10">
        <f t="shared" si="7"/>
        <v>0</v>
      </c>
      <c r="R116" s="11">
        <f t="shared" si="8"/>
        <v>7242.18</v>
      </c>
      <c r="S116" s="1" t="str">
        <f t="shared" si="9"/>
        <v>Low</v>
      </c>
      <c r="T116" s="1" t="str" cm="1">
        <f t="array" ref="T116">_xlfn.IFS(L116&gt;5,"High",L116=5,"mediam",L116&lt;5,"low")</f>
        <v>low</v>
      </c>
      <c r="U116" s="1" t="b">
        <f t="shared" si="10"/>
        <v>0</v>
      </c>
      <c r="Z116" s="1">
        <v>1295</v>
      </c>
      <c r="AA116" s="5">
        <v>10115</v>
      </c>
    </row>
    <row r="117" spans="1:27" x14ac:dyDescent="0.3">
      <c r="A117" s="5">
        <v>10116</v>
      </c>
      <c r="B117" s="1">
        <v>1724</v>
      </c>
      <c r="C117" s="2">
        <v>45236</v>
      </c>
      <c r="D117" s="2">
        <v>45240</v>
      </c>
      <c r="E117" s="1" t="s">
        <v>16</v>
      </c>
      <c r="F117" s="1" t="s">
        <v>41</v>
      </c>
      <c r="G117" s="1" t="s">
        <v>30</v>
      </c>
      <c r="H117" s="1" t="s">
        <v>18</v>
      </c>
      <c r="I117" s="1" t="s">
        <v>52</v>
      </c>
      <c r="J117" s="1" t="s">
        <v>60</v>
      </c>
      <c r="K117" s="1" t="s">
        <v>47</v>
      </c>
      <c r="L117" s="1">
        <v>7</v>
      </c>
      <c r="M117" s="1">
        <v>978.54</v>
      </c>
      <c r="N117" s="1">
        <v>15</v>
      </c>
      <c r="O117" s="1">
        <v>5822.31</v>
      </c>
      <c r="P117" s="1">
        <f t="shared" si="6"/>
        <v>6849.78</v>
      </c>
      <c r="Q117" s="10">
        <f t="shared" si="7"/>
        <v>873.34649999999999</v>
      </c>
      <c r="R117" s="11">
        <f t="shared" si="8"/>
        <v>5976.4335000000001</v>
      </c>
      <c r="S117" s="1" t="str">
        <f t="shared" si="9"/>
        <v>High</v>
      </c>
      <c r="T117" s="1" t="str" cm="1">
        <f t="array" ref="T117">_xlfn.IFS(L117&gt;5,"High",L117=5,"mediam",L117&lt;5,"low")</f>
        <v>High</v>
      </c>
      <c r="U117" s="1" t="str">
        <f t="shared" si="10"/>
        <v>High</v>
      </c>
      <c r="Z117" s="1">
        <v>1724</v>
      </c>
      <c r="AA117" s="5">
        <v>10116</v>
      </c>
    </row>
    <row r="118" spans="1:27" x14ac:dyDescent="0.3">
      <c r="A118" s="5">
        <v>10117</v>
      </c>
      <c r="B118" s="1">
        <v>1719</v>
      </c>
      <c r="C118" s="2">
        <v>45285</v>
      </c>
      <c r="D118" s="2">
        <v>45293</v>
      </c>
      <c r="E118" s="1" t="s">
        <v>40</v>
      </c>
      <c r="F118" s="1" t="s">
        <v>54</v>
      </c>
      <c r="G118" s="1" t="s">
        <v>17</v>
      </c>
      <c r="H118" s="1" t="s">
        <v>42</v>
      </c>
      <c r="I118" s="1" t="s">
        <v>57</v>
      </c>
      <c r="J118" s="1" t="s">
        <v>58</v>
      </c>
      <c r="K118" s="1" t="s">
        <v>47</v>
      </c>
      <c r="L118" s="1">
        <v>6</v>
      </c>
      <c r="M118" s="1">
        <v>3554.77</v>
      </c>
      <c r="N118" s="1">
        <v>20</v>
      </c>
      <c r="O118" s="1">
        <v>17062.900000000001</v>
      </c>
      <c r="P118" s="1">
        <f t="shared" si="6"/>
        <v>21328.62</v>
      </c>
      <c r="Q118" s="10">
        <f t="shared" si="7"/>
        <v>3412.5800000000004</v>
      </c>
      <c r="R118" s="11">
        <f t="shared" si="8"/>
        <v>17916.039999999997</v>
      </c>
      <c r="S118" s="1" t="str">
        <f t="shared" si="9"/>
        <v>High</v>
      </c>
      <c r="T118" s="1" t="str" cm="1">
        <f t="array" ref="T118">_xlfn.IFS(L118&gt;5,"High",L118=5,"mediam",L118&lt;5,"low")</f>
        <v>High</v>
      </c>
      <c r="U118" s="1" t="str">
        <f t="shared" si="10"/>
        <v>High</v>
      </c>
      <c r="Z118" s="1">
        <v>1719</v>
      </c>
      <c r="AA118" s="5">
        <v>10117</v>
      </c>
    </row>
    <row r="119" spans="1:27" x14ac:dyDescent="0.3">
      <c r="A119" s="5">
        <v>10118</v>
      </c>
      <c r="B119" s="1">
        <v>1748</v>
      </c>
      <c r="C119" s="2">
        <v>45128</v>
      </c>
      <c r="D119" s="2">
        <v>45129</v>
      </c>
      <c r="E119" s="1" t="s">
        <v>22</v>
      </c>
      <c r="F119" s="1" t="s">
        <v>16</v>
      </c>
      <c r="G119" s="1" t="s">
        <v>17</v>
      </c>
      <c r="H119" s="1" t="s">
        <v>44</v>
      </c>
      <c r="I119" s="1" t="s">
        <v>31</v>
      </c>
      <c r="J119" s="1" t="s">
        <v>48</v>
      </c>
      <c r="K119" s="1" t="s">
        <v>33</v>
      </c>
      <c r="L119" s="1">
        <v>2</v>
      </c>
      <c r="M119" s="1">
        <v>2303.71</v>
      </c>
      <c r="N119" s="1">
        <v>20</v>
      </c>
      <c r="O119" s="1">
        <v>3685.94</v>
      </c>
      <c r="P119" s="1">
        <f t="shared" si="6"/>
        <v>4607.42</v>
      </c>
      <c r="Q119" s="10">
        <f t="shared" si="7"/>
        <v>737.1880000000001</v>
      </c>
      <c r="R119" s="11">
        <f t="shared" si="8"/>
        <v>3870.232</v>
      </c>
      <c r="S119" s="1" t="str">
        <f t="shared" si="9"/>
        <v>Low</v>
      </c>
      <c r="T119" s="1" t="str" cm="1">
        <f t="array" ref="T119">_xlfn.IFS(L119&gt;5,"High",L119=5,"mediam",L119&lt;5,"low")</f>
        <v>low</v>
      </c>
      <c r="U119" s="1" t="b">
        <f t="shared" si="10"/>
        <v>0</v>
      </c>
      <c r="Z119" s="1">
        <v>1748</v>
      </c>
      <c r="AA119" s="5">
        <v>10118</v>
      </c>
    </row>
    <row r="120" spans="1:27" x14ac:dyDescent="0.3">
      <c r="A120" s="5">
        <v>10119</v>
      </c>
      <c r="B120" s="1">
        <v>1337</v>
      </c>
      <c r="C120" s="2">
        <v>44964</v>
      </c>
      <c r="D120" s="2">
        <v>44970</v>
      </c>
      <c r="E120" s="1" t="s">
        <v>16</v>
      </c>
      <c r="F120" s="1" t="s">
        <v>38</v>
      </c>
      <c r="G120" s="1" t="s">
        <v>17</v>
      </c>
      <c r="H120" s="1" t="s">
        <v>35</v>
      </c>
      <c r="I120" s="1" t="s">
        <v>31</v>
      </c>
      <c r="J120" s="1" t="s">
        <v>32</v>
      </c>
      <c r="K120" s="1" t="s">
        <v>33</v>
      </c>
      <c r="L120" s="1">
        <v>8</v>
      </c>
      <c r="M120" s="1">
        <v>3339.68</v>
      </c>
      <c r="N120" s="1">
        <v>0</v>
      </c>
      <c r="O120" s="1">
        <v>26717.439999999999</v>
      </c>
      <c r="P120" s="1">
        <f t="shared" si="6"/>
        <v>26717.439999999999</v>
      </c>
      <c r="Q120" s="10">
        <f t="shared" si="7"/>
        <v>0</v>
      </c>
      <c r="R120" s="11">
        <f t="shared" si="8"/>
        <v>26717.439999999999</v>
      </c>
      <c r="S120" s="1" t="str">
        <f t="shared" si="9"/>
        <v>High</v>
      </c>
      <c r="T120" s="1" t="str" cm="1">
        <f t="array" ref="T120">_xlfn.IFS(L120&gt;5,"High",L120=5,"mediam",L120&lt;5,"low")</f>
        <v>High</v>
      </c>
      <c r="U120" s="1" t="str">
        <f t="shared" si="10"/>
        <v>High</v>
      </c>
      <c r="Z120" s="1">
        <v>1337</v>
      </c>
      <c r="AA120" s="5">
        <v>10119</v>
      </c>
    </row>
    <row r="121" spans="1:27" x14ac:dyDescent="0.3">
      <c r="A121" s="5">
        <v>10120</v>
      </c>
      <c r="B121" s="1">
        <v>1878</v>
      </c>
      <c r="C121" s="2">
        <v>45186</v>
      </c>
      <c r="D121" s="2">
        <v>45187</v>
      </c>
      <c r="E121" s="1" t="s">
        <v>40</v>
      </c>
      <c r="F121" s="1" t="s">
        <v>23</v>
      </c>
      <c r="G121" s="1" t="s">
        <v>24</v>
      </c>
      <c r="H121" s="1" t="s">
        <v>42</v>
      </c>
      <c r="I121" s="1" t="s">
        <v>52</v>
      </c>
      <c r="J121" s="1" t="s">
        <v>53</v>
      </c>
      <c r="K121" s="1" t="s">
        <v>47</v>
      </c>
      <c r="L121" s="1">
        <v>7</v>
      </c>
      <c r="M121" s="1">
        <v>2894.46</v>
      </c>
      <c r="N121" s="1">
        <v>5</v>
      </c>
      <c r="O121" s="1">
        <v>19248.16</v>
      </c>
      <c r="P121" s="1">
        <f t="shared" si="6"/>
        <v>20261.22</v>
      </c>
      <c r="Q121" s="10">
        <f t="shared" si="7"/>
        <v>962.40800000000002</v>
      </c>
      <c r="R121" s="11">
        <f t="shared" si="8"/>
        <v>19298.812000000002</v>
      </c>
      <c r="S121" s="1" t="str">
        <f t="shared" si="9"/>
        <v>High</v>
      </c>
      <c r="T121" s="1" t="str" cm="1">
        <f t="array" ref="T121">_xlfn.IFS(L121&gt;5,"High",L121=5,"mediam",L121&lt;5,"low")</f>
        <v>High</v>
      </c>
      <c r="U121" s="1" t="str">
        <f t="shared" si="10"/>
        <v>High</v>
      </c>
      <c r="Z121" s="1">
        <v>1878</v>
      </c>
      <c r="AA121" s="5">
        <v>10120</v>
      </c>
    </row>
    <row r="122" spans="1:27" x14ac:dyDescent="0.3">
      <c r="A122" s="5">
        <v>10121</v>
      </c>
      <c r="B122" s="1">
        <v>1052</v>
      </c>
      <c r="C122" s="2">
        <v>45114</v>
      </c>
      <c r="D122" s="2">
        <v>45115</v>
      </c>
      <c r="E122" s="1" t="s">
        <v>16</v>
      </c>
      <c r="F122" s="1" t="s">
        <v>16</v>
      </c>
      <c r="G122" s="1" t="s">
        <v>24</v>
      </c>
      <c r="H122" s="1" t="s">
        <v>35</v>
      </c>
      <c r="I122" s="1" t="s">
        <v>57</v>
      </c>
      <c r="J122" s="1" t="s">
        <v>62</v>
      </c>
      <c r="K122" s="1" t="s">
        <v>33</v>
      </c>
      <c r="L122" s="1">
        <v>5</v>
      </c>
      <c r="M122" s="1">
        <v>2832.28</v>
      </c>
      <c r="N122" s="1">
        <v>0</v>
      </c>
      <c r="O122" s="1">
        <v>14161.4</v>
      </c>
      <c r="P122" s="1">
        <f t="shared" si="6"/>
        <v>14161.400000000001</v>
      </c>
      <c r="Q122" s="10">
        <f t="shared" si="7"/>
        <v>0</v>
      </c>
      <c r="R122" s="11">
        <f t="shared" si="8"/>
        <v>14161.400000000001</v>
      </c>
      <c r="S122" s="1" t="str">
        <f t="shared" si="9"/>
        <v>High</v>
      </c>
      <c r="T122" s="1" t="str" cm="1">
        <f t="array" ref="T122">_xlfn.IFS(L122&gt;5,"High",L122=5,"mediam",L122&lt;5,"low")</f>
        <v>mediam</v>
      </c>
      <c r="U122" s="1" t="b">
        <f t="shared" si="10"/>
        <v>0</v>
      </c>
      <c r="Z122" s="1">
        <v>1052</v>
      </c>
      <c r="AA122" s="5">
        <v>10121</v>
      </c>
    </row>
    <row r="123" spans="1:27" x14ac:dyDescent="0.3">
      <c r="A123" s="5">
        <v>10122</v>
      </c>
      <c r="B123" s="1">
        <v>1791</v>
      </c>
      <c r="C123" s="2">
        <v>44983</v>
      </c>
      <c r="D123" s="2">
        <v>44991</v>
      </c>
      <c r="E123" s="1" t="s">
        <v>16</v>
      </c>
      <c r="F123" s="1" t="s">
        <v>38</v>
      </c>
      <c r="G123" s="1" t="s">
        <v>24</v>
      </c>
      <c r="H123" s="1" t="s">
        <v>42</v>
      </c>
      <c r="I123" s="1" t="s">
        <v>49</v>
      </c>
      <c r="J123" s="1" t="s">
        <v>63</v>
      </c>
      <c r="K123" s="1" t="s">
        <v>45</v>
      </c>
      <c r="L123" s="1">
        <v>5</v>
      </c>
      <c r="M123" s="1">
        <v>1398.73</v>
      </c>
      <c r="N123" s="1">
        <v>0</v>
      </c>
      <c r="O123" s="1">
        <v>6993.65</v>
      </c>
      <c r="P123" s="1">
        <f t="shared" si="6"/>
        <v>6993.65</v>
      </c>
      <c r="Q123" s="10">
        <f t="shared" si="7"/>
        <v>0</v>
      </c>
      <c r="R123" s="11">
        <f t="shared" si="8"/>
        <v>6993.65</v>
      </c>
      <c r="S123" s="1" t="str">
        <f t="shared" si="9"/>
        <v>High</v>
      </c>
      <c r="T123" s="1" t="str" cm="1">
        <f t="array" ref="T123">_xlfn.IFS(L123&gt;5,"High",L123=5,"mediam",L123&lt;5,"low")</f>
        <v>mediam</v>
      </c>
      <c r="U123" s="1" t="b">
        <f t="shared" si="10"/>
        <v>0</v>
      </c>
      <c r="Z123" s="1">
        <v>1791</v>
      </c>
      <c r="AA123" s="5">
        <v>10122</v>
      </c>
    </row>
    <row r="124" spans="1:27" x14ac:dyDescent="0.3">
      <c r="A124" s="5">
        <v>10123</v>
      </c>
      <c r="B124" s="1">
        <v>1921</v>
      </c>
      <c r="C124" s="2">
        <v>44946</v>
      </c>
      <c r="D124" s="2">
        <v>44950</v>
      </c>
      <c r="E124" s="1" t="s">
        <v>22</v>
      </c>
      <c r="F124" s="1" t="s">
        <v>16</v>
      </c>
      <c r="G124" s="1" t="s">
        <v>24</v>
      </c>
      <c r="H124" s="1" t="s">
        <v>44</v>
      </c>
      <c r="I124" s="1" t="s">
        <v>26</v>
      </c>
      <c r="J124" s="1" t="s">
        <v>69</v>
      </c>
      <c r="K124" s="1" t="s">
        <v>47</v>
      </c>
      <c r="L124" s="1">
        <v>7</v>
      </c>
      <c r="M124" s="1">
        <v>1050.5</v>
      </c>
      <c r="N124" s="1">
        <v>20</v>
      </c>
      <c r="O124" s="1">
        <v>5882.8</v>
      </c>
      <c r="P124" s="1">
        <f t="shared" si="6"/>
        <v>7353.5</v>
      </c>
      <c r="Q124" s="10">
        <f t="shared" si="7"/>
        <v>1176.5600000000002</v>
      </c>
      <c r="R124" s="11">
        <f t="shared" si="8"/>
        <v>6176.94</v>
      </c>
      <c r="S124" s="1" t="str">
        <f t="shared" si="9"/>
        <v>High</v>
      </c>
      <c r="T124" s="1" t="str" cm="1">
        <f t="array" ref="T124">_xlfn.IFS(L124&gt;5,"High",L124=5,"mediam",L124&lt;5,"low")</f>
        <v>High</v>
      </c>
      <c r="U124" s="1" t="str">
        <f t="shared" si="10"/>
        <v>High</v>
      </c>
      <c r="Z124" s="1">
        <v>1921</v>
      </c>
      <c r="AA124" s="5">
        <v>10123</v>
      </c>
    </row>
    <row r="125" spans="1:27" x14ac:dyDescent="0.3">
      <c r="A125" s="5">
        <v>10124</v>
      </c>
      <c r="B125" s="1">
        <v>1216</v>
      </c>
      <c r="C125" s="2">
        <v>45199</v>
      </c>
      <c r="D125" s="2">
        <v>45200</v>
      </c>
      <c r="E125" s="1" t="s">
        <v>16</v>
      </c>
      <c r="F125" s="1" t="s">
        <v>41</v>
      </c>
      <c r="G125" s="1" t="s">
        <v>24</v>
      </c>
      <c r="H125" s="1" t="s">
        <v>18</v>
      </c>
      <c r="I125" s="1" t="s">
        <v>26</v>
      </c>
      <c r="J125" s="1" t="s">
        <v>61</v>
      </c>
      <c r="K125" s="1" t="s">
        <v>33</v>
      </c>
      <c r="L125" s="1">
        <v>9</v>
      </c>
      <c r="M125" s="1">
        <v>961.91</v>
      </c>
      <c r="N125" s="1">
        <v>15</v>
      </c>
      <c r="O125" s="1">
        <v>7358.61</v>
      </c>
      <c r="P125" s="1">
        <f t="shared" si="6"/>
        <v>8657.19</v>
      </c>
      <c r="Q125" s="10">
        <f t="shared" si="7"/>
        <v>1103.7914999999998</v>
      </c>
      <c r="R125" s="11">
        <f t="shared" si="8"/>
        <v>7553.3985000000011</v>
      </c>
      <c r="S125" s="1" t="str">
        <f t="shared" si="9"/>
        <v>High</v>
      </c>
      <c r="T125" s="1" t="str" cm="1">
        <f t="array" ref="T125">_xlfn.IFS(L125&gt;5,"High",L125=5,"mediam",L125&lt;5,"low")</f>
        <v>High</v>
      </c>
      <c r="U125" s="1" t="str">
        <f t="shared" si="10"/>
        <v>High</v>
      </c>
      <c r="Z125" s="1">
        <v>1216</v>
      </c>
      <c r="AA125" s="5">
        <v>10124</v>
      </c>
    </row>
    <row r="126" spans="1:27" x14ac:dyDescent="0.3">
      <c r="A126" s="5">
        <v>10125</v>
      </c>
      <c r="B126" s="1">
        <v>1763</v>
      </c>
      <c r="C126" s="2">
        <v>45045</v>
      </c>
      <c r="D126" s="2">
        <v>45052</v>
      </c>
      <c r="E126" s="1" t="s">
        <v>16</v>
      </c>
      <c r="F126" s="1" t="s">
        <v>23</v>
      </c>
      <c r="G126" s="1" t="s">
        <v>30</v>
      </c>
      <c r="H126" s="1" t="s">
        <v>44</v>
      </c>
      <c r="I126" s="1" t="s">
        <v>52</v>
      </c>
      <c r="J126" s="1" t="s">
        <v>64</v>
      </c>
      <c r="K126" s="1" t="s">
        <v>47</v>
      </c>
      <c r="L126" s="1">
        <v>9</v>
      </c>
      <c r="M126" s="1">
        <v>3450.19</v>
      </c>
      <c r="N126" s="1">
        <v>0</v>
      </c>
      <c r="O126" s="1">
        <v>31051.71</v>
      </c>
      <c r="P126" s="1">
        <f t="shared" si="6"/>
        <v>31051.71</v>
      </c>
      <c r="Q126" s="10">
        <f t="shared" si="7"/>
        <v>0</v>
      </c>
      <c r="R126" s="11">
        <f t="shared" si="8"/>
        <v>31051.71</v>
      </c>
      <c r="S126" s="1" t="str">
        <f t="shared" si="9"/>
        <v>High</v>
      </c>
      <c r="T126" s="1" t="str" cm="1">
        <f t="array" ref="T126">_xlfn.IFS(L126&gt;5,"High",L126=5,"mediam",L126&lt;5,"low")</f>
        <v>High</v>
      </c>
      <c r="U126" s="1" t="str">
        <f t="shared" si="10"/>
        <v>High</v>
      </c>
      <c r="Z126" s="1">
        <v>1763</v>
      </c>
      <c r="AA126" s="5">
        <v>10125</v>
      </c>
    </row>
    <row r="127" spans="1:27" x14ac:dyDescent="0.3">
      <c r="A127" s="5">
        <v>10126</v>
      </c>
      <c r="B127" s="1">
        <v>1187</v>
      </c>
      <c r="C127" s="2">
        <v>44997</v>
      </c>
      <c r="D127" s="2">
        <v>45002</v>
      </c>
      <c r="E127" s="1" t="s">
        <v>22</v>
      </c>
      <c r="F127" s="1" t="s">
        <v>54</v>
      </c>
      <c r="G127" s="1" t="s">
        <v>24</v>
      </c>
      <c r="H127" s="1" t="s">
        <v>18</v>
      </c>
      <c r="I127" s="1" t="s">
        <v>31</v>
      </c>
      <c r="J127" s="1" t="s">
        <v>48</v>
      </c>
      <c r="K127" s="1" t="s">
        <v>28</v>
      </c>
      <c r="L127" s="1">
        <v>9</v>
      </c>
      <c r="M127" s="1">
        <v>3308.64</v>
      </c>
      <c r="N127" s="1">
        <v>5</v>
      </c>
      <c r="O127" s="1">
        <v>28288.87</v>
      </c>
      <c r="P127" s="1">
        <f t="shared" si="6"/>
        <v>29777.759999999998</v>
      </c>
      <c r="Q127" s="10">
        <f t="shared" si="7"/>
        <v>1414.4435000000001</v>
      </c>
      <c r="R127" s="11">
        <f t="shared" si="8"/>
        <v>28363.316499999997</v>
      </c>
      <c r="S127" s="1" t="str">
        <f t="shared" si="9"/>
        <v>High</v>
      </c>
      <c r="T127" s="1" t="str" cm="1">
        <f t="array" ref="T127">_xlfn.IFS(L127&gt;5,"High",L127=5,"mediam",L127&lt;5,"low")</f>
        <v>High</v>
      </c>
      <c r="U127" s="1" t="str">
        <f t="shared" si="10"/>
        <v>High</v>
      </c>
      <c r="Z127" s="1">
        <v>1187</v>
      </c>
      <c r="AA127" s="5">
        <v>10126</v>
      </c>
    </row>
    <row r="128" spans="1:27" x14ac:dyDescent="0.3">
      <c r="A128" s="5">
        <v>10127</v>
      </c>
      <c r="B128" s="1">
        <v>1379</v>
      </c>
      <c r="C128" s="2">
        <v>44930</v>
      </c>
      <c r="D128" s="2">
        <v>44935</v>
      </c>
      <c r="E128" s="1" t="s">
        <v>37</v>
      </c>
      <c r="F128" s="1" t="s">
        <v>54</v>
      </c>
      <c r="G128" s="1" t="s">
        <v>24</v>
      </c>
      <c r="H128" s="1" t="s">
        <v>18</v>
      </c>
      <c r="I128" s="1" t="s">
        <v>31</v>
      </c>
      <c r="J128" s="1" t="s">
        <v>39</v>
      </c>
      <c r="K128" s="1" t="s">
        <v>21</v>
      </c>
      <c r="L128" s="1">
        <v>6</v>
      </c>
      <c r="M128" s="1">
        <v>1846.21</v>
      </c>
      <c r="N128" s="1">
        <v>10</v>
      </c>
      <c r="O128" s="1">
        <v>9969.5300000000007</v>
      </c>
      <c r="P128" s="1">
        <f t="shared" si="6"/>
        <v>11077.26</v>
      </c>
      <c r="Q128" s="10">
        <f t="shared" si="7"/>
        <v>996.95300000000009</v>
      </c>
      <c r="R128" s="11">
        <f t="shared" si="8"/>
        <v>10080.307000000001</v>
      </c>
      <c r="S128" s="1" t="str">
        <f t="shared" si="9"/>
        <v>High</v>
      </c>
      <c r="T128" s="1" t="str" cm="1">
        <f t="array" ref="T128">_xlfn.IFS(L128&gt;5,"High",L128=5,"mediam",L128&lt;5,"low")</f>
        <v>High</v>
      </c>
      <c r="U128" s="1" t="str">
        <f t="shared" si="10"/>
        <v>High</v>
      </c>
      <c r="Z128" s="1">
        <v>1379</v>
      </c>
      <c r="AA128" s="5">
        <v>10127</v>
      </c>
    </row>
    <row r="129" spans="1:27" x14ac:dyDescent="0.3">
      <c r="A129" s="5">
        <v>10128</v>
      </c>
      <c r="B129" s="1">
        <v>1492</v>
      </c>
      <c r="C129" s="2">
        <v>45147</v>
      </c>
      <c r="D129" s="2">
        <v>45148</v>
      </c>
      <c r="E129" s="1" t="s">
        <v>46</v>
      </c>
      <c r="F129" s="1" t="s">
        <v>38</v>
      </c>
      <c r="G129" s="1" t="s">
        <v>30</v>
      </c>
      <c r="H129" s="1" t="s">
        <v>35</v>
      </c>
      <c r="I129" s="1" t="s">
        <v>26</v>
      </c>
      <c r="J129" s="1" t="s">
        <v>61</v>
      </c>
      <c r="K129" s="1" t="s">
        <v>47</v>
      </c>
      <c r="L129" s="1">
        <v>6</v>
      </c>
      <c r="M129" s="1">
        <v>659.76</v>
      </c>
      <c r="N129" s="1">
        <v>0</v>
      </c>
      <c r="O129" s="1">
        <v>3958.56</v>
      </c>
      <c r="P129" s="1">
        <f t="shared" si="6"/>
        <v>3958.56</v>
      </c>
      <c r="Q129" s="10">
        <f t="shared" si="7"/>
        <v>0</v>
      </c>
      <c r="R129" s="11">
        <f t="shared" si="8"/>
        <v>3958.56</v>
      </c>
      <c r="S129" s="1" t="str">
        <f t="shared" si="9"/>
        <v>High</v>
      </c>
      <c r="T129" s="1" t="str" cm="1">
        <f t="array" ref="T129">_xlfn.IFS(L129&gt;5,"High",L129=5,"mediam",L129&lt;5,"low")</f>
        <v>High</v>
      </c>
      <c r="U129" s="1" t="str">
        <f t="shared" si="10"/>
        <v>High</v>
      </c>
      <c r="Z129" s="1">
        <v>1492</v>
      </c>
      <c r="AA129" s="5">
        <v>10128</v>
      </c>
    </row>
    <row r="130" spans="1:27" x14ac:dyDescent="0.3">
      <c r="A130" s="5">
        <v>10129</v>
      </c>
      <c r="B130" s="1">
        <v>1040</v>
      </c>
      <c r="C130" s="2">
        <v>44940</v>
      </c>
      <c r="D130" s="2">
        <v>44946</v>
      </c>
      <c r="E130" s="1" t="s">
        <v>34</v>
      </c>
      <c r="F130" s="1" t="s">
        <v>29</v>
      </c>
      <c r="G130" s="1" t="s">
        <v>24</v>
      </c>
      <c r="H130" s="1" t="s">
        <v>44</v>
      </c>
      <c r="I130" s="1" t="s">
        <v>52</v>
      </c>
      <c r="J130" s="1" t="s">
        <v>56</v>
      </c>
      <c r="K130" s="1" t="s">
        <v>21</v>
      </c>
      <c r="L130" s="1">
        <v>3</v>
      </c>
      <c r="M130" s="1">
        <v>1621.67</v>
      </c>
      <c r="N130" s="1">
        <v>0</v>
      </c>
      <c r="O130" s="1">
        <v>4865.01</v>
      </c>
      <c r="P130" s="1">
        <f t="shared" si="6"/>
        <v>4865.01</v>
      </c>
      <c r="Q130" s="10">
        <f t="shared" si="7"/>
        <v>0</v>
      </c>
      <c r="R130" s="11">
        <f t="shared" si="8"/>
        <v>4865.01</v>
      </c>
      <c r="S130" s="1" t="str">
        <f t="shared" si="9"/>
        <v>Low</v>
      </c>
      <c r="T130" s="1" t="str" cm="1">
        <f t="array" ref="T130">_xlfn.IFS(L130&gt;5,"High",L130=5,"mediam",L130&lt;5,"low")</f>
        <v>low</v>
      </c>
      <c r="U130" s="1" t="b">
        <f t="shared" si="10"/>
        <v>0</v>
      </c>
      <c r="Z130" s="1">
        <v>1040</v>
      </c>
      <c r="AA130" s="5">
        <v>10129</v>
      </c>
    </row>
    <row r="131" spans="1:27" x14ac:dyDescent="0.3">
      <c r="A131" s="5">
        <v>10130</v>
      </c>
      <c r="B131" s="1">
        <v>1156</v>
      </c>
      <c r="C131" s="2">
        <v>44929</v>
      </c>
      <c r="D131" s="2">
        <v>44938</v>
      </c>
      <c r="E131" s="1" t="s">
        <v>15</v>
      </c>
      <c r="F131" s="1" t="s">
        <v>41</v>
      </c>
      <c r="G131" s="1" t="s">
        <v>17</v>
      </c>
      <c r="H131" s="1" t="s">
        <v>42</v>
      </c>
      <c r="I131" s="1" t="s">
        <v>57</v>
      </c>
      <c r="J131" s="1" t="s">
        <v>62</v>
      </c>
      <c r="K131" s="1" t="s">
        <v>33</v>
      </c>
      <c r="L131" s="1">
        <v>1</v>
      </c>
      <c r="M131" s="1">
        <v>2534.4699999999998</v>
      </c>
      <c r="N131" s="1">
        <v>5</v>
      </c>
      <c r="O131" s="1">
        <v>2407.75</v>
      </c>
      <c r="P131" s="1">
        <f t="shared" ref="P131:P194" si="11">L131*M131</f>
        <v>2534.4699999999998</v>
      </c>
      <c r="Q131" s="10">
        <f t="shared" ref="Q131:Q194" si="12">O131*N131%</f>
        <v>120.3875</v>
      </c>
      <c r="R131" s="11">
        <f t="shared" ref="R131:R194" si="13">P131-Q131</f>
        <v>2414.0825</v>
      </c>
      <c r="S131" s="1" t="str">
        <f t="shared" ref="S131:S194" si="14">IF(L131&gt;=5,"High","Low")</f>
        <v>Low</v>
      </c>
      <c r="T131" s="1" t="str" cm="1">
        <f t="array" ref="T131">_xlfn.IFS(L131&gt;5,"High",L131=5,"mediam",L131&lt;5,"low")</f>
        <v>low</v>
      </c>
      <c r="U131" s="1" t="b">
        <f t="shared" si="10"/>
        <v>0</v>
      </c>
      <c r="Z131" s="1">
        <v>1156</v>
      </c>
      <c r="AA131" s="5">
        <v>10130</v>
      </c>
    </row>
    <row r="132" spans="1:27" x14ac:dyDescent="0.3">
      <c r="A132" s="5">
        <v>10131</v>
      </c>
      <c r="B132" s="1">
        <v>1014</v>
      </c>
      <c r="C132" s="2">
        <v>45142</v>
      </c>
      <c r="D132" s="2">
        <v>45151</v>
      </c>
      <c r="E132" s="1" t="s">
        <v>34</v>
      </c>
      <c r="F132" s="1" t="s">
        <v>38</v>
      </c>
      <c r="G132" s="1" t="s">
        <v>24</v>
      </c>
      <c r="H132" s="1" t="s">
        <v>44</v>
      </c>
      <c r="I132" s="1" t="s">
        <v>31</v>
      </c>
      <c r="J132" s="1" t="s">
        <v>32</v>
      </c>
      <c r="K132" s="1" t="s">
        <v>21</v>
      </c>
      <c r="L132" s="1">
        <v>7</v>
      </c>
      <c r="M132" s="1">
        <v>1899.45</v>
      </c>
      <c r="N132" s="1">
        <v>15</v>
      </c>
      <c r="O132" s="1">
        <v>11301.73</v>
      </c>
      <c r="P132" s="1">
        <f t="shared" si="11"/>
        <v>13296.15</v>
      </c>
      <c r="Q132" s="10">
        <f t="shared" si="12"/>
        <v>1695.2594999999999</v>
      </c>
      <c r="R132" s="11">
        <f t="shared" si="13"/>
        <v>11600.8905</v>
      </c>
      <c r="S132" s="1" t="str">
        <f t="shared" si="14"/>
        <v>High</v>
      </c>
      <c r="T132" s="1" t="str" cm="1">
        <f t="array" ref="T132">_xlfn.IFS(L132&gt;5,"High",L132=5,"mediam",L132&lt;5,"low")</f>
        <v>High</v>
      </c>
      <c r="U132" s="1" t="str">
        <f t="shared" si="10"/>
        <v>High</v>
      </c>
      <c r="Z132" s="1">
        <v>1014</v>
      </c>
      <c r="AA132" s="5">
        <v>10131</v>
      </c>
    </row>
    <row r="133" spans="1:27" x14ac:dyDescent="0.3">
      <c r="A133" s="5">
        <v>10132</v>
      </c>
      <c r="B133" s="1">
        <v>1812</v>
      </c>
      <c r="C133" s="2">
        <v>45155</v>
      </c>
      <c r="D133" s="2">
        <v>45163</v>
      </c>
      <c r="E133" s="1" t="s">
        <v>34</v>
      </c>
      <c r="F133" s="1" t="s">
        <v>29</v>
      </c>
      <c r="G133" s="1" t="s">
        <v>24</v>
      </c>
      <c r="H133" s="1" t="s">
        <v>35</v>
      </c>
      <c r="I133" s="1" t="s">
        <v>57</v>
      </c>
      <c r="J133" s="1" t="s">
        <v>58</v>
      </c>
      <c r="K133" s="1" t="s">
        <v>47</v>
      </c>
      <c r="L133" s="1">
        <v>4</v>
      </c>
      <c r="M133" s="1">
        <v>3153.73</v>
      </c>
      <c r="N133" s="1">
        <v>0</v>
      </c>
      <c r="O133" s="1">
        <v>12614.92</v>
      </c>
      <c r="P133" s="1">
        <f t="shared" si="11"/>
        <v>12614.92</v>
      </c>
      <c r="Q133" s="10">
        <f t="shared" si="12"/>
        <v>0</v>
      </c>
      <c r="R133" s="11">
        <f t="shared" si="13"/>
        <v>12614.92</v>
      </c>
      <c r="S133" s="1" t="str">
        <f t="shared" si="14"/>
        <v>Low</v>
      </c>
      <c r="T133" s="1" t="str" cm="1">
        <f t="array" ref="T133">_xlfn.IFS(L133&gt;5,"High",L133=5,"mediam",L133&lt;5,"low")</f>
        <v>low</v>
      </c>
      <c r="U133" s="1" t="b">
        <f t="shared" si="10"/>
        <v>0</v>
      </c>
      <c r="Z133" s="1">
        <v>1812</v>
      </c>
      <c r="AA133" s="5">
        <v>10132</v>
      </c>
    </row>
    <row r="134" spans="1:27" x14ac:dyDescent="0.3">
      <c r="A134" s="5">
        <v>10133</v>
      </c>
      <c r="B134" s="1">
        <v>1064</v>
      </c>
      <c r="C134" s="2">
        <v>45262</v>
      </c>
      <c r="D134" s="2">
        <v>45267</v>
      </c>
      <c r="E134" s="1" t="s">
        <v>40</v>
      </c>
      <c r="F134" s="1" t="s">
        <v>16</v>
      </c>
      <c r="G134" s="1" t="s">
        <v>17</v>
      </c>
      <c r="H134" s="1" t="s">
        <v>18</v>
      </c>
      <c r="I134" s="1" t="s">
        <v>31</v>
      </c>
      <c r="J134" s="1" t="s">
        <v>48</v>
      </c>
      <c r="K134" s="1" t="s">
        <v>28</v>
      </c>
      <c r="L134" s="1">
        <v>1</v>
      </c>
      <c r="M134" s="1">
        <v>3990.85</v>
      </c>
      <c r="N134" s="1">
        <v>0</v>
      </c>
      <c r="O134" s="1">
        <v>3990.85</v>
      </c>
      <c r="P134" s="1">
        <f t="shared" si="11"/>
        <v>3990.85</v>
      </c>
      <c r="Q134" s="10">
        <f t="shared" si="12"/>
        <v>0</v>
      </c>
      <c r="R134" s="11">
        <f t="shared" si="13"/>
        <v>3990.85</v>
      </c>
      <c r="S134" s="1" t="str">
        <f t="shared" si="14"/>
        <v>Low</v>
      </c>
      <c r="T134" s="1" t="str" cm="1">
        <f t="array" ref="T134">_xlfn.IFS(L134&gt;5,"High",L134=5,"mediam",L134&lt;5,"low")</f>
        <v>low</v>
      </c>
      <c r="U134" s="1" t="b">
        <f t="shared" si="10"/>
        <v>0</v>
      </c>
      <c r="Z134" s="1">
        <v>1064</v>
      </c>
      <c r="AA134" s="5">
        <v>10133</v>
      </c>
    </row>
    <row r="135" spans="1:27" x14ac:dyDescent="0.3">
      <c r="A135" s="5">
        <v>10134</v>
      </c>
      <c r="B135" s="1">
        <v>1856</v>
      </c>
      <c r="C135" s="2">
        <v>45112</v>
      </c>
      <c r="D135" s="2">
        <v>45113</v>
      </c>
      <c r="E135" s="1" t="s">
        <v>46</v>
      </c>
      <c r="F135" s="1" t="s">
        <v>41</v>
      </c>
      <c r="G135" s="1" t="s">
        <v>17</v>
      </c>
      <c r="H135" s="1" t="s">
        <v>35</v>
      </c>
      <c r="I135" s="1" t="s">
        <v>31</v>
      </c>
      <c r="J135" s="1" t="s">
        <v>65</v>
      </c>
      <c r="K135" s="1" t="s">
        <v>33</v>
      </c>
      <c r="L135" s="1">
        <v>8</v>
      </c>
      <c r="M135" s="1">
        <v>885.86</v>
      </c>
      <c r="N135" s="1">
        <v>15</v>
      </c>
      <c r="O135" s="1">
        <v>6023.85</v>
      </c>
      <c r="P135" s="1">
        <f t="shared" si="11"/>
        <v>7086.88</v>
      </c>
      <c r="Q135" s="10">
        <f t="shared" si="12"/>
        <v>903.57749999999999</v>
      </c>
      <c r="R135" s="11">
        <f t="shared" si="13"/>
        <v>6183.3024999999998</v>
      </c>
      <c r="S135" s="1" t="str">
        <f t="shared" si="14"/>
        <v>High</v>
      </c>
      <c r="T135" s="1" t="str" cm="1">
        <f t="array" ref="T135">_xlfn.IFS(L135&gt;5,"High",L135=5,"mediam",L135&lt;5,"low")</f>
        <v>High</v>
      </c>
      <c r="U135" s="1" t="str">
        <f t="shared" si="10"/>
        <v>High</v>
      </c>
      <c r="Z135" s="1">
        <v>1856</v>
      </c>
      <c r="AA135" s="5">
        <v>10134</v>
      </c>
    </row>
    <row r="136" spans="1:27" x14ac:dyDescent="0.3">
      <c r="A136" s="5">
        <v>10135</v>
      </c>
      <c r="B136" s="1">
        <v>1838</v>
      </c>
      <c r="C136" s="2">
        <v>44981</v>
      </c>
      <c r="D136" s="2">
        <v>44990</v>
      </c>
      <c r="E136" s="1" t="s">
        <v>40</v>
      </c>
      <c r="F136" s="1" t="s">
        <v>16</v>
      </c>
      <c r="G136" s="1" t="s">
        <v>17</v>
      </c>
      <c r="H136" s="1" t="s">
        <v>25</v>
      </c>
      <c r="I136" s="1" t="s">
        <v>19</v>
      </c>
      <c r="J136" s="1" t="s">
        <v>43</v>
      </c>
      <c r="K136" s="1" t="s">
        <v>47</v>
      </c>
      <c r="L136" s="1">
        <v>6</v>
      </c>
      <c r="M136" s="1">
        <v>1919.66</v>
      </c>
      <c r="N136" s="1">
        <v>5</v>
      </c>
      <c r="O136" s="1">
        <v>10942.06</v>
      </c>
      <c r="P136" s="1">
        <f t="shared" si="11"/>
        <v>11517.960000000001</v>
      </c>
      <c r="Q136" s="10">
        <f t="shared" si="12"/>
        <v>547.10299999999995</v>
      </c>
      <c r="R136" s="11">
        <f t="shared" si="13"/>
        <v>10970.857000000002</v>
      </c>
      <c r="S136" s="1" t="str">
        <f t="shared" si="14"/>
        <v>High</v>
      </c>
      <c r="T136" s="1" t="str" cm="1">
        <f t="array" ref="T136">_xlfn.IFS(L136&gt;5,"High",L136=5,"mediam",L136&lt;5,"low")</f>
        <v>High</v>
      </c>
      <c r="U136" s="1" t="str">
        <f t="shared" si="10"/>
        <v>High</v>
      </c>
      <c r="Z136" s="1">
        <v>1838</v>
      </c>
      <c r="AA136" s="5">
        <v>10135</v>
      </c>
    </row>
    <row r="137" spans="1:27" x14ac:dyDescent="0.3">
      <c r="A137" s="5">
        <v>10136</v>
      </c>
      <c r="B137" s="1">
        <v>1520</v>
      </c>
      <c r="C137" s="2">
        <v>45180</v>
      </c>
      <c r="D137" s="2">
        <v>45181</v>
      </c>
      <c r="E137" s="1" t="s">
        <v>46</v>
      </c>
      <c r="F137" s="1" t="s">
        <v>23</v>
      </c>
      <c r="G137" s="1" t="s">
        <v>17</v>
      </c>
      <c r="H137" s="1" t="s">
        <v>25</v>
      </c>
      <c r="I137" s="1" t="s">
        <v>31</v>
      </c>
      <c r="J137" s="1" t="s">
        <v>39</v>
      </c>
      <c r="K137" s="1" t="s">
        <v>33</v>
      </c>
      <c r="L137" s="1">
        <v>6</v>
      </c>
      <c r="M137" s="1">
        <v>1809.29</v>
      </c>
      <c r="N137" s="1">
        <v>0</v>
      </c>
      <c r="O137" s="1">
        <v>10855.74</v>
      </c>
      <c r="P137" s="1">
        <f t="shared" si="11"/>
        <v>10855.74</v>
      </c>
      <c r="Q137" s="10">
        <f t="shared" si="12"/>
        <v>0</v>
      </c>
      <c r="R137" s="11">
        <f t="shared" si="13"/>
        <v>10855.74</v>
      </c>
      <c r="S137" s="1" t="str">
        <f t="shared" si="14"/>
        <v>High</v>
      </c>
      <c r="T137" s="1" t="str" cm="1">
        <f t="array" ref="T137">_xlfn.IFS(L137&gt;5,"High",L137=5,"mediam",L137&lt;5,"low")</f>
        <v>High</v>
      </c>
      <c r="U137" s="1" t="str">
        <f t="shared" ref="U137:U200" si="15">IF(L137&gt;5,"High",IF(L137="Mediam","Low"))</f>
        <v>High</v>
      </c>
      <c r="Z137" s="1">
        <v>1520</v>
      </c>
      <c r="AA137" s="5">
        <v>10136</v>
      </c>
    </row>
    <row r="138" spans="1:27" x14ac:dyDescent="0.3">
      <c r="A138" s="5">
        <v>10137</v>
      </c>
      <c r="B138" s="1">
        <v>1343</v>
      </c>
      <c r="C138" s="2">
        <v>44950</v>
      </c>
      <c r="D138" s="2">
        <v>44958</v>
      </c>
      <c r="E138" s="1" t="s">
        <v>22</v>
      </c>
      <c r="F138" s="1" t="s">
        <v>41</v>
      </c>
      <c r="G138" s="1" t="s">
        <v>24</v>
      </c>
      <c r="H138" s="1" t="s">
        <v>42</v>
      </c>
      <c r="I138" s="1" t="s">
        <v>49</v>
      </c>
      <c r="J138" s="1" t="s">
        <v>50</v>
      </c>
      <c r="K138" s="1" t="s">
        <v>45</v>
      </c>
      <c r="L138" s="1">
        <v>2</v>
      </c>
      <c r="M138" s="1">
        <v>1322.3</v>
      </c>
      <c r="N138" s="1">
        <v>15</v>
      </c>
      <c r="O138" s="1">
        <v>2247.91</v>
      </c>
      <c r="P138" s="1">
        <f t="shared" si="11"/>
        <v>2644.6</v>
      </c>
      <c r="Q138" s="10">
        <f t="shared" si="12"/>
        <v>337.18649999999997</v>
      </c>
      <c r="R138" s="11">
        <f t="shared" si="13"/>
        <v>2307.4135000000001</v>
      </c>
      <c r="S138" s="1" t="str">
        <f t="shared" si="14"/>
        <v>Low</v>
      </c>
      <c r="T138" s="1" t="str" cm="1">
        <f t="array" ref="T138">_xlfn.IFS(L138&gt;5,"High",L138=5,"mediam",L138&lt;5,"low")</f>
        <v>low</v>
      </c>
      <c r="U138" s="1" t="b">
        <f t="shared" si="15"/>
        <v>0</v>
      </c>
      <c r="Z138" s="1">
        <v>1343</v>
      </c>
      <c r="AA138" s="5">
        <v>10137</v>
      </c>
    </row>
    <row r="139" spans="1:27" x14ac:dyDescent="0.3">
      <c r="A139" s="5">
        <v>10138</v>
      </c>
      <c r="B139" s="1">
        <v>1128</v>
      </c>
      <c r="C139" s="2">
        <v>45088</v>
      </c>
      <c r="D139" s="2">
        <v>45093</v>
      </c>
      <c r="E139" s="1" t="s">
        <v>22</v>
      </c>
      <c r="F139" s="1" t="s">
        <v>29</v>
      </c>
      <c r="G139" s="1" t="s">
        <v>17</v>
      </c>
      <c r="H139" s="1" t="s">
        <v>35</v>
      </c>
      <c r="I139" s="1" t="s">
        <v>52</v>
      </c>
      <c r="J139" s="1" t="s">
        <v>53</v>
      </c>
      <c r="K139" s="1" t="s">
        <v>21</v>
      </c>
      <c r="L139" s="1">
        <v>1</v>
      </c>
      <c r="M139" s="1">
        <v>912.67</v>
      </c>
      <c r="N139" s="1">
        <v>0</v>
      </c>
      <c r="O139" s="1">
        <v>912.67</v>
      </c>
      <c r="P139" s="1">
        <f t="shared" si="11"/>
        <v>912.67</v>
      </c>
      <c r="Q139" s="10">
        <f t="shared" si="12"/>
        <v>0</v>
      </c>
      <c r="R139" s="11">
        <f t="shared" si="13"/>
        <v>912.67</v>
      </c>
      <c r="S139" s="1" t="str">
        <f t="shared" si="14"/>
        <v>Low</v>
      </c>
      <c r="T139" s="1" t="str" cm="1">
        <f t="array" ref="T139">_xlfn.IFS(L139&gt;5,"High",L139=5,"mediam",L139&lt;5,"low")</f>
        <v>low</v>
      </c>
      <c r="U139" s="1" t="b">
        <f t="shared" si="15"/>
        <v>0</v>
      </c>
      <c r="Z139" s="1">
        <v>1128</v>
      </c>
      <c r="AA139" s="5">
        <v>10138</v>
      </c>
    </row>
    <row r="140" spans="1:27" x14ac:dyDescent="0.3">
      <c r="A140" s="5">
        <v>10139</v>
      </c>
      <c r="B140" s="1">
        <v>1647</v>
      </c>
      <c r="C140" s="2">
        <v>45084</v>
      </c>
      <c r="D140" s="2">
        <v>45087</v>
      </c>
      <c r="E140" s="1" t="s">
        <v>46</v>
      </c>
      <c r="F140" s="1" t="s">
        <v>23</v>
      </c>
      <c r="G140" s="1" t="s">
        <v>17</v>
      </c>
      <c r="H140" s="1" t="s">
        <v>42</v>
      </c>
      <c r="I140" s="1" t="s">
        <v>52</v>
      </c>
      <c r="J140" s="1" t="s">
        <v>53</v>
      </c>
      <c r="K140" s="1" t="s">
        <v>45</v>
      </c>
      <c r="L140" s="1">
        <v>2</v>
      </c>
      <c r="M140" s="1">
        <v>402.91</v>
      </c>
      <c r="N140" s="1">
        <v>10</v>
      </c>
      <c r="O140" s="1">
        <v>725.24</v>
      </c>
      <c r="P140" s="1">
        <f t="shared" si="11"/>
        <v>805.82</v>
      </c>
      <c r="Q140" s="10">
        <f t="shared" si="12"/>
        <v>72.524000000000001</v>
      </c>
      <c r="R140" s="11">
        <f t="shared" si="13"/>
        <v>733.29600000000005</v>
      </c>
      <c r="S140" s="1" t="str">
        <f t="shared" si="14"/>
        <v>Low</v>
      </c>
      <c r="T140" s="1" t="str" cm="1">
        <f t="array" ref="T140">_xlfn.IFS(L140&gt;5,"High",L140=5,"mediam",L140&lt;5,"low")</f>
        <v>low</v>
      </c>
      <c r="U140" s="1" t="b">
        <f t="shared" si="15"/>
        <v>0</v>
      </c>
      <c r="Z140" s="1">
        <v>1647</v>
      </c>
      <c r="AA140" s="5">
        <v>10139</v>
      </c>
    </row>
    <row r="141" spans="1:27" x14ac:dyDescent="0.3">
      <c r="A141" s="5">
        <v>10140</v>
      </c>
      <c r="B141" s="1">
        <v>1471</v>
      </c>
      <c r="C141" s="2">
        <v>45008</v>
      </c>
      <c r="D141" s="2">
        <v>45015</v>
      </c>
      <c r="E141" s="1" t="s">
        <v>16</v>
      </c>
      <c r="F141" s="1" t="s">
        <v>54</v>
      </c>
      <c r="G141" s="1" t="s">
        <v>30</v>
      </c>
      <c r="H141" s="1" t="s">
        <v>42</v>
      </c>
      <c r="I141" s="1" t="s">
        <v>57</v>
      </c>
      <c r="J141" s="1" t="s">
        <v>59</v>
      </c>
      <c r="K141" s="1" t="s">
        <v>47</v>
      </c>
      <c r="L141" s="1">
        <v>4</v>
      </c>
      <c r="M141" s="1">
        <v>3565.41</v>
      </c>
      <c r="N141" s="1">
        <v>20</v>
      </c>
      <c r="O141" s="1">
        <v>11409.31</v>
      </c>
      <c r="P141" s="1">
        <f t="shared" si="11"/>
        <v>14261.64</v>
      </c>
      <c r="Q141" s="10">
        <f t="shared" si="12"/>
        <v>2281.8620000000001</v>
      </c>
      <c r="R141" s="11">
        <f t="shared" si="13"/>
        <v>11979.777999999998</v>
      </c>
      <c r="S141" s="1" t="str">
        <f t="shared" si="14"/>
        <v>Low</v>
      </c>
      <c r="T141" s="1" t="str" cm="1">
        <f t="array" ref="T141">_xlfn.IFS(L141&gt;5,"High",L141=5,"mediam",L141&lt;5,"low")</f>
        <v>low</v>
      </c>
      <c r="U141" s="1" t="b">
        <f t="shared" si="15"/>
        <v>0</v>
      </c>
      <c r="Z141" s="1">
        <v>1471</v>
      </c>
      <c r="AA141" s="5">
        <v>10140</v>
      </c>
    </row>
    <row r="142" spans="1:27" x14ac:dyDescent="0.3">
      <c r="A142" s="5">
        <v>10141</v>
      </c>
      <c r="B142" s="1">
        <v>1062</v>
      </c>
      <c r="C142" s="2">
        <v>45085</v>
      </c>
      <c r="D142" s="2">
        <v>45092</v>
      </c>
      <c r="E142" s="1" t="s">
        <v>37</v>
      </c>
      <c r="F142" s="1" t="s">
        <v>29</v>
      </c>
      <c r="G142" s="1" t="s">
        <v>17</v>
      </c>
      <c r="H142" s="1" t="s">
        <v>25</v>
      </c>
      <c r="I142" s="1" t="s">
        <v>31</v>
      </c>
      <c r="J142" s="1" t="s">
        <v>39</v>
      </c>
      <c r="K142" s="1" t="s">
        <v>28</v>
      </c>
      <c r="L142" s="1">
        <v>2</v>
      </c>
      <c r="M142" s="1">
        <v>1766.42</v>
      </c>
      <c r="N142" s="1">
        <v>10</v>
      </c>
      <c r="O142" s="1">
        <v>3179.56</v>
      </c>
      <c r="P142" s="1">
        <f t="shared" si="11"/>
        <v>3532.84</v>
      </c>
      <c r="Q142" s="10">
        <f t="shared" si="12"/>
        <v>317.95600000000002</v>
      </c>
      <c r="R142" s="11">
        <f t="shared" si="13"/>
        <v>3214.884</v>
      </c>
      <c r="S142" s="1" t="str">
        <f t="shared" si="14"/>
        <v>Low</v>
      </c>
      <c r="T142" s="1" t="str" cm="1">
        <f t="array" ref="T142">_xlfn.IFS(L142&gt;5,"High",L142=5,"mediam",L142&lt;5,"low")</f>
        <v>low</v>
      </c>
      <c r="U142" s="1" t="b">
        <f t="shared" si="15"/>
        <v>0</v>
      </c>
      <c r="Z142" s="1">
        <v>1062</v>
      </c>
      <c r="AA142" s="5">
        <v>10141</v>
      </c>
    </row>
    <row r="143" spans="1:27" x14ac:dyDescent="0.3">
      <c r="A143" s="5">
        <v>10142</v>
      </c>
      <c r="B143" s="1">
        <v>1138</v>
      </c>
      <c r="C143" s="2">
        <v>45114</v>
      </c>
      <c r="D143" s="2">
        <v>45123</v>
      </c>
      <c r="E143" s="1" t="s">
        <v>16</v>
      </c>
      <c r="F143" s="1" t="s">
        <v>38</v>
      </c>
      <c r="G143" s="1" t="s">
        <v>17</v>
      </c>
      <c r="H143" s="1" t="s">
        <v>42</v>
      </c>
      <c r="I143" s="1" t="s">
        <v>49</v>
      </c>
      <c r="J143" s="1" t="s">
        <v>51</v>
      </c>
      <c r="K143" s="1" t="s">
        <v>33</v>
      </c>
      <c r="L143" s="1">
        <v>1</v>
      </c>
      <c r="M143" s="1">
        <v>2063.0500000000002</v>
      </c>
      <c r="N143" s="1">
        <v>0</v>
      </c>
      <c r="O143" s="1">
        <v>2063.0500000000002</v>
      </c>
      <c r="P143" s="1">
        <f t="shared" si="11"/>
        <v>2063.0500000000002</v>
      </c>
      <c r="Q143" s="10">
        <f t="shared" si="12"/>
        <v>0</v>
      </c>
      <c r="R143" s="11">
        <f t="shared" si="13"/>
        <v>2063.0500000000002</v>
      </c>
      <c r="S143" s="1" t="str">
        <f t="shared" si="14"/>
        <v>Low</v>
      </c>
      <c r="T143" s="1" t="str" cm="1">
        <f t="array" ref="T143">_xlfn.IFS(L143&gt;5,"High",L143=5,"mediam",L143&lt;5,"low")</f>
        <v>low</v>
      </c>
      <c r="U143" s="1" t="b">
        <f t="shared" si="15"/>
        <v>0</v>
      </c>
      <c r="Z143" s="1">
        <v>1138</v>
      </c>
      <c r="AA143" s="5">
        <v>10142</v>
      </c>
    </row>
    <row r="144" spans="1:27" x14ac:dyDescent="0.3">
      <c r="A144" s="5">
        <v>10143</v>
      </c>
      <c r="B144" s="1">
        <v>1498</v>
      </c>
      <c r="C144" s="2">
        <v>44986</v>
      </c>
      <c r="D144" s="2">
        <v>44993</v>
      </c>
      <c r="E144" s="1" t="s">
        <v>37</v>
      </c>
      <c r="F144" s="1" t="s">
        <v>54</v>
      </c>
      <c r="G144" s="1" t="s">
        <v>30</v>
      </c>
      <c r="H144" s="1" t="s">
        <v>25</v>
      </c>
      <c r="I144" s="1" t="s">
        <v>57</v>
      </c>
      <c r="J144" s="1" t="s">
        <v>58</v>
      </c>
      <c r="K144" s="1" t="s">
        <v>21</v>
      </c>
      <c r="L144" s="1">
        <v>7</v>
      </c>
      <c r="M144" s="1">
        <v>3680.23</v>
      </c>
      <c r="N144" s="1">
        <v>5</v>
      </c>
      <c r="O144" s="1">
        <v>24473.53</v>
      </c>
      <c r="P144" s="1">
        <f t="shared" si="11"/>
        <v>25761.61</v>
      </c>
      <c r="Q144" s="10">
        <f t="shared" si="12"/>
        <v>1223.6765</v>
      </c>
      <c r="R144" s="11">
        <f t="shared" si="13"/>
        <v>24537.933499999999</v>
      </c>
      <c r="S144" s="1" t="str">
        <f t="shared" si="14"/>
        <v>High</v>
      </c>
      <c r="T144" s="1" t="str" cm="1">
        <f t="array" ref="T144">_xlfn.IFS(L144&gt;5,"High",L144=5,"mediam",L144&lt;5,"low")</f>
        <v>High</v>
      </c>
      <c r="U144" s="1" t="str">
        <f t="shared" si="15"/>
        <v>High</v>
      </c>
      <c r="Z144" s="1">
        <v>1498</v>
      </c>
      <c r="AA144" s="5">
        <v>10143</v>
      </c>
    </row>
    <row r="145" spans="1:27" x14ac:dyDescent="0.3">
      <c r="A145" s="5">
        <v>10144</v>
      </c>
      <c r="B145" s="1">
        <v>1592</v>
      </c>
      <c r="C145" s="2">
        <v>45231</v>
      </c>
      <c r="D145" s="2">
        <v>45234</v>
      </c>
      <c r="E145" s="1" t="s">
        <v>40</v>
      </c>
      <c r="F145" s="1" t="s">
        <v>54</v>
      </c>
      <c r="G145" s="1" t="s">
        <v>30</v>
      </c>
      <c r="H145" s="1" t="s">
        <v>18</v>
      </c>
      <c r="I145" s="1" t="s">
        <v>19</v>
      </c>
      <c r="J145" s="1" t="s">
        <v>55</v>
      </c>
      <c r="K145" s="1" t="s">
        <v>33</v>
      </c>
      <c r="L145" s="1">
        <v>8</v>
      </c>
      <c r="M145" s="1">
        <v>3138.72</v>
      </c>
      <c r="N145" s="1">
        <v>20</v>
      </c>
      <c r="O145" s="1">
        <v>20087.810000000001</v>
      </c>
      <c r="P145" s="1">
        <f t="shared" si="11"/>
        <v>25109.759999999998</v>
      </c>
      <c r="Q145" s="10">
        <f t="shared" si="12"/>
        <v>4017.5620000000004</v>
      </c>
      <c r="R145" s="11">
        <f t="shared" si="13"/>
        <v>21092.197999999997</v>
      </c>
      <c r="S145" s="1" t="str">
        <f t="shared" si="14"/>
        <v>High</v>
      </c>
      <c r="T145" s="1" t="str" cm="1">
        <f t="array" ref="T145">_xlfn.IFS(L145&gt;5,"High",L145=5,"mediam",L145&lt;5,"low")</f>
        <v>High</v>
      </c>
      <c r="U145" s="1" t="str">
        <f t="shared" si="15"/>
        <v>High</v>
      </c>
      <c r="Z145" s="1">
        <v>1592</v>
      </c>
      <c r="AA145" s="5">
        <v>10144</v>
      </c>
    </row>
    <row r="146" spans="1:27" x14ac:dyDescent="0.3">
      <c r="A146" s="5">
        <v>10145</v>
      </c>
      <c r="B146" s="1">
        <v>1391</v>
      </c>
      <c r="C146" s="2">
        <v>45245</v>
      </c>
      <c r="D146" s="2">
        <v>45246</v>
      </c>
      <c r="E146" s="1" t="s">
        <v>37</v>
      </c>
      <c r="F146" s="1" t="s">
        <v>38</v>
      </c>
      <c r="G146" s="1" t="s">
        <v>24</v>
      </c>
      <c r="H146" s="1" t="s">
        <v>35</v>
      </c>
      <c r="I146" s="1" t="s">
        <v>57</v>
      </c>
      <c r="J146" s="1" t="s">
        <v>59</v>
      </c>
      <c r="K146" s="1" t="s">
        <v>47</v>
      </c>
      <c r="L146" s="1">
        <v>6</v>
      </c>
      <c r="M146" s="1">
        <v>652.42999999999995</v>
      </c>
      <c r="N146" s="1">
        <v>10</v>
      </c>
      <c r="O146" s="1">
        <v>3523.12</v>
      </c>
      <c r="P146" s="1">
        <f t="shared" si="11"/>
        <v>3914.58</v>
      </c>
      <c r="Q146" s="10">
        <f t="shared" si="12"/>
        <v>352.31200000000001</v>
      </c>
      <c r="R146" s="11">
        <f t="shared" si="13"/>
        <v>3562.268</v>
      </c>
      <c r="S146" s="1" t="str">
        <f t="shared" si="14"/>
        <v>High</v>
      </c>
      <c r="T146" s="1" t="str" cm="1">
        <f t="array" ref="T146">_xlfn.IFS(L146&gt;5,"High",L146=5,"mediam",L146&lt;5,"low")</f>
        <v>High</v>
      </c>
      <c r="U146" s="1" t="str">
        <f t="shared" si="15"/>
        <v>High</v>
      </c>
      <c r="Z146" s="1">
        <v>1391</v>
      </c>
      <c r="AA146" s="5">
        <v>10145</v>
      </c>
    </row>
    <row r="147" spans="1:27" x14ac:dyDescent="0.3">
      <c r="A147" s="5">
        <v>10146</v>
      </c>
      <c r="B147" s="1">
        <v>1674</v>
      </c>
      <c r="C147" s="2">
        <v>45137</v>
      </c>
      <c r="D147" s="2">
        <v>45145</v>
      </c>
      <c r="E147" s="1" t="s">
        <v>40</v>
      </c>
      <c r="F147" s="1" t="s">
        <v>41</v>
      </c>
      <c r="G147" s="1" t="s">
        <v>30</v>
      </c>
      <c r="H147" s="1" t="s">
        <v>42</v>
      </c>
      <c r="I147" s="1" t="s">
        <v>57</v>
      </c>
      <c r="J147" s="1" t="s">
        <v>62</v>
      </c>
      <c r="K147" s="1" t="s">
        <v>33</v>
      </c>
      <c r="L147" s="1">
        <v>4</v>
      </c>
      <c r="M147" s="1">
        <v>2326.87</v>
      </c>
      <c r="N147" s="1">
        <v>15</v>
      </c>
      <c r="O147" s="1">
        <v>7911.36</v>
      </c>
      <c r="P147" s="1">
        <f t="shared" si="11"/>
        <v>9307.48</v>
      </c>
      <c r="Q147" s="10">
        <f t="shared" si="12"/>
        <v>1186.704</v>
      </c>
      <c r="R147" s="11">
        <f t="shared" si="13"/>
        <v>8120.7759999999998</v>
      </c>
      <c r="S147" s="1" t="str">
        <f t="shared" si="14"/>
        <v>Low</v>
      </c>
      <c r="T147" s="1" t="str" cm="1">
        <f t="array" ref="T147">_xlfn.IFS(L147&gt;5,"High",L147=5,"mediam",L147&lt;5,"low")</f>
        <v>low</v>
      </c>
      <c r="U147" s="1" t="b">
        <f t="shared" si="15"/>
        <v>0</v>
      </c>
      <c r="Z147" s="1">
        <v>1674</v>
      </c>
      <c r="AA147" s="5">
        <v>10146</v>
      </c>
    </row>
    <row r="148" spans="1:27" x14ac:dyDescent="0.3">
      <c r="A148" s="5">
        <v>10147</v>
      </c>
      <c r="B148" s="1">
        <v>1418</v>
      </c>
      <c r="C148" s="2">
        <v>45078</v>
      </c>
      <c r="D148" s="2">
        <v>45081</v>
      </c>
      <c r="E148" s="1" t="s">
        <v>22</v>
      </c>
      <c r="F148" s="1" t="s">
        <v>54</v>
      </c>
      <c r="G148" s="1" t="s">
        <v>24</v>
      </c>
      <c r="H148" s="1" t="s">
        <v>25</v>
      </c>
      <c r="I148" s="1" t="s">
        <v>31</v>
      </c>
      <c r="J148" s="1" t="s">
        <v>48</v>
      </c>
      <c r="K148" s="1" t="s">
        <v>21</v>
      </c>
      <c r="L148" s="1">
        <v>6</v>
      </c>
      <c r="M148" s="1">
        <v>1852.67</v>
      </c>
      <c r="N148" s="1">
        <v>5</v>
      </c>
      <c r="O148" s="1">
        <v>10560.22</v>
      </c>
      <c r="P148" s="1">
        <f t="shared" si="11"/>
        <v>11116.02</v>
      </c>
      <c r="Q148" s="10">
        <f t="shared" si="12"/>
        <v>528.01099999999997</v>
      </c>
      <c r="R148" s="11">
        <f t="shared" si="13"/>
        <v>10588.009</v>
      </c>
      <c r="S148" s="1" t="str">
        <f t="shared" si="14"/>
        <v>High</v>
      </c>
      <c r="T148" s="1" t="str" cm="1">
        <f t="array" ref="T148">_xlfn.IFS(L148&gt;5,"High",L148=5,"mediam",L148&lt;5,"low")</f>
        <v>High</v>
      </c>
      <c r="U148" s="1" t="str">
        <f t="shared" si="15"/>
        <v>High</v>
      </c>
      <c r="Z148" s="1">
        <v>1418</v>
      </c>
      <c r="AA148" s="5">
        <v>10147</v>
      </c>
    </row>
    <row r="149" spans="1:27" x14ac:dyDescent="0.3">
      <c r="A149" s="5">
        <v>10148</v>
      </c>
      <c r="B149" s="1">
        <v>1288</v>
      </c>
      <c r="C149" s="2">
        <v>45035</v>
      </c>
      <c r="D149" s="2">
        <v>45043</v>
      </c>
      <c r="E149" s="1" t="s">
        <v>34</v>
      </c>
      <c r="F149" s="1" t="s">
        <v>29</v>
      </c>
      <c r="G149" s="1" t="s">
        <v>30</v>
      </c>
      <c r="H149" s="1" t="s">
        <v>44</v>
      </c>
      <c r="I149" s="1" t="s">
        <v>19</v>
      </c>
      <c r="J149" s="1" t="s">
        <v>20</v>
      </c>
      <c r="K149" s="1" t="s">
        <v>47</v>
      </c>
      <c r="L149" s="1">
        <v>3</v>
      </c>
      <c r="M149" s="1">
        <v>3219.26</v>
      </c>
      <c r="N149" s="1">
        <v>10</v>
      </c>
      <c r="O149" s="1">
        <v>8692</v>
      </c>
      <c r="P149" s="1">
        <f t="shared" si="11"/>
        <v>9657.7800000000007</v>
      </c>
      <c r="Q149" s="10">
        <f t="shared" si="12"/>
        <v>869.2</v>
      </c>
      <c r="R149" s="11">
        <f t="shared" si="13"/>
        <v>8788.58</v>
      </c>
      <c r="S149" s="1" t="str">
        <f t="shared" si="14"/>
        <v>Low</v>
      </c>
      <c r="T149" s="1" t="str" cm="1">
        <f t="array" ref="T149">_xlfn.IFS(L149&gt;5,"High",L149=5,"mediam",L149&lt;5,"low")</f>
        <v>low</v>
      </c>
      <c r="U149" s="1" t="b">
        <f t="shared" si="15"/>
        <v>0</v>
      </c>
      <c r="Z149" s="1">
        <v>1288</v>
      </c>
      <c r="AA149" s="5">
        <v>10148</v>
      </c>
    </row>
    <row r="150" spans="1:27" x14ac:dyDescent="0.3">
      <c r="A150" s="5">
        <v>10149</v>
      </c>
      <c r="B150" s="1">
        <v>1378</v>
      </c>
      <c r="C150" s="2">
        <v>45002</v>
      </c>
      <c r="D150" s="2">
        <v>45010</v>
      </c>
      <c r="E150" s="1" t="s">
        <v>22</v>
      </c>
      <c r="F150" s="1" t="s">
        <v>23</v>
      </c>
      <c r="G150" s="1" t="s">
        <v>30</v>
      </c>
      <c r="H150" s="1" t="s">
        <v>42</v>
      </c>
      <c r="I150" s="1" t="s">
        <v>57</v>
      </c>
      <c r="J150" s="1" t="s">
        <v>62</v>
      </c>
      <c r="K150" s="1" t="s">
        <v>33</v>
      </c>
      <c r="L150" s="1">
        <v>8</v>
      </c>
      <c r="M150" s="1">
        <v>2938.3</v>
      </c>
      <c r="N150" s="1">
        <v>15</v>
      </c>
      <c r="O150" s="1">
        <v>19980.439999999999</v>
      </c>
      <c r="P150" s="1">
        <f t="shared" si="11"/>
        <v>23506.400000000001</v>
      </c>
      <c r="Q150" s="10">
        <f t="shared" si="12"/>
        <v>2997.0659999999998</v>
      </c>
      <c r="R150" s="11">
        <f t="shared" si="13"/>
        <v>20509.334000000003</v>
      </c>
      <c r="S150" s="1" t="str">
        <f t="shared" si="14"/>
        <v>High</v>
      </c>
      <c r="T150" s="1" t="str" cm="1">
        <f t="array" ref="T150">_xlfn.IFS(L150&gt;5,"High",L150=5,"mediam",L150&lt;5,"low")</f>
        <v>High</v>
      </c>
      <c r="U150" s="1" t="str">
        <f t="shared" si="15"/>
        <v>High</v>
      </c>
      <c r="Z150" s="1">
        <v>1378</v>
      </c>
      <c r="AA150" s="5">
        <v>10149</v>
      </c>
    </row>
    <row r="151" spans="1:27" x14ac:dyDescent="0.3">
      <c r="A151" s="5">
        <v>10150</v>
      </c>
      <c r="B151" s="1">
        <v>1772</v>
      </c>
      <c r="C151" s="2">
        <v>44956</v>
      </c>
      <c r="D151" s="2">
        <v>44961</v>
      </c>
      <c r="E151" s="1" t="s">
        <v>22</v>
      </c>
      <c r="F151" s="1" t="s">
        <v>54</v>
      </c>
      <c r="G151" s="1" t="s">
        <v>24</v>
      </c>
      <c r="H151" s="1" t="s">
        <v>18</v>
      </c>
      <c r="I151" s="1" t="s">
        <v>49</v>
      </c>
      <c r="J151" s="1" t="s">
        <v>51</v>
      </c>
      <c r="K151" s="1" t="s">
        <v>28</v>
      </c>
      <c r="L151" s="1">
        <v>2</v>
      </c>
      <c r="M151" s="1">
        <v>2808.06</v>
      </c>
      <c r="N151" s="1">
        <v>0</v>
      </c>
      <c r="O151" s="1">
        <v>5616.12</v>
      </c>
      <c r="P151" s="1">
        <f t="shared" si="11"/>
        <v>5616.12</v>
      </c>
      <c r="Q151" s="10">
        <f t="shared" si="12"/>
        <v>0</v>
      </c>
      <c r="R151" s="11">
        <f t="shared" si="13"/>
        <v>5616.12</v>
      </c>
      <c r="S151" s="1" t="str">
        <f t="shared" si="14"/>
        <v>Low</v>
      </c>
      <c r="T151" s="1" t="str" cm="1">
        <f t="array" ref="T151">_xlfn.IFS(L151&gt;5,"High",L151=5,"mediam",L151&lt;5,"low")</f>
        <v>low</v>
      </c>
      <c r="U151" s="1" t="b">
        <f t="shared" si="15"/>
        <v>0</v>
      </c>
      <c r="Z151" s="1">
        <v>1772</v>
      </c>
      <c r="AA151" s="5">
        <v>10150</v>
      </c>
    </row>
    <row r="152" spans="1:27" x14ac:dyDescent="0.3">
      <c r="A152" s="5">
        <v>10151</v>
      </c>
      <c r="B152" s="1">
        <v>1489</v>
      </c>
      <c r="C152" s="2">
        <v>45240</v>
      </c>
      <c r="D152" s="2">
        <v>45241</v>
      </c>
      <c r="E152" s="1" t="s">
        <v>34</v>
      </c>
      <c r="F152" s="1" t="s">
        <v>29</v>
      </c>
      <c r="G152" s="1" t="s">
        <v>30</v>
      </c>
      <c r="H152" s="1" t="s">
        <v>18</v>
      </c>
      <c r="I152" s="1" t="s">
        <v>49</v>
      </c>
      <c r="J152" s="1" t="s">
        <v>63</v>
      </c>
      <c r="K152" s="1" t="s">
        <v>47</v>
      </c>
      <c r="L152" s="1">
        <v>5</v>
      </c>
      <c r="M152" s="1">
        <v>1461.1</v>
      </c>
      <c r="N152" s="1">
        <v>15</v>
      </c>
      <c r="O152" s="1">
        <v>6209.68</v>
      </c>
      <c r="P152" s="1">
        <f t="shared" si="11"/>
        <v>7305.5</v>
      </c>
      <c r="Q152" s="10">
        <f t="shared" si="12"/>
        <v>931.452</v>
      </c>
      <c r="R152" s="11">
        <f t="shared" si="13"/>
        <v>6374.0479999999998</v>
      </c>
      <c r="S152" s="1" t="str">
        <f t="shared" si="14"/>
        <v>High</v>
      </c>
      <c r="T152" s="1" t="str" cm="1">
        <f t="array" ref="T152">_xlfn.IFS(L152&gt;5,"High",L152=5,"mediam",L152&lt;5,"low")</f>
        <v>mediam</v>
      </c>
      <c r="U152" s="1" t="b">
        <f t="shared" si="15"/>
        <v>0</v>
      </c>
      <c r="Z152" s="1">
        <v>1489</v>
      </c>
      <c r="AA152" s="5">
        <v>10151</v>
      </c>
    </row>
    <row r="153" spans="1:27" x14ac:dyDescent="0.3">
      <c r="A153" s="5">
        <v>10152</v>
      </c>
      <c r="B153" s="1">
        <v>1230</v>
      </c>
      <c r="C153" s="2">
        <v>45043</v>
      </c>
      <c r="D153" s="2">
        <v>45050</v>
      </c>
      <c r="E153" s="1" t="s">
        <v>37</v>
      </c>
      <c r="F153" s="1" t="s">
        <v>16</v>
      </c>
      <c r="G153" s="1" t="s">
        <v>24</v>
      </c>
      <c r="H153" s="1" t="s">
        <v>44</v>
      </c>
      <c r="I153" s="1" t="s">
        <v>52</v>
      </c>
      <c r="J153" s="1" t="s">
        <v>56</v>
      </c>
      <c r="K153" s="1" t="s">
        <v>47</v>
      </c>
      <c r="L153" s="1">
        <v>1</v>
      </c>
      <c r="M153" s="1">
        <v>3249.11</v>
      </c>
      <c r="N153" s="1">
        <v>10</v>
      </c>
      <c r="O153" s="1">
        <v>2924.2</v>
      </c>
      <c r="P153" s="1">
        <f t="shared" si="11"/>
        <v>3249.11</v>
      </c>
      <c r="Q153" s="10">
        <f t="shared" si="12"/>
        <v>292.42</v>
      </c>
      <c r="R153" s="11">
        <f t="shared" si="13"/>
        <v>2956.69</v>
      </c>
      <c r="S153" s="1" t="str">
        <f t="shared" si="14"/>
        <v>Low</v>
      </c>
      <c r="T153" s="1" t="str" cm="1">
        <f t="array" ref="T153">_xlfn.IFS(L153&gt;5,"High",L153=5,"mediam",L153&lt;5,"low")</f>
        <v>low</v>
      </c>
      <c r="U153" s="1" t="b">
        <f t="shared" si="15"/>
        <v>0</v>
      </c>
      <c r="Z153" s="1">
        <v>1230</v>
      </c>
      <c r="AA153" s="5">
        <v>10152</v>
      </c>
    </row>
    <row r="154" spans="1:27" x14ac:dyDescent="0.3">
      <c r="A154" s="5">
        <v>10153</v>
      </c>
      <c r="B154" s="1">
        <v>1040</v>
      </c>
      <c r="C154" s="2">
        <v>45282</v>
      </c>
      <c r="D154" s="2">
        <v>45287</v>
      </c>
      <c r="E154" s="1" t="s">
        <v>37</v>
      </c>
      <c r="F154" s="1" t="s">
        <v>29</v>
      </c>
      <c r="G154" s="1" t="s">
        <v>30</v>
      </c>
      <c r="H154" s="1" t="s">
        <v>25</v>
      </c>
      <c r="I154" s="1" t="s">
        <v>19</v>
      </c>
      <c r="J154" s="1" t="s">
        <v>66</v>
      </c>
      <c r="K154" s="1" t="s">
        <v>28</v>
      </c>
      <c r="L154" s="1">
        <v>6</v>
      </c>
      <c r="M154" s="1">
        <v>351.71</v>
      </c>
      <c r="N154" s="1">
        <v>10</v>
      </c>
      <c r="O154" s="1">
        <v>1899.23</v>
      </c>
      <c r="P154" s="1">
        <f t="shared" si="11"/>
        <v>2110.2599999999998</v>
      </c>
      <c r="Q154" s="10">
        <f t="shared" si="12"/>
        <v>189.923</v>
      </c>
      <c r="R154" s="11">
        <f t="shared" si="13"/>
        <v>1920.3369999999998</v>
      </c>
      <c r="S154" s="1" t="str">
        <f t="shared" si="14"/>
        <v>High</v>
      </c>
      <c r="T154" s="1" t="str" cm="1">
        <f t="array" ref="T154">_xlfn.IFS(L154&gt;5,"High",L154=5,"mediam",L154&lt;5,"low")</f>
        <v>High</v>
      </c>
      <c r="U154" s="1" t="str">
        <f t="shared" si="15"/>
        <v>High</v>
      </c>
      <c r="Z154" s="1">
        <v>1040</v>
      </c>
      <c r="AA154" s="5">
        <v>10153</v>
      </c>
    </row>
    <row r="155" spans="1:27" x14ac:dyDescent="0.3">
      <c r="A155" s="5">
        <v>10154</v>
      </c>
      <c r="B155" s="1">
        <v>1027</v>
      </c>
      <c r="C155" s="2">
        <v>45118</v>
      </c>
      <c r="D155" s="2">
        <v>45126</v>
      </c>
      <c r="E155" s="1" t="s">
        <v>40</v>
      </c>
      <c r="F155" s="1" t="s">
        <v>23</v>
      </c>
      <c r="G155" s="1" t="s">
        <v>17</v>
      </c>
      <c r="H155" s="1" t="s">
        <v>42</v>
      </c>
      <c r="I155" s="1" t="s">
        <v>19</v>
      </c>
      <c r="J155" s="1" t="s">
        <v>43</v>
      </c>
      <c r="K155" s="1" t="s">
        <v>45</v>
      </c>
      <c r="L155" s="1">
        <v>2</v>
      </c>
      <c r="M155" s="1">
        <v>764.56</v>
      </c>
      <c r="N155" s="1">
        <v>0</v>
      </c>
      <c r="O155" s="1">
        <v>1529.12</v>
      </c>
      <c r="P155" s="1">
        <f t="shared" si="11"/>
        <v>1529.12</v>
      </c>
      <c r="Q155" s="10">
        <f t="shared" si="12"/>
        <v>0</v>
      </c>
      <c r="R155" s="11">
        <f t="shared" si="13"/>
        <v>1529.12</v>
      </c>
      <c r="S155" s="1" t="str">
        <f t="shared" si="14"/>
        <v>Low</v>
      </c>
      <c r="T155" s="1" t="str" cm="1">
        <f t="array" ref="T155">_xlfn.IFS(L155&gt;5,"High",L155=5,"mediam",L155&lt;5,"low")</f>
        <v>low</v>
      </c>
      <c r="U155" s="1" t="b">
        <f t="shared" si="15"/>
        <v>0</v>
      </c>
      <c r="Z155" s="1">
        <v>1027</v>
      </c>
      <c r="AA155" s="5">
        <v>10154</v>
      </c>
    </row>
    <row r="156" spans="1:27" x14ac:dyDescent="0.3">
      <c r="A156" s="5">
        <v>10155</v>
      </c>
      <c r="B156" s="1">
        <v>1134</v>
      </c>
      <c r="C156" s="2">
        <v>44945</v>
      </c>
      <c r="D156" s="2">
        <v>44954</v>
      </c>
      <c r="E156" s="1" t="s">
        <v>16</v>
      </c>
      <c r="F156" s="1" t="s">
        <v>29</v>
      </c>
      <c r="G156" s="1" t="s">
        <v>30</v>
      </c>
      <c r="H156" s="1" t="s">
        <v>25</v>
      </c>
      <c r="I156" s="1" t="s">
        <v>52</v>
      </c>
      <c r="J156" s="1" t="s">
        <v>56</v>
      </c>
      <c r="K156" s="1" t="s">
        <v>21</v>
      </c>
      <c r="L156" s="1">
        <v>4</v>
      </c>
      <c r="M156" s="1">
        <v>1442.15</v>
      </c>
      <c r="N156" s="1">
        <v>15</v>
      </c>
      <c r="O156" s="1">
        <v>4903.3100000000004</v>
      </c>
      <c r="P156" s="1">
        <f t="shared" si="11"/>
        <v>5768.6</v>
      </c>
      <c r="Q156" s="10">
        <f t="shared" si="12"/>
        <v>735.49650000000008</v>
      </c>
      <c r="R156" s="11">
        <f t="shared" si="13"/>
        <v>5033.1035000000002</v>
      </c>
      <c r="S156" s="1" t="str">
        <f t="shared" si="14"/>
        <v>Low</v>
      </c>
      <c r="T156" s="1" t="str" cm="1">
        <f t="array" ref="T156">_xlfn.IFS(L156&gt;5,"High",L156=5,"mediam",L156&lt;5,"low")</f>
        <v>low</v>
      </c>
      <c r="U156" s="1" t="b">
        <f t="shared" si="15"/>
        <v>0</v>
      </c>
      <c r="Z156" s="1">
        <v>1134</v>
      </c>
      <c r="AA156" s="5">
        <v>10155</v>
      </c>
    </row>
    <row r="157" spans="1:27" x14ac:dyDescent="0.3">
      <c r="A157" s="5">
        <v>10156</v>
      </c>
      <c r="B157" s="1">
        <v>1200</v>
      </c>
      <c r="C157" s="2">
        <v>45099</v>
      </c>
      <c r="D157" s="2">
        <v>45106</v>
      </c>
      <c r="E157" s="1" t="s">
        <v>40</v>
      </c>
      <c r="F157" s="1" t="s">
        <v>38</v>
      </c>
      <c r="G157" s="1" t="s">
        <v>24</v>
      </c>
      <c r="H157" s="1" t="s">
        <v>18</v>
      </c>
      <c r="I157" s="1" t="s">
        <v>57</v>
      </c>
      <c r="J157" s="1" t="s">
        <v>59</v>
      </c>
      <c r="K157" s="1" t="s">
        <v>45</v>
      </c>
      <c r="L157" s="1">
        <v>6</v>
      </c>
      <c r="M157" s="1">
        <v>445.71</v>
      </c>
      <c r="N157" s="1">
        <v>15</v>
      </c>
      <c r="O157" s="1">
        <v>2273.12</v>
      </c>
      <c r="P157" s="1">
        <f t="shared" si="11"/>
        <v>2674.2599999999998</v>
      </c>
      <c r="Q157" s="10">
        <f t="shared" si="12"/>
        <v>340.96799999999996</v>
      </c>
      <c r="R157" s="11">
        <f t="shared" si="13"/>
        <v>2333.2919999999999</v>
      </c>
      <c r="S157" s="1" t="str">
        <f t="shared" si="14"/>
        <v>High</v>
      </c>
      <c r="T157" s="1" t="str" cm="1">
        <f t="array" ref="T157">_xlfn.IFS(L157&gt;5,"High",L157=5,"mediam",L157&lt;5,"low")</f>
        <v>High</v>
      </c>
      <c r="U157" s="1" t="str">
        <f t="shared" si="15"/>
        <v>High</v>
      </c>
      <c r="Z157" s="1">
        <v>1200</v>
      </c>
      <c r="AA157" s="5">
        <v>10156</v>
      </c>
    </row>
    <row r="158" spans="1:27" x14ac:dyDescent="0.3">
      <c r="A158" s="5">
        <v>10157</v>
      </c>
      <c r="B158" s="1">
        <v>1839</v>
      </c>
      <c r="C158" s="2">
        <v>45154</v>
      </c>
      <c r="D158" s="2">
        <v>45161</v>
      </c>
      <c r="E158" s="1" t="s">
        <v>16</v>
      </c>
      <c r="F158" s="1" t="s">
        <v>23</v>
      </c>
      <c r="G158" s="1" t="s">
        <v>30</v>
      </c>
      <c r="H158" s="1" t="s">
        <v>25</v>
      </c>
      <c r="I158" s="1" t="s">
        <v>19</v>
      </c>
      <c r="J158" s="1" t="s">
        <v>20</v>
      </c>
      <c r="K158" s="1" t="s">
        <v>33</v>
      </c>
      <c r="L158" s="1">
        <v>8</v>
      </c>
      <c r="M158" s="1">
        <v>1054.73</v>
      </c>
      <c r="N158" s="1">
        <v>0</v>
      </c>
      <c r="O158" s="1">
        <v>8437.84</v>
      </c>
      <c r="P158" s="1">
        <f t="shared" si="11"/>
        <v>8437.84</v>
      </c>
      <c r="Q158" s="10">
        <f t="shared" si="12"/>
        <v>0</v>
      </c>
      <c r="R158" s="11">
        <f t="shared" si="13"/>
        <v>8437.84</v>
      </c>
      <c r="S158" s="1" t="str">
        <f t="shared" si="14"/>
        <v>High</v>
      </c>
      <c r="T158" s="1" t="str" cm="1">
        <f t="array" ref="T158">_xlfn.IFS(L158&gt;5,"High",L158=5,"mediam",L158&lt;5,"low")</f>
        <v>High</v>
      </c>
      <c r="U158" s="1" t="str">
        <f t="shared" si="15"/>
        <v>High</v>
      </c>
      <c r="Z158" s="1">
        <v>1839</v>
      </c>
      <c r="AA158" s="5">
        <v>10157</v>
      </c>
    </row>
    <row r="159" spans="1:27" x14ac:dyDescent="0.3">
      <c r="A159" s="5">
        <v>10158</v>
      </c>
      <c r="B159" s="1">
        <v>1779</v>
      </c>
      <c r="C159" s="2">
        <v>45276</v>
      </c>
      <c r="D159" s="2">
        <v>45277</v>
      </c>
      <c r="E159" s="1" t="s">
        <v>22</v>
      </c>
      <c r="F159" s="1" t="s">
        <v>41</v>
      </c>
      <c r="G159" s="1" t="s">
        <v>24</v>
      </c>
      <c r="H159" s="1" t="s">
        <v>18</v>
      </c>
      <c r="I159" s="1" t="s">
        <v>49</v>
      </c>
      <c r="J159" s="1" t="s">
        <v>63</v>
      </c>
      <c r="K159" s="1" t="s">
        <v>28</v>
      </c>
      <c r="L159" s="1">
        <v>8</v>
      </c>
      <c r="M159" s="1">
        <v>3346.08</v>
      </c>
      <c r="N159" s="1">
        <v>15</v>
      </c>
      <c r="O159" s="1">
        <v>22753.34</v>
      </c>
      <c r="P159" s="1">
        <f t="shared" si="11"/>
        <v>26768.639999999999</v>
      </c>
      <c r="Q159" s="10">
        <f t="shared" si="12"/>
        <v>3413.0009999999997</v>
      </c>
      <c r="R159" s="11">
        <f t="shared" si="13"/>
        <v>23355.638999999999</v>
      </c>
      <c r="S159" s="1" t="str">
        <f t="shared" si="14"/>
        <v>High</v>
      </c>
      <c r="T159" s="1" t="str" cm="1">
        <f t="array" ref="T159">_xlfn.IFS(L159&gt;5,"High",L159=5,"mediam",L159&lt;5,"low")</f>
        <v>High</v>
      </c>
      <c r="U159" s="1" t="str">
        <f t="shared" si="15"/>
        <v>High</v>
      </c>
      <c r="Z159" s="1">
        <v>1779</v>
      </c>
      <c r="AA159" s="5">
        <v>10158</v>
      </c>
    </row>
    <row r="160" spans="1:27" x14ac:dyDescent="0.3">
      <c r="A160" s="5">
        <v>10159</v>
      </c>
      <c r="B160" s="1">
        <v>1929</v>
      </c>
      <c r="C160" s="2">
        <v>45109</v>
      </c>
      <c r="D160" s="2">
        <v>45113</v>
      </c>
      <c r="E160" s="1" t="s">
        <v>34</v>
      </c>
      <c r="F160" s="1" t="s">
        <v>16</v>
      </c>
      <c r="G160" s="1" t="s">
        <v>24</v>
      </c>
      <c r="H160" s="1" t="s">
        <v>25</v>
      </c>
      <c r="I160" s="1" t="s">
        <v>49</v>
      </c>
      <c r="J160" s="1" t="s">
        <v>68</v>
      </c>
      <c r="K160" s="1" t="s">
        <v>45</v>
      </c>
      <c r="L160" s="1">
        <v>6</v>
      </c>
      <c r="M160" s="1">
        <v>3800.77</v>
      </c>
      <c r="N160" s="1">
        <v>0</v>
      </c>
      <c r="O160" s="1">
        <v>22804.62</v>
      </c>
      <c r="P160" s="1">
        <f t="shared" si="11"/>
        <v>22804.62</v>
      </c>
      <c r="Q160" s="10">
        <f t="shared" si="12"/>
        <v>0</v>
      </c>
      <c r="R160" s="11">
        <f t="shared" si="13"/>
        <v>22804.62</v>
      </c>
      <c r="S160" s="1" t="str">
        <f t="shared" si="14"/>
        <v>High</v>
      </c>
      <c r="T160" s="1" t="str" cm="1">
        <f t="array" ref="T160">_xlfn.IFS(L160&gt;5,"High",L160=5,"mediam",L160&lt;5,"low")</f>
        <v>High</v>
      </c>
      <c r="U160" s="1" t="str">
        <f t="shared" si="15"/>
        <v>High</v>
      </c>
      <c r="Z160" s="1">
        <v>1929</v>
      </c>
      <c r="AA160" s="5">
        <v>10159</v>
      </c>
    </row>
    <row r="161" spans="1:27" x14ac:dyDescent="0.3">
      <c r="A161" s="5">
        <v>10160</v>
      </c>
      <c r="B161" s="1">
        <v>1032</v>
      </c>
      <c r="C161" s="2">
        <v>45039</v>
      </c>
      <c r="D161" s="2">
        <v>45041</v>
      </c>
      <c r="E161" s="1" t="s">
        <v>22</v>
      </c>
      <c r="F161" s="1" t="s">
        <v>38</v>
      </c>
      <c r="G161" s="1" t="s">
        <v>17</v>
      </c>
      <c r="H161" s="1" t="s">
        <v>44</v>
      </c>
      <c r="I161" s="1" t="s">
        <v>31</v>
      </c>
      <c r="J161" s="1" t="s">
        <v>48</v>
      </c>
      <c r="K161" s="1" t="s">
        <v>47</v>
      </c>
      <c r="L161" s="1">
        <v>4</v>
      </c>
      <c r="M161" s="1">
        <v>1322.72</v>
      </c>
      <c r="N161" s="1">
        <v>5</v>
      </c>
      <c r="O161" s="1">
        <v>5026.34</v>
      </c>
      <c r="P161" s="1">
        <f t="shared" si="11"/>
        <v>5290.88</v>
      </c>
      <c r="Q161" s="10">
        <f t="shared" si="12"/>
        <v>251.31700000000001</v>
      </c>
      <c r="R161" s="11">
        <f t="shared" si="13"/>
        <v>5039.5630000000001</v>
      </c>
      <c r="S161" s="1" t="str">
        <f t="shared" si="14"/>
        <v>Low</v>
      </c>
      <c r="T161" s="1" t="str" cm="1">
        <f t="array" ref="T161">_xlfn.IFS(L161&gt;5,"High",L161=5,"mediam",L161&lt;5,"low")</f>
        <v>low</v>
      </c>
      <c r="U161" s="1" t="b">
        <f t="shared" si="15"/>
        <v>0</v>
      </c>
      <c r="Z161" s="1">
        <v>1032</v>
      </c>
      <c r="AA161" s="5">
        <v>10160</v>
      </c>
    </row>
    <row r="162" spans="1:27" x14ac:dyDescent="0.3">
      <c r="A162" s="5">
        <v>10161</v>
      </c>
      <c r="B162" s="1">
        <v>1047</v>
      </c>
      <c r="C162" s="2">
        <v>45109</v>
      </c>
      <c r="D162" s="2">
        <v>45111</v>
      </c>
      <c r="E162" s="1" t="s">
        <v>46</v>
      </c>
      <c r="F162" s="1" t="s">
        <v>41</v>
      </c>
      <c r="G162" s="1" t="s">
        <v>17</v>
      </c>
      <c r="H162" s="1" t="s">
        <v>35</v>
      </c>
      <c r="I162" s="1" t="s">
        <v>19</v>
      </c>
      <c r="J162" s="1" t="s">
        <v>20</v>
      </c>
      <c r="K162" s="1" t="s">
        <v>33</v>
      </c>
      <c r="L162" s="1">
        <v>8</v>
      </c>
      <c r="M162" s="1">
        <v>1168.3900000000001</v>
      </c>
      <c r="N162" s="1">
        <v>10</v>
      </c>
      <c r="O162" s="1">
        <v>8412.41</v>
      </c>
      <c r="P162" s="1">
        <f t="shared" si="11"/>
        <v>9347.1200000000008</v>
      </c>
      <c r="Q162" s="10">
        <f t="shared" si="12"/>
        <v>841.24099999999999</v>
      </c>
      <c r="R162" s="11">
        <f t="shared" si="13"/>
        <v>8505.8790000000008</v>
      </c>
      <c r="S162" s="1" t="str">
        <f t="shared" si="14"/>
        <v>High</v>
      </c>
      <c r="T162" s="1" t="str" cm="1">
        <f t="array" ref="T162">_xlfn.IFS(L162&gt;5,"High",L162=5,"mediam",L162&lt;5,"low")</f>
        <v>High</v>
      </c>
      <c r="U162" s="1" t="str">
        <f t="shared" si="15"/>
        <v>High</v>
      </c>
      <c r="Z162" s="1">
        <v>1047</v>
      </c>
      <c r="AA162" s="5">
        <v>10161</v>
      </c>
    </row>
    <row r="163" spans="1:27" x14ac:dyDescent="0.3">
      <c r="A163" s="5">
        <v>10162</v>
      </c>
      <c r="B163" s="1">
        <v>1502</v>
      </c>
      <c r="C163" s="2">
        <v>45072</v>
      </c>
      <c r="D163" s="2">
        <v>45074</v>
      </c>
      <c r="E163" s="1" t="s">
        <v>37</v>
      </c>
      <c r="F163" s="1" t="s">
        <v>29</v>
      </c>
      <c r="G163" s="1" t="s">
        <v>24</v>
      </c>
      <c r="H163" s="1" t="s">
        <v>44</v>
      </c>
      <c r="I163" s="1" t="s">
        <v>57</v>
      </c>
      <c r="J163" s="1" t="s">
        <v>58</v>
      </c>
      <c r="K163" s="1" t="s">
        <v>33</v>
      </c>
      <c r="L163" s="1">
        <v>8</v>
      </c>
      <c r="M163" s="1">
        <v>1227.5899999999999</v>
      </c>
      <c r="N163" s="1">
        <v>5</v>
      </c>
      <c r="O163" s="1">
        <v>9329.68</v>
      </c>
      <c r="P163" s="1">
        <f t="shared" si="11"/>
        <v>9820.7199999999993</v>
      </c>
      <c r="Q163" s="10">
        <f t="shared" si="12"/>
        <v>466.48400000000004</v>
      </c>
      <c r="R163" s="11">
        <f t="shared" si="13"/>
        <v>9354.235999999999</v>
      </c>
      <c r="S163" s="1" t="str">
        <f t="shared" si="14"/>
        <v>High</v>
      </c>
      <c r="T163" s="1" t="str" cm="1">
        <f t="array" ref="T163">_xlfn.IFS(L163&gt;5,"High",L163=5,"mediam",L163&lt;5,"low")</f>
        <v>High</v>
      </c>
      <c r="U163" s="1" t="str">
        <f t="shared" si="15"/>
        <v>High</v>
      </c>
      <c r="Z163" s="1">
        <v>1502</v>
      </c>
      <c r="AA163" s="5">
        <v>10162</v>
      </c>
    </row>
    <row r="164" spans="1:27" x14ac:dyDescent="0.3">
      <c r="A164" s="5">
        <v>10163</v>
      </c>
      <c r="B164" s="1">
        <v>1406</v>
      </c>
      <c r="C164" s="2">
        <v>45245</v>
      </c>
      <c r="D164" s="2">
        <v>45249</v>
      </c>
      <c r="E164" s="1" t="s">
        <v>16</v>
      </c>
      <c r="F164" s="1" t="s">
        <v>23</v>
      </c>
      <c r="G164" s="1" t="s">
        <v>30</v>
      </c>
      <c r="H164" s="1" t="s">
        <v>44</v>
      </c>
      <c r="I164" s="1" t="s">
        <v>52</v>
      </c>
      <c r="J164" s="1" t="s">
        <v>53</v>
      </c>
      <c r="K164" s="1" t="s">
        <v>45</v>
      </c>
      <c r="L164" s="1">
        <v>1</v>
      </c>
      <c r="M164" s="1">
        <v>1219.22</v>
      </c>
      <c r="N164" s="1">
        <v>20</v>
      </c>
      <c r="O164" s="1">
        <v>975.38</v>
      </c>
      <c r="P164" s="1">
        <f t="shared" si="11"/>
        <v>1219.22</v>
      </c>
      <c r="Q164" s="10">
        <f t="shared" si="12"/>
        <v>195.07600000000002</v>
      </c>
      <c r="R164" s="11">
        <f t="shared" si="13"/>
        <v>1024.144</v>
      </c>
      <c r="S164" s="1" t="str">
        <f t="shared" si="14"/>
        <v>Low</v>
      </c>
      <c r="T164" s="1" t="str" cm="1">
        <f t="array" ref="T164">_xlfn.IFS(L164&gt;5,"High",L164=5,"mediam",L164&lt;5,"low")</f>
        <v>low</v>
      </c>
      <c r="U164" s="1" t="b">
        <f t="shared" si="15"/>
        <v>0</v>
      </c>
      <c r="Z164" s="1">
        <v>1406</v>
      </c>
      <c r="AA164" s="5">
        <v>10163</v>
      </c>
    </row>
    <row r="165" spans="1:27" x14ac:dyDescent="0.3">
      <c r="A165" s="5">
        <v>10164</v>
      </c>
      <c r="B165" s="1">
        <v>1573</v>
      </c>
      <c r="C165" s="2">
        <v>45042</v>
      </c>
      <c r="D165" s="2">
        <v>45043</v>
      </c>
      <c r="E165" s="1" t="s">
        <v>40</v>
      </c>
      <c r="F165" s="1" t="s">
        <v>16</v>
      </c>
      <c r="G165" s="1" t="s">
        <v>24</v>
      </c>
      <c r="H165" s="1" t="s">
        <v>35</v>
      </c>
      <c r="I165" s="1" t="s">
        <v>52</v>
      </c>
      <c r="J165" s="1" t="s">
        <v>64</v>
      </c>
      <c r="K165" s="1" t="s">
        <v>45</v>
      </c>
      <c r="L165" s="1">
        <v>4</v>
      </c>
      <c r="M165" s="1">
        <v>288.33</v>
      </c>
      <c r="N165" s="1">
        <v>20</v>
      </c>
      <c r="O165" s="1">
        <v>922.66</v>
      </c>
      <c r="P165" s="1">
        <f t="shared" si="11"/>
        <v>1153.32</v>
      </c>
      <c r="Q165" s="10">
        <f t="shared" si="12"/>
        <v>184.53200000000001</v>
      </c>
      <c r="R165" s="11">
        <f t="shared" si="13"/>
        <v>968.7879999999999</v>
      </c>
      <c r="S165" s="1" t="str">
        <f t="shared" si="14"/>
        <v>Low</v>
      </c>
      <c r="T165" s="1" t="str" cm="1">
        <f t="array" ref="T165">_xlfn.IFS(L165&gt;5,"High",L165=5,"mediam",L165&lt;5,"low")</f>
        <v>low</v>
      </c>
      <c r="U165" s="1" t="b">
        <f t="shared" si="15"/>
        <v>0</v>
      </c>
      <c r="Z165" s="1">
        <v>1573</v>
      </c>
      <c r="AA165" s="5">
        <v>10164</v>
      </c>
    </row>
    <row r="166" spans="1:27" x14ac:dyDescent="0.3">
      <c r="A166" s="5">
        <v>10165</v>
      </c>
      <c r="B166" s="1">
        <v>1727</v>
      </c>
      <c r="C166" s="2">
        <v>45039</v>
      </c>
      <c r="D166" s="2">
        <v>45043</v>
      </c>
      <c r="E166" s="1" t="s">
        <v>34</v>
      </c>
      <c r="F166" s="1" t="s">
        <v>38</v>
      </c>
      <c r="G166" s="1" t="s">
        <v>24</v>
      </c>
      <c r="H166" s="1" t="s">
        <v>35</v>
      </c>
      <c r="I166" s="1" t="s">
        <v>57</v>
      </c>
      <c r="J166" s="1" t="s">
        <v>62</v>
      </c>
      <c r="K166" s="1" t="s">
        <v>28</v>
      </c>
      <c r="L166" s="1">
        <v>4</v>
      </c>
      <c r="M166" s="1">
        <v>3718.63</v>
      </c>
      <c r="N166" s="1">
        <v>20</v>
      </c>
      <c r="O166" s="1">
        <v>11899.62</v>
      </c>
      <c r="P166" s="1">
        <f t="shared" si="11"/>
        <v>14874.52</v>
      </c>
      <c r="Q166" s="10">
        <f t="shared" si="12"/>
        <v>2379.9240000000004</v>
      </c>
      <c r="R166" s="11">
        <f t="shared" si="13"/>
        <v>12494.596</v>
      </c>
      <c r="S166" s="1" t="str">
        <f t="shared" si="14"/>
        <v>Low</v>
      </c>
      <c r="T166" s="1" t="str" cm="1">
        <f t="array" ref="T166">_xlfn.IFS(L166&gt;5,"High",L166=5,"mediam",L166&lt;5,"low")</f>
        <v>low</v>
      </c>
      <c r="U166" s="1" t="b">
        <f t="shared" si="15"/>
        <v>0</v>
      </c>
      <c r="Z166" s="1">
        <v>1727</v>
      </c>
      <c r="AA166" s="5">
        <v>10165</v>
      </c>
    </row>
    <row r="167" spans="1:27" x14ac:dyDescent="0.3">
      <c r="A167" s="5">
        <v>10166</v>
      </c>
      <c r="B167" s="1">
        <v>1804</v>
      </c>
      <c r="C167" s="2">
        <v>45177</v>
      </c>
      <c r="D167" s="2">
        <v>45179</v>
      </c>
      <c r="E167" s="1" t="s">
        <v>16</v>
      </c>
      <c r="F167" s="1" t="s">
        <v>41</v>
      </c>
      <c r="G167" s="1" t="s">
        <v>30</v>
      </c>
      <c r="H167" s="1" t="s">
        <v>42</v>
      </c>
      <c r="I167" s="1" t="s">
        <v>26</v>
      </c>
      <c r="J167" s="1" t="s">
        <v>27</v>
      </c>
      <c r="K167" s="1" t="s">
        <v>21</v>
      </c>
      <c r="L167" s="1">
        <v>7</v>
      </c>
      <c r="M167" s="1">
        <v>972.74</v>
      </c>
      <c r="N167" s="1">
        <v>0</v>
      </c>
      <c r="O167" s="1">
        <v>6809.18</v>
      </c>
      <c r="P167" s="1">
        <f t="shared" si="11"/>
        <v>6809.18</v>
      </c>
      <c r="Q167" s="10">
        <f t="shared" si="12"/>
        <v>0</v>
      </c>
      <c r="R167" s="11">
        <f t="shared" si="13"/>
        <v>6809.18</v>
      </c>
      <c r="S167" s="1" t="str">
        <f t="shared" si="14"/>
        <v>High</v>
      </c>
      <c r="T167" s="1" t="str" cm="1">
        <f t="array" ref="T167">_xlfn.IFS(L167&gt;5,"High",L167=5,"mediam",L167&lt;5,"low")</f>
        <v>High</v>
      </c>
      <c r="U167" s="1" t="str">
        <f t="shared" si="15"/>
        <v>High</v>
      </c>
      <c r="Z167" s="1">
        <v>1804</v>
      </c>
      <c r="AA167" s="5">
        <v>10166</v>
      </c>
    </row>
    <row r="168" spans="1:27" x14ac:dyDescent="0.3">
      <c r="A168" s="5">
        <v>10167</v>
      </c>
      <c r="B168" s="1">
        <v>1098</v>
      </c>
      <c r="C168" s="2">
        <v>45177</v>
      </c>
      <c r="D168" s="2">
        <v>45182</v>
      </c>
      <c r="E168" s="1" t="s">
        <v>40</v>
      </c>
      <c r="F168" s="1" t="s">
        <v>41</v>
      </c>
      <c r="G168" s="1" t="s">
        <v>30</v>
      </c>
      <c r="H168" s="1" t="s">
        <v>42</v>
      </c>
      <c r="I168" s="1" t="s">
        <v>31</v>
      </c>
      <c r="J168" s="1" t="s">
        <v>32</v>
      </c>
      <c r="K168" s="1" t="s">
        <v>45</v>
      </c>
      <c r="L168" s="1">
        <v>7</v>
      </c>
      <c r="M168" s="1">
        <v>1767.02</v>
      </c>
      <c r="N168" s="1">
        <v>15</v>
      </c>
      <c r="O168" s="1">
        <v>10513.77</v>
      </c>
      <c r="P168" s="1">
        <f t="shared" si="11"/>
        <v>12369.14</v>
      </c>
      <c r="Q168" s="10">
        <f t="shared" si="12"/>
        <v>1577.0654999999999</v>
      </c>
      <c r="R168" s="11">
        <f t="shared" si="13"/>
        <v>10792.074499999999</v>
      </c>
      <c r="S168" s="1" t="str">
        <f t="shared" si="14"/>
        <v>High</v>
      </c>
      <c r="T168" s="1" t="str" cm="1">
        <f t="array" ref="T168">_xlfn.IFS(L168&gt;5,"High",L168=5,"mediam",L168&lt;5,"low")</f>
        <v>High</v>
      </c>
      <c r="U168" s="1" t="str">
        <f t="shared" si="15"/>
        <v>High</v>
      </c>
      <c r="Z168" s="1">
        <v>1098</v>
      </c>
      <c r="AA168" s="5">
        <v>10167</v>
      </c>
    </row>
    <row r="169" spans="1:27" x14ac:dyDescent="0.3">
      <c r="A169" s="5">
        <v>10168</v>
      </c>
      <c r="B169" s="1">
        <v>1683</v>
      </c>
      <c r="C169" s="2">
        <v>45229</v>
      </c>
      <c r="D169" s="2">
        <v>45232</v>
      </c>
      <c r="E169" s="1" t="s">
        <v>37</v>
      </c>
      <c r="F169" s="1" t="s">
        <v>16</v>
      </c>
      <c r="G169" s="1" t="s">
        <v>30</v>
      </c>
      <c r="H169" s="1" t="s">
        <v>44</v>
      </c>
      <c r="I169" s="1" t="s">
        <v>52</v>
      </c>
      <c r="J169" s="1" t="s">
        <v>56</v>
      </c>
      <c r="K169" s="1" t="s">
        <v>45</v>
      </c>
      <c r="L169" s="1">
        <v>8</v>
      </c>
      <c r="M169" s="1">
        <v>187.29</v>
      </c>
      <c r="N169" s="1">
        <v>5</v>
      </c>
      <c r="O169" s="1">
        <v>1423.4</v>
      </c>
      <c r="P169" s="1">
        <f t="shared" si="11"/>
        <v>1498.32</v>
      </c>
      <c r="Q169" s="10">
        <f t="shared" si="12"/>
        <v>71.17</v>
      </c>
      <c r="R169" s="11">
        <f t="shared" si="13"/>
        <v>1427.1499999999999</v>
      </c>
      <c r="S169" s="1" t="str">
        <f t="shared" si="14"/>
        <v>High</v>
      </c>
      <c r="T169" s="1" t="str" cm="1">
        <f t="array" ref="T169">_xlfn.IFS(L169&gt;5,"High",L169=5,"mediam",L169&lt;5,"low")</f>
        <v>High</v>
      </c>
      <c r="U169" s="1" t="str">
        <f t="shared" si="15"/>
        <v>High</v>
      </c>
      <c r="Z169" s="1">
        <v>1683</v>
      </c>
      <c r="AA169" s="5">
        <v>10168</v>
      </c>
    </row>
    <row r="170" spans="1:27" x14ac:dyDescent="0.3">
      <c r="A170" s="5">
        <v>10169</v>
      </c>
      <c r="B170" s="1">
        <v>1871</v>
      </c>
      <c r="C170" s="2">
        <v>45239</v>
      </c>
      <c r="D170" s="2">
        <v>45247</v>
      </c>
      <c r="E170" s="1" t="s">
        <v>22</v>
      </c>
      <c r="F170" s="1" t="s">
        <v>29</v>
      </c>
      <c r="G170" s="1" t="s">
        <v>30</v>
      </c>
      <c r="H170" s="1" t="s">
        <v>44</v>
      </c>
      <c r="I170" s="1" t="s">
        <v>19</v>
      </c>
      <c r="J170" s="1" t="s">
        <v>55</v>
      </c>
      <c r="K170" s="1" t="s">
        <v>47</v>
      </c>
      <c r="L170" s="1">
        <v>5</v>
      </c>
      <c r="M170" s="1">
        <v>3453.13</v>
      </c>
      <c r="N170" s="1">
        <v>5</v>
      </c>
      <c r="O170" s="1">
        <v>16402.37</v>
      </c>
      <c r="P170" s="1">
        <f t="shared" si="11"/>
        <v>17265.650000000001</v>
      </c>
      <c r="Q170" s="10">
        <f t="shared" si="12"/>
        <v>820.11850000000004</v>
      </c>
      <c r="R170" s="11">
        <f t="shared" si="13"/>
        <v>16445.531500000001</v>
      </c>
      <c r="S170" s="1" t="str">
        <f t="shared" si="14"/>
        <v>High</v>
      </c>
      <c r="T170" s="1" t="str" cm="1">
        <f t="array" ref="T170">_xlfn.IFS(L170&gt;5,"High",L170=5,"mediam",L170&lt;5,"low")</f>
        <v>mediam</v>
      </c>
      <c r="U170" s="1" t="b">
        <f t="shared" si="15"/>
        <v>0</v>
      </c>
      <c r="Z170" s="1">
        <v>1871</v>
      </c>
      <c r="AA170" s="5">
        <v>10169</v>
      </c>
    </row>
    <row r="171" spans="1:27" x14ac:dyDescent="0.3">
      <c r="A171" s="5">
        <v>10170</v>
      </c>
      <c r="B171" s="1">
        <v>1725</v>
      </c>
      <c r="C171" s="2">
        <v>45044</v>
      </c>
      <c r="D171" s="2">
        <v>45048</v>
      </c>
      <c r="E171" s="1" t="s">
        <v>37</v>
      </c>
      <c r="F171" s="1" t="s">
        <v>16</v>
      </c>
      <c r="G171" s="1" t="s">
        <v>24</v>
      </c>
      <c r="H171" s="1" t="s">
        <v>18</v>
      </c>
      <c r="I171" s="1" t="s">
        <v>31</v>
      </c>
      <c r="J171" s="1" t="s">
        <v>65</v>
      </c>
      <c r="K171" s="1" t="s">
        <v>33</v>
      </c>
      <c r="L171" s="1">
        <v>7</v>
      </c>
      <c r="M171" s="1">
        <v>2964.96</v>
      </c>
      <c r="N171" s="1">
        <v>5</v>
      </c>
      <c r="O171" s="1">
        <v>19716.98</v>
      </c>
      <c r="P171" s="1">
        <f t="shared" si="11"/>
        <v>20754.72</v>
      </c>
      <c r="Q171" s="10">
        <f t="shared" si="12"/>
        <v>985.84900000000005</v>
      </c>
      <c r="R171" s="11">
        <f t="shared" si="13"/>
        <v>19768.871000000003</v>
      </c>
      <c r="S171" s="1" t="str">
        <f t="shared" si="14"/>
        <v>High</v>
      </c>
      <c r="T171" s="1" t="str" cm="1">
        <f t="array" ref="T171">_xlfn.IFS(L171&gt;5,"High",L171=5,"mediam",L171&lt;5,"low")</f>
        <v>High</v>
      </c>
      <c r="U171" s="1" t="str">
        <f t="shared" si="15"/>
        <v>High</v>
      </c>
      <c r="Z171" s="1">
        <v>1725</v>
      </c>
      <c r="AA171" s="5">
        <v>10170</v>
      </c>
    </row>
    <row r="172" spans="1:27" x14ac:dyDescent="0.3">
      <c r="A172" s="5">
        <v>10171</v>
      </c>
      <c r="B172" s="1">
        <v>1986</v>
      </c>
      <c r="C172" s="2">
        <v>45227</v>
      </c>
      <c r="D172" s="2">
        <v>45228</v>
      </c>
      <c r="E172" s="1" t="s">
        <v>15</v>
      </c>
      <c r="F172" s="1" t="s">
        <v>41</v>
      </c>
      <c r="G172" s="1" t="s">
        <v>24</v>
      </c>
      <c r="H172" s="1" t="s">
        <v>18</v>
      </c>
      <c r="I172" s="1" t="s">
        <v>19</v>
      </c>
      <c r="J172" s="1" t="s">
        <v>43</v>
      </c>
      <c r="K172" s="1" t="s">
        <v>21</v>
      </c>
      <c r="L172" s="1">
        <v>8</v>
      </c>
      <c r="M172" s="1">
        <v>3795.01</v>
      </c>
      <c r="N172" s="1">
        <v>5</v>
      </c>
      <c r="O172" s="1">
        <v>28842.080000000002</v>
      </c>
      <c r="P172" s="1">
        <f t="shared" si="11"/>
        <v>30360.080000000002</v>
      </c>
      <c r="Q172" s="10">
        <f t="shared" si="12"/>
        <v>1442.1040000000003</v>
      </c>
      <c r="R172" s="11">
        <f t="shared" si="13"/>
        <v>28917.976000000002</v>
      </c>
      <c r="S172" s="1" t="str">
        <f t="shared" si="14"/>
        <v>High</v>
      </c>
      <c r="T172" s="1" t="str" cm="1">
        <f t="array" ref="T172">_xlfn.IFS(L172&gt;5,"High",L172=5,"mediam",L172&lt;5,"low")</f>
        <v>High</v>
      </c>
      <c r="U172" s="1" t="str">
        <f t="shared" si="15"/>
        <v>High</v>
      </c>
      <c r="Z172" s="1">
        <v>1986</v>
      </c>
      <c r="AA172" s="5">
        <v>10171</v>
      </c>
    </row>
    <row r="173" spans="1:27" x14ac:dyDescent="0.3">
      <c r="A173" s="5">
        <v>10172</v>
      </c>
      <c r="B173" s="1">
        <v>1546</v>
      </c>
      <c r="C173" s="2">
        <v>45087</v>
      </c>
      <c r="D173" s="2">
        <v>45088</v>
      </c>
      <c r="E173" s="1" t="s">
        <v>46</v>
      </c>
      <c r="F173" s="1" t="s">
        <v>54</v>
      </c>
      <c r="G173" s="1" t="s">
        <v>17</v>
      </c>
      <c r="H173" s="1" t="s">
        <v>42</v>
      </c>
      <c r="I173" s="1" t="s">
        <v>49</v>
      </c>
      <c r="J173" s="1" t="s">
        <v>63</v>
      </c>
      <c r="K173" s="1" t="s">
        <v>47</v>
      </c>
      <c r="L173" s="1">
        <v>9</v>
      </c>
      <c r="M173" s="1">
        <v>3159.22</v>
      </c>
      <c r="N173" s="1">
        <v>20</v>
      </c>
      <c r="O173" s="1">
        <v>22746.38</v>
      </c>
      <c r="P173" s="1">
        <f t="shared" si="11"/>
        <v>28432.98</v>
      </c>
      <c r="Q173" s="10">
        <f t="shared" si="12"/>
        <v>4549.2760000000007</v>
      </c>
      <c r="R173" s="11">
        <f t="shared" si="13"/>
        <v>23883.703999999998</v>
      </c>
      <c r="S173" s="1" t="str">
        <f t="shared" si="14"/>
        <v>High</v>
      </c>
      <c r="T173" s="1" t="str" cm="1">
        <f t="array" ref="T173">_xlfn.IFS(L173&gt;5,"High",L173=5,"mediam",L173&lt;5,"low")</f>
        <v>High</v>
      </c>
      <c r="U173" s="1" t="str">
        <f t="shared" si="15"/>
        <v>High</v>
      </c>
      <c r="Z173" s="1">
        <v>1546</v>
      </c>
      <c r="AA173" s="5">
        <v>10172</v>
      </c>
    </row>
    <row r="174" spans="1:27" x14ac:dyDescent="0.3">
      <c r="A174" s="5">
        <v>10173</v>
      </c>
      <c r="B174" s="1">
        <v>1960</v>
      </c>
      <c r="C174" s="2">
        <v>45124</v>
      </c>
      <c r="D174" s="2">
        <v>45127</v>
      </c>
      <c r="E174" s="1" t="s">
        <v>15</v>
      </c>
      <c r="F174" s="1" t="s">
        <v>38</v>
      </c>
      <c r="G174" s="1" t="s">
        <v>24</v>
      </c>
      <c r="H174" s="1" t="s">
        <v>42</v>
      </c>
      <c r="I174" s="1" t="s">
        <v>31</v>
      </c>
      <c r="J174" s="1" t="s">
        <v>65</v>
      </c>
      <c r="K174" s="1" t="s">
        <v>28</v>
      </c>
      <c r="L174" s="1">
        <v>3</v>
      </c>
      <c r="M174" s="1">
        <v>1357.77</v>
      </c>
      <c r="N174" s="1">
        <v>5</v>
      </c>
      <c r="O174" s="1">
        <v>3869.64</v>
      </c>
      <c r="P174" s="1">
        <f t="shared" si="11"/>
        <v>4073.31</v>
      </c>
      <c r="Q174" s="10">
        <f t="shared" si="12"/>
        <v>193.482</v>
      </c>
      <c r="R174" s="11">
        <f t="shared" si="13"/>
        <v>3879.828</v>
      </c>
      <c r="S174" s="1" t="str">
        <f t="shared" si="14"/>
        <v>Low</v>
      </c>
      <c r="T174" s="1" t="str" cm="1">
        <f t="array" ref="T174">_xlfn.IFS(L174&gt;5,"High",L174=5,"mediam",L174&lt;5,"low")</f>
        <v>low</v>
      </c>
      <c r="U174" s="1" t="b">
        <f t="shared" si="15"/>
        <v>0</v>
      </c>
      <c r="Z174" s="1">
        <v>1960</v>
      </c>
      <c r="AA174" s="5">
        <v>10173</v>
      </c>
    </row>
    <row r="175" spans="1:27" x14ac:dyDescent="0.3">
      <c r="A175" s="5">
        <v>10174</v>
      </c>
      <c r="B175" s="1">
        <v>1738</v>
      </c>
      <c r="C175" s="2">
        <v>45186</v>
      </c>
      <c r="D175" s="2">
        <v>45195</v>
      </c>
      <c r="E175" s="1" t="s">
        <v>34</v>
      </c>
      <c r="F175" s="1" t="s">
        <v>16</v>
      </c>
      <c r="G175" s="1" t="s">
        <v>30</v>
      </c>
      <c r="H175" s="1" t="s">
        <v>18</v>
      </c>
      <c r="I175" s="1" t="s">
        <v>52</v>
      </c>
      <c r="J175" s="1" t="s">
        <v>53</v>
      </c>
      <c r="K175" s="1" t="s">
        <v>28</v>
      </c>
      <c r="L175" s="1">
        <v>3</v>
      </c>
      <c r="M175" s="1">
        <v>1104.31</v>
      </c>
      <c r="N175" s="1">
        <v>15</v>
      </c>
      <c r="O175" s="1">
        <v>2815.99</v>
      </c>
      <c r="P175" s="1">
        <f t="shared" si="11"/>
        <v>3312.93</v>
      </c>
      <c r="Q175" s="10">
        <f t="shared" si="12"/>
        <v>422.39849999999996</v>
      </c>
      <c r="R175" s="11">
        <f t="shared" si="13"/>
        <v>2890.5315000000001</v>
      </c>
      <c r="S175" s="1" t="str">
        <f t="shared" si="14"/>
        <v>Low</v>
      </c>
      <c r="T175" s="1" t="str" cm="1">
        <f t="array" ref="T175">_xlfn.IFS(L175&gt;5,"High",L175=5,"mediam",L175&lt;5,"low")</f>
        <v>low</v>
      </c>
      <c r="U175" s="1" t="b">
        <f t="shared" si="15"/>
        <v>0</v>
      </c>
      <c r="Z175" s="1">
        <v>1738</v>
      </c>
      <c r="AA175" s="5">
        <v>10174</v>
      </c>
    </row>
    <row r="176" spans="1:27" x14ac:dyDescent="0.3">
      <c r="A176" s="5">
        <v>10175</v>
      </c>
      <c r="B176" s="1">
        <v>1612</v>
      </c>
      <c r="C176" s="2">
        <v>45074</v>
      </c>
      <c r="D176" s="2">
        <v>45081</v>
      </c>
      <c r="E176" s="1" t="s">
        <v>16</v>
      </c>
      <c r="F176" s="1" t="s">
        <v>41</v>
      </c>
      <c r="G176" s="1" t="s">
        <v>17</v>
      </c>
      <c r="H176" s="1" t="s">
        <v>18</v>
      </c>
      <c r="I176" s="1" t="s">
        <v>31</v>
      </c>
      <c r="J176" s="1" t="s">
        <v>32</v>
      </c>
      <c r="K176" s="1" t="s">
        <v>45</v>
      </c>
      <c r="L176" s="1">
        <v>4</v>
      </c>
      <c r="M176" s="1">
        <v>2836.21</v>
      </c>
      <c r="N176" s="1">
        <v>20</v>
      </c>
      <c r="O176" s="1">
        <v>9075.8700000000008</v>
      </c>
      <c r="P176" s="1">
        <f t="shared" si="11"/>
        <v>11344.84</v>
      </c>
      <c r="Q176" s="10">
        <f t="shared" si="12"/>
        <v>1815.1740000000002</v>
      </c>
      <c r="R176" s="11">
        <f t="shared" si="13"/>
        <v>9529.6659999999993</v>
      </c>
      <c r="S176" s="1" t="str">
        <f t="shared" si="14"/>
        <v>Low</v>
      </c>
      <c r="T176" s="1" t="str" cm="1">
        <f t="array" ref="T176">_xlfn.IFS(L176&gt;5,"High",L176=5,"mediam",L176&lt;5,"low")</f>
        <v>low</v>
      </c>
      <c r="U176" s="1" t="b">
        <f t="shared" si="15"/>
        <v>0</v>
      </c>
      <c r="Z176" s="1">
        <v>1612</v>
      </c>
      <c r="AA176" s="5">
        <v>10175</v>
      </c>
    </row>
    <row r="177" spans="1:27" x14ac:dyDescent="0.3">
      <c r="A177" s="5">
        <v>10176</v>
      </c>
      <c r="B177" s="1">
        <v>1942</v>
      </c>
      <c r="C177" s="2">
        <v>45166</v>
      </c>
      <c r="D177" s="2">
        <v>45168</v>
      </c>
      <c r="E177" s="1" t="s">
        <v>34</v>
      </c>
      <c r="F177" s="1" t="s">
        <v>29</v>
      </c>
      <c r="G177" s="1" t="s">
        <v>30</v>
      </c>
      <c r="H177" s="1" t="s">
        <v>25</v>
      </c>
      <c r="I177" s="1" t="s">
        <v>31</v>
      </c>
      <c r="J177" s="1" t="s">
        <v>39</v>
      </c>
      <c r="K177" s="1" t="s">
        <v>45</v>
      </c>
      <c r="L177" s="1">
        <v>5</v>
      </c>
      <c r="M177" s="1">
        <v>1551.83</v>
      </c>
      <c r="N177" s="1">
        <v>5</v>
      </c>
      <c r="O177" s="1">
        <v>7371.19</v>
      </c>
      <c r="P177" s="1">
        <f t="shared" si="11"/>
        <v>7759.15</v>
      </c>
      <c r="Q177" s="10">
        <f t="shared" si="12"/>
        <v>368.55950000000001</v>
      </c>
      <c r="R177" s="11">
        <f t="shared" si="13"/>
        <v>7390.5904999999993</v>
      </c>
      <c r="S177" s="1" t="str">
        <f t="shared" si="14"/>
        <v>High</v>
      </c>
      <c r="T177" s="1" t="str" cm="1">
        <f t="array" ref="T177">_xlfn.IFS(L177&gt;5,"High",L177=5,"mediam",L177&lt;5,"low")</f>
        <v>mediam</v>
      </c>
      <c r="U177" s="1" t="b">
        <f t="shared" si="15"/>
        <v>0</v>
      </c>
      <c r="Z177" s="1">
        <v>1942</v>
      </c>
      <c r="AA177" s="5">
        <v>10176</v>
      </c>
    </row>
    <row r="178" spans="1:27" x14ac:dyDescent="0.3">
      <c r="A178" s="5">
        <v>10177</v>
      </c>
      <c r="B178" s="1">
        <v>1461</v>
      </c>
      <c r="C178" s="2">
        <v>44973</v>
      </c>
      <c r="D178" s="2">
        <v>44982</v>
      </c>
      <c r="E178" s="1" t="s">
        <v>22</v>
      </c>
      <c r="F178" s="1" t="s">
        <v>41</v>
      </c>
      <c r="G178" s="1" t="s">
        <v>24</v>
      </c>
      <c r="H178" s="1" t="s">
        <v>25</v>
      </c>
      <c r="I178" s="1" t="s">
        <v>31</v>
      </c>
      <c r="J178" s="1" t="s">
        <v>32</v>
      </c>
      <c r="K178" s="1" t="s">
        <v>28</v>
      </c>
      <c r="L178" s="1">
        <v>1</v>
      </c>
      <c r="M178" s="1">
        <v>2329.9299999999998</v>
      </c>
      <c r="N178" s="1">
        <v>0</v>
      </c>
      <c r="O178" s="1">
        <v>2329.9299999999998</v>
      </c>
      <c r="P178" s="1">
        <f t="shared" si="11"/>
        <v>2329.9299999999998</v>
      </c>
      <c r="Q178" s="10">
        <f t="shared" si="12"/>
        <v>0</v>
      </c>
      <c r="R178" s="11">
        <f t="shared" si="13"/>
        <v>2329.9299999999998</v>
      </c>
      <c r="S178" s="1" t="str">
        <f t="shared" si="14"/>
        <v>Low</v>
      </c>
      <c r="T178" s="1" t="str" cm="1">
        <f t="array" ref="T178">_xlfn.IFS(L178&gt;5,"High",L178=5,"mediam",L178&lt;5,"low")</f>
        <v>low</v>
      </c>
      <c r="U178" s="1" t="b">
        <f t="shared" si="15"/>
        <v>0</v>
      </c>
      <c r="Z178" s="1">
        <v>1461</v>
      </c>
      <c r="AA178" s="5">
        <v>10177</v>
      </c>
    </row>
    <row r="179" spans="1:27" x14ac:dyDescent="0.3">
      <c r="A179" s="5">
        <v>10178</v>
      </c>
      <c r="B179" s="1">
        <v>1642</v>
      </c>
      <c r="C179" s="2">
        <v>45124</v>
      </c>
      <c r="D179" s="2">
        <v>45126</v>
      </c>
      <c r="E179" s="1" t="s">
        <v>40</v>
      </c>
      <c r="F179" s="1" t="s">
        <v>29</v>
      </c>
      <c r="G179" s="1" t="s">
        <v>17</v>
      </c>
      <c r="H179" s="1" t="s">
        <v>18</v>
      </c>
      <c r="I179" s="1" t="s">
        <v>26</v>
      </c>
      <c r="J179" s="1" t="s">
        <v>61</v>
      </c>
      <c r="K179" s="1" t="s">
        <v>45</v>
      </c>
      <c r="L179" s="1">
        <v>7</v>
      </c>
      <c r="M179" s="1">
        <v>174.09</v>
      </c>
      <c r="N179" s="1">
        <v>10</v>
      </c>
      <c r="O179" s="1">
        <v>1096.77</v>
      </c>
      <c r="P179" s="1">
        <f t="shared" si="11"/>
        <v>1218.6300000000001</v>
      </c>
      <c r="Q179" s="10">
        <f t="shared" si="12"/>
        <v>109.67700000000001</v>
      </c>
      <c r="R179" s="11">
        <f t="shared" si="13"/>
        <v>1108.9530000000002</v>
      </c>
      <c r="S179" s="1" t="str">
        <f t="shared" si="14"/>
        <v>High</v>
      </c>
      <c r="T179" s="1" t="str" cm="1">
        <f t="array" ref="T179">_xlfn.IFS(L179&gt;5,"High",L179=5,"mediam",L179&lt;5,"low")</f>
        <v>High</v>
      </c>
      <c r="U179" s="1" t="str">
        <f t="shared" si="15"/>
        <v>High</v>
      </c>
      <c r="Z179" s="1">
        <v>1642</v>
      </c>
      <c r="AA179" s="5">
        <v>10178</v>
      </c>
    </row>
    <row r="180" spans="1:27" x14ac:dyDescent="0.3">
      <c r="A180" s="5">
        <v>10179</v>
      </c>
      <c r="B180" s="1">
        <v>1768</v>
      </c>
      <c r="C180" s="2">
        <v>44973</v>
      </c>
      <c r="D180" s="2">
        <v>44976</v>
      </c>
      <c r="E180" s="1" t="s">
        <v>37</v>
      </c>
      <c r="F180" s="1" t="s">
        <v>16</v>
      </c>
      <c r="G180" s="1" t="s">
        <v>30</v>
      </c>
      <c r="H180" s="1" t="s">
        <v>25</v>
      </c>
      <c r="I180" s="1" t="s">
        <v>31</v>
      </c>
      <c r="J180" s="1" t="s">
        <v>32</v>
      </c>
      <c r="K180" s="1" t="s">
        <v>21</v>
      </c>
      <c r="L180" s="1">
        <v>9</v>
      </c>
      <c r="M180" s="1">
        <v>388.26</v>
      </c>
      <c r="N180" s="1">
        <v>10</v>
      </c>
      <c r="O180" s="1">
        <v>3144.91</v>
      </c>
      <c r="P180" s="1">
        <f t="shared" si="11"/>
        <v>3494.34</v>
      </c>
      <c r="Q180" s="10">
        <f t="shared" si="12"/>
        <v>314.49099999999999</v>
      </c>
      <c r="R180" s="11">
        <f t="shared" si="13"/>
        <v>3179.8490000000002</v>
      </c>
      <c r="S180" s="1" t="str">
        <f t="shared" si="14"/>
        <v>High</v>
      </c>
      <c r="T180" s="1" t="str" cm="1">
        <f t="array" ref="T180">_xlfn.IFS(L180&gt;5,"High",L180=5,"mediam",L180&lt;5,"low")</f>
        <v>High</v>
      </c>
      <c r="U180" s="1" t="str">
        <f t="shared" si="15"/>
        <v>High</v>
      </c>
      <c r="Z180" s="1">
        <v>1768</v>
      </c>
      <c r="AA180" s="5">
        <v>10179</v>
      </c>
    </row>
    <row r="181" spans="1:27" x14ac:dyDescent="0.3">
      <c r="A181" s="5">
        <v>10180</v>
      </c>
      <c r="B181" s="1">
        <v>1004</v>
      </c>
      <c r="C181" s="2">
        <v>45004</v>
      </c>
      <c r="D181" s="2">
        <v>45006</v>
      </c>
      <c r="E181" s="1" t="s">
        <v>15</v>
      </c>
      <c r="F181" s="1" t="s">
        <v>29</v>
      </c>
      <c r="G181" s="1" t="s">
        <v>17</v>
      </c>
      <c r="H181" s="1" t="s">
        <v>35</v>
      </c>
      <c r="I181" s="1" t="s">
        <v>19</v>
      </c>
      <c r="J181" s="1" t="s">
        <v>43</v>
      </c>
      <c r="K181" s="1" t="s">
        <v>45</v>
      </c>
      <c r="L181" s="1">
        <v>8</v>
      </c>
      <c r="M181" s="1">
        <v>2211.17</v>
      </c>
      <c r="N181" s="1">
        <v>10</v>
      </c>
      <c r="O181" s="1">
        <v>15920.42</v>
      </c>
      <c r="P181" s="1">
        <f t="shared" si="11"/>
        <v>17689.36</v>
      </c>
      <c r="Q181" s="10">
        <f t="shared" si="12"/>
        <v>1592.0420000000001</v>
      </c>
      <c r="R181" s="11">
        <f t="shared" si="13"/>
        <v>16097.318000000001</v>
      </c>
      <c r="S181" s="1" t="str">
        <f t="shared" si="14"/>
        <v>High</v>
      </c>
      <c r="T181" s="1" t="str" cm="1">
        <f t="array" ref="T181">_xlfn.IFS(L181&gt;5,"High",L181=5,"mediam",L181&lt;5,"low")</f>
        <v>High</v>
      </c>
      <c r="U181" s="1" t="str">
        <f t="shared" si="15"/>
        <v>High</v>
      </c>
      <c r="Z181" s="1">
        <v>1004</v>
      </c>
      <c r="AA181" s="5">
        <v>10180</v>
      </c>
    </row>
    <row r="182" spans="1:27" x14ac:dyDescent="0.3">
      <c r="A182" s="5">
        <v>10181</v>
      </c>
      <c r="B182" s="1">
        <v>1217</v>
      </c>
      <c r="C182" s="2">
        <v>45050</v>
      </c>
      <c r="D182" s="2">
        <v>45053</v>
      </c>
      <c r="E182" s="1" t="s">
        <v>15</v>
      </c>
      <c r="F182" s="1" t="s">
        <v>23</v>
      </c>
      <c r="G182" s="1" t="s">
        <v>17</v>
      </c>
      <c r="H182" s="1" t="s">
        <v>42</v>
      </c>
      <c r="I182" s="1" t="s">
        <v>49</v>
      </c>
      <c r="J182" s="1" t="s">
        <v>50</v>
      </c>
      <c r="K182" s="1" t="s">
        <v>33</v>
      </c>
      <c r="L182" s="1">
        <v>5</v>
      </c>
      <c r="M182" s="1">
        <v>2329.38</v>
      </c>
      <c r="N182" s="1">
        <v>20</v>
      </c>
      <c r="O182" s="1">
        <v>9317.52</v>
      </c>
      <c r="P182" s="1">
        <f t="shared" si="11"/>
        <v>11646.900000000001</v>
      </c>
      <c r="Q182" s="10">
        <f t="shared" si="12"/>
        <v>1863.5040000000001</v>
      </c>
      <c r="R182" s="11">
        <f t="shared" si="13"/>
        <v>9783.3960000000006</v>
      </c>
      <c r="S182" s="1" t="str">
        <f t="shared" si="14"/>
        <v>High</v>
      </c>
      <c r="T182" s="1" t="str" cm="1">
        <f t="array" ref="T182">_xlfn.IFS(L182&gt;5,"High",L182=5,"mediam",L182&lt;5,"low")</f>
        <v>mediam</v>
      </c>
      <c r="U182" s="1" t="b">
        <f t="shared" si="15"/>
        <v>0</v>
      </c>
      <c r="Z182" s="1">
        <v>1217</v>
      </c>
      <c r="AA182" s="5">
        <v>10181</v>
      </c>
    </row>
    <row r="183" spans="1:27" x14ac:dyDescent="0.3">
      <c r="A183" s="5">
        <v>10182</v>
      </c>
      <c r="B183" s="1">
        <v>1502</v>
      </c>
      <c r="C183" s="2">
        <v>45001</v>
      </c>
      <c r="D183" s="2">
        <v>45007</v>
      </c>
      <c r="E183" s="1" t="s">
        <v>22</v>
      </c>
      <c r="F183" s="1" t="s">
        <v>23</v>
      </c>
      <c r="G183" s="1" t="s">
        <v>24</v>
      </c>
      <c r="H183" s="1" t="s">
        <v>42</v>
      </c>
      <c r="I183" s="1" t="s">
        <v>57</v>
      </c>
      <c r="J183" s="1" t="s">
        <v>59</v>
      </c>
      <c r="K183" s="1" t="s">
        <v>45</v>
      </c>
      <c r="L183" s="1">
        <v>4</v>
      </c>
      <c r="M183" s="1">
        <v>3043.09</v>
      </c>
      <c r="N183" s="1">
        <v>5</v>
      </c>
      <c r="O183" s="1">
        <v>11563.74</v>
      </c>
      <c r="P183" s="1">
        <f t="shared" si="11"/>
        <v>12172.36</v>
      </c>
      <c r="Q183" s="10">
        <f t="shared" si="12"/>
        <v>578.18700000000001</v>
      </c>
      <c r="R183" s="11">
        <f t="shared" si="13"/>
        <v>11594.173000000001</v>
      </c>
      <c r="S183" s="1" t="str">
        <f t="shared" si="14"/>
        <v>Low</v>
      </c>
      <c r="T183" s="1" t="str" cm="1">
        <f t="array" ref="T183">_xlfn.IFS(L183&gt;5,"High",L183=5,"mediam",L183&lt;5,"low")</f>
        <v>low</v>
      </c>
      <c r="U183" s="1" t="b">
        <f t="shared" si="15"/>
        <v>0</v>
      </c>
      <c r="Z183" s="1">
        <v>1502</v>
      </c>
      <c r="AA183" s="5">
        <v>10182</v>
      </c>
    </row>
    <row r="184" spans="1:27" x14ac:dyDescent="0.3">
      <c r="A184" s="5">
        <v>10183</v>
      </c>
      <c r="B184" s="1">
        <v>1766</v>
      </c>
      <c r="C184" s="2">
        <v>45285</v>
      </c>
      <c r="D184" s="2">
        <v>45294</v>
      </c>
      <c r="E184" s="1" t="s">
        <v>15</v>
      </c>
      <c r="F184" s="1" t="s">
        <v>23</v>
      </c>
      <c r="G184" s="1" t="s">
        <v>30</v>
      </c>
      <c r="H184" s="1" t="s">
        <v>18</v>
      </c>
      <c r="I184" s="1" t="s">
        <v>31</v>
      </c>
      <c r="J184" s="1" t="s">
        <v>39</v>
      </c>
      <c r="K184" s="1" t="s">
        <v>47</v>
      </c>
      <c r="L184" s="1">
        <v>7</v>
      </c>
      <c r="M184" s="1">
        <v>658.07</v>
      </c>
      <c r="N184" s="1">
        <v>20</v>
      </c>
      <c r="O184" s="1">
        <v>3685.19</v>
      </c>
      <c r="P184" s="1">
        <f t="shared" si="11"/>
        <v>4606.4900000000007</v>
      </c>
      <c r="Q184" s="10">
        <f t="shared" si="12"/>
        <v>737.03800000000001</v>
      </c>
      <c r="R184" s="11">
        <f t="shared" si="13"/>
        <v>3869.4520000000007</v>
      </c>
      <c r="S184" s="1" t="str">
        <f t="shared" si="14"/>
        <v>High</v>
      </c>
      <c r="T184" s="1" t="str" cm="1">
        <f t="array" ref="T184">_xlfn.IFS(L184&gt;5,"High",L184=5,"mediam",L184&lt;5,"low")</f>
        <v>High</v>
      </c>
      <c r="U184" s="1" t="str">
        <f t="shared" si="15"/>
        <v>High</v>
      </c>
      <c r="Z184" s="1">
        <v>1766</v>
      </c>
      <c r="AA184" s="5">
        <v>10183</v>
      </c>
    </row>
    <row r="185" spans="1:27" x14ac:dyDescent="0.3">
      <c r="A185" s="5">
        <v>10184</v>
      </c>
      <c r="B185" s="1">
        <v>1397</v>
      </c>
      <c r="C185" s="2">
        <v>45063</v>
      </c>
      <c r="D185" s="2">
        <v>45072</v>
      </c>
      <c r="E185" s="1" t="s">
        <v>22</v>
      </c>
      <c r="F185" s="1" t="s">
        <v>54</v>
      </c>
      <c r="G185" s="1" t="s">
        <v>17</v>
      </c>
      <c r="H185" s="1" t="s">
        <v>44</v>
      </c>
      <c r="I185" s="1" t="s">
        <v>52</v>
      </c>
      <c r="J185" s="1" t="s">
        <v>64</v>
      </c>
      <c r="K185" s="1" t="s">
        <v>21</v>
      </c>
      <c r="L185" s="1">
        <v>5</v>
      </c>
      <c r="M185" s="1">
        <v>2125.75</v>
      </c>
      <c r="N185" s="1">
        <v>15</v>
      </c>
      <c r="O185" s="1">
        <v>9034.44</v>
      </c>
      <c r="P185" s="1">
        <f t="shared" si="11"/>
        <v>10628.75</v>
      </c>
      <c r="Q185" s="10">
        <f t="shared" si="12"/>
        <v>1355.1659999999999</v>
      </c>
      <c r="R185" s="11">
        <f t="shared" si="13"/>
        <v>9273.5840000000007</v>
      </c>
      <c r="S185" s="1" t="str">
        <f t="shared" si="14"/>
        <v>High</v>
      </c>
      <c r="T185" s="1" t="str" cm="1">
        <f t="array" ref="T185">_xlfn.IFS(L185&gt;5,"High",L185=5,"mediam",L185&lt;5,"low")</f>
        <v>mediam</v>
      </c>
      <c r="U185" s="1" t="b">
        <f t="shared" si="15"/>
        <v>0</v>
      </c>
      <c r="Z185" s="1">
        <v>1397</v>
      </c>
      <c r="AA185" s="5">
        <v>10184</v>
      </c>
    </row>
    <row r="186" spans="1:27" x14ac:dyDescent="0.3">
      <c r="A186" s="5">
        <v>10185</v>
      </c>
      <c r="B186" s="1">
        <v>1870</v>
      </c>
      <c r="C186" s="2">
        <v>45016</v>
      </c>
      <c r="D186" s="2">
        <v>45023</v>
      </c>
      <c r="E186" s="1" t="s">
        <v>34</v>
      </c>
      <c r="F186" s="1" t="s">
        <v>16</v>
      </c>
      <c r="G186" s="1" t="s">
        <v>17</v>
      </c>
      <c r="H186" s="1" t="s">
        <v>18</v>
      </c>
      <c r="I186" s="1" t="s">
        <v>31</v>
      </c>
      <c r="J186" s="1" t="s">
        <v>39</v>
      </c>
      <c r="K186" s="1" t="s">
        <v>47</v>
      </c>
      <c r="L186" s="1">
        <v>7</v>
      </c>
      <c r="M186" s="1">
        <v>898.62</v>
      </c>
      <c r="N186" s="1">
        <v>0</v>
      </c>
      <c r="O186" s="1">
        <v>6290.34</v>
      </c>
      <c r="P186" s="1">
        <f t="shared" si="11"/>
        <v>6290.34</v>
      </c>
      <c r="Q186" s="10">
        <f t="shared" si="12"/>
        <v>0</v>
      </c>
      <c r="R186" s="11">
        <f t="shared" si="13"/>
        <v>6290.34</v>
      </c>
      <c r="S186" s="1" t="str">
        <f t="shared" si="14"/>
        <v>High</v>
      </c>
      <c r="T186" s="1" t="str" cm="1">
        <f t="array" ref="T186">_xlfn.IFS(L186&gt;5,"High",L186=5,"mediam",L186&lt;5,"low")</f>
        <v>High</v>
      </c>
      <c r="U186" s="1" t="str">
        <f t="shared" si="15"/>
        <v>High</v>
      </c>
      <c r="Z186" s="1">
        <v>1870</v>
      </c>
      <c r="AA186" s="5">
        <v>10185</v>
      </c>
    </row>
    <row r="187" spans="1:27" x14ac:dyDescent="0.3">
      <c r="A187" s="5">
        <v>10186</v>
      </c>
      <c r="B187" s="1">
        <v>1794</v>
      </c>
      <c r="C187" s="2">
        <v>45251</v>
      </c>
      <c r="D187" s="2">
        <v>45254</v>
      </c>
      <c r="E187" s="1" t="s">
        <v>37</v>
      </c>
      <c r="F187" s="1" t="s">
        <v>41</v>
      </c>
      <c r="G187" s="1" t="s">
        <v>30</v>
      </c>
      <c r="H187" s="1" t="s">
        <v>25</v>
      </c>
      <c r="I187" s="1" t="s">
        <v>52</v>
      </c>
      <c r="J187" s="1" t="s">
        <v>56</v>
      </c>
      <c r="K187" s="1" t="s">
        <v>47</v>
      </c>
      <c r="L187" s="1">
        <v>1</v>
      </c>
      <c r="M187" s="1">
        <v>508.81</v>
      </c>
      <c r="N187" s="1">
        <v>0</v>
      </c>
      <c r="O187" s="1">
        <v>508.81</v>
      </c>
      <c r="P187" s="1">
        <f t="shared" si="11"/>
        <v>508.81</v>
      </c>
      <c r="Q187" s="10">
        <f t="shared" si="12"/>
        <v>0</v>
      </c>
      <c r="R187" s="11">
        <f t="shared" si="13"/>
        <v>508.81</v>
      </c>
      <c r="S187" s="1" t="str">
        <f t="shared" si="14"/>
        <v>Low</v>
      </c>
      <c r="T187" s="1" t="str" cm="1">
        <f t="array" ref="T187">_xlfn.IFS(L187&gt;5,"High",L187=5,"mediam",L187&lt;5,"low")</f>
        <v>low</v>
      </c>
      <c r="U187" s="1" t="b">
        <f t="shared" si="15"/>
        <v>0</v>
      </c>
      <c r="Z187" s="1">
        <v>1794</v>
      </c>
      <c r="AA187" s="5">
        <v>10186</v>
      </c>
    </row>
    <row r="188" spans="1:27" x14ac:dyDescent="0.3">
      <c r="A188" s="5">
        <v>10187</v>
      </c>
      <c r="B188" s="1">
        <v>1392</v>
      </c>
      <c r="C188" s="2">
        <v>44987</v>
      </c>
      <c r="D188" s="2">
        <v>44991</v>
      </c>
      <c r="E188" s="1" t="s">
        <v>16</v>
      </c>
      <c r="F188" s="1" t="s">
        <v>41</v>
      </c>
      <c r="G188" s="1" t="s">
        <v>17</v>
      </c>
      <c r="H188" s="1" t="s">
        <v>44</v>
      </c>
      <c r="I188" s="1" t="s">
        <v>19</v>
      </c>
      <c r="J188" s="1" t="s">
        <v>43</v>
      </c>
      <c r="K188" s="1" t="s">
        <v>33</v>
      </c>
      <c r="L188" s="1">
        <v>1</v>
      </c>
      <c r="M188" s="1">
        <v>1730.41</v>
      </c>
      <c r="N188" s="1">
        <v>10</v>
      </c>
      <c r="O188" s="1">
        <v>1557.37</v>
      </c>
      <c r="P188" s="1">
        <f t="shared" si="11"/>
        <v>1730.41</v>
      </c>
      <c r="Q188" s="10">
        <f t="shared" si="12"/>
        <v>155.73699999999999</v>
      </c>
      <c r="R188" s="11">
        <f t="shared" si="13"/>
        <v>1574.673</v>
      </c>
      <c r="S188" s="1" t="str">
        <f t="shared" si="14"/>
        <v>Low</v>
      </c>
      <c r="T188" s="1" t="str" cm="1">
        <f t="array" ref="T188">_xlfn.IFS(L188&gt;5,"High",L188=5,"mediam",L188&lt;5,"low")</f>
        <v>low</v>
      </c>
      <c r="U188" s="1" t="b">
        <f t="shared" si="15"/>
        <v>0</v>
      </c>
      <c r="Z188" s="1">
        <v>1392</v>
      </c>
      <c r="AA188" s="5">
        <v>10187</v>
      </c>
    </row>
    <row r="189" spans="1:27" x14ac:dyDescent="0.3">
      <c r="A189" s="5">
        <v>10188</v>
      </c>
      <c r="B189" s="1">
        <v>1206</v>
      </c>
      <c r="C189" s="2">
        <v>45064</v>
      </c>
      <c r="D189" s="2">
        <v>45070</v>
      </c>
      <c r="E189" s="1" t="s">
        <v>40</v>
      </c>
      <c r="F189" s="1" t="s">
        <v>54</v>
      </c>
      <c r="G189" s="1" t="s">
        <v>17</v>
      </c>
      <c r="H189" s="1" t="s">
        <v>25</v>
      </c>
      <c r="I189" s="1" t="s">
        <v>52</v>
      </c>
      <c r="J189" s="1" t="s">
        <v>53</v>
      </c>
      <c r="K189" s="1" t="s">
        <v>21</v>
      </c>
      <c r="L189" s="1">
        <v>3</v>
      </c>
      <c r="M189" s="1">
        <v>778.85</v>
      </c>
      <c r="N189" s="1">
        <v>10</v>
      </c>
      <c r="O189" s="1">
        <v>2102.89</v>
      </c>
      <c r="P189" s="1">
        <f t="shared" si="11"/>
        <v>2336.5500000000002</v>
      </c>
      <c r="Q189" s="10">
        <f t="shared" si="12"/>
        <v>210.28899999999999</v>
      </c>
      <c r="R189" s="11">
        <f t="shared" si="13"/>
        <v>2126.2610000000004</v>
      </c>
      <c r="S189" s="1" t="str">
        <f t="shared" si="14"/>
        <v>Low</v>
      </c>
      <c r="T189" s="1" t="str" cm="1">
        <f t="array" ref="T189">_xlfn.IFS(L189&gt;5,"High",L189=5,"mediam",L189&lt;5,"low")</f>
        <v>low</v>
      </c>
      <c r="U189" s="1" t="b">
        <f t="shared" si="15"/>
        <v>0</v>
      </c>
      <c r="Z189" s="1">
        <v>1206</v>
      </c>
      <c r="AA189" s="5">
        <v>10188</v>
      </c>
    </row>
    <row r="190" spans="1:27" x14ac:dyDescent="0.3">
      <c r="A190" s="5">
        <v>10189</v>
      </c>
      <c r="B190" s="1">
        <v>1014</v>
      </c>
      <c r="C190" s="2">
        <v>44976</v>
      </c>
      <c r="D190" s="2">
        <v>44981</v>
      </c>
      <c r="E190" s="1" t="s">
        <v>16</v>
      </c>
      <c r="F190" s="1" t="s">
        <v>29</v>
      </c>
      <c r="G190" s="1" t="s">
        <v>17</v>
      </c>
      <c r="H190" s="1" t="s">
        <v>35</v>
      </c>
      <c r="I190" s="1" t="s">
        <v>57</v>
      </c>
      <c r="J190" s="1" t="s">
        <v>62</v>
      </c>
      <c r="K190" s="1" t="s">
        <v>21</v>
      </c>
      <c r="L190" s="1">
        <v>2</v>
      </c>
      <c r="M190" s="1">
        <v>1003.86</v>
      </c>
      <c r="N190" s="1">
        <v>10</v>
      </c>
      <c r="O190" s="1">
        <v>1806.95</v>
      </c>
      <c r="P190" s="1">
        <f t="shared" si="11"/>
        <v>2007.72</v>
      </c>
      <c r="Q190" s="10">
        <f t="shared" si="12"/>
        <v>180.69500000000002</v>
      </c>
      <c r="R190" s="11">
        <f t="shared" si="13"/>
        <v>1827.0250000000001</v>
      </c>
      <c r="S190" s="1" t="str">
        <f t="shared" si="14"/>
        <v>Low</v>
      </c>
      <c r="T190" s="1" t="str" cm="1">
        <f t="array" ref="T190">_xlfn.IFS(L190&gt;5,"High",L190=5,"mediam",L190&lt;5,"low")</f>
        <v>low</v>
      </c>
      <c r="U190" s="1" t="b">
        <f t="shared" si="15"/>
        <v>0</v>
      </c>
      <c r="Z190" s="1">
        <v>1014</v>
      </c>
      <c r="AA190" s="5">
        <v>10189</v>
      </c>
    </row>
    <row r="191" spans="1:27" x14ac:dyDescent="0.3">
      <c r="A191" s="5">
        <v>10190</v>
      </c>
      <c r="B191" s="1">
        <v>1857</v>
      </c>
      <c r="C191" s="2">
        <v>45185</v>
      </c>
      <c r="D191" s="2">
        <v>45187</v>
      </c>
      <c r="E191" s="1" t="s">
        <v>34</v>
      </c>
      <c r="F191" s="1" t="s">
        <v>54</v>
      </c>
      <c r="G191" s="1" t="s">
        <v>30</v>
      </c>
      <c r="H191" s="1" t="s">
        <v>25</v>
      </c>
      <c r="I191" s="1" t="s">
        <v>49</v>
      </c>
      <c r="J191" s="1" t="s">
        <v>51</v>
      </c>
      <c r="K191" s="1" t="s">
        <v>21</v>
      </c>
      <c r="L191" s="1">
        <v>2</v>
      </c>
      <c r="M191" s="1">
        <v>1372.59</v>
      </c>
      <c r="N191" s="1">
        <v>5</v>
      </c>
      <c r="O191" s="1">
        <v>2607.92</v>
      </c>
      <c r="P191" s="1">
        <f t="shared" si="11"/>
        <v>2745.18</v>
      </c>
      <c r="Q191" s="10">
        <f t="shared" si="12"/>
        <v>130.39600000000002</v>
      </c>
      <c r="R191" s="11">
        <f t="shared" si="13"/>
        <v>2614.7839999999997</v>
      </c>
      <c r="S191" s="1" t="str">
        <f t="shared" si="14"/>
        <v>Low</v>
      </c>
      <c r="T191" s="1" t="str" cm="1">
        <f t="array" ref="T191">_xlfn.IFS(L191&gt;5,"High",L191=5,"mediam",L191&lt;5,"low")</f>
        <v>low</v>
      </c>
      <c r="U191" s="1" t="b">
        <f t="shared" si="15"/>
        <v>0</v>
      </c>
      <c r="Z191" s="1">
        <v>1857</v>
      </c>
      <c r="AA191" s="5">
        <v>10190</v>
      </c>
    </row>
    <row r="192" spans="1:27" x14ac:dyDescent="0.3">
      <c r="A192" s="5">
        <v>10191</v>
      </c>
      <c r="B192" s="1">
        <v>1553</v>
      </c>
      <c r="C192" s="2">
        <v>45033</v>
      </c>
      <c r="D192" s="2">
        <v>45039</v>
      </c>
      <c r="E192" s="1" t="s">
        <v>40</v>
      </c>
      <c r="F192" s="1" t="s">
        <v>29</v>
      </c>
      <c r="G192" s="1" t="s">
        <v>30</v>
      </c>
      <c r="H192" s="1" t="s">
        <v>35</v>
      </c>
      <c r="I192" s="1" t="s">
        <v>52</v>
      </c>
      <c r="J192" s="1" t="s">
        <v>56</v>
      </c>
      <c r="K192" s="1" t="s">
        <v>21</v>
      </c>
      <c r="L192" s="1">
        <v>7</v>
      </c>
      <c r="M192" s="1">
        <v>1148.6500000000001</v>
      </c>
      <c r="N192" s="1">
        <v>15</v>
      </c>
      <c r="O192" s="1">
        <v>6834.47</v>
      </c>
      <c r="P192" s="1">
        <f t="shared" si="11"/>
        <v>8040.5500000000011</v>
      </c>
      <c r="Q192" s="10">
        <f t="shared" si="12"/>
        <v>1025.1704999999999</v>
      </c>
      <c r="R192" s="11">
        <f t="shared" si="13"/>
        <v>7015.3795000000009</v>
      </c>
      <c r="S192" s="1" t="str">
        <f t="shared" si="14"/>
        <v>High</v>
      </c>
      <c r="T192" s="1" t="str" cm="1">
        <f t="array" ref="T192">_xlfn.IFS(L192&gt;5,"High",L192=5,"mediam",L192&lt;5,"low")</f>
        <v>High</v>
      </c>
      <c r="U192" s="1" t="str">
        <f t="shared" si="15"/>
        <v>High</v>
      </c>
      <c r="Z192" s="1">
        <v>1553</v>
      </c>
      <c r="AA192" s="5">
        <v>10191</v>
      </c>
    </row>
    <row r="193" spans="1:27" x14ac:dyDescent="0.3">
      <c r="A193" s="5">
        <v>10192</v>
      </c>
      <c r="B193" s="1">
        <v>1891</v>
      </c>
      <c r="C193" s="2">
        <v>45039</v>
      </c>
      <c r="D193" s="2">
        <v>45042</v>
      </c>
      <c r="E193" s="1" t="s">
        <v>15</v>
      </c>
      <c r="F193" s="1" t="s">
        <v>29</v>
      </c>
      <c r="G193" s="1" t="s">
        <v>30</v>
      </c>
      <c r="H193" s="1" t="s">
        <v>35</v>
      </c>
      <c r="I193" s="1" t="s">
        <v>52</v>
      </c>
      <c r="J193" s="1" t="s">
        <v>60</v>
      </c>
      <c r="K193" s="1" t="s">
        <v>21</v>
      </c>
      <c r="L193" s="1">
        <v>2</v>
      </c>
      <c r="M193" s="1">
        <v>487.23</v>
      </c>
      <c r="N193" s="1">
        <v>15</v>
      </c>
      <c r="O193" s="1">
        <v>828.29</v>
      </c>
      <c r="P193" s="1">
        <f t="shared" si="11"/>
        <v>974.46</v>
      </c>
      <c r="Q193" s="10">
        <f t="shared" si="12"/>
        <v>124.24349999999998</v>
      </c>
      <c r="R193" s="11">
        <f t="shared" si="13"/>
        <v>850.2165</v>
      </c>
      <c r="S193" s="1" t="str">
        <f t="shared" si="14"/>
        <v>Low</v>
      </c>
      <c r="T193" s="1" t="str" cm="1">
        <f t="array" ref="T193">_xlfn.IFS(L193&gt;5,"High",L193=5,"mediam",L193&lt;5,"low")</f>
        <v>low</v>
      </c>
      <c r="U193" s="1" t="b">
        <f t="shared" si="15"/>
        <v>0</v>
      </c>
      <c r="Z193" s="1">
        <v>1891</v>
      </c>
      <c r="AA193" s="5">
        <v>10192</v>
      </c>
    </row>
    <row r="194" spans="1:27" x14ac:dyDescent="0.3">
      <c r="A194" s="5">
        <v>10193</v>
      </c>
      <c r="B194" s="1">
        <v>1460</v>
      </c>
      <c r="C194" s="2">
        <v>45276</v>
      </c>
      <c r="D194" s="2">
        <v>45284</v>
      </c>
      <c r="E194" s="1" t="s">
        <v>46</v>
      </c>
      <c r="F194" s="1" t="s">
        <v>38</v>
      </c>
      <c r="G194" s="1" t="s">
        <v>30</v>
      </c>
      <c r="H194" s="1" t="s">
        <v>25</v>
      </c>
      <c r="I194" s="1" t="s">
        <v>49</v>
      </c>
      <c r="J194" s="1" t="s">
        <v>51</v>
      </c>
      <c r="K194" s="1" t="s">
        <v>33</v>
      </c>
      <c r="L194" s="1">
        <v>4</v>
      </c>
      <c r="M194" s="1">
        <v>496.18</v>
      </c>
      <c r="N194" s="1">
        <v>15</v>
      </c>
      <c r="O194" s="1">
        <v>1687.01</v>
      </c>
      <c r="P194" s="1">
        <f t="shared" si="11"/>
        <v>1984.72</v>
      </c>
      <c r="Q194" s="10">
        <f t="shared" si="12"/>
        <v>253.05149999999998</v>
      </c>
      <c r="R194" s="11">
        <f t="shared" si="13"/>
        <v>1731.6685</v>
      </c>
      <c r="S194" s="1" t="str">
        <f t="shared" si="14"/>
        <v>Low</v>
      </c>
      <c r="T194" s="1" t="str" cm="1">
        <f t="array" ref="T194">_xlfn.IFS(L194&gt;5,"High",L194=5,"mediam",L194&lt;5,"low")</f>
        <v>low</v>
      </c>
      <c r="U194" s="1" t="b">
        <f t="shared" si="15"/>
        <v>0</v>
      </c>
      <c r="Z194" s="1">
        <v>1460</v>
      </c>
      <c r="AA194" s="5">
        <v>10193</v>
      </c>
    </row>
    <row r="195" spans="1:27" x14ac:dyDescent="0.3">
      <c r="A195" s="5">
        <v>10194</v>
      </c>
      <c r="B195" s="1">
        <v>1690</v>
      </c>
      <c r="C195" s="2">
        <v>45180</v>
      </c>
      <c r="D195" s="2">
        <v>45182</v>
      </c>
      <c r="E195" s="1" t="s">
        <v>34</v>
      </c>
      <c r="F195" s="1" t="s">
        <v>41</v>
      </c>
      <c r="G195" s="1" t="s">
        <v>24</v>
      </c>
      <c r="H195" s="1" t="s">
        <v>25</v>
      </c>
      <c r="I195" s="1" t="s">
        <v>57</v>
      </c>
      <c r="J195" s="1" t="s">
        <v>59</v>
      </c>
      <c r="K195" s="1" t="s">
        <v>45</v>
      </c>
      <c r="L195" s="1">
        <v>2</v>
      </c>
      <c r="M195" s="1">
        <v>894.01</v>
      </c>
      <c r="N195" s="1">
        <v>15</v>
      </c>
      <c r="O195" s="1">
        <v>1519.82</v>
      </c>
      <c r="P195" s="1">
        <f t="shared" ref="P195:P258" si="16">L195*M195</f>
        <v>1788.02</v>
      </c>
      <c r="Q195" s="10">
        <f t="shared" ref="Q195:Q258" si="17">O195*N195%</f>
        <v>227.97299999999998</v>
      </c>
      <c r="R195" s="11">
        <f t="shared" ref="R195:R258" si="18">P195-Q195</f>
        <v>1560.047</v>
      </c>
      <c r="S195" s="1" t="str">
        <f t="shared" ref="S195:S258" si="19">IF(L195&gt;=5,"High","Low")</f>
        <v>Low</v>
      </c>
      <c r="T195" s="1" t="str" cm="1">
        <f t="array" ref="T195">_xlfn.IFS(L195&gt;5,"High",L195=5,"mediam",L195&lt;5,"low")</f>
        <v>low</v>
      </c>
      <c r="U195" s="1" t="b">
        <f t="shared" si="15"/>
        <v>0</v>
      </c>
      <c r="Z195" s="1">
        <v>1690</v>
      </c>
      <c r="AA195" s="5">
        <v>10194</v>
      </c>
    </row>
    <row r="196" spans="1:27" x14ac:dyDescent="0.3">
      <c r="A196" s="5">
        <v>10195</v>
      </c>
      <c r="B196" s="1">
        <v>1574</v>
      </c>
      <c r="C196" s="2">
        <v>45044</v>
      </c>
      <c r="D196" s="2">
        <v>45045</v>
      </c>
      <c r="E196" s="1" t="s">
        <v>34</v>
      </c>
      <c r="F196" s="1" t="s">
        <v>23</v>
      </c>
      <c r="G196" s="1" t="s">
        <v>17</v>
      </c>
      <c r="H196" s="1" t="s">
        <v>35</v>
      </c>
      <c r="I196" s="1" t="s">
        <v>31</v>
      </c>
      <c r="J196" s="1" t="s">
        <v>65</v>
      </c>
      <c r="K196" s="1" t="s">
        <v>47</v>
      </c>
      <c r="L196" s="1">
        <v>6</v>
      </c>
      <c r="M196" s="1">
        <v>344.65</v>
      </c>
      <c r="N196" s="1">
        <v>10</v>
      </c>
      <c r="O196" s="1">
        <v>1861.11</v>
      </c>
      <c r="P196" s="1">
        <f t="shared" si="16"/>
        <v>2067.8999999999996</v>
      </c>
      <c r="Q196" s="10">
        <f t="shared" si="17"/>
        <v>186.11099999999999</v>
      </c>
      <c r="R196" s="11">
        <f t="shared" si="18"/>
        <v>1881.7889999999998</v>
      </c>
      <c r="S196" s="1" t="str">
        <f t="shared" si="19"/>
        <v>High</v>
      </c>
      <c r="T196" s="1" t="str" cm="1">
        <f t="array" ref="T196">_xlfn.IFS(L196&gt;5,"High",L196=5,"mediam",L196&lt;5,"low")</f>
        <v>High</v>
      </c>
      <c r="U196" s="1" t="str">
        <f t="shared" si="15"/>
        <v>High</v>
      </c>
      <c r="Z196" s="1">
        <v>1574</v>
      </c>
      <c r="AA196" s="5">
        <v>10195</v>
      </c>
    </row>
    <row r="197" spans="1:27" x14ac:dyDescent="0.3">
      <c r="A197" s="5">
        <v>10196</v>
      </c>
      <c r="B197" s="1">
        <v>1863</v>
      </c>
      <c r="C197" s="2">
        <v>45124</v>
      </c>
      <c r="D197" s="2">
        <v>45133</v>
      </c>
      <c r="E197" s="1" t="s">
        <v>37</v>
      </c>
      <c r="F197" s="1" t="s">
        <v>29</v>
      </c>
      <c r="G197" s="1" t="s">
        <v>30</v>
      </c>
      <c r="H197" s="1" t="s">
        <v>44</v>
      </c>
      <c r="I197" s="1" t="s">
        <v>52</v>
      </c>
      <c r="J197" s="1" t="s">
        <v>53</v>
      </c>
      <c r="K197" s="1" t="s">
        <v>21</v>
      </c>
      <c r="L197" s="1">
        <v>8</v>
      </c>
      <c r="M197" s="1">
        <v>2561.86</v>
      </c>
      <c r="N197" s="1">
        <v>0</v>
      </c>
      <c r="O197" s="1">
        <v>20494.88</v>
      </c>
      <c r="P197" s="1">
        <f t="shared" si="16"/>
        <v>20494.88</v>
      </c>
      <c r="Q197" s="10">
        <f t="shared" si="17"/>
        <v>0</v>
      </c>
      <c r="R197" s="11">
        <f t="shared" si="18"/>
        <v>20494.88</v>
      </c>
      <c r="S197" s="1" t="str">
        <f t="shared" si="19"/>
        <v>High</v>
      </c>
      <c r="T197" s="1" t="str" cm="1">
        <f t="array" ref="T197">_xlfn.IFS(L197&gt;5,"High",L197=5,"mediam",L197&lt;5,"low")</f>
        <v>High</v>
      </c>
      <c r="U197" s="1" t="str">
        <f t="shared" si="15"/>
        <v>High</v>
      </c>
      <c r="Z197" s="1">
        <v>1863</v>
      </c>
      <c r="AA197" s="5">
        <v>10196</v>
      </c>
    </row>
    <row r="198" spans="1:27" x14ac:dyDescent="0.3">
      <c r="A198" s="5">
        <v>10197</v>
      </c>
      <c r="B198" s="1">
        <v>1742</v>
      </c>
      <c r="C198" s="2">
        <v>45263</v>
      </c>
      <c r="D198" s="2">
        <v>45266</v>
      </c>
      <c r="E198" s="1" t="s">
        <v>16</v>
      </c>
      <c r="F198" s="1" t="s">
        <v>38</v>
      </c>
      <c r="G198" s="1" t="s">
        <v>17</v>
      </c>
      <c r="H198" s="1" t="s">
        <v>35</v>
      </c>
      <c r="I198" s="1" t="s">
        <v>49</v>
      </c>
      <c r="J198" s="1" t="s">
        <v>68</v>
      </c>
      <c r="K198" s="1" t="s">
        <v>45</v>
      </c>
      <c r="L198" s="1">
        <v>4</v>
      </c>
      <c r="M198" s="1">
        <v>1256.21</v>
      </c>
      <c r="N198" s="1">
        <v>10</v>
      </c>
      <c r="O198" s="1">
        <v>4522.3599999999997</v>
      </c>
      <c r="P198" s="1">
        <f t="shared" si="16"/>
        <v>5024.84</v>
      </c>
      <c r="Q198" s="10">
        <f t="shared" si="17"/>
        <v>452.23599999999999</v>
      </c>
      <c r="R198" s="11">
        <f t="shared" si="18"/>
        <v>4572.6040000000003</v>
      </c>
      <c r="S198" s="1" t="str">
        <f t="shared" si="19"/>
        <v>Low</v>
      </c>
      <c r="T198" s="1" t="str" cm="1">
        <f t="array" ref="T198">_xlfn.IFS(L198&gt;5,"High",L198=5,"mediam",L198&lt;5,"low")</f>
        <v>low</v>
      </c>
      <c r="U198" s="1" t="b">
        <f t="shared" si="15"/>
        <v>0</v>
      </c>
      <c r="Z198" s="1">
        <v>1742</v>
      </c>
      <c r="AA198" s="5">
        <v>10197</v>
      </c>
    </row>
    <row r="199" spans="1:27" x14ac:dyDescent="0.3">
      <c r="A199" s="5">
        <v>10198</v>
      </c>
      <c r="B199" s="1">
        <v>1240</v>
      </c>
      <c r="C199" s="2">
        <v>45291</v>
      </c>
      <c r="D199" s="2">
        <v>45292</v>
      </c>
      <c r="E199" s="1" t="s">
        <v>34</v>
      </c>
      <c r="F199" s="1" t="s">
        <v>41</v>
      </c>
      <c r="G199" s="1" t="s">
        <v>17</v>
      </c>
      <c r="H199" s="1" t="s">
        <v>42</v>
      </c>
      <c r="I199" s="1" t="s">
        <v>19</v>
      </c>
      <c r="J199" s="1" t="s">
        <v>66</v>
      </c>
      <c r="K199" s="1" t="s">
        <v>45</v>
      </c>
      <c r="L199" s="1">
        <v>5</v>
      </c>
      <c r="M199" s="1">
        <v>1227.02</v>
      </c>
      <c r="N199" s="1">
        <v>15</v>
      </c>
      <c r="O199" s="1">
        <v>5214.84</v>
      </c>
      <c r="P199" s="1">
        <f t="shared" si="16"/>
        <v>6135.1</v>
      </c>
      <c r="Q199" s="10">
        <f t="shared" si="17"/>
        <v>782.226</v>
      </c>
      <c r="R199" s="11">
        <f t="shared" si="18"/>
        <v>5352.8740000000007</v>
      </c>
      <c r="S199" s="1" t="str">
        <f t="shared" si="19"/>
        <v>High</v>
      </c>
      <c r="T199" s="1" t="str" cm="1">
        <f t="array" ref="T199">_xlfn.IFS(L199&gt;5,"High",L199=5,"mediam",L199&lt;5,"low")</f>
        <v>mediam</v>
      </c>
      <c r="U199" s="1" t="b">
        <f t="shared" si="15"/>
        <v>0</v>
      </c>
      <c r="Z199" s="1">
        <v>1240</v>
      </c>
      <c r="AA199" s="5">
        <v>10198</v>
      </c>
    </row>
    <row r="200" spans="1:27" x14ac:dyDescent="0.3">
      <c r="A200" s="5">
        <v>10199</v>
      </c>
      <c r="B200" s="1">
        <v>1563</v>
      </c>
      <c r="C200" s="2">
        <v>44977</v>
      </c>
      <c r="D200" s="2">
        <v>44984</v>
      </c>
      <c r="E200" s="1" t="s">
        <v>34</v>
      </c>
      <c r="F200" s="1" t="s">
        <v>23</v>
      </c>
      <c r="G200" s="1" t="s">
        <v>24</v>
      </c>
      <c r="H200" s="1" t="s">
        <v>35</v>
      </c>
      <c r="I200" s="1" t="s">
        <v>49</v>
      </c>
      <c r="J200" s="1" t="s">
        <v>51</v>
      </c>
      <c r="K200" s="1" t="s">
        <v>47</v>
      </c>
      <c r="L200" s="1">
        <v>4</v>
      </c>
      <c r="M200" s="1">
        <v>1428.19</v>
      </c>
      <c r="N200" s="1">
        <v>10</v>
      </c>
      <c r="O200" s="1">
        <v>5141.4799999999996</v>
      </c>
      <c r="P200" s="1">
        <f t="shared" si="16"/>
        <v>5712.76</v>
      </c>
      <c r="Q200" s="10">
        <f t="shared" si="17"/>
        <v>514.14800000000002</v>
      </c>
      <c r="R200" s="11">
        <f t="shared" si="18"/>
        <v>5198.6120000000001</v>
      </c>
      <c r="S200" s="1" t="str">
        <f t="shared" si="19"/>
        <v>Low</v>
      </c>
      <c r="T200" s="1" t="str" cm="1">
        <f t="array" ref="T200">_xlfn.IFS(L200&gt;5,"High",L200=5,"mediam",L200&lt;5,"low")</f>
        <v>low</v>
      </c>
      <c r="U200" s="1" t="b">
        <f t="shared" si="15"/>
        <v>0</v>
      </c>
      <c r="Z200" s="1">
        <v>1563</v>
      </c>
      <c r="AA200" s="5">
        <v>10199</v>
      </c>
    </row>
    <row r="201" spans="1:27" x14ac:dyDescent="0.3">
      <c r="A201" s="5">
        <v>10200</v>
      </c>
      <c r="B201" s="1">
        <v>1095</v>
      </c>
      <c r="C201" s="2">
        <v>45171</v>
      </c>
      <c r="D201" s="2">
        <v>45176</v>
      </c>
      <c r="E201" s="1" t="s">
        <v>15</v>
      </c>
      <c r="F201" s="1" t="s">
        <v>29</v>
      </c>
      <c r="G201" s="1" t="s">
        <v>30</v>
      </c>
      <c r="H201" s="1" t="s">
        <v>44</v>
      </c>
      <c r="I201" s="1" t="s">
        <v>19</v>
      </c>
      <c r="J201" s="1" t="s">
        <v>66</v>
      </c>
      <c r="K201" s="1" t="s">
        <v>33</v>
      </c>
      <c r="L201" s="1">
        <v>3</v>
      </c>
      <c r="M201" s="1">
        <v>2701.77</v>
      </c>
      <c r="N201" s="1">
        <v>15</v>
      </c>
      <c r="O201" s="1">
        <v>6889.51</v>
      </c>
      <c r="P201" s="1">
        <f t="shared" si="16"/>
        <v>8105.3099999999995</v>
      </c>
      <c r="Q201" s="10">
        <f t="shared" si="17"/>
        <v>1033.4265</v>
      </c>
      <c r="R201" s="11">
        <f t="shared" si="18"/>
        <v>7071.8834999999999</v>
      </c>
      <c r="S201" s="1" t="str">
        <f t="shared" si="19"/>
        <v>Low</v>
      </c>
      <c r="T201" s="1" t="str" cm="1">
        <f t="array" ref="T201">_xlfn.IFS(L201&gt;5,"High",L201=5,"mediam",L201&lt;5,"low")</f>
        <v>low</v>
      </c>
      <c r="U201" s="1" t="b">
        <f t="shared" ref="U201:U264" si="20">IF(L201&gt;5,"High",IF(L201="Mediam","Low"))</f>
        <v>0</v>
      </c>
      <c r="Z201" s="1">
        <v>1095</v>
      </c>
      <c r="AA201" s="5">
        <v>10200</v>
      </c>
    </row>
    <row r="202" spans="1:27" x14ac:dyDescent="0.3">
      <c r="A202" s="5">
        <v>10201</v>
      </c>
      <c r="B202" s="1">
        <v>1899</v>
      </c>
      <c r="C202" s="2">
        <v>44961</v>
      </c>
      <c r="D202" s="2">
        <v>44966</v>
      </c>
      <c r="E202" s="1" t="s">
        <v>15</v>
      </c>
      <c r="F202" s="1" t="s">
        <v>29</v>
      </c>
      <c r="G202" s="1" t="s">
        <v>30</v>
      </c>
      <c r="H202" s="1" t="s">
        <v>42</v>
      </c>
      <c r="I202" s="1" t="s">
        <v>57</v>
      </c>
      <c r="J202" s="1" t="s">
        <v>59</v>
      </c>
      <c r="K202" s="1" t="s">
        <v>28</v>
      </c>
      <c r="L202" s="1">
        <v>5</v>
      </c>
      <c r="M202" s="1">
        <v>3501.94</v>
      </c>
      <c r="N202" s="1">
        <v>20</v>
      </c>
      <c r="O202" s="1">
        <v>14007.76</v>
      </c>
      <c r="P202" s="1">
        <f t="shared" si="16"/>
        <v>17509.7</v>
      </c>
      <c r="Q202" s="10">
        <f t="shared" si="17"/>
        <v>2801.5520000000001</v>
      </c>
      <c r="R202" s="11">
        <f t="shared" si="18"/>
        <v>14708.148000000001</v>
      </c>
      <c r="S202" s="1" t="str">
        <f t="shared" si="19"/>
        <v>High</v>
      </c>
      <c r="T202" s="1" t="str" cm="1">
        <f t="array" ref="T202">_xlfn.IFS(L202&gt;5,"High",L202=5,"mediam",L202&lt;5,"low")</f>
        <v>mediam</v>
      </c>
      <c r="U202" s="1" t="b">
        <f t="shared" si="20"/>
        <v>0</v>
      </c>
      <c r="Z202" s="1">
        <v>1899</v>
      </c>
      <c r="AA202" s="5">
        <v>10201</v>
      </c>
    </row>
    <row r="203" spans="1:27" x14ac:dyDescent="0.3">
      <c r="A203" s="5">
        <v>10202</v>
      </c>
      <c r="B203" s="1">
        <v>1733</v>
      </c>
      <c r="C203" s="2">
        <v>45228</v>
      </c>
      <c r="D203" s="2">
        <v>45229</v>
      </c>
      <c r="E203" s="1" t="s">
        <v>40</v>
      </c>
      <c r="F203" s="1" t="s">
        <v>54</v>
      </c>
      <c r="G203" s="1" t="s">
        <v>17</v>
      </c>
      <c r="H203" s="1" t="s">
        <v>18</v>
      </c>
      <c r="I203" s="1" t="s">
        <v>31</v>
      </c>
      <c r="J203" s="1" t="s">
        <v>65</v>
      </c>
      <c r="K203" s="1" t="s">
        <v>28</v>
      </c>
      <c r="L203" s="1">
        <v>9</v>
      </c>
      <c r="M203" s="1">
        <v>3072.48</v>
      </c>
      <c r="N203" s="1">
        <v>0</v>
      </c>
      <c r="O203" s="1">
        <v>27652.32</v>
      </c>
      <c r="P203" s="1">
        <f t="shared" si="16"/>
        <v>27652.32</v>
      </c>
      <c r="Q203" s="10">
        <f t="shared" si="17"/>
        <v>0</v>
      </c>
      <c r="R203" s="11">
        <f t="shared" si="18"/>
        <v>27652.32</v>
      </c>
      <c r="S203" s="1" t="str">
        <f t="shared" si="19"/>
        <v>High</v>
      </c>
      <c r="T203" s="1" t="str" cm="1">
        <f t="array" ref="T203">_xlfn.IFS(L203&gt;5,"High",L203=5,"mediam",L203&lt;5,"low")</f>
        <v>High</v>
      </c>
      <c r="U203" s="1" t="str">
        <f t="shared" si="20"/>
        <v>High</v>
      </c>
      <c r="Z203" s="1">
        <v>1733</v>
      </c>
      <c r="AA203" s="5">
        <v>10202</v>
      </c>
    </row>
    <row r="204" spans="1:27" x14ac:dyDescent="0.3">
      <c r="A204" s="5">
        <v>10203</v>
      </c>
      <c r="B204" s="1">
        <v>1484</v>
      </c>
      <c r="C204" s="2">
        <v>44995</v>
      </c>
      <c r="D204" s="2">
        <v>45004</v>
      </c>
      <c r="E204" s="1" t="s">
        <v>22</v>
      </c>
      <c r="F204" s="1" t="s">
        <v>54</v>
      </c>
      <c r="G204" s="1" t="s">
        <v>30</v>
      </c>
      <c r="H204" s="1" t="s">
        <v>18</v>
      </c>
      <c r="I204" s="1" t="s">
        <v>49</v>
      </c>
      <c r="J204" s="1" t="s">
        <v>68</v>
      </c>
      <c r="K204" s="1" t="s">
        <v>45</v>
      </c>
      <c r="L204" s="1">
        <v>8</v>
      </c>
      <c r="M204" s="1">
        <v>2950.99</v>
      </c>
      <c r="N204" s="1">
        <v>20</v>
      </c>
      <c r="O204" s="1">
        <v>18886.34</v>
      </c>
      <c r="P204" s="1">
        <f t="shared" si="16"/>
        <v>23607.919999999998</v>
      </c>
      <c r="Q204" s="10">
        <f t="shared" si="17"/>
        <v>3777.268</v>
      </c>
      <c r="R204" s="11">
        <f t="shared" si="18"/>
        <v>19830.651999999998</v>
      </c>
      <c r="S204" s="1" t="str">
        <f t="shared" si="19"/>
        <v>High</v>
      </c>
      <c r="T204" s="1" t="str" cm="1">
        <f t="array" ref="T204">_xlfn.IFS(L204&gt;5,"High",L204=5,"mediam",L204&lt;5,"low")</f>
        <v>High</v>
      </c>
      <c r="U204" s="1" t="str">
        <f t="shared" si="20"/>
        <v>High</v>
      </c>
      <c r="Z204" s="1">
        <v>1484</v>
      </c>
      <c r="AA204" s="5">
        <v>10203</v>
      </c>
    </row>
    <row r="205" spans="1:27" x14ac:dyDescent="0.3">
      <c r="A205" s="5">
        <v>10204</v>
      </c>
      <c r="B205" s="1">
        <v>1406</v>
      </c>
      <c r="C205" s="2">
        <v>45275</v>
      </c>
      <c r="D205" s="2">
        <v>45282</v>
      </c>
      <c r="E205" s="1" t="s">
        <v>22</v>
      </c>
      <c r="F205" s="1" t="s">
        <v>41</v>
      </c>
      <c r="G205" s="1" t="s">
        <v>17</v>
      </c>
      <c r="H205" s="1" t="s">
        <v>44</v>
      </c>
      <c r="I205" s="1" t="s">
        <v>26</v>
      </c>
      <c r="J205" s="1" t="s">
        <v>27</v>
      </c>
      <c r="K205" s="1" t="s">
        <v>47</v>
      </c>
      <c r="L205" s="1">
        <v>8</v>
      </c>
      <c r="M205" s="1">
        <v>2014.91</v>
      </c>
      <c r="N205" s="1">
        <v>5</v>
      </c>
      <c r="O205" s="1">
        <v>15313.32</v>
      </c>
      <c r="P205" s="1">
        <f t="shared" si="16"/>
        <v>16119.28</v>
      </c>
      <c r="Q205" s="10">
        <f t="shared" si="17"/>
        <v>765.66600000000005</v>
      </c>
      <c r="R205" s="11">
        <f t="shared" si="18"/>
        <v>15353.614000000001</v>
      </c>
      <c r="S205" s="1" t="str">
        <f t="shared" si="19"/>
        <v>High</v>
      </c>
      <c r="T205" s="1" t="str" cm="1">
        <f t="array" ref="T205">_xlfn.IFS(L205&gt;5,"High",L205=5,"mediam",L205&lt;5,"low")</f>
        <v>High</v>
      </c>
      <c r="U205" s="1" t="str">
        <f t="shared" si="20"/>
        <v>High</v>
      </c>
      <c r="Z205" s="1">
        <v>1406</v>
      </c>
      <c r="AA205" s="5">
        <v>10204</v>
      </c>
    </row>
    <row r="206" spans="1:27" x14ac:dyDescent="0.3">
      <c r="A206" s="5">
        <v>10205</v>
      </c>
      <c r="B206" s="1">
        <v>1230</v>
      </c>
      <c r="C206" s="2">
        <v>45246</v>
      </c>
      <c r="D206" s="2">
        <v>45254</v>
      </c>
      <c r="E206" s="1" t="s">
        <v>46</v>
      </c>
      <c r="F206" s="1" t="s">
        <v>23</v>
      </c>
      <c r="G206" s="1" t="s">
        <v>17</v>
      </c>
      <c r="H206" s="1" t="s">
        <v>35</v>
      </c>
      <c r="I206" s="1" t="s">
        <v>52</v>
      </c>
      <c r="J206" s="1" t="s">
        <v>60</v>
      </c>
      <c r="K206" s="1" t="s">
        <v>28</v>
      </c>
      <c r="L206" s="1">
        <v>8</v>
      </c>
      <c r="M206" s="1">
        <v>2821.15</v>
      </c>
      <c r="N206" s="1">
        <v>10</v>
      </c>
      <c r="O206" s="1">
        <v>20312.28</v>
      </c>
      <c r="P206" s="1">
        <f t="shared" si="16"/>
        <v>22569.200000000001</v>
      </c>
      <c r="Q206" s="10">
        <f t="shared" si="17"/>
        <v>2031.2280000000001</v>
      </c>
      <c r="R206" s="11">
        <f t="shared" si="18"/>
        <v>20537.972000000002</v>
      </c>
      <c r="S206" s="1" t="str">
        <f t="shared" si="19"/>
        <v>High</v>
      </c>
      <c r="T206" s="1" t="str" cm="1">
        <f t="array" ref="T206">_xlfn.IFS(L206&gt;5,"High",L206=5,"mediam",L206&lt;5,"low")</f>
        <v>High</v>
      </c>
      <c r="U206" s="1" t="str">
        <f t="shared" si="20"/>
        <v>High</v>
      </c>
      <c r="Z206" s="1">
        <v>1230</v>
      </c>
      <c r="AA206" s="5">
        <v>10205</v>
      </c>
    </row>
    <row r="207" spans="1:27" x14ac:dyDescent="0.3">
      <c r="A207" s="5">
        <v>10206</v>
      </c>
      <c r="B207" s="1">
        <v>1748</v>
      </c>
      <c r="C207" s="2">
        <v>44975</v>
      </c>
      <c r="D207" s="2">
        <v>44984</v>
      </c>
      <c r="E207" s="1" t="s">
        <v>22</v>
      </c>
      <c r="F207" s="1" t="s">
        <v>29</v>
      </c>
      <c r="G207" s="1" t="s">
        <v>24</v>
      </c>
      <c r="H207" s="1" t="s">
        <v>25</v>
      </c>
      <c r="I207" s="1" t="s">
        <v>57</v>
      </c>
      <c r="J207" s="1" t="s">
        <v>59</v>
      </c>
      <c r="K207" s="1" t="s">
        <v>45</v>
      </c>
      <c r="L207" s="1">
        <v>8</v>
      </c>
      <c r="M207" s="1">
        <v>2278.14</v>
      </c>
      <c r="N207" s="1">
        <v>5</v>
      </c>
      <c r="O207" s="1">
        <v>17313.86</v>
      </c>
      <c r="P207" s="1">
        <f t="shared" si="16"/>
        <v>18225.12</v>
      </c>
      <c r="Q207" s="10">
        <f t="shared" si="17"/>
        <v>865.6930000000001</v>
      </c>
      <c r="R207" s="11">
        <f t="shared" si="18"/>
        <v>17359.427</v>
      </c>
      <c r="S207" s="1" t="str">
        <f t="shared" si="19"/>
        <v>High</v>
      </c>
      <c r="T207" s="1" t="str" cm="1">
        <f t="array" ref="T207">_xlfn.IFS(L207&gt;5,"High",L207=5,"mediam",L207&lt;5,"low")</f>
        <v>High</v>
      </c>
      <c r="U207" s="1" t="str">
        <f t="shared" si="20"/>
        <v>High</v>
      </c>
      <c r="Z207" s="1">
        <v>1748</v>
      </c>
      <c r="AA207" s="5">
        <v>10206</v>
      </c>
    </row>
    <row r="208" spans="1:27" x14ac:dyDescent="0.3">
      <c r="A208" s="5">
        <v>10207</v>
      </c>
      <c r="B208" s="1">
        <v>1654</v>
      </c>
      <c r="C208" s="2">
        <v>45000</v>
      </c>
      <c r="D208" s="2">
        <v>45006</v>
      </c>
      <c r="E208" s="1" t="s">
        <v>37</v>
      </c>
      <c r="F208" s="1" t="s">
        <v>41</v>
      </c>
      <c r="G208" s="1" t="s">
        <v>24</v>
      </c>
      <c r="H208" s="1" t="s">
        <v>44</v>
      </c>
      <c r="I208" s="1" t="s">
        <v>49</v>
      </c>
      <c r="J208" s="1" t="s">
        <v>51</v>
      </c>
      <c r="K208" s="1" t="s">
        <v>33</v>
      </c>
      <c r="L208" s="1">
        <v>7</v>
      </c>
      <c r="M208" s="1">
        <v>982.56</v>
      </c>
      <c r="N208" s="1">
        <v>10</v>
      </c>
      <c r="O208" s="1">
        <v>6190.13</v>
      </c>
      <c r="P208" s="1">
        <f t="shared" si="16"/>
        <v>6877.92</v>
      </c>
      <c r="Q208" s="10">
        <f t="shared" si="17"/>
        <v>619.01300000000003</v>
      </c>
      <c r="R208" s="11">
        <f t="shared" si="18"/>
        <v>6258.9070000000002</v>
      </c>
      <c r="S208" s="1" t="str">
        <f t="shared" si="19"/>
        <v>High</v>
      </c>
      <c r="T208" s="1" t="str" cm="1">
        <f t="array" ref="T208">_xlfn.IFS(L208&gt;5,"High",L208=5,"mediam",L208&lt;5,"low")</f>
        <v>High</v>
      </c>
      <c r="U208" s="1" t="str">
        <f t="shared" si="20"/>
        <v>High</v>
      </c>
      <c r="Z208" s="1">
        <v>1654</v>
      </c>
      <c r="AA208" s="5">
        <v>10207</v>
      </c>
    </row>
    <row r="209" spans="1:27" x14ac:dyDescent="0.3">
      <c r="A209" s="5">
        <v>10208</v>
      </c>
      <c r="B209" s="1">
        <v>1170</v>
      </c>
      <c r="C209" s="2">
        <v>45118</v>
      </c>
      <c r="D209" s="2">
        <v>45123</v>
      </c>
      <c r="E209" s="1" t="s">
        <v>46</v>
      </c>
      <c r="F209" s="1" t="s">
        <v>41</v>
      </c>
      <c r="G209" s="1" t="s">
        <v>24</v>
      </c>
      <c r="H209" s="1" t="s">
        <v>42</v>
      </c>
      <c r="I209" s="1" t="s">
        <v>52</v>
      </c>
      <c r="J209" s="1" t="s">
        <v>53</v>
      </c>
      <c r="K209" s="1" t="s">
        <v>28</v>
      </c>
      <c r="L209" s="1">
        <v>8</v>
      </c>
      <c r="M209" s="1">
        <v>953.07</v>
      </c>
      <c r="N209" s="1">
        <v>20</v>
      </c>
      <c r="O209" s="1">
        <v>6099.65</v>
      </c>
      <c r="P209" s="1">
        <f t="shared" si="16"/>
        <v>7624.56</v>
      </c>
      <c r="Q209" s="10">
        <f t="shared" si="17"/>
        <v>1219.93</v>
      </c>
      <c r="R209" s="11">
        <f t="shared" si="18"/>
        <v>6404.63</v>
      </c>
      <c r="S209" s="1" t="str">
        <f t="shared" si="19"/>
        <v>High</v>
      </c>
      <c r="T209" s="1" t="str" cm="1">
        <f t="array" ref="T209">_xlfn.IFS(L209&gt;5,"High",L209=5,"mediam",L209&lt;5,"low")</f>
        <v>High</v>
      </c>
      <c r="U209" s="1" t="str">
        <f t="shared" si="20"/>
        <v>High</v>
      </c>
      <c r="Z209" s="1">
        <v>1170</v>
      </c>
      <c r="AA209" s="5">
        <v>10208</v>
      </c>
    </row>
    <row r="210" spans="1:27" x14ac:dyDescent="0.3">
      <c r="A210" s="5">
        <v>10209</v>
      </c>
      <c r="B210" s="1">
        <v>1540</v>
      </c>
      <c r="C210" s="2">
        <v>45187</v>
      </c>
      <c r="D210" s="2">
        <v>45193</v>
      </c>
      <c r="E210" s="1" t="s">
        <v>40</v>
      </c>
      <c r="F210" s="1" t="s">
        <v>16</v>
      </c>
      <c r="G210" s="1" t="s">
        <v>17</v>
      </c>
      <c r="H210" s="1" t="s">
        <v>42</v>
      </c>
      <c r="I210" s="1" t="s">
        <v>49</v>
      </c>
      <c r="J210" s="1" t="s">
        <v>50</v>
      </c>
      <c r="K210" s="1" t="s">
        <v>45</v>
      </c>
      <c r="L210" s="1">
        <v>8</v>
      </c>
      <c r="M210" s="1">
        <v>1291.1099999999999</v>
      </c>
      <c r="N210" s="1">
        <v>15</v>
      </c>
      <c r="O210" s="1">
        <v>8779.5499999999993</v>
      </c>
      <c r="P210" s="1">
        <f t="shared" si="16"/>
        <v>10328.879999999999</v>
      </c>
      <c r="Q210" s="10">
        <f t="shared" si="17"/>
        <v>1316.9324999999999</v>
      </c>
      <c r="R210" s="11">
        <f t="shared" si="18"/>
        <v>9011.9474999999984</v>
      </c>
      <c r="S210" s="1" t="str">
        <f t="shared" si="19"/>
        <v>High</v>
      </c>
      <c r="T210" s="1" t="str" cm="1">
        <f t="array" ref="T210">_xlfn.IFS(L210&gt;5,"High",L210=5,"mediam",L210&lt;5,"low")</f>
        <v>High</v>
      </c>
      <c r="U210" s="1" t="str">
        <f t="shared" si="20"/>
        <v>High</v>
      </c>
      <c r="Z210" s="1">
        <v>1540</v>
      </c>
      <c r="AA210" s="5">
        <v>10209</v>
      </c>
    </row>
    <row r="211" spans="1:27" x14ac:dyDescent="0.3">
      <c r="A211" s="5">
        <v>10210</v>
      </c>
      <c r="B211" s="1">
        <v>1035</v>
      </c>
      <c r="C211" s="2">
        <v>45282</v>
      </c>
      <c r="D211" s="2">
        <v>45284</v>
      </c>
      <c r="E211" s="1" t="s">
        <v>15</v>
      </c>
      <c r="F211" s="1" t="s">
        <v>54</v>
      </c>
      <c r="G211" s="1" t="s">
        <v>30</v>
      </c>
      <c r="H211" s="1" t="s">
        <v>18</v>
      </c>
      <c r="I211" s="1" t="s">
        <v>19</v>
      </c>
      <c r="J211" s="1" t="s">
        <v>20</v>
      </c>
      <c r="K211" s="1" t="s">
        <v>45</v>
      </c>
      <c r="L211" s="1">
        <v>8</v>
      </c>
      <c r="M211" s="1">
        <v>3656.59</v>
      </c>
      <c r="N211" s="1">
        <v>15</v>
      </c>
      <c r="O211" s="1">
        <v>24864.81</v>
      </c>
      <c r="P211" s="1">
        <f t="shared" si="16"/>
        <v>29252.720000000001</v>
      </c>
      <c r="Q211" s="10">
        <f t="shared" si="17"/>
        <v>3729.7215000000001</v>
      </c>
      <c r="R211" s="11">
        <f t="shared" si="18"/>
        <v>25522.998500000002</v>
      </c>
      <c r="S211" s="1" t="str">
        <f t="shared" si="19"/>
        <v>High</v>
      </c>
      <c r="T211" s="1" t="str" cm="1">
        <f t="array" ref="T211">_xlfn.IFS(L211&gt;5,"High",L211=5,"mediam",L211&lt;5,"low")</f>
        <v>High</v>
      </c>
      <c r="U211" s="1" t="str">
        <f t="shared" si="20"/>
        <v>High</v>
      </c>
      <c r="Z211" s="1">
        <v>1035</v>
      </c>
      <c r="AA211" s="5">
        <v>10210</v>
      </c>
    </row>
    <row r="212" spans="1:27" x14ac:dyDescent="0.3">
      <c r="A212" s="5">
        <v>10211</v>
      </c>
      <c r="B212" s="1">
        <v>1524</v>
      </c>
      <c r="C212" s="2">
        <v>44996</v>
      </c>
      <c r="D212" s="2">
        <v>45000</v>
      </c>
      <c r="E212" s="1" t="s">
        <v>22</v>
      </c>
      <c r="F212" s="1" t="s">
        <v>23</v>
      </c>
      <c r="G212" s="1" t="s">
        <v>24</v>
      </c>
      <c r="H212" s="1" t="s">
        <v>42</v>
      </c>
      <c r="I212" s="1" t="s">
        <v>49</v>
      </c>
      <c r="J212" s="1" t="s">
        <v>51</v>
      </c>
      <c r="K212" s="1" t="s">
        <v>21</v>
      </c>
      <c r="L212" s="1">
        <v>7</v>
      </c>
      <c r="M212" s="1">
        <v>2257.5500000000002</v>
      </c>
      <c r="N212" s="1">
        <v>10</v>
      </c>
      <c r="O212" s="1">
        <v>14222.56</v>
      </c>
      <c r="P212" s="1">
        <f t="shared" si="16"/>
        <v>15802.850000000002</v>
      </c>
      <c r="Q212" s="10">
        <f t="shared" si="17"/>
        <v>1422.2560000000001</v>
      </c>
      <c r="R212" s="11">
        <f t="shared" si="18"/>
        <v>14380.594000000003</v>
      </c>
      <c r="S212" s="1" t="str">
        <f t="shared" si="19"/>
        <v>High</v>
      </c>
      <c r="T212" s="1" t="str" cm="1">
        <f t="array" ref="T212">_xlfn.IFS(L212&gt;5,"High",L212=5,"mediam",L212&lt;5,"low")</f>
        <v>High</v>
      </c>
      <c r="U212" s="1" t="str">
        <f t="shared" si="20"/>
        <v>High</v>
      </c>
      <c r="Z212" s="1">
        <v>1524</v>
      </c>
      <c r="AA212" s="5">
        <v>10211</v>
      </c>
    </row>
    <row r="213" spans="1:27" x14ac:dyDescent="0.3">
      <c r="A213" s="5">
        <v>10212</v>
      </c>
      <c r="B213" s="1">
        <v>1159</v>
      </c>
      <c r="C213" s="2">
        <v>45016</v>
      </c>
      <c r="D213" s="2">
        <v>45019</v>
      </c>
      <c r="E213" s="1" t="s">
        <v>16</v>
      </c>
      <c r="F213" s="1" t="s">
        <v>29</v>
      </c>
      <c r="G213" s="1" t="s">
        <v>30</v>
      </c>
      <c r="H213" s="1" t="s">
        <v>44</v>
      </c>
      <c r="I213" s="1" t="s">
        <v>26</v>
      </c>
      <c r="J213" s="1" t="s">
        <v>61</v>
      </c>
      <c r="K213" s="1" t="s">
        <v>33</v>
      </c>
      <c r="L213" s="1">
        <v>1</v>
      </c>
      <c r="M213" s="1">
        <v>2975.54</v>
      </c>
      <c r="N213" s="1">
        <v>15</v>
      </c>
      <c r="O213" s="1">
        <v>2529.21</v>
      </c>
      <c r="P213" s="1">
        <f t="shared" si="16"/>
        <v>2975.54</v>
      </c>
      <c r="Q213" s="10">
        <f t="shared" si="17"/>
        <v>379.38150000000002</v>
      </c>
      <c r="R213" s="11">
        <f t="shared" si="18"/>
        <v>2596.1585</v>
      </c>
      <c r="S213" s="1" t="str">
        <f t="shared" si="19"/>
        <v>Low</v>
      </c>
      <c r="T213" s="1" t="str" cm="1">
        <f t="array" ref="T213">_xlfn.IFS(L213&gt;5,"High",L213=5,"mediam",L213&lt;5,"low")</f>
        <v>low</v>
      </c>
      <c r="U213" s="1" t="b">
        <f t="shared" si="20"/>
        <v>0</v>
      </c>
      <c r="Z213" s="1">
        <v>1159</v>
      </c>
      <c r="AA213" s="5">
        <v>10212</v>
      </c>
    </row>
    <row r="214" spans="1:27" x14ac:dyDescent="0.3">
      <c r="A214" s="5">
        <v>10213</v>
      </c>
      <c r="B214" s="1">
        <v>1838</v>
      </c>
      <c r="C214" s="2">
        <v>45186</v>
      </c>
      <c r="D214" s="2">
        <v>45193</v>
      </c>
      <c r="E214" s="1" t="s">
        <v>15</v>
      </c>
      <c r="F214" s="1" t="s">
        <v>41</v>
      </c>
      <c r="G214" s="1" t="s">
        <v>24</v>
      </c>
      <c r="H214" s="1" t="s">
        <v>42</v>
      </c>
      <c r="I214" s="1" t="s">
        <v>49</v>
      </c>
      <c r="J214" s="1" t="s">
        <v>63</v>
      </c>
      <c r="K214" s="1" t="s">
        <v>21</v>
      </c>
      <c r="L214" s="1">
        <v>4</v>
      </c>
      <c r="M214" s="1">
        <v>1484.25</v>
      </c>
      <c r="N214" s="1">
        <v>20</v>
      </c>
      <c r="O214" s="1">
        <v>4749.6000000000004</v>
      </c>
      <c r="P214" s="1">
        <f t="shared" si="16"/>
        <v>5937</v>
      </c>
      <c r="Q214" s="10">
        <f t="shared" si="17"/>
        <v>949.92000000000007</v>
      </c>
      <c r="R214" s="11">
        <f t="shared" si="18"/>
        <v>4987.08</v>
      </c>
      <c r="S214" s="1" t="str">
        <f t="shared" si="19"/>
        <v>Low</v>
      </c>
      <c r="T214" s="1" t="str" cm="1">
        <f t="array" ref="T214">_xlfn.IFS(L214&gt;5,"High",L214=5,"mediam",L214&lt;5,"low")</f>
        <v>low</v>
      </c>
      <c r="U214" s="1" t="b">
        <f t="shared" si="20"/>
        <v>0</v>
      </c>
      <c r="Z214" s="1">
        <v>1838</v>
      </c>
      <c r="AA214" s="5">
        <v>10213</v>
      </c>
    </row>
    <row r="215" spans="1:27" x14ac:dyDescent="0.3">
      <c r="A215" s="5">
        <v>10214</v>
      </c>
      <c r="B215" s="1">
        <v>1698</v>
      </c>
      <c r="C215" s="2">
        <v>45052</v>
      </c>
      <c r="D215" s="2">
        <v>45061</v>
      </c>
      <c r="E215" s="1" t="s">
        <v>37</v>
      </c>
      <c r="F215" s="1" t="s">
        <v>29</v>
      </c>
      <c r="G215" s="1" t="s">
        <v>24</v>
      </c>
      <c r="H215" s="1" t="s">
        <v>44</v>
      </c>
      <c r="I215" s="1" t="s">
        <v>49</v>
      </c>
      <c r="J215" s="1" t="s">
        <v>63</v>
      </c>
      <c r="K215" s="1" t="s">
        <v>47</v>
      </c>
      <c r="L215" s="1">
        <v>4</v>
      </c>
      <c r="M215" s="1">
        <v>1719.71</v>
      </c>
      <c r="N215" s="1">
        <v>15</v>
      </c>
      <c r="O215" s="1">
        <v>5847.01</v>
      </c>
      <c r="P215" s="1">
        <f t="shared" si="16"/>
        <v>6878.84</v>
      </c>
      <c r="Q215" s="10">
        <f t="shared" si="17"/>
        <v>877.05150000000003</v>
      </c>
      <c r="R215" s="11">
        <f t="shared" si="18"/>
        <v>6001.7885000000006</v>
      </c>
      <c r="S215" s="1" t="str">
        <f t="shared" si="19"/>
        <v>Low</v>
      </c>
      <c r="T215" s="1" t="str" cm="1">
        <f t="array" ref="T215">_xlfn.IFS(L215&gt;5,"High",L215=5,"mediam",L215&lt;5,"low")</f>
        <v>low</v>
      </c>
      <c r="U215" s="1" t="b">
        <f t="shared" si="20"/>
        <v>0</v>
      </c>
      <c r="Z215" s="1">
        <v>1698</v>
      </c>
      <c r="AA215" s="5">
        <v>10214</v>
      </c>
    </row>
    <row r="216" spans="1:27" x14ac:dyDescent="0.3">
      <c r="A216" s="5">
        <v>10215</v>
      </c>
      <c r="B216" s="1">
        <v>1242</v>
      </c>
      <c r="C216" s="2">
        <v>45157</v>
      </c>
      <c r="D216" s="2">
        <v>45162</v>
      </c>
      <c r="E216" s="1" t="s">
        <v>15</v>
      </c>
      <c r="F216" s="1" t="s">
        <v>16</v>
      </c>
      <c r="G216" s="1" t="s">
        <v>17</v>
      </c>
      <c r="H216" s="1" t="s">
        <v>25</v>
      </c>
      <c r="I216" s="1" t="s">
        <v>26</v>
      </c>
      <c r="J216" s="1" t="s">
        <v>27</v>
      </c>
      <c r="K216" s="1" t="s">
        <v>21</v>
      </c>
      <c r="L216" s="1">
        <v>5</v>
      </c>
      <c r="M216" s="1">
        <v>633.42999999999995</v>
      </c>
      <c r="N216" s="1">
        <v>20</v>
      </c>
      <c r="O216" s="1">
        <v>2533.7199999999998</v>
      </c>
      <c r="P216" s="1">
        <f t="shared" si="16"/>
        <v>3167.1499999999996</v>
      </c>
      <c r="Q216" s="10">
        <f t="shared" si="17"/>
        <v>506.74399999999997</v>
      </c>
      <c r="R216" s="11">
        <f t="shared" si="18"/>
        <v>2660.4059999999995</v>
      </c>
      <c r="S216" s="1" t="str">
        <f t="shared" si="19"/>
        <v>High</v>
      </c>
      <c r="T216" s="1" t="str" cm="1">
        <f t="array" ref="T216">_xlfn.IFS(L216&gt;5,"High",L216=5,"mediam",L216&lt;5,"low")</f>
        <v>mediam</v>
      </c>
      <c r="U216" s="1" t="b">
        <f t="shared" si="20"/>
        <v>0</v>
      </c>
      <c r="Z216" s="1">
        <v>1242</v>
      </c>
      <c r="AA216" s="5">
        <v>10215</v>
      </c>
    </row>
    <row r="217" spans="1:27" x14ac:dyDescent="0.3">
      <c r="A217" s="5">
        <v>10216</v>
      </c>
      <c r="B217" s="1">
        <v>1085</v>
      </c>
      <c r="C217" s="2">
        <v>45221</v>
      </c>
      <c r="D217" s="2">
        <v>45227</v>
      </c>
      <c r="E217" s="1" t="s">
        <v>37</v>
      </c>
      <c r="F217" s="1" t="s">
        <v>23</v>
      </c>
      <c r="G217" s="1" t="s">
        <v>24</v>
      </c>
      <c r="H217" s="1" t="s">
        <v>18</v>
      </c>
      <c r="I217" s="1" t="s">
        <v>57</v>
      </c>
      <c r="J217" s="1" t="s">
        <v>67</v>
      </c>
      <c r="K217" s="1" t="s">
        <v>21</v>
      </c>
      <c r="L217" s="1">
        <v>6</v>
      </c>
      <c r="M217" s="1">
        <v>809.49</v>
      </c>
      <c r="N217" s="1">
        <v>5</v>
      </c>
      <c r="O217" s="1">
        <v>4614.09</v>
      </c>
      <c r="P217" s="1">
        <f t="shared" si="16"/>
        <v>4856.9400000000005</v>
      </c>
      <c r="Q217" s="10">
        <f t="shared" si="17"/>
        <v>230.70450000000002</v>
      </c>
      <c r="R217" s="11">
        <f t="shared" si="18"/>
        <v>4626.2355000000007</v>
      </c>
      <c r="S217" s="1" t="str">
        <f t="shared" si="19"/>
        <v>High</v>
      </c>
      <c r="T217" s="1" t="str" cm="1">
        <f t="array" ref="T217">_xlfn.IFS(L217&gt;5,"High",L217=5,"mediam",L217&lt;5,"low")</f>
        <v>High</v>
      </c>
      <c r="U217" s="1" t="str">
        <f t="shared" si="20"/>
        <v>High</v>
      </c>
      <c r="Z217" s="1">
        <v>1085</v>
      </c>
      <c r="AA217" s="5">
        <v>10216</v>
      </c>
    </row>
    <row r="218" spans="1:27" x14ac:dyDescent="0.3">
      <c r="A218" s="5">
        <v>10217</v>
      </c>
      <c r="B218" s="1">
        <v>1795</v>
      </c>
      <c r="C218" s="2">
        <v>45055</v>
      </c>
      <c r="D218" s="2">
        <v>45057</v>
      </c>
      <c r="E218" s="1" t="s">
        <v>37</v>
      </c>
      <c r="F218" s="1" t="s">
        <v>41</v>
      </c>
      <c r="G218" s="1" t="s">
        <v>24</v>
      </c>
      <c r="H218" s="1" t="s">
        <v>42</v>
      </c>
      <c r="I218" s="1" t="s">
        <v>49</v>
      </c>
      <c r="J218" s="1" t="s">
        <v>50</v>
      </c>
      <c r="K218" s="1" t="s">
        <v>28</v>
      </c>
      <c r="L218" s="1">
        <v>4</v>
      </c>
      <c r="M218" s="1">
        <v>3335.32</v>
      </c>
      <c r="N218" s="1">
        <v>20</v>
      </c>
      <c r="O218" s="1">
        <v>10673.02</v>
      </c>
      <c r="P218" s="1">
        <f t="shared" si="16"/>
        <v>13341.28</v>
      </c>
      <c r="Q218" s="10">
        <f t="shared" si="17"/>
        <v>2134.6040000000003</v>
      </c>
      <c r="R218" s="11">
        <f t="shared" si="18"/>
        <v>11206.675999999999</v>
      </c>
      <c r="S218" s="1" t="str">
        <f t="shared" si="19"/>
        <v>Low</v>
      </c>
      <c r="T218" s="1" t="str" cm="1">
        <f t="array" ref="T218">_xlfn.IFS(L218&gt;5,"High",L218=5,"mediam",L218&lt;5,"low")</f>
        <v>low</v>
      </c>
      <c r="U218" s="1" t="b">
        <f t="shared" si="20"/>
        <v>0</v>
      </c>
      <c r="Z218" s="1">
        <v>1795</v>
      </c>
      <c r="AA218" s="5">
        <v>10217</v>
      </c>
    </row>
    <row r="219" spans="1:27" x14ac:dyDescent="0.3">
      <c r="A219" s="5">
        <v>10218</v>
      </c>
      <c r="B219" s="1">
        <v>1577</v>
      </c>
      <c r="C219" s="2">
        <v>45206</v>
      </c>
      <c r="D219" s="2">
        <v>45209</v>
      </c>
      <c r="E219" s="1" t="s">
        <v>37</v>
      </c>
      <c r="F219" s="1" t="s">
        <v>29</v>
      </c>
      <c r="G219" s="1" t="s">
        <v>17</v>
      </c>
      <c r="H219" s="1" t="s">
        <v>44</v>
      </c>
      <c r="I219" s="1" t="s">
        <v>26</v>
      </c>
      <c r="J219" s="1" t="s">
        <v>69</v>
      </c>
      <c r="K219" s="1" t="s">
        <v>45</v>
      </c>
      <c r="L219" s="1">
        <v>2</v>
      </c>
      <c r="M219" s="1">
        <v>2401.63</v>
      </c>
      <c r="N219" s="1">
        <v>0</v>
      </c>
      <c r="O219" s="1">
        <v>4803.26</v>
      </c>
      <c r="P219" s="1">
        <f t="shared" si="16"/>
        <v>4803.26</v>
      </c>
      <c r="Q219" s="10">
        <f t="shared" si="17"/>
        <v>0</v>
      </c>
      <c r="R219" s="11">
        <f t="shared" si="18"/>
        <v>4803.26</v>
      </c>
      <c r="S219" s="1" t="str">
        <f t="shared" si="19"/>
        <v>Low</v>
      </c>
      <c r="T219" s="1" t="str" cm="1">
        <f t="array" ref="T219">_xlfn.IFS(L219&gt;5,"High",L219=5,"mediam",L219&lt;5,"low")</f>
        <v>low</v>
      </c>
      <c r="U219" s="1" t="b">
        <f t="shared" si="20"/>
        <v>0</v>
      </c>
      <c r="Z219" s="1">
        <v>1577</v>
      </c>
      <c r="AA219" s="5">
        <v>10218</v>
      </c>
    </row>
    <row r="220" spans="1:27" x14ac:dyDescent="0.3">
      <c r="A220" s="5">
        <v>10219</v>
      </c>
      <c r="B220" s="1">
        <v>1681</v>
      </c>
      <c r="C220" s="2">
        <v>45239</v>
      </c>
      <c r="D220" s="2">
        <v>45242</v>
      </c>
      <c r="E220" s="1" t="s">
        <v>40</v>
      </c>
      <c r="F220" s="1" t="s">
        <v>54</v>
      </c>
      <c r="G220" s="1" t="s">
        <v>30</v>
      </c>
      <c r="H220" s="1" t="s">
        <v>35</v>
      </c>
      <c r="I220" s="1" t="s">
        <v>52</v>
      </c>
      <c r="J220" s="1" t="s">
        <v>64</v>
      </c>
      <c r="K220" s="1" t="s">
        <v>33</v>
      </c>
      <c r="L220" s="1">
        <v>6</v>
      </c>
      <c r="M220" s="1">
        <v>1449.5</v>
      </c>
      <c r="N220" s="1">
        <v>0</v>
      </c>
      <c r="O220" s="1">
        <v>8697</v>
      </c>
      <c r="P220" s="1">
        <f t="shared" si="16"/>
        <v>8697</v>
      </c>
      <c r="Q220" s="10">
        <f t="shared" si="17"/>
        <v>0</v>
      </c>
      <c r="R220" s="11">
        <f t="shared" si="18"/>
        <v>8697</v>
      </c>
      <c r="S220" s="1" t="str">
        <f t="shared" si="19"/>
        <v>High</v>
      </c>
      <c r="T220" s="1" t="str" cm="1">
        <f t="array" ref="T220">_xlfn.IFS(L220&gt;5,"High",L220=5,"mediam",L220&lt;5,"low")</f>
        <v>High</v>
      </c>
      <c r="U220" s="1" t="str">
        <f t="shared" si="20"/>
        <v>High</v>
      </c>
      <c r="Z220" s="1">
        <v>1681</v>
      </c>
      <c r="AA220" s="5">
        <v>10219</v>
      </c>
    </row>
    <row r="221" spans="1:27" x14ac:dyDescent="0.3">
      <c r="A221" s="5">
        <v>10220</v>
      </c>
      <c r="B221" s="1">
        <v>1556</v>
      </c>
      <c r="C221" s="2">
        <v>45026</v>
      </c>
      <c r="D221" s="2">
        <v>45035</v>
      </c>
      <c r="E221" s="1" t="s">
        <v>37</v>
      </c>
      <c r="F221" s="1" t="s">
        <v>16</v>
      </c>
      <c r="G221" s="1" t="s">
        <v>24</v>
      </c>
      <c r="H221" s="1" t="s">
        <v>18</v>
      </c>
      <c r="I221" s="1" t="s">
        <v>19</v>
      </c>
      <c r="J221" s="1" t="s">
        <v>55</v>
      </c>
      <c r="K221" s="1" t="s">
        <v>21</v>
      </c>
      <c r="L221" s="1">
        <v>8</v>
      </c>
      <c r="M221" s="1">
        <v>3240.98</v>
      </c>
      <c r="N221" s="1">
        <v>0</v>
      </c>
      <c r="O221" s="1">
        <v>25927.84</v>
      </c>
      <c r="P221" s="1">
        <f t="shared" si="16"/>
        <v>25927.84</v>
      </c>
      <c r="Q221" s="10">
        <f t="shared" si="17"/>
        <v>0</v>
      </c>
      <c r="R221" s="11">
        <f t="shared" si="18"/>
        <v>25927.84</v>
      </c>
      <c r="S221" s="1" t="str">
        <f t="shared" si="19"/>
        <v>High</v>
      </c>
      <c r="T221" s="1" t="str" cm="1">
        <f t="array" ref="T221">_xlfn.IFS(L221&gt;5,"High",L221=5,"mediam",L221&lt;5,"low")</f>
        <v>High</v>
      </c>
      <c r="U221" s="1" t="str">
        <f t="shared" si="20"/>
        <v>High</v>
      </c>
      <c r="Z221" s="1">
        <v>1556</v>
      </c>
      <c r="AA221" s="5">
        <v>10220</v>
      </c>
    </row>
    <row r="222" spans="1:27" x14ac:dyDescent="0.3">
      <c r="A222" s="5">
        <v>10221</v>
      </c>
      <c r="B222" s="1">
        <v>1573</v>
      </c>
      <c r="C222" s="2">
        <v>45252</v>
      </c>
      <c r="D222" s="2">
        <v>45259</v>
      </c>
      <c r="E222" s="1" t="s">
        <v>37</v>
      </c>
      <c r="F222" s="1" t="s">
        <v>23</v>
      </c>
      <c r="G222" s="1" t="s">
        <v>17</v>
      </c>
      <c r="H222" s="1" t="s">
        <v>25</v>
      </c>
      <c r="I222" s="1" t="s">
        <v>19</v>
      </c>
      <c r="J222" s="1" t="s">
        <v>20</v>
      </c>
      <c r="K222" s="1" t="s">
        <v>33</v>
      </c>
      <c r="L222" s="1">
        <v>8</v>
      </c>
      <c r="M222" s="1">
        <v>1099.0999999999999</v>
      </c>
      <c r="N222" s="1">
        <v>10</v>
      </c>
      <c r="O222" s="1">
        <v>7913.52</v>
      </c>
      <c r="P222" s="1">
        <f t="shared" si="16"/>
        <v>8792.7999999999993</v>
      </c>
      <c r="Q222" s="10">
        <f t="shared" si="17"/>
        <v>791.35200000000009</v>
      </c>
      <c r="R222" s="11">
        <f t="shared" si="18"/>
        <v>8001.4479999999994</v>
      </c>
      <c r="S222" s="1" t="str">
        <f t="shared" si="19"/>
        <v>High</v>
      </c>
      <c r="T222" s="1" t="str" cm="1">
        <f t="array" ref="T222">_xlfn.IFS(L222&gt;5,"High",L222=5,"mediam",L222&lt;5,"low")</f>
        <v>High</v>
      </c>
      <c r="U222" s="1" t="str">
        <f t="shared" si="20"/>
        <v>High</v>
      </c>
      <c r="Z222" s="1">
        <v>1573</v>
      </c>
      <c r="AA222" s="5">
        <v>10221</v>
      </c>
    </row>
    <row r="223" spans="1:27" x14ac:dyDescent="0.3">
      <c r="A223" s="5">
        <v>10222</v>
      </c>
      <c r="B223" s="1">
        <v>1952</v>
      </c>
      <c r="C223" s="2">
        <v>45223</v>
      </c>
      <c r="D223" s="2">
        <v>45231</v>
      </c>
      <c r="E223" s="1" t="s">
        <v>16</v>
      </c>
      <c r="F223" s="1" t="s">
        <v>16</v>
      </c>
      <c r="G223" s="1" t="s">
        <v>24</v>
      </c>
      <c r="H223" s="1" t="s">
        <v>44</v>
      </c>
      <c r="I223" s="1" t="s">
        <v>49</v>
      </c>
      <c r="J223" s="1" t="s">
        <v>51</v>
      </c>
      <c r="K223" s="1" t="s">
        <v>21</v>
      </c>
      <c r="L223" s="1">
        <v>7</v>
      </c>
      <c r="M223" s="1">
        <v>3907.73</v>
      </c>
      <c r="N223" s="1">
        <v>10</v>
      </c>
      <c r="O223" s="1">
        <v>24618.7</v>
      </c>
      <c r="P223" s="1">
        <f t="shared" si="16"/>
        <v>27354.11</v>
      </c>
      <c r="Q223" s="10">
        <f t="shared" si="17"/>
        <v>2461.8700000000003</v>
      </c>
      <c r="R223" s="11">
        <f t="shared" si="18"/>
        <v>24892.240000000002</v>
      </c>
      <c r="S223" s="1" t="str">
        <f t="shared" si="19"/>
        <v>High</v>
      </c>
      <c r="T223" s="1" t="str" cm="1">
        <f t="array" ref="T223">_xlfn.IFS(L223&gt;5,"High",L223=5,"mediam",L223&lt;5,"low")</f>
        <v>High</v>
      </c>
      <c r="U223" s="1" t="str">
        <f t="shared" si="20"/>
        <v>High</v>
      </c>
      <c r="Z223" s="1">
        <v>1952</v>
      </c>
      <c r="AA223" s="5">
        <v>10222</v>
      </c>
    </row>
    <row r="224" spans="1:27" x14ac:dyDescent="0.3">
      <c r="A224" s="5">
        <v>10223</v>
      </c>
      <c r="B224" s="1">
        <v>1645</v>
      </c>
      <c r="C224" s="2">
        <v>45108</v>
      </c>
      <c r="D224" s="2">
        <v>45117</v>
      </c>
      <c r="E224" s="1" t="s">
        <v>46</v>
      </c>
      <c r="F224" s="1" t="s">
        <v>54</v>
      </c>
      <c r="G224" s="1" t="s">
        <v>17</v>
      </c>
      <c r="H224" s="1" t="s">
        <v>25</v>
      </c>
      <c r="I224" s="1" t="s">
        <v>57</v>
      </c>
      <c r="J224" s="1" t="s">
        <v>59</v>
      </c>
      <c r="K224" s="1" t="s">
        <v>47</v>
      </c>
      <c r="L224" s="1">
        <v>6</v>
      </c>
      <c r="M224" s="1">
        <v>1477.55</v>
      </c>
      <c r="N224" s="1">
        <v>10</v>
      </c>
      <c r="O224" s="1">
        <v>7978.77</v>
      </c>
      <c r="P224" s="1">
        <f t="shared" si="16"/>
        <v>8865.2999999999993</v>
      </c>
      <c r="Q224" s="10">
        <f t="shared" si="17"/>
        <v>797.87700000000007</v>
      </c>
      <c r="R224" s="11">
        <f t="shared" si="18"/>
        <v>8067.4229999999989</v>
      </c>
      <c r="S224" s="1" t="str">
        <f t="shared" si="19"/>
        <v>High</v>
      </c>
      <c r="T224" s="1" t="str" cm="1">
        <f t="array" ref="T224">_xlfn.IFS(L224&gt;5,"High",L224=5,"mediam",L224&lt;5,"low")</f>
        <v>High</v>
      </c>
      <c r="U224" s="1" t="str">
        <f t="shared" si="20"/>
        <v>High</v>
      </c>
      <c r="Z224" s="1">
        <v>1645</v>
      </c>
      <c r="AA224" s="5">
        <v>10223</v>
      </c>
    </row>
    <row r="225" spans="1:27" x14ac:dyDescent="0.3">
      <c r="A225" s="5">
        <v>10224</v>
      </c>
      <c r="B225" s="1">
        <v>1795</v>
      </c>
      <c r="C225" s="2">
        <v>45100</v>
      </c>
      <c r="D225" s="2">
        <v>45106</v>
      </c>
      <c r="E225" s="1" t="s">
        <v>34</v>
      </c>
      <c r="F225" s="1" t="s">
        <v>23</v>
      </c>
      <c r="G225" s="1" t="s">
        <v>30</v>
      </c>
      <c r="H225" s="1" t="s">
        <v>25</v>
      </c>
      <c r="I225" s="1" t="s">
        <v>57</v>
      </c>
      <c r="J225" s="1" t="s">
        <v>58</v>
      </c>
      <c r="K225" s="1" t="s">
        <v>21</v>
      </c>
      <c r="L225" s="1">
        <v>2</v>
      </c>
      <c r="M225" s="1">
        <v>1448.65</v>
      </c>
      <c r="N225" s="1">
        <v>20</v>
      </c>
      <c r="O225" s="1">
        <v>2317.84</v>
      </c>
      <c r="P225" s="1">
        <f t="shared" si="16"/>
        <v>2897.3</v>
      </c>
      <c r="Q225" s="10">
        <f t="shared" si="17"/>
        <v>463.56800000000004</v>
      </c>
      <c r="R225" s="11">
        <f t="shared" si="18"/>
        <v>2433.732</v>
      </c>
      <c r="S225" s="1" t="str">
        <f t="shared" si="19"/>
        <v>Low</v>
      </c>
      <c r="T225" s="1" t="str" cm="1">
        <f t="array" ref="T225">_xlfn.IFS(L225&gt;5,"High",L225=5,"mediam",L225&lt;5,"low")</f>
        <v>low</v>
      </c>
      <c r="U225" s="1" t="b">
        <f t="shared" si="20"/>
        <v>0</v>
      </c>
      <c r="Z225" s="1">
        <v>1795</v>
      </c>
      <c r="AA225" s="5">
        <v>10224</v>
      </c>
    </row>
    <row r="226" spans="1:27" x14ac:dyDescent="0.3">
      <c r="A226" s="5">
        <v>10225</v>
      </c>
      <c r="B226" s="1">
        <v>1027</v>
      </c>
      <c r="C226" s="2">
        <v>45242</v>
      </c>
      <c r="D226" s="2">
        <v>45246</v>
      </c>
      <c r="E226" s="1" t="s">
        <v>46</v>
      </c>
      <c r="F226" s="1" t="s">
        <v>16</v>
      </c>
      <c r="G226" s="1" t="s">
        <v>30</v>
      </c>
      <c r="H226" s="1" t="s">
        <v>42</v>
      </c>
      <c r="I226" s="1" t="s">
        <v>52</v>
      </c>
      <c r="J226" s="1" t="s">
        <v>53</v>
      </c>
      <c r="K226" s="1" t="s">
        <v>28</v>
      </c>
      <c r="L226" s="1">
        <v>7</v>
      </c>
      <c r="M226" s="1">
        <v>1350.86</v>
      </c>
      <c r="N226" s="1">
        <v>10</v>
      </c>
      <c r="O226" s="1">
        <v>8510.42</v>
      </c>
      <c r="P226" s="1">
        <f t="shared" si="16"/>
        <v>9456.0199999999986</v>
      </c>
      <c r="Q226" s="10">
        <f t="shared" si="17"/>
        <v>851.04200000000003</v>
      </c>
      <c r="R226" s="11">
        <f t="shared" si="18"/>
        <v>8604.9779999999992</v>
      </c>
      <c r="S226" s="1" t="str">
        <f t="shared" si="19"/>
        <v>High</v>
      </c>
      <c r="T226" s="1" t="str" cm="1">
        <f t="array" ref="T226">_xlfn.IFS(L226&gt;5,"High",L226=5,"mediam",L226&lt;5,"low")</f>
        <v>High</v>
      </c>
      <c r="U226" s="1" t="str">
        <f t="shared" si="20"/>
        <v>High</v>
      </c>
      <c r="Z226" s="1">
        <v>1027</v>
      </c>
      <c r="AA226" s="5">
        <v>10225</v>
      </c>
    </row>
    <row r="227" spans="1:27" x14ac:dyDescent="0.3">
      <c r="A227" s="5">
        <v>10226</v>
      </c>
      <c r="B227" s="1">
        <v>1619</v>
      </c>
      <c r="C227" s="2">
        <v>45290</v>
      </c>
      <c r="D227" s="2">
        <v>45291</v>
      </c>
      <c r="E227" s="1" t="s">
        <v>37</v>
      </c>
      <c r="F227" s="1" t="s">
        <v>38</v>
      </c>
      <c r="G227" s="1" t="s">
        <v>17</v>
      </c>
      <c r="H227" s="1" t="s">
        <v>42</v>
      </c>
      <c r="I227" s="1" t="s">
        <v>49</v>
      </c>
      <c r="J227" s="1" t="s">
        <v>63</v>
      </c>
      <c r="K227" s="1" t="s">
        <v>45</v>
      </c>
      <c r="L227" s="1">
        <v>5</v>
      </c>
      <c r="M227" s="1">
        <v>620.13</v>
      </c>
      <c r="N227" s="1">
        <v>5</v>
      </c>
      <c r="O227" s="1">
        <v>2945.62</v>
      </c>
      <c r="P227" s="1">
        <f t="shared" si="16"/>
        <v>3100.65</v>
      </c>
      <c r="Q227" s="10">
        <f t="shared" si="17"/>
        <v>147.28100000000001</v>
      </c>
      <c r="R227" s="11">
        <f t="shared" si="18"/>
        <v>2953.3690000000001</v>
      </c>
      <c r="S227" s="1" t="str">
        <f t="shared" si="19"/>
        <v>High</v>
      </c>
      <c r="T227" s="1" t="str" cm="1">
        <f t="array" ref="T227">_xlfn.IFS(L227&gt;5,"High",L227=5,"mediam",L227&lt;5,"low")</f>
        <v>mediam</v>
      </c>
      <c r="U227" s="1" t="b">
        <f t="shared" si="20"/>
        <v>0</v>
      </c>
      <c r="Z227" s="1">
        <v>1619</v>
      </c>
      <c r="AA227" s="5">
        <v>10226</v>
      </c>
    </row>
    <row r="228" spans="1:27" x14ac:dyDescent="0.3">
      <c r="A228" s="5">
        <v>10227</v>
      </c>
      <c r="B228" s="1">
        <v>1555</v>
      </c>
      <c r="C228" s="2">
        <v>45114</v>
      </c>
      <c r="D228" s="2">
        <v>45122</v>
      </c>
      <c r="E228" s="1" t="s">
        <v>16</v>
      </c>
      <c r="F228" s="1" t="s">
        <v>54</v>
      </c>
      <c r="G228" s="1" t="s">
        <v>17</v>
      </c>
      <c r="H228" s="1" t="s">
        <v>44</v>
      </c>
      <c r="I228" s="1" t="s">
        <v>19</v>
      </c>
      <c r="J228" s="1" t="s">
        <v>55</v>
      </c>
      <c r="K228" s="1" t="s">
        <v>47</v>
      </c>
      <c r="L228" s="1">
        <v>6</v>
      </c>
      <c r="M228" s="1">
        <v>577.88</v>
      </c>
      <c r="N228" s="1">
        <v>0</v>
      </c>
      <c r="O228" s="1">
        <v>3467.28</v>
      </c>
      <c r="P228" s="1">
        <f t="shared" si="16"/>
        <v>3467.2799999999997</v>
      </c>
      <c r="Q228" s="10">
        <f t="shared" si="17"/>
        <v>0</v>
      </c>
      <c r="R228" s="11">
        <f t="shared" si="18"/>
        <v>3467.2799999999997</v>
      </c>
      <c r="S228" s="1" t="str">
        <f t="shared" si="19"/>
        <v>High</v>
      </c>
      <c r="T228" s="1" t="str" cm="1">
        <f t="array" ref="T228">_xlfn.IFS(L228&gt;5,"High",L228=5,"mediam",L228&lt;5,"low")</f>
        <v>High</v>
      </c>
      <c r="U228" s="1" t="str">
        <f t="shared" si="20"/>
        <v>High</v>
      </c>
      <c r="Z228" s="1">
        <v>1555</v>
      </c>
      <c r="AA228" s="5">
        <v>10227</v>
      </c>
    </row>
    <row r="229" spans="1:27" x14ac:dyDescent="0.3">
      <c r="A229" s="5">
        <v>10228</v>
      </c>
      <c r="B229" s="1">
        <v>1339</v>
      </c>
      <c r="C229" s="2">
        <v>44983</v>
      </c>
      <c r="D229" s="2">
        <v>44990</v>
      </c>
      <c r="E229" s="1" t="s">
        <v>15</v>
      </c>
      <c r="F229" s="1" t="s">
        <v>54</v>
      </c>
      <c r="G229" s="1" t="s">
        <v>17</v>
      </c>
      <c r="H229" s="1" t="s">
        <v>35</v>
      </c>
      <c r="I229" s="1" t="s">
        <v>57</v>
      </c>
      <c r="J229" s="1" t="s">
        <v>62</v>
      </c>
      <c r="K229" s="1" t="s">
        <v>21</v>
      </c>
      <c r="L229" s="1">
        <v>8</v>
      </c>
      <c r="M229" s="1">
        <v>2645.2</v>
      </c>
      <c r="N229" s="1">
        <v>20</v>
      </c>
      <c r="O229" s="1">
        <v>16929.28</v>
      </c>
      <c r="P229" s="1">
        <f t="shared" si="16"/>
        <v>21161.599999999999</v>
      </c>
      <c r="Q229" s="10">
        <f t="shared" si="17"/>
        <v>3385.8559999999998</v>
      </c>
      <c r="R229" s="11">
        <f t="shared" si="18"/>
        <v>17775.743999999999</v>
      </c>
      <c r="S229" s="1" t="str">
        <f t="shared" si="19"/>
        <v>High</v>
      </c>
      <c r="T229" s="1" t="str" cm="1">
        <f t="array" ref="T229">_xlfn.IFS(L229&gt;5,"High",L229=5,"mediam",L229&lt;5,"low")</f>
        <v>High</v>
      </c>
      <c r="U229" s="1" t="str">
        <f t="shared" si="20"/>
        <v>High</v>
      </c>
      <c r="Z229" s="1">
        <v>1339</v>
      </c>
      <c r="AA229" s="5">
        <v>10228</v>
      </c>
    </row>
    <row r="230" spans="1:27" x14ac:dyDescent="0.3">
      <c r="A230" s="5">
        <v>10229</v>
      </c>
      <c r="B230" s="1">
        <v>1797</v>
      </c>
      <c r="C230" s="2">
        <v>44957</v>
      </c>
      <c r="D230" s="2">
        <v>44959</v>
      </c>
      <c r="E230" s="1" t="s">
        <v>16</v>
      </c>
      <c r="F230" s="1" t="s">
        <v>54</v>
      </c>
      <c r="G230" s="1" t="s">
        <v>30</v>
      </c>
      <c r="H230" s="1" t="s">
        <v>44</v>
      </c>
      <c r="I230" s="1" t="s">
        <v>49</v>
      </c>
      <c r="J230" s="1" t="s">
        <v>68</v>
      </c>
      <c r="K230" s="1" t="s">
        <v>33</v>
      </c>
      <c r="L230" s="1">
        <v>8</v>
      </c>
      <c r="M230" s="1">
        <v>3519.2</v>
      </c>
      <c r="N230" s="1">
        <v>0</v>
      </c>
      <c r="O230" s="1">
        <v>28153.599999999999</v>
      </c>
      <c r="P230" s="1">
        <f t="shared" si="16"/>
        <v>28153.599999999999</v>
      </c>
      <c r="Q230" s="10">
        <f t="shared" si="17"/>
        <v>0</v>
      </c>
      <c r="R230" s="11">
        <f t="shared" si="18"/>
        <v>28153.599999999999</v>
      </c>
      <c r="S230" s="1" t="str">
        <f t="shared" si="19"/>
        <v>High</v>
      </c>
      <c r="T230" s="1" t="str" cm="1">
        <f t="array" ref="T230">_xlfn.IFS(L230&gt;5,"High",L230=5,"mediam",L230&lt;5,"low")</f>
        <v>High</v>
      </c>
      <c r="U230" s="1" t="str">
        <f t="shared" si="20"/>
        <v>High</v>
      </c>
      <c r="Z230" s="1">
        <v>1797</v>
      </c>
      <c r="AA230" s="5">
        <v>10229</v>
      </c>
    </row>
    <row r="231" spans="1:27" x14ac:dyDescent="0.3">
      <c r="A231" s="5">
        <v>10230</v>
      </c>
      <c r="B231" s="1">
        <v>1957</v>
      </c>
      <c r="C231" s="2">
        <v>45010</v>
      </c>
      <c r="D231" s="2">
        <v>45018</v>
      </c>
      <c r="E231" s="1" t="s">
        <v>37</v>
      </c>
      <c r="F231" s="1" t="s">
        <v>38</v>
      </c>
      <c r="G231" s="1" t="s">
        <v>24</v>
      </c>
      <c r="H231" s="1" t="s">
        <v>35</v>
      </c>
      <c r="I231" s="1" t="s">
        <v>57</v>
      </c>
      <c r="J231" s="1" t="s">
        <v>62</v>
      </c>
      <c r="K231" s="1" t="s">
        <v>47</v>
      </c>
      <c r="L231" s="1">
        <v>3</v>
      </c>
      <c r="M231" s="1">
        <v>3193.5</v>
      </c>
      <c r="N231" s="1">
        <v>10</v>
      </c>
      <c r="O231" s="1">
        <v>8622.4500000000007</v>
      </c>
      <c r="P231" s="1">
        <f t="shared" si="16"/>
        <v>9580.5</v>
      </c>
      <c r="Q231" s="10">
        <f t="shared" si="17"/>
        <v>862.24500000000012</v>
      </c>
      <c r="R231" s="11">
        <f t="shared" si="18"/>
        <v>8718.2549999999992</v>
      </c>
      <c r="S231" s="1" t="str">
        <f t="shared" si="19"/>
        <v>Low</v>
      </c>
      <c r="T231" s="1" t="str" cm="1">
        <f t="array" ref="T231">_xlfn.IFS(L231&gt;5,"High",L231=5,"mediam",L231&lt;5,"low")</f>
        <v>low</v>
      </c>
      <c r="U231" s="1" t="b">
        <f t="shared" si="20"/>
        <v>0</v>
      </c>
      <c r="Z231" s="1">
        <v>1957</v>
      </c>
      <c r="AA231" s="5">
        <v>10230</v>
      </c>
    </row>
    <row r="232" spans="1:27" x14ac:dyDescent="0.3">
      <c r="A232" s="5">
        <v>10231</v>
      </c>
      <c r="B232" s="1">
        <v>1330</v>
      </c>
      <c r="C232" s="2">
        <v>45078</v>
      </c>
      <c r="D232" s="2">
        <v>45083</v>
      </c>
      <c r="E232" s="1" t="s">
        <v>16</v>
      </c>
      <c r="F232" s="1" t="s">
        <v>38</v>
      </c>
      <c r="G232" s="1" t="s">
        <v>30</v>
      </c>
      <c r="H232" s="1" t="s">
        <v>25</v>
      </c>
      <c r="I232" s="1" t="s">
        <v>26</v>
      </c>
      <c r="J232" s="1" t="s">
        <v>36</v>
      </c>
      <c r="K232" s="1" t="s">
        <v>47</v>
      </c>
      <c r="L232" s="1">
        <v>7</v>
      </c>
      <c r="M232" s="1">
        <v>693.26</v>
      </c>
      <c r="N232" s="1">
        <v>20</v>
      </c>
      <c r="O232" s="1">
        <v>3882.26</v>
      </c>
      <c r="P232" s="1">
        <f t="shared" si="16"/>
        <v>4852.82</v>
      </c>
      <c r="Q232" s="10">
        <f t="shared" si="17"/>
        <v>776.45200000000011</v>
      </c>
      <c r="R232" s="11">
        <f t="shared" si="18"/>
        <v>4076.3679999999995</v>
      </c>
      <c r="S232" s="1" t="str">
        <f t="shared" si="19"/>
        <v>High</v>
      </c>
      <c r="T232" s="1" t="str" cm="1">
        <f t="array" ref="T232">_xlfn.IFS(L232&gt;5,"High",L232=5,"mediam",L232&lt;5,"low")</f>
        <v>High</v>
      </c>
      <c r="U232" s="1" t="str">
        <f t="shared" si="20"/>
        <v>High</v>
      </c>
      <c r="Z232" s="1">
        <v>1330</v>
      </c>
      <c r="AA232" s="5">
        <v>10231</v>
      </c>
    </row>
    <row r="233" spans="1:27" x14ac:dyDescent="0.3">
      <c r="A233" s="5">
        <v>10232</v>
      </c>
      <c r="B233" s="1">
        <v>1639</v>
      </c>
      <c r="C233" s="2">
        <v>44962</v>
      </c>
      <c r="D233" s="2">
        <v>44969</v>
      </c>
      <c r="E233" s="1" t="s">
        <v>22</v>
      </c>
      <c r="F233" s="1" t="s">
        <v>29</v>
      </c>
      <c r="G233" s="1" t="s">
        <v>17</v>
      </c>
      <c r="H233" s="1" t="s">
        <v>18</v>
      </c>
      <c r="I233" s="1" t="s">
        <v>57</v>
      </c>
      <c r="J233" s="1" t="s">
        <v>59</v>
      </c>
      <c r="K233" s="1" t="s">
        <v>21</v>
      </c>
      <c r="L233" s="1">
        <v>1</v>
      </c>
      <c r="M233" s="1">
        <v>2250.4899999999998</v>
      </c>
      <c r="N233" s="1">
        <v>15</v>
      </c>
      <c r="O233" s="1">
        <v>1912.92</v>
      </c>
      <c r="P233" s="1">
        <f t="shared" si="16"/>
        <v>2250.4899999999998</v>
      </c>
      <c r="Q233" s="10">
        <f t="shared" si="17"/>
        <v>286.93799999999999</v>
      </c>
      <c r="R233" s="11">
        <f t="shared" si="18"/>
        <v>1963.5519999999997</v>
      </c>
      <c r="S233" s="1" t="str">
        <f t="shared" si="19"/>
        <v>Low</v>
      </c>
      <c r="T233" s="1" t="str" cm="1">
        <f t="array" ref="T233">_xlfn.IFS(L233&gt;5,"High",L233=5,"mediam",L233&lt;5,"low")</f>
        <v>low</v>
      </c>
      <c r="U233" s="1" t="b">
        <f t="shared" si="20"/>
        <v>0</v>
      </c>
      <c r="Z233" s="1">
        <v>1639</v>
      </c>
      <c r="AA233" s="5">
        <v>10232</v>
      </c>
    </row>
    <row r="234" spans="1:27" x14ac:dyDescent="0.3">
      <c r="A234" s="5">
        <v>10233</v>
      </c>
      <c r="B234" s="1">
        <v>1505</v>
      </c>
      <c r="C234" s="2">
        <v>45139</v>
      </c>
      <c r="D234" s="2">
        <v>45143</v>
      </c>
      <c r="E234" s="1" t="s">
        <v>16</v>
      </c>
      <c r="F234" s="1" t="s">
        <v>41</v>
      </c>
      <c r="G234" s="1" t="s">
        <v>17</v>
      </c>
      <c r="H234" s="1" t="s">
        <v>44</v>
      </c>
      <c r="I234" s="1" t="s">
        <v>19</v>
      </c>
      <c r="J234" s="1" t="s">
        <v>55</v>
      </c>
      <c r="K234" s="1" t="s">
        <v>47</v>
      </c>
      <c r="L234" s="1">
        <v>1</v>
      </c>
      <c r="M234" s="1">
        <v>556.53</v>
      </c>
      <c r="N234" s="1">
        <v>5</v>
      </c>
      <c r="O234" s="1">
        <v>528.70000000000005</v>
      </c>
      <c r="P234" s="1">
        <f t="shared" si="16"/>
        <v>556.53</v>
      </c>
      <c r="Q234" s="10">
        <f t="shared" si="17"/>
        <v>26.435000000000002</v>
      </c>
      <c r="R234" s="11">
        <f t="shared" si="18"/>
        <v>530.09500000000003</v>
      </c>
      <c r="S234" s="1" t="str">
        <f t="shared" si="19"/>
        <v>Low</v>
      </c>
      <c r="T234" s="1" t="str" cm="1">
        <f t="array" ref="T234">_xlfn.IFS(L234&gt;5,"High",L234=5,"mediam",L234&lt;5,"low")</f>
        <v>low</v>
      </c>
      <c r="U234" s="1" t="b">
        <f t="shared" si="20"/>
        <v>0</v>
      </c>
      <c r="Z234" s="1">
        <v>1505</v>
      </c>
      <c r="AA234" s="5">
        <v>10233</v>
      </c>
    </row>
    <row r="235" spans="1:27" x14ac:dyDescent="0.3">
      <c r="A235" s="5">
        <v>10234</v>
      </c>
      <c r="B235" s="1">
        <v>1347</v>
      </c>
      <c r="C235" s="2">
        <v>45290</v>
      </c>
      <c r="D235" s="2">
        <v>45295</v>
      </c>
      <c r="E235" s="1" t="s">
        <v>37</v>
      </c>
      <c r="F235" s="1" t="s">
        <v>16</v>
      </c>
      <c r="G235" s="1" t="s">
        <v>30</v>
      </c>
      <c r="H235" s="1" t="s">
        <v>44</v>
      </c>
      <c r="I235" s="1" t="s">
        <v>31</v>
      </c>
      <c r="J235" s="1" t="s">
        <v>48</v>
      </c>
      <c r="K235" s="1" t="s">
        <v>33</v>
      </c>
      <c r="L235" s="1">
        <v>7</v>
      </c>
      <c r="M235" s="1">
        <v>324.38</v>
      </c>
      <c r="N235" s="1">
        <v>10</v>
      </c>
      <c r="O235" s="1">
        <v>2043.59</v>
      </c>
      <c r="P235" s="1">
        <f t="shared" si="16"/>
        <v>2270.66</v>
      </c>
      <c r="Q235" s="10">
        <f t="shared" si="17"/>
        <v>204.35900000000001</v>
      </c>
      <c r="R235" s="11">
        <f t="shared" si="18"/>
        <v>2066.3009999999999</v>
      </c>
      <c r="S235" s="1" t="str">
        <f t="shared" si="19"/>
        <v>High</v>
      </c>
      <c r="T235" s="1" t="str" cm="1">
        <f t="array" ref="T235">_xlfn.IFS(L235&gt;5,"High",L235=5,"mediam",L235&lt;5,"low")</f>
        <v>High</v>
      </c>
      <c r="U235" s="1" t="str">
        <f t="shared" si="20"/>
        <v>High</v>
      </c>
      <c r="Z235" s="1">
        <v>1347</v>
      </c>
      <c r="AA235" s="5">
        <v>10234</v>
      </c>
    </row>
    <row r="236" spans="1:27" x14ac:dyDescent="0.3">
      <c r="A236" s="5">
        <v>10235</v>
      </c>
      <c r="B236" s="1">
        <v>1472</v>
      </c>
      <c r="C236" s="2">
        <v>45032</v>
      </c>
      <c r="D236" s="2">
        <v>45040</v>
      </c>
      <c r="E236" s="1" t="s">
        <v>40</v>
      </c>
      <c r="F236" s="1" t="s">
        <v>29</v>
      </c>
      <c r="G236" s="1" t="s">
        <v>17</v>
      </c>
      <c r="H236" s="1" t="s">
        <v>35</v>
      </c>
      <c r="I236" s="1" t="s">
        <v>52</v>
      </c>
      <c r="J236" s="1" t="s">
        <v>60</v>
      </c>
      <c r="K236" s="1" t="s">
        <v>47</v>
      </c>
      <c r="L236" s="1">
        <v>9</v>
      </c>
      <c r="M236" s="1">
        <v>2677.09</v>
      </c>
      <c r="N236" s="1">
        <v>10</v>
      </c>
      <c r="O236" s="1">
        <v>21684.43</v>
      </c>
      <c r="P236" s="1">
        <f t="shared" si="16"/>
        <v>24093.81</v>
      </c>
      <c r="Q236" s="10">
        <f t="shared" si="17"/>
        <v>2168.4430000000002</v>
      </c>
      <c r="R236" s="11">
        <f t="shared" si="18"/>
        <v>21925.367000000002</v>
      </c>
      <c r="S236" s="1" t="str">
        <f t="shared" si="19"/>
        <v>High</v>
      </c>
      <c r="T236" s="1" t="str" cm="1">
        <f t="array" ref="T236">_xlfn.IFS(L236&gt;5,"High",L236=5,"mediam",L236&lt;5,"low")</f>
        <v>High</v>
      </c>
      <c r="U236" s="1" t="str">
        <f t="shared" si="20"/>
        <v>High</v>
      </c>
      <c r="Z236" s="1">
        <v>1472</v>
      </c>
      <c r="AA236" s="5">
        <v>10235</v>
      </c>
    </row>
    <row r="237" spans="1:27" x14ac:dyDescent="0.3">
      <c r="A237" s="5">
        <v>10236</v>
      </c>
      <c r="B237" s="1">
        <v>1230</v>
      </c>
      <c r="C237" s="2">
        <v>45268</v>
      </c>
      <c r="D237" s="2">
        <v>45269</v>
      </c>
      <c r="E237" s="1" t="s">
        <v>22</v>
      </c>
      <c r="F237" s="1" t="s">
        <v>16</v>
      </c>
      <c r="G237" s="1" t="s">
        <v>30</v>
      </c>
      <c r="H237" s="1" t="s">
        <v>25</v>
      </c>
      <c r="I237" s="1" t="s">
        <v>52</v>
      </c>
      <c r="J237" s="1" t="s">
        <v>60</v>
      </c>
      <c r="K237" s="1" t="s">
        <v>33</v>
      </c>
      <c r="L237" s="1">
        <v>7</v>
      </c>
      <c r="M237" s="1">
        <v>2210.34</v>
      </c>
      <c r="N237" s="1">
        <v>5</v>
      </c>
      <c r="O237" s="1">
        <v>14698.76</v>
      </c>
      <c r="P237" s="1">
        <f t="shared" si="16"/>
        <v>15472.380000000001</v>
      </c>
      <c r="Q237" s="10">
        <f t="shared" si="17"/>
        <v>734.9380000000001</v>
      </c>
      <c r="R237" s="11">
        <f t="shared" si="18"/>
        <v>14737.442000000001</v>
      </c>
      <c r="S237" s="1" t="str">
        <f t="shared" si="19"/>
        <v>High</v>
      </c>
      <c r="T237" s="1" t="str" cm="1">
        <f t="array" ref="T237">_xlfn.IFS(L237&gt;5,"High",L237=5,"mediam",L237&lt;5,"low")</f>
        <v>High</v>
      </c>
      <c r="U237" s="1" t="str">
        <f t="shared" si="20"/>
        <v>High</v>
      </c>
      <c r="Z237" s="1">
        <v>1230</v>
      </c>
      <c r="AA237" s="5">
        <v>10236</v>
      </c>
    </row>
    <row r="238" spans="1:27" x14ac:dyDescent="0.3">
      <c r="A238" s="5">
        <v>10237</v>
      </c>
      <c r="B238" s="1">
        <v>1189</v>
      </c>
      <c r="C238" s="2">
        <v>45146</v>
      </c>
      <c r="D238" s="2">
        <v>45147</v>
      </c>
      <c r="E238" s="1" t="s">
        <v>16</v>
      </c>
      <c r="F238" s="1" t="s">
        <v>41</v>
      </c>
      <c r="G238" s="1" t="s">
        <v>17</v>
      </c>
      <c r="H238" s="1" t="s">
        <v>25</v>
      </c>
      <c r="I238" s="1" t="s">
        <v>19</v>
      </c>
      <c r="J238" s="1" t="s">
        <v>20</v>
      </c>
      <c r="K238" s="1" t="s">
        <v>21</v>
      </c>
      <c r="L238" s="1">
        <v>5</v>
      </c>
      <c r="M238" s="1">
        <v>465.79</v>
      </c>
      <c r="N238" s="1">
        <v>5</v>
      </c>
      <c r="O238" s="1">
        <v>2212.5</v>
      </c>
      <c r="P238" s="1">
        <f t="shared" si="16"/>
        <v>2328.9500000000003</v>
      </c>
      <c r="Q238" s="10">
        <f t="shared" si="17"/>
        <v>110.625</v>
      </c>
      <c r="R238" s="11">
        <f t="shared" si="18"/>
        <v>2218.3250000000003</v>
      </c>
      <c r="S238" s="1" t="str">
        <f t="shared" si="19"/>
        <v>High</v>
      </c>
      <c r="T238" s="1" t="str" cm="1">
        <f t="array" ref="T238">_xlfn.IFS(L238&gt;5,"High",L238=5,"mediam",L238&lt;5,"low")</f>
        <v>mediam</v>
      </c>
      <c r="U238" s="1" t="b">
        <f t="shared" si="20"/>
        <v>0</v>
      </c>
      <c r="Z238" s="1">
        <v>1189</v>
      </c>
      <c r="AA238" s="5">
        <v>10237</v>
      </c>
    </row>
    <row r="239" spans="1:27" x14ac:dyDescent="0.3">
      <c r="A239" s="5">
        <v>10238</v>
      </c>
      <c r="B239" s="1">
        <v>1224</v>
      </c>
      <c r="C239" s="2">
        <v>45089</v>
      </c>
      <c r="D239" s="2">
        <v>45093</v>
      </c>
      <c r="E239" s="1" t="s">
        <v>34</v>
      </c>
      <c r="F239" s="1" t="s">
        <v>38</v>
      </c>
      <c r="G239" s="1" t="s">
        <v>24</v>
      </c>
      <c r="H239" s="1" t="s">
        <v>35</v>
      </c>
      <c r="I239" s="1" t="s">
        <v>57</v>
      </c>
      <c r="J239" s="1" t="s">
        <v>62</v>
      </c>
      <c r="K239" s="1" t="s">
        <v>45</v>
      </c>
      <c r="L239" s="1">
        <v>8</v>
      </c>
      <c r="M239" s="1">
        <v>284.52</v>
      </c>
      <c r="N239" s="1">
        <v>15</v>
      </c>
      <c r="O239" s="1">
        <v>1934.74</v>
      </c>
      <c r="P239" s="1">
        <f t="shared" si="16"/>
        <v>2276.16</v>
      </c>
      <c r="Q239" s="10">
        <f t="shared" si="17"/>
        <v>290.21100000000001</v>
      </c>
      <c r="R239" s="11">
        <f t="shared" si="18"/>
        <v>1985.9489999999998</v>
      </c>
      <c r="S239" s="1" t="str">
        <f t="shared" si="19"/>
        <v>High</v>
      </c>
      <c r="T239" s="1" t="str" cm="1">
        <f t="array" ref="T239">_xlfn.IFS(L239&gt;5,"High",L239=5,"mediam",L239&lt;5,"low")</f>
        <v>High</v>
      </c>
      <c r="U239" s="1" t="str">
        <f t="shared" si="20"/>
        <v>High</v>
      </c>
      <c r="Z239" s="1">
        <v>1224</v>
      </c>
      <c r="AA239" s="5">
        <v>10238</v>
      </c>
    </row>
    <row r="240" spans="1:27" x14ac:dyDescent="0.3">
      <c r="A240" s="5">
        <v>10239</v>
      </c>
      <c r="B240" s="1">
        <v>1384</v>
      </c>
      <c r="C240" s="2">
        <v>45146</v>
      </c>
      <c r="D240" s="2">
        <v>45149</v>
      </c>
      <c r="E240" s="1" t="s">
        <v>34</v>
      </c>
      <c r="F240" s="1" t="s">
        <v>41</v>
      </c>
      <c r="G240" s="1" t="s">
        <v>24</v>
      </c>
      <c r="H240" s="1" t="s">
        <v>25</v>
      </c>
      <c r="I240" s="1" t="s">
        <v>49</v>
      </c>
      <c r="J240" s="1" t="s">
        <v>63</v>
      </c>
      <c r="K240" s="1" t="s">
        <v>47</v>
      </c>
      <c r="L240" s="1">
        <v>2</v>
      </c>
      <c r="M240" s="1">
        <v>3960.56</v>
      </c>
      <c r="N240" s="1">
        <v>10</v>
      </c>
      <c r="O240" s="1">
        <v>7129.01</v>
      </c>
      <c r="P240" s="1">
        <f t="shared" si="16"/>
        <v>7921.12</v>
      </c>
      <c r="Q240" s="10">
        <f t="shared" si="17"/>
        <v>712.90100000000007</v>
      </c>
      <c r="R240" s="11">
        <f t="shared" si="18"/>
        <v>7208.2190000000001</v>
      </c>
      <c r="S240" s="1" t="str">
        <f t="shared" si="19"/>
        <v>Low</v>
      </c>
      <c r="T240" s="1" t="str" cm="1">
        <f t="array" ref="T240">_xlfn.IFS(L240&gt;5,"High",L240=5,"mediam",L240&lt;5,"low")</f>
        <v>low</v>
      </c>
      <c r="U240" s="1" t="b">
        <f t="shared" si="20"/>
        <v>0</v>
      </c>
      <c r="Z240" s="1">
        <v>1384</v>
      </c>
      <c r="AA240" s="5">
        <v>10239</v>
      </c>
    </row>
    <row r="241" spans="1:27" x14ac:dyDescent="0.3">
      <c r="A241" s="5">
        <v>10240</v>
      </c>
      <c r="B241" s="1">
        <v>1376</v>
      </c>
      <c r="C241" s="2">
        <v>45196</v>
      </c>
      <c r="D241" s="2">
        <v>45198</v>
      </c>
      <c r="E241" s="1" t="s">
        <v>16</v>
      </c>
      <c r="F241" s="1" t="s">
        <v>38</v>
      </c>
      <c r="G241" s="1" t="s">
        <v>17</v>
      </c>
      <c r="H241" s="1" t="s">
        <v>42</v>
      </c>
      <c r="I241" s="1" t="s">
        <v>57</v>
      </c>
      <c r="J241" s="1" t="s">
        <v>67</v>
      </c>
      <c r="K241" s="1" t="s">
        <v>45</v>
      </c>
      <c r="L241" s="1">
        <v>9</v>
      </c>
      <c r="M241" s="1">
        <v>265.58</v>
      </c>
      <c r="N241" s="1">
        <v>10</v>
      </c>
      <c r="O241" s="1">
        <v>2151.1999999999998</v>
      </c>
      <c r="P241" s="1">
        <f t="shared" si="16"/>
        <v>2390.2199999999998</v>
      </c>
      <c r="Q241" s="10">
        <f t="shared" si="17"/>
        <v>215.12</v>
      </c>
      <c r="R241" s="11">
        <f t="shared" si="18"/>
        <v>2175.1</v>
      </c>
      <c r="S241" s="1" t="str">
        <f t="shared" si="19"/>
        <v>High</v>
      </c>
      <c r="T241" s="1" t="str" cm="1">
        <f t="array" ref="T241">_xlfn.IFS(L241&gt;5,"High",L241=5,"mediam",L241&lt;5,"low")</f>
        <v>High</v>
      </c>
      <c r="U241" s="1" t="str">
        <f t="shared" si="20"/>
        <v>High</v>
      </c>
      <c r="Z241" s="1">
        <v>1376</v>
      </c>
      <c r="AA241" s="5">
        <v>10240</v>
      </c>
    </row>
    <row r="242" spans="1:27" x14ac:dyDescent="0.3">
      <c r="A242" s="5">
        <v>10241</v>
      </c>
      <c r="B242" s="1">
        <v>1282</v>
      </c>
      <c r="C242" s="2">
        <v>45046</v>
      </c>
      <c r="D242" s="2">
        <v>45049</v>
      </c>
      <c r="E242" s="1" t="s">
        <v>40</v>
      </c>
      <c r="F242" s="1" t="s">
        <v>41</v>
      </c>
      <c r="G242" s="1" t="s">
        <v>30</v>
      </c>
      <c r="H242" s="1" t="s">
        <v>18</v>
      </c>
      <c r="I242" s="1" t="s">
        <v>19</v>
      </c>
      <c r="J242" s="1" t="s">
        <v>66</v>
      </c>
      <c r="K242" s="1" t="s">
        <v>33</v>
      </c>
      <c r="L242" s="1">
        <v>6</v>
      </c>
      <c r="M242" s="1">
        <v>1861.43</v>
      </c>
      <c r="N242" s="1">
        <v>0</v>
      </c>
      <c r="O242" s="1">
        <v>11168.58</v>
      </c>
      <c r="P242" s="1">
        <f t="shared" si="16"/>
        <v>11168.58</v>
      </c>
      <c r="Q242" s="10">
        <f t="shared" si="17"/>
        <v>0</v>
      </c>
      <c r="R242" s="11">
        <f t="shared" si="18"/>
        <v>11168.58</v>
      </c>
      <c r="S242" s="1" t="str">
        <f t="shared" si="19"/>
        <v>High</v>
      </c>
      <c r="T242" s="1" t="str" cm="1">
        <f t="array" ref="T242">_xlfn.IFS(L242&gt;5,"High",L242=5,"mediam",L242&lt;5,"low")</f>
        <v>High</v>
      </c>
      <c r="U242" s="1" t="str">
        <f t="shared" si="20"/>
        <v>High</v>
      </c>
      <c r="Z242" s="1">
        <v>1282</v>
      </c>
      <c r="AA242" s="5">
        <v>10241</v>
      </c>
    </row>
    <row r="243" spans="1:27" x14ac:dyDescent="0.3">
      <c r="A243" s="5">
        <v>10242</v>
      </c>
      <c r="B243" s="1">
        <v>1957</v>
      </c>
      <c r="C243" s="2">
        <v>45262</v>
      </c>
      <c r="D243" s="2">
        <v>45263</v>
      </c>
      <c r="E243" s="1" t="s">
        <v>15</v>
      </c>
      <c r="F243" s="1" t="s">
        <v>29</v>
      </c>
      <c r="G243" s="1" t="s">
        <v>24</v>
      </c>
      <c r="H243" s="1" t="s">
        <v>44</v>
      </c>
      <c r="I243" s="1" t="s">
        <v>52</v>
      </c>
      <c r="J243" s="1" t="s">
        <v>64</v>
      </c>
      <c r="K243" s="1" t="s">
        <v>47</v>
      </c>
      <c r="L243" s="1">
        <v>9</v>
      </c>
      <c r="M243" s="1">
        <v>2092.7800000000002</v>
      </c>
      <c r="N243" s="1">
        <v>20</v>
      </c>
      <c r="O243" s="1">
        <v>15068.02</v>
      </c>
      <c r="P243" s="1">
        <f t="shared" si="16"/>
        <v>18835.02</v>
      </c>
      <c r="Q243" s="10">
        <f t="shared" si="17"/>
        <v>3013.6040000000003</v>
      </c>
      <c r="R243" s="11">
        <f t="shared" si="18"/>
        <v>15821.416000000001</v>
      </c>
      <c r="S243" s="1" t="str">
        <f t="shared" si="19"/>
        <v>High</v>
      </c>
      <c r="T243" s="1" t="str" cm="1">
        <f t="array" ref="T243">_xlfn.IFS(L243&gt;5,"High",L243=5,"mediam",L243&lt;5,"low")</f>
        <v>High</v>
      </c>
      <c r="U243" s="1" t="str">
        <f t="shared" si="20"/>
        <v>High</v>
      </c>
      <c r="Z243" s="1">
        <v>1957</v>
      </c>
      <c r="AA243" s="5">
        <v>10242</v>
      </c>
    </row>
    <row r="244" spans="1:27" x14ac:dyDescent="0.3">
      <c r="A244" s="5">
        <v>10243</v>
      </c>
      <c r="B244" s="1">
        <v>1632</v>
      </c>
      <c r="C244" s="2">
        <v>45108</v>
      </c>
      <c r="D244" s="2">
        <v>45109</v>
      </c>
      <c r="E244" s="1" t="s">
        <v>37</v>
      </c>
      <c r="F244" s="1" t="s">
        <v>23</v>
      </c>
      <c r="G244" s="1" t="s">
        <v>30</v>
      </c>
      <c r="H244" s="1" t="s">
        <v>18</v>
      </c>
      <c r="I244" s="1" t="s">
        <v>57</v>
      </c>
      <c r="J244" s="1" t="s">
        <v>59</v>
      </c>
      <c r="K244" s="1" t="s">
        <v>28</v>
      </c>
      <c r="L244" s="1">
        <v>2</v>
      </c>
      <c r="M244" s="1">
        <v>601.53</v>
      </c>
      <c r="N244" s="1">
        <v>20</v>
      </c>
      <c r="O244" s="1">
        <v>962.45</v>
      </c>
      <c r="P244" s="1">
        <f t="shared" si="16"/>
        <v>1203.06</v>
      </c>
      <c r="Q244" s="10">
        <f t="shared" si="17"/>
        <v>192.49</v>
      </c>
      <c r="R244" s="11">
        <f t="shared" si="18"/>
        <v>1010.5699999999999</v>
      </c>
      <c r="S244" s="1" t="str">
        <f t="shared" si="19"/>
        <v>Low</v>
      </c>
      <c r="T244" s="1" t="str" cm="1">
        <f t="array" ref="T244">_xlfn.IFS(L244&gt;5,"High",L244=5,"mediam",L244&lt;5,"low")</f>
        <v>low</v>
      </c>
      <c r="U244" s="1" t="b">
        <f t="shared" si="20"/>
        <v>0</v>
      </c>
      <c r="Z244" s="1">
        <v>1632</v>
      </c>
      <c r="AA244" s="5">
        <v>10243</v>
      </c>
    </row>
    <row r="245" spans="1:27" x14ac:dyDescent="0.3">
      <c r="A245" s="5">
        <v>10244</v>
      </c>
      <c r="B245" s="1">
        <v>1627</v>
      </c>
      <c r="C245" s="2">
        <v>45032</v>
      </c>
      <c r="D245" s="2">
        <v>45038</v>
      </c>
      <c r="E245" s="1" t="s">
        <v>34</v>
      </c>
      <c r="F245" s="1" t="s">
        <v>29</v>
      </c>
      <c r="G245" s="1" t="s">
        <v>17</v>
      </c>
      <c r="H245" s="1" t="s">
        <v>44</v>
      </c>
      <c r="I245" s="1" t="s">
        <v>52</v>
      </c>
      <c r="J245" s="1" t="s">
        <v>53</v>
      </c>
      <c r="K245" s="1" t="s">
        <v>45</v>
      </c>
      <c r="L245" s="1">
        <v>3</v>
      </c>
      <c r="M245" s="1">
        <v>800.89</v>
      </c>
      <c r="N245" s="1">
        <v>0</v>
      </c>
      <c r="O245" s="1">
        <v>2402.67</v>
      </c>
      <c r="P245" s="1">
        <f t="shared" si="16"/>
        <v>2402.67</v>
      </c>
      <c r="Q245" s="10">
        <f t="shared" si="17"/>
        <v>0</v>
      </c>
      <c r="R245" s="11">
        <f t="shared" si="18"/>
        <v>2402.67</v>
      </c>
      <c r="S245" s="1" t="str">
        <f t="shared" si="19"/>
        <v>Low</v>
      </c>
      <c r="T245" s="1" t="str" cm="1">
        <f t="array" ref="T245">_xlfn.IFS(L245&gt;5,"High",L245=5,"mediam",L245&lt;5,"low")</f>
        <v>low</v>
      </c>
      <c r="U245" s="1" t="b">
        <f t="shared" si="20"/>
        <v>0</v>
      </c>
      <c r="Z245" s="1">
        <v>1627</v>
      </c>
      <c r="AA245" s="5">
        <v>10244</v>
      </c>
    </row>
    <row r="246" spans="1:27" x14ac:dyDescent="0.3">
      <c r="A246" s="5">
        <v>10245</v>
      </c>
      <c r="B246" s="1">
        <v>1972</v>
      </c>
      <c r="C246" s="2">
        <v>45143</v>
      </c>
      <c r="D246" s="2">
        <v>45148</v>
      </c>
      <c r="E246" s="1" t="s">
        <v>15</v>
      </c>
      <c r="F246" s="1" t="s">
        <v>16</v>
      </c>
      <c r="G246" s="1" t="s">
        <v>30</v>
      </c>
      <c r="H246" s="1" t="s">
        <v>42</v>
      </c>
      <c r="I246" s="1" t="s">
        <v>49</v>
      </c>
      <c r="J246" s="1" t="s">
        <v>51</v>
      </c>
      <c r="K246" s="1" t="s">
        <v>47</v>
      </c>
      <c r="L246" s="1">
        <v>8</v>
      </c>
      <c r="M246" s="1">
        <v>1504.45</v>
      </c>
      <c r="N246" s="1">
        <v>20</v>
      </c>
      <c r="O246" s="1">
        <v>9628.48</v>
      </c>
      <c r="P246" s="1">
        <f t="shared" si="16"/>
        <v>12035.6</v>
      </c>
      <c r="Q246" s="10">
        <f t="shared" si="17"/>
        <v>1925.6959999999999</v>
      </c>
      <c r="R246" s="11">
        <f t="shared" si="18"/>
        <v>10109.904</v>
      </c>
      <c r="S246" s="1" t="str">
        <f t="shared" si="19"/>
        <v>High</v>
      </c>
      <c r="T246" s="1" t="str" cm="1">
        <f t="array" ref="T246">_xlfn.IFS(L246&gt;5,"High",L246=5,"mediam",L246&lt;5,"low")</f>
        <v>High</v>
      </c>
      <c r="U246" s="1" t="str">
        <f t="shared" si="20"/>
        <v>High</v>
      </c>
      <c r="Z246" s="1">
        <v>1972</v>
      </c>
      <c r="AA246" s="5">
        <v>10245</v>
      </c>
    </row>
    <row r="247" spans="1:27" x14ac:dyDescent="0.3">
      <c r="A247" s="5">
        <v>10246</v>
      </c>
      <c r="B247" s="1">
        <v>1744</v>
      </c>
      <c r="C247" s="2">
        <v>45131</v>
      </c>
      <c r="D247" s="2">
        <v>45139</v>
      </c>
      <c r="E247" s="1" t="s">
        <v>16</v>
      </c>
      <c r="F247" s="1" t="s">
        <v>29</v>
      </c>
      <c r="G247" s="1" t="s">
        <v>24</v>
      </c>
      <c r="H247" s="1" t="s">
        <v>25</v>
      </c>
      <c r="I247" s="1" t="s">
        <v>52</v>
      </c>
      <c r="J247" s="1" t="s">
        <v>53</v>
      </c>
      <c r="K247" s="1" t="s">
        <v>45</v>
      </c>
      <c r="L247" s="1">
        <v>1</v>
      </c>
      <c r="M247" s="1">
        <v>3082.45</v>
      </c>
      <c r="N247" s="1">
        <v>5</v>
      </c>
      <c r="O247" s="1">
        <v>2928.33</v>
      </c>
      <c r="P247" s="1">
        <f t="shared" si="16"/>
        <v>3082.45</v>
      </c>
      <c r="Q247" s="10">
        <f t="shared" si="17"/>
        <v>146.41650000000001</v>
      </c>
      <c r="R247" s="11">
        <f t="shared" si="18"/>
        <v>2936.0335</v>
      </c>
      <c r="S247" s="1" t="str">
        <f t="shared" si="19"/>
        <v>Low</v>
      </c>
      <c r="T247" s="1" t="str" cm="1">
        <f t="array" ref="T247">_xlfn.IFS(L247&gt;5,"High",L247=5,"mediam",L247&lt;5,"low")</f>
        <v>low</v>
      </c>
      <c r="U247" s="1" t="b">
        <f t="shared" si="20"/>
        <v>0</v>
      </c>
      <c r="Z247" s="1">
        <v>1744</v>
      </c>
      <c r="AA247" s="5">
        <v>10246</v>
      </c>
    </row>
    <row r="248" spans="1:27" x14ac:dyDescent="0.3">
      <c r="A248" s="5">
        <v>10247</v>
      </c>
      <c r="B248" s="1">
        <v>1258</v>
      </c>
      <c r="C248" s="2">
        <v>44996</v>
      </c>
      <c r="D248" s="2">
        <v>44998</v>
      </c>
      <c r="E248" s="1" t="s">
        <v>15</v>
      </c>
      <c r="F248" s="1" t="s">
        <v>54</v>
      </c>
      <c r="G248" s="1" t="s">
        <v>30</v>
      </c>
      <c r="H248" s="1" t="s">
        <v>35</v>
      </c>
      <c r="I248" s="1" t="s">
        <v>52</v>
      </c>
      <c r="J248" s="1" t="s">
        <v>64</v>
      </c>
      <c r="K248" s="1" t="s">
        <v>47</v>
      </c>
      <c r="L248" s="1">
        <v>7</v>
      </c>
      <c r="M248" s="1">
        <v>2102.27</v>
      </c>
      <c r="N248" s="1">
        <v>20</v>
      </c>
      <c r="O248" s="1">
        <v>11772.71</v>
      </c>
      <c r="P248" s="1">
        <f t="shared" si="16"/>
        <v>14715.89</v>
      </c>
      <c r="Q248" s="10">
        <f t="shared" si="17"/>
        <v>2354.5419999999999</v>
      </c>
      <c r="R248" s="11">
        <f t="shared" si="18"/>
        <v>12361.348</v>
      </c>
      <c r="S248" s="1" t="str">
        <f t="shared" si="19"/>
        <v>High</v>
      </c>
      <c r="T248" s="1" t="str" cm="1">
        <f t="array" ref="T248">_xlfn.IFS(L248&gt;5,"High",L248=5,"mediam",L248&lt;5,"low")</f>
        <v>High</v>
      </c>
      <c r="U248" s="1" t="str">
        <f t="shared" si="20"/>
        <v>High</v>
      </c>
      <c r="Z248" s="1">
        <v>1258</v>
      </c>
      <c r="AA248" s="5">
        <v>10247</v>
      </c>
    </row>
    <row r="249" spans="1:27" x14ac:dyDescent="0.3">
      <c r="A249" s="5">
        <v>10248</v>
      </c>
      <c r="B249" s="1">
        <v>1358</v>
      </c>
      <c r="C249" s="2">
        <v>44970</v>
      </c>
      <c r="D249" s="2">
        <v>44974</v>
      </c>
      <c r="E249" s="1" t="s">
        <v>22</v>
      </c>
      <c r="F249" s="1" t="s">
        <v>16</v>
      </c>
      <c r="G249" s="1" t="s">
        <v>30</v>
      </c>
      <c r="H249" s="1" t="s">
        <v>42</v>
      </c>
      <c r="I249" s="1" t="s">
        <v>31</v>
      </c>
      <c r="J249" s="1" t="s">
        <v>39</v>
      </c>
      <c r="K249" s="1" t="s">
        <v>21</v>
      </c>
      <c r="L249" s="1">
        <v>7</v>
      </c>
      <c r="M249" s="1">
        <v>2605.92</v>
      </c>
      <c r="N249" s="1">
        <v>20</v>
      </c>
      <c r="O249" s="1">
        <v>14593.15</v>
      </c>
      <c r="P249" s="1">
        <f t="shared" si="16"/>
        <v>18241.440000000002</v>
      </c>
      <c r="Q249" s="10">
        <f t="shared" si="17"/>
        <v>2918.63</v>
      </c>
      <c r="R249" s="11">
        <f t="shared" si="18"/>
        <v>15322.810000000001</v>
      </c>
      <c r="S249" s="1" t="str">
        <f t="shared" si="19"/>
        <v>High</v>
      </c>
      <c r="T249" s="1" t="str" cm="1">
        <f t="array" ref="T249">_xlfn.IFS(L249&gt;5,"High",L249=5,"mediam",L249&lt;5,"low")</f>
        <v>High</v>
      </c>
      <c r="U249" s="1" t="str">
        <f t="shared" si="20"/>
        <v>High</v>
      </c>
      <c r="Z249" s="1">
        <v>1358</v>
      </c>
      <c r="AA249" s="5">
        <v>10248</v>
      </c>
    </row>
    <row r="250" spans="1:27" x14ac:dyDescent="0.3">
      <c r="A250" s="5">
        <v>10249</v>
      </c>
      <c r="B250" s="1">
        <v>1709</v>
      </c>
      <c r="C250" s="2">
        <v>45255</v>
      </c>
      <c r="D250" s="2">
        <v>45263</v>
      </c>
      <c r="E250" s="1" t="s">
        <v>46</v>
      </c>
      <c r="F250" s="1" t="s">
        <v>41</v>
      </c>
      <c r="G250" s="1" t="s">
        <v>17</v>
      </c>
      <c r="H250" s="1" t="s">
        <v>18</v>
      </c>
      <c r="I250" s="1" t="s">
        <v>31</v>
      </c>
      <c r="J250" s="1" t="s">
        <v>65</v>
      </c>
      <c r="K250" s="1" t="s">
        <v>45</v>
      </c>
      <c r="L250" s="1">
        <v>1</v>
      </c>
      <c r="M250" s="1">
        <v>3942.92</v>
      </c>
      <c r="N250" s="1">
        <v>0</v>
      </c>
      <c r="O250" s="1">
        <v>3942.92</v>
      </c>
      <c r="P250" s="1">
        <f t="shared" si="16"/>
        <v>3942.92</v>
      </c>
      <c r="Q250" s="10">
        <f t="shared" si="17"/>
        <v>0</v>
      </c>
      <c r="R250" s="11">
        <f t="shared" si="18"/>
        <v>3942.92</v>
      </c>
      <c r="S250" s="1" t="str">
        <f t="shared" si="19"/>
        <v>Low</v>
      </c>
      <c r="T250" s="1" t="str" cm="1">
        <f t="array" ref="T250">_xlfn.IFS(L250&gt;5,"High",L250=5,"mediam",L250&lt;5,"low")</f>
        <v>low</v>
      </c>
      <c r="U250" s="1" t="b">
        <f t="shared" si="20"/>
        <v>0</v>
      </c>
      <c r="Z250" s="1">
        <v>1709</v>
      </c>
      <c r="AA250" s="5">
        <v>10249</v>
      </c>
    </row>
    <row r="251" spans="1:27" x14ac:dyDescent="0.3">
      <c r="A251" s="5">
        <v>10250</v>
      </c>
      <c r="B251" s="1">
        <v>1455</v>
      </c>
      <c r="C251" s="2">
        <v>45227</v>
      </c>
      <c r="D251" s="2">
        <v>45233</v>
      </c>
      <c r="E251" s="1" t="s">
        <v>34</v>
      </c>
      <c r="F251" s="1" t="s">
        <v>16</v>
      </c>
      <c r="G251" s="1" t="s">
        <v>17</v>
      </c>
      <c r="H251" s="1" t="s">
        <v>35</v>
      </c>
      <c r="I251" s="1" t="s">
        <v>26</v>
      </c>
      <c r="J251" s="1" t="s">
        <v>69</v>
      </c>
      <c r="K251" s="1" t="s">
        <v>28</v>
      </c>
      <c r="L251" s="1">
        <v>9</v>
      </c>
      <c r="M251" s="1">
        <v>3106.82</v>
      </c>
      <c r="N251" s="1">
        <v>15</v>
      </c>
      <c r="O251" s="1">
        <v>23767.17</v>
      </c>
      <c r="P251" s="1">
        <f t="shared" si="16"/>
        <v>27961.38</v>
      </c>
      <c r="Q251" s="10">
        <f t="shared" si="17"/>
        <v>3565.0754999999995</v>
      </c>
      <c r="R251" s="11">
        <f t="shared" si="18"/>
        <v>24396.304500000002</v>
      </c>
      <c r="S251" s="1" t="str">
        <f t="shared" si="19"/>
        <v>High</v>
      </c>
      <c r="T251" s="1" t="str" cm="1">
        <f t="array" ref="T251">_xlfn.IFS(L251&gt;5,"High",L251=5,"mediam",L251&lt;5,"low")</f>
        <v>High</v>
      </c>
      <c r="U251" s="1" t="str">
        <f t="shared" si="20"/>
        <v>High</v>
      </c>
      <c r="Z251" s="1">
        <v>1455</v>
      </c>
      <c r="AA251" s="5">
        <v>10250</v>
      </c>
    </row>
    <row r="252" spans="1:27" x14ac:dyDescent="0.3">
      <c r="A252" s="5">
        <v>10251</v>
      </c>
      <c r="B252" s="1">
        <v>1410</v>
      </c>
      <c r="C252" s="2">
        <v>45154</v>
      </c>
      <c r="D252" s="2">
        <v>45155</v>
      </c>
      <c r="E252" s="1" t="s">
        <v>16</v>
      </c>
      <c r="F252" s="1" t="s">
        <v>23</v>
      </c>
      <c r="G252" s="1" t="s">
        <v>17</v>
      </c>
      <c r="H252" s="1" t="s">
        <v>25</v>
      </c>
      <c r="I252" s="1" t="s">
        <v>31</v>
      </c>
      <c r="J252" s="1" t="s">
        <v>48</v>
      </c>
      <c r="K252" s="1" t="s">
        <v>28</v>
      </c>
      <c r="L252" s="1">
        <v>8</v>
      </c>
      <c r="M252" s="1">
        <v>1822.29</v>
      </c>
      <c r="N252" s="1">
        <v>20</v>
      </c>
      <c r="O252" s="1">
        <v>11662.66</v>
      </c>
      <c r="P252" s="1">
        <f t="shared" si="16"/>
        <v>14578.32</v>
      </c>
      <c r="Q252" s="10">
        <f t="shared" si="17"/>
        <v>2332.5320000000002</v>
      </c>
      <c r="R252" s="11">
        <f t="shared" si="18"/>
        <v>12245.788</v>
      </c>
      <c r="S252" s="1" t="str">
        <f t="shared" si="19"/>
        <v>High</v>
      </c>
      <c r="T252" s="1" t="str" cm="1">
        <f t="array" ref="T252">_xlfn.IFS(L252&gt;5,"High",L252=5,"mediam",L252&lt;5,"low")</f>
        <v>High</v>
      </c>
      <c r="U252" s="1" t="str">
        <f t="shared" si="20"/>
        <v>High</v>
      </c>
      <c r="Z252" s="1">
        <v>1410</v>
      </c>
      <c r="AA252" s="5">
        <v>10251</v>
      </c>
    </row>
    <row r="253" spans="1:27" x14ac:dyDescent="0.3">
      <c r="A253" s="5">
        <v>10252</v>
      </c>
      <c r="B253" s="1">
        <v>1648</v>
      </c>
      <c r="C253" s="2">
        <v>45110</v>
      </c>
      <c r="D253" s="2">
        <v>45114</v>
      </c>
      <c r="E253" s="1" t="s">
        <v>37</v>
      </c>
      <c r="F253" s="1" t="s">
        <v>38</v>
      </c>
      <c r="G253" s="1" t="s">
        <v>24</v>
      </c>
      <c r="H253" s="1" t="s">
        <v>42</v>
      </c>
      <c r="I253" s="1" t="s">
        <v>52</v>
      </c>
      <c r="J253" s="1" t="s">
        <v>60</v>
      </c>
      <c r="K253" s="1" t="s">
        <v>33</v>
      </c>
      <c r="L253" s="1">
        <v>4</v>
      </c>
      <c r="M253" s="1">
        <v>1868.8</v>
      </c>
      <c r="N253" s="1">
        <v>20</v>
      </c>
      <c r="O253" s="1">
        <v>5980.16</v>
      </c>
      <c r="P253" s="1">
        <f t="shared" si="16"/>
        <v>7475.2</v>
      </c>
      <c r="Q253" s="10">
        <f t="shared" si="17"/>
        <v>1196.0319999999999</v>
      </c>
      <c r="R253" s="11">
        <f t="shared" si="18"/>
        <v>6279.1679999999997</v>
      </c>
      <c r="S253" s="1" t="str">
        <f t="shared" si="19"/>
        <v>Low</v>
      </c>
      <c r="T253" s="1" t="str" cm="1">
        <f t="array" ref="T253">_xlfn.IFS(L253&gt;5,"High",L253=5,"mediam",L253&lt;5,"low")</f>
        <v>low</v>
      </c>
      <c r="U253" s="1" t="b">
        <f t="shared" si="20"/>
        <v>0</v>
      </c>
      <c r="Z253" s="1">
        <v>1648</v>
      </c>
      <c r="AA253" s="5">
        <v>10252</v>
      </c>
    </row>
    <row r="254" spans="1:27" x14ac:dyDescent="0.3">
      <c r="A254" s="5">
        <v>10253</v>
      </c>
      <c r="B254" s="1">
        <v>1317</v>
      </c>
      <c r="C254" s="2">
        <v>45033</v>
      </c>
      <c r="D254" s="2">
        <v>45034</v>
      </c>
      <c r="E254" s="1" t="s">
        <v>40</v>
      </c>
      <c r="F254" s="1" t="s">
        <v>41</v>
      </c>
      <c r="G254" s="1" t="s">
        <v>24</v>
      </c>
      <c r="H254" s="1" t="s">
        <v>35</v>
      </c>
      <c r="I254" s="1" t="s">
        <v>19</v>
      </c>
      <c r="J254" s="1" t="s">
        <v>20</v>
      </c>
      <c r="K254" s="1" t="s">
        <v>47</v>
      </c>
      <c r="L254" s="1">
        <v>5</v>
      </c>
      <c r="M254" s="1">
        <v>2532.27</v>
      </c>
      <c r="N254" s="1">
        <v>15</v>
      </c>
      <c r="O254" s="1">
        <v>10762.15</v>
      </c>
      <c r="P254" s="1">
        <f t="shared" si="16"/>
        <v>12661.35</v>
      </c>
      <c r="Q254" s="10">
        <f t="shared" si="17"/>
        <v>1614.3225</v>
      </c>
      <c r="R254" s="11">
        <f t="shared" si="18"/>
        <v>11047.0275</v>
      </c>
      <c r="S254" s="1" t="str">
        <f t="shared" si="19"/>
        <v>High</v>
      </c>
      <c r="T254" s="1" t="str" cm="1">
        <f t="array" ref="T254">_xlfn.IFS(L254&gt;5,"High",L254=5,"mediam",L254&lt;5,"low")</f>
        <v>mediam</v>
      </c>
      <c r="U254" s="1" t="b">
        <f t="shared" si="20"/>
        <v>0</v>
      </c>
      <c r="Z254" s="1">
        <v>1317</v>
      </c>
      <c r="AA254" s="5">
        <v>10253</v>
      </c>
    </row>
    <row r="255" spans="1:27" x14ac:dyDescent="0.3">
      <c r="A255" s="5">
        <v>10254</v>
      </c>
      <c r="B255" s="1">
        <v>1676</v>
      </c>
      <c r="C255" s="2">
        <v>45010</v>
      </c>
      <c r="D255" s="2">
        <v>45012</v>
      </c>
      <c r="E255" s="1" t="s">
        <v>22</v>
      </c>
      <c r="F255" s="1" t="s">
        <v>16</v>
      </c>
      <c r="G255" s="1" t="s">
        <v>17</v>
      </c>
      <c r="H255" s="1" t="s">
        <v>42</v>
      </c>
      <c r="I255" s="1" t="s">
        <v>52</v>
      </c>
      <c r="J255" s="1" t="s">
        <v>64</v>
      </c>
      <c r="K255" s="1" t="s">
        <v>45</v>
      </c>
      <c r="L255" s="1">
        <v>2</v>
      </c>
      <c r="M255" s="1">
        <v>2711.66</v>
      </c>
      <c r="N255" s="1">
        <v>0</v>
      </c>
      <c r="O255" s="1">
        <v>5423.32</v>
      </c>
      <c r="P255" s="1">
        <f t="shared" si="16"/>
        <v>5423.32</v>
      </c>
      <c r="Q255" s="10">
        <f t="shared" si="17"/>
        <v>0</v>
      </c>
      <c r="R255" s="11">
        <f t="shared" si="18"/>
        <v>5423.32</v>
      </c>
      <c r="S255" s="1" t="str">
        <f t="shared" si="19"/>
        <v>Low</v>
      </c>
      <c r="T255" s="1" t="str" cm="1">
        <f t="array" ref="T255">_xlfn.IFS(L255&gt;5,"High",L255=5,"mediam",L255&lt;5,"low")</f>
        <v>low</v>
      </c>
      <c r="U255" s="1" t="b">
        <f t="shared" si="20"/>
        <v>0</v>
      </c>
      <c r="Z255" s="1">
        <v>1676</v>
      </c>
      <c r="AA255" s="5">
        <v>10254</v>
      </c>
    </row>
    <row r="256" spans="1:27" x14ac:dyDescent="0.3">
      <c r="A256" s="5">
        <v>10255</v>
      </c>
      <c r="B256" s="1">
        <v>1224</v>
      </c>
      <c r="C256" s="2">
        <v>45264</v>
      </c>
      <c r="D256" s="2">
        <v>45269</v>
      </c>
      <c r="E256" s="1" t="s">
        <v>16</v>
      </c>
      <c r="F256" s="1" t="s">
        <v>41</v>
      </c>
      <c r="G256" s="1" t="s">
        <v>17</v>
      </c>
      <c r="H256" s="1" t="s">
        <v>42</v>
      </c>
      <c r="I256" s="1" t="s">
        <v>19</v>
      </c>
      <c r="J256" s="1" t="s">
        <v>20</v>
      </c>
      <c r="K256" s="1" t="s">
        <v>33</v>
      </c>
      <c r="L256" s="1">
        <v>9</v>
      </c>
      <c r="M256" s="1">
        <v>2077.7399999999998</v>
      </c>
      <c r="N256" s="1">
        <v>15</v>
      </c>
      <c r="O256" s="1">
        <v>15894.71</v>
      </c>
      <c r="P256" s="1">
        <f t="shared" si="16"/>
        <v>18699.659999999996</v>
      </c>
      <c r="Q256" s="10">
        <f t="shared" si="17"/>
        <v>2384.2064999999998</v>
      </c>
      <c r="R256" s="11">
        <f t="shared" si="18"/>
        <v>16315.453499999996</v>
      </c>
      <c r="S256" s="1" t="str">
        <f t="shared" si="19"/>
        <v>High</v>
      </c>
      <c r="T256" s="1" t="str" cm="1">
        <f t="array" ref="T256">_xlfn.IFS(L256&gt;5,"High",L256=5,"mediam",L256&lt;5,"low")</f>
        <v>High</v>
      </c>
      <c r="U256" s="1" t="str">
        <f t="shared" si="20"/>
        <v>High</v>
      </c>
      <c r="Z256" s="1">
        <v>1224</v>
      </c>
      <c r="AA256" s="5">
        <v>10255</v>
      </c>
    </row>
    <row r="257" spans="1:27" x14ac:dyDescent="0.3">
      <c r="A257" s="5">
        <v>10256</v>
      </c>
      <c r="B257" s="1">
        <v>1818</v>
      </c>
      <c r="C257" s="2">
        <v>45176</v>
      </c>
      <c r="D257" s="2">
        <v>45184</v>
      </c>
      <c r="E257" s="1" t="s">
        <v>37</v>
      </c>
      <c r="F257" s="1" t="s">
        <v>41</v>
      </c>
      <c r="G257" s="1" t="s">
        <v>24</v>
      </c>
      <c r="H257" s="1" t="s">
        <v>25</v>
      </c>
      <c r="I257" s="1" t="s">
        <v>19</v>
      </c>
      <c r="J257" s="1" t="s">
        <v>20</v>
      </c>
      <c r="K257" s="1" t="s">
        <v>45</v>
      </c>
      <c r="L257" s="1">
        <v>6</v>
      </c>
      <c r="M257" s="1">
        <v>2632.72</v>
      </c>
      <c r="N257" s="1">
        <v>0</v>
      </c>
      <c r="O257" s="1">
        <v>15796.32</v>
      </c>
      <c r="P257" s="1">
        <f t="shared" si="16"/>
        <v>15796.32</v>
      </c>
      <c r="Q257" s="10">
        <f t="shared" si="17"/>
        <v>0</v>
      </c>
      <c r="R257" s="11">
        <f t="shared" si="18"/>
        <v>15796.32</v>
      </c>
      <c r="S257" s="1" t="str">
        <f t="shared" si="19"/>
        <v>High</v>
      </c>
      <c r="T257" s="1" t="str" cm="1">
        <f t="array" ref="T257">_xlfn.IFS(L257&gt;5,"High",L257=5,"mediam",L257&lt;5,"low")</f>
        <v>High</v>
      </c>
      <c r="U257" s="1" t="str">
        <f t="shared" si="20"/>
        <v>High</v>
      </c>
      <c r="Z257" s="1">
        <v>1818</v>
      </c>
      <c r="AA257" s="5">
        <v>10256</v>
      </c>
    </row>
    <row r="258" spans="1:27" x14ac:dyDescent="0.3">
      <c r="A258" s="5">
        <v>10257</v>
      </c>
      <c r="B258" s="1">
        <v>1233</v>
      </c>
      <c r="C258" s="2">
        <v>45289</v>
      </c>
      <c r="D258" s="2">
        <v>45297</v>
      </c>
      <c r="E258" s="1" t="s">
        <v>40</v>
      </c>
      <c r="F258" s="1" t="s">
        <v>41</v>
      </c>
      <c r="G258" s="1" t="s">
        <v>24</v>
      </c>
      <c r="H258" s="1" t="s">
        <v>44</v>
      </c>
      <c r="I258" s="1" t="s">
        <v>31</v>
      </c>
      <c r="J258" s="1" t="s">
        <v>32</v>
      </c>
      <c r="K258" s="1" t="s">
        <v>47</v>
      </c>
      <c r="L258" s="1">
        <v>3</v>
      </c>
      <c r="M258" s="1">
        <v>240.6</v>
      </c>
      <c r="N258" s="1">
        <v>5</v>
      </c>
      <c r="O258" s="1">
        <v>685.71</v>
      </c>
      <c r="P258" s="1">
        <f t="shared" si="16"/>
        <v>721.8</v>
      </c>
      <c r="Q258" s="10">
        <f t="shared" si="17"/>
        <v>34.285500000000006</v>
      </c>
      <c r="R258" s="11">
        <f t="shared" si="18"/>
        <v>687.5145</v>
      </c>
      <c r="S258" s="1" t="str">
        <f t="shared" si="19"/>
        <v>Low</v>
      </c>
      <c r="T258" s="1" t="str" cm="1">
        <f t="array" ref="T258">_xlfn.IFS(L258&gt;5,"High",L258=5,"mediam",L258&lt;5,"low")</f>
        <v>low</v>
      </c>
      <c r="U258" s="1" t="b">
        <f t="shared" si="20"/>
        <v>0</v>
      </c>
      <c r="Z258" s="1">
        <v>1233</v>
      </c>
      <c r="AA258" s="5">
        <v>10257</v>
      </c>
    </row>
    <row r="259" spans="1:27" x14ac:dyDescent="0.3">
      <c r="A259" s="5">
        <v>10258</v>
      </c>
      <c r="B259" s="1">
        <v>1683</v>
      </c>
      <c r="C259" s="2">
        <v>44947</v>
      </c>
      <c r="D259" s="2">
        <v>44950</v>
      </c>
      <c r="E259" s="1" t="s">
        <v>40</v>
      </c>
      <c r="F259" s="1" t="s">
        <v>38</v>
      </c>
      <c r="G259" s="1" t="s">
        <v>24</v>
      </c>
      <c r="H259" s="1" t="s">
        <v>35</v>
      </c>
      <c r="I259" s="1" t="s">
        <v>57</v>
      </c>
      <c r="J259" s="1" t="s">
        <v>59</v>
      </c>
      <c r="K259" s="1" t="s">
        <v>28</v>
      </c>
      <c r="L259" s="1">
        <v>7</v>
      </c>
      <c r="M259" s="1">
        <v>1804.05</v>
      </c>
      <c r="N259" s="1">
        <v>0</v>
      </c>
      <c r="O259" s="1">
        <v>12628.35</v>
      </c>
      <c r="P259" s="1">
        <f t="shared" ref="P259:P322" si="21">L259*M259</f>
        <v>12628.35</v>
      </c>
      <c r="Q259" s="10">
        <f t="shared" ref="Q259:Q322" si="22">O259*N259%</f>
        <v>0</v>
      </c>
      <c r="R259" s="11">
        <f t="shared" ref="R259:R322" si="23">P259-Q259</f>
        <v>12628.35</v>
      </c>
      <c r="S259" s="1" t="str">
        <f t="shared" ref="S259:S322" si="24">IF(L259&gt;=5,"High","Low")</f>
        <v>High</v>
      </c>
      <c r="T259" s="1" t="str" cm="1">
        <f t="array" ref="T259">_xlfn.IFS(L259&gt;5,"High",L259=5,"mediam",L259&lt;5,"low")</f>
        <v>High</v>
      </c>
      <c r="U259" s="1" t="str">
        <f t="shared" si="20"/>
        <v>High</v>
      </c>
      <c r="Z259" s="1">
        <v>1683</v>
      </c>
      <c r="AA259" s="5">
        <v>10258</v>
      </c>
    </row>
    <row r="260" spans="1:27" x14ac:dyDescent="0.3">
      <c r="A260" s="5">
        <v>10259</v>
      </c>
      <c r="B260" s="1">
        <v>1663</v>
      </c>
      <c r="C260" s="2">
        <v>45122</v>
      </c>
      <c r="D260" s="2">
        <v>45126</v>
      </c>
      <c r="E260" s="1" t="s">
        <v>16</v>
      </c>
      <c r="F260" s="1" t="s">
        <v>29</v>
      </c>
      <c r="G260" s="1" t="s">
        <v>24</v>
      </c>
      <c r="H260" s="1" t="s">
        <v>25</v>
      </c>
      <c r="I260" s="1" t="s">
        <v>49</v>
      </c>
      <c r="J260" s="1" t="s">
        <v>51</v>
      </c>
      <c r="K260" s="1" t="s">
        <v>21</v>
      </c>
      <c r="L260" s="1">
        <v>9</v>
      </c>
      <c r="M260" s="1">
        <v>1223.9100000000001</v>
      </c>
      <c r="N260" s="1">
        <v>5</v>
      </c>
      <c r="O260" s="1">
        <v>10464.43</v>
      </c>
      <c r="P260" s="1">
        <f t="shared" si="21"/>
        <v>11015.19</v>
      </c>
      <c r="Q260" s="10">
        <f t="shared" si="22"/>
        <v>523.22149999999999</v>
      </c>
      <c r="R260" s="11">
        <f t="shared" si="23"/>
        <v>10491.968500000001</v>
      </c>
      <c r="S260" s="1" t="str">
        <f t="shared" si="24"/>
        <v>High</v>
      </c>
      <c r="T260" s="1" t="str" cm="1">
        <f t="array" ref="T260">_xlfn.IFS(L260&gt;5,"High",L260=5,"mediam",L260&lt;5,"low")</f>
        <v>High</v>
      </c>
      <c r="U260" s="1" t="str">
        <f t="shared" si="20"/>
        <v>High</v>
      </c>
      <c r="Z260" s="1">
        <v>1663</v>
      </c>
      <c r="AA260" s="5">
        <v>10259</v>
      </c>
    </row>
    <row r="261" spans="1:27" x14ac:dyDescent="0.3">
      <c r="A261" s="5">
        <v>10260</v>
      </c>
      <c r="B261" s="1">
        <v>1974</v>
      </c>
      <c r="C261" s="2">
        <v>45104</v>
      </c>
      <c r="D261" s="2">
        <v>45110</v>
      </c>
      <c r="E261" s="1" t="s">
        <v>22</v>
      </c>
      <c r="F261" s="1" t="s">
        <v>41</v>
      </c>
      <c r="G261" s="1" t="s">
        <v>17</v>
      </c>
      <c r="H261" s="1" t="s">
        <v>42</v>
      </c>
      <c r="I261" s="1" t="s">
        <v>31</v>
      </c>
      <c r="J261" s="1" t="s">
        <v>65</v>
      </c>
      <c r="K261" s="1" t="s">
        <v>28</v>
      </c>
      <c r="L261" s="1">
        <v>3</v>
      </c>
      <c r="M261" s="1">
        <v>647.32000000000005</v>
      </c>
      <c r="N261" s="1">
        <v>5</v>
      </c>
      <c r="O261" s="1">
        <v>1844.86</v>
      </c>
      <c r="P261" s="1">
        <f t="shared" si="21"/>
        <v>1941.96</v>
      </c>
      <c r="Q261" s="10">
        <f t="shared" si="22"/>
        <v>92.242999999999995</v>
      </c>
      <c r="R261" s="11">
        <f t="shared" si="23"/>
        <v>1849.7170000000001</v>
      </c>
      <c r="S261" s="1" t="str">
        <f t="shared" si="24"/>
        <v>Low</v>
      </c>
      <c r="T261" s="1" t="str" cm="1">
        <f t="array" ref="T261">_xlfn.IFS(L261&gt;5,"High",L261=5,"mediam",L261&lt;5,"low")</f>
        <v>low</v>
      </c>
      <c r="U261" s="1" t="b">
        <f t="shared" si="20"/>
        <v>0</v>
      </c>
      <c r="Z261" s="1">
        <v>1974</v>
      </c>
      <c r="AA261" s="5">
        <v>10260</v>
      </c>
    </row>
    <row r="262" spans="1:27" x14ac:dyDescent="0.3">
      <c r="A262" s="5">
        <v>10261</v>
      </c>
      <c r="B262" s="1">
        <v>1826</v>
      </c>
      <c r="C262" s="2">
        <v>44933</v>
      </c>
      <c r="D262" s="2">
        <v>44936</v>
      </c>
      <c r="E262" s="1" t="s">
        <v>15</v>
      </c>
      <c r="F262" s="1" t="s">
        <v>54</v>
      </c>
      <c r="G262" s="1" t="s">
        <v>24</v>
      </c>
      <c r="H262" s="1" t="s">
        <v>25</v>
      </c>
      <c r="I262" s="1" t="s">
        <v>31</v>
      </c>
      <c r="J262" s="1" t="s">
        <v>32</v>
      </c>
      <c r="K262" s="1" t="s">
        <v>33</v>
      </c>
      <c r="L262" s="1">
        <v>2</v>
      </c>
      <c r="M262" s="1">
        <v>533.25</v>
      </c>
      <c r="N262" s="1">
        <v>0</v>
      </c>
      <c r="O262" s="1">
        <v>1066.5</v>
      </c>
      <c r="P262" s="1">
        <f t="shared" si="21"/>
        <v>1066.5</v>
      </c>
      <c r="Q262" s="10">
        <f t="shared" si="22"/>
        <v>0</v>
      </c>
      <c r="R262" s="11">
        <f t="shared" si="23"/>
        <v>1066.5</v>
      </c>
      <c r="S262" s="1" t="str">
        <f t="shared" si="24"/>
        <v>Low</v>
      </c>
      <c r="T262" s="1" t="str" cm="1">
        <f t="array" ref="T262">_xlfn.IFS(L262&gt;5,"High",L262=5,"mediam",L262&lt;5,"low")</f>
        <v>low</v>
      </c>
      <c r="U262" s="1" t="b">
        <f t="shared" si="20"/>
        <v>0</v>
      </c>
      <c r="Z262" s="1">
        <v>1826</v>
      </c>
      <c r="AA262" s="5">
        <v>10261</v>
      </c>
    </row>
    <row r="263" spans="1:27" x14ac:dyDescent="0.3">
      <c r="A263" s="5">
        <v>10262</v>
      </c>
      <c r="B263" s="1">
        <v>1373</v>
      </c>
      <c r="C263" s="2">
        <v>44996</v>
      </c>
      <c r="D263" s="2">
        <v>44998</v>
      </c>
      <c r="E263" s="1" t="s">
        <v>15</v>
      </c>
      <c r="F263" s="1" t="s">
        <v>23</v>
      </c>
      <c r="G263" s="1" t="s">
        <v>17</v>
      </c>
      <c r="H263" s="1" t="s">
        <v>44</v>
      </c>
      <c r="I263" s="1" t="s">
        <v>57</v>
      </c>
      <c r="J263" s="1" t="s">
        <v>59</v>
      </c>
      <c r="K263" s="1" t="s">
        <v>21</v>
      </c>
      <c r="L263" s="1">
        <v>7</v>
      </c>
      <c r="M263" s="1">
        <v>2472.29</v>
      </c>
      <c r="N263" s="1">
        <v>10</v>
      </c>
      <c r="O263" s="1">
        <v>15575.43</v>
      </c>
      <c r="P263" s="1">
        <f t="shared" si="21"/>
        <v>17306.03</v>
      </c>
      <c r="Q263" s="10">
        <f t="shared" si="22"/>
        <v>1557.5430000000001</v>
      </c>
      <c r="R263" s="11">
        <f t="shared" si="23"/>
        <v>15748.486999999999</v>
      </c>
      <c r="S263" s="1" t="str">
        <f t="shared" si="24"/>
        <v>High</v>
      </c>
      <c r="T263" s="1" t="str" cm="1">
        <f t="array" ref="T263">_xlfn.IFS(L263&gt;5,"High",L263=5,"mediam",L263&lt;5,"low")</f>
        <v>High</v>
      </c>
      <c r="U263" s="1" t="str">
        <f t="shared" si="20"/>
        <v>High</v>
      </c>
      <c r="Z263" s="1">
        <v>1373</v>
      </c>
      <c r="AA263" s="5">
        <v>10262</v>
      </c>
    </row>
    <row r="264" spans="1:27" x14ac:dyDescent="0.3">
      <c r="A264" s="5">
        <v>10263</v>
      </c>
      <c r="B264" s="1">
        <v>1671</v>
      </c>
      <c r="C264" s="2">
        <v>45053</v>
      </c>
      <c r="D264" s="2">
        <v>45059</v>
      </c>
      <c r="E264" s="1" t="s">
        <v>40</v>
      </c>
      <c r="F264" s="1" t="s">
        <v>38</v>
      </c>
      <c r="G264" s="1" t="s">
        <v>30</v>
      </c>
      <c r="H264" s="1" t="s">
        <v>35</v>
      </c>
      <c r="I264" s="1" t="s">
        <v>49</v>
      </c>
      <c r="J264" s="1" t="s">
        <v>63</v>
      </c>
      <c r="K264" s="1" t="s">
        <v>33</v>
      </c>
      <c r="L264" s="1">
        <v>7</v>
      </c>
      <c r="M264" s="1">
        <v>2165.86</v>
      </c>
      <c r="N264" s="1">
        <v>0</v>
      </c>
      <c r="O264" s="1">
        <v>15161.02</v>
      </c>
      <c r="P264" s="1">
        <f t="shared" si="21"/>
        <v>15161.02</v>
      </c>
      <c r="Q264" s="10">
        <f t="shared" si="22"/>
        <v>0</v>
      </c>
      <c r="R264" s="11">
        <f t="shared" si="23"/>
        <v>15161.02</v>
      </c>
      <c r="S264" s="1" t="str">
        <f t="shared" si="24"/>
        <v>High</v>
      </c>
      <c r="T264" s="1" t="str" cm="1">
        <f t="array" ref="T264">_xlfn.IFS(L264&gt;5,"High",L264=5,"mediam",L264&lt;5,"low")</f>
        <v>High</v>
      </c>
      <c r="U264" s="1" t="str">
        <f t="shared" si="20"/>
        <v>High</v>
      </c>
      <c r="Z264" s="1">
        <v>1671</v>
      </c>
      <c r="AA264" s="5">
        <v>10263</v>
      </c>
    </row>
    <row r="265" spans="1:27" x14ac:dyDescent="0.3">
      <c r="A265" s="5">
        <v>10264</v>
      </c>
      <c r="B265" s="1">
        <v>1607</v>
      </c>
      <c r="C265" s="2">
        <v>45086</v>
      </c>
      <c r="D265" s="2">
        <v>45091</v>
      </c>
      <c r="E265" s="1" t="s">
        <v>15</v>
      </c>
      <c r="F265" s="1" t="s">
        <v>16</v>
      </c>
      <c r="G265" s="1" t="s">
        <v>30</v>
      </c>
      <c r="H265" s="1" t="s">
        <v>44</v>
      </c>
      <c r="I265" s="1" t="s">
        <v>52</v>
      </c>
      <c r="J265" s="1" t="s">
        <v>60</v>
      </c>
      <c r="K265" s="1" t="s">
        <v>47</v>
      </c>
      <c r="L265" s="1">
        <v>4</v>
      </c>
      <c r="M265" s="1">
        <v>1126.3</v>
      </c>
      <c r="N265" s="1">
        <v>20</v>
      </c>
      <c r="O265" s="1">
        <v>3604.16</v>
      </c>
      <c r="P265" s="1">
        <f t="shared" si="21"/>
        <v>4505.2</v>
      </c>
      <c r="Q265" s="10">
        <f t="shared" si="22"/>
        <v>720.83199999999999</v>
      </c>
      <c r="R265" s="11">
        <f t="shared" si="23"/>
        <v>3784.3679999999999</v>
      </c>
      <c r="S265" s="1" t="str">
        <f t="shared" si="24"/>
        <v>Low</v>
      </c>
      <c r="T265" s="1" t="str" cm="1">
        <f t="array" ref="T265">_xlfn.IFS(L265&gt;5,"High",L265=5,"mediam",L265&lt;5,"low")</f>
        <v>low</v>
      </c>
      <c r="U265" s="1" t="b">
        <f t="shared" ref="U265:U328" si="25">IF(L265&gt;5,"High",IF(L265="Mediam","Low"))</f>
        <v>0</v>
      </c>
      <c r="Z265" s="1">
        <v>1607</v>
      </c>
      <c r="AA265" s="5">
        <v>10264</v>
      </c>
    </row>
    <row r="266" spans="1:27" x14ac:dyDescent="0.3">
      <c r="A266" s="5">
        <v>10265</v>
      </c>
      <c r="B266" s="1">
        <v>1471</v>
      </c>
      <c r="C266" s="2">
        <v>45174</v>
      </c>
      <c r="D266" s="2">
        <v>45179</v>
      </c>
      <c r="E266" s="1" t="s">
        <v>46</v>
      </c>
      <c r="F266" s="1" t="s">
        <v>38</v>
      </c>
      <c r="G266" s="1" t="s">
        <v>24</v>
      </c>
      <c r="H266" s="1" t="s">
        <v>18</v>
      </c>
      <c r="I266" s="1" t="s">
        <v>26</v>
      </c>
      <c r="J266" s="1" t="s">
        <v>61</v>
      </c>
      <c r="K266" s="1" t="s">
        <v>21</v>
      </c>
      <c r="L266" s="1">
        <v>9</v>
      </c>
      <c r="M266" s="1">
        <v>1963.16</v>
      </c>
      <c r="N266" s="1">
        <v>20</v>
      </c>
      <c r="O266" s="1">
        <v>14134.75</v>
      </c>
      <c r="P266" s="1">
        <f t="shared" si="21"/>
        <v>17668.440000000002</v>
      </c>
      <c r="Q266" s="10">
        <f t="shared" si="22"/>
        <v>2826.9500000000003</v>
      </c>
      <c r="R266" s="11">
        <f t="shared" si="23"/>
        <v>14841.490000000002</v>
      </c>
      <c r="S266" s="1" t="str">
        <f t="shared" si="24"/>
        <v>High</v>
      </c>
      <c r="T266" s="1" t="str" cm="1">
        <f t="array" ref="T266">_xlfn.IFS(L266&gt;5,"High",L266=5,"mediam",L266&lt;5,"low")</f>
        <v>High</v>
      </c>
      <c r="U266" s="1" t="str">
        <f t="shared" si="25"/>
        <v>High</v>
      </c>
      <c r="Z266" s="1">
        <v>1471</v>
      </c>
      <c r="AA266" s="5">
        <v>10265</v>
      </c>
    </row>
    <row r="267" spans="1:27" x14ac:dyDescent="0.3">
      <c r="A267" s="5">
        <v>10266</v>
      </c>
      <c r="B267" s="1">
        <v>1232</v>
      </c>
      <c r="C267" s="2">
        <v>45129</v>
      </c>
      <c r="D267" s="2">
        <v>45134</v>
      </c>
      <c r="E267" s="1" t="s">
        <v>40</v>
      </c>
      <c r="F267" s="1" t="s">
        <v>16</v>
      </c>
      <c r="G267" s="1" t="s">
        <v>30</v>
      </c>
      <c r="H267" s="1" t="s">
        <v>35</v>
      </c>
      <c r="I267" s="1" t="s">
        <v>26</v>
      </c>
      <c r="J267" s="1" t="s">
        <v>61</v>
      </c>
      <c r="K267" s="1" t="s">
        <v>33</v>
      </c>
      <c r="L267" s="1">
        <v>8</v>
      </c>
      <c r="M267" s="1">
        <v>2045.09</v>
      </c>
      <c r="N267" s="1">
        <v>10</v>
      </c>
      <c r="O267" s="1">
        <v>14724.65</v>
      </c>
      <c r="P267" s="1">
        <f t="shared" si="21"/>
        <v>16360.72</v>
      </c>
      <c r="Q267" s="10">
        <f t="shared" si="22"/>
        <v>1472.4650000000001</v>
      </c>
      <c r="R267" s="11">
        <f t="shared" si="23"/>
        <v>14888.254999999999</v>
      </c>
      <c r="S267" s="1" t="str">
        <f t="shared" si="24"/>
        <v>High</v>
      </c>
      <c r="T267" s="1" t="str" cm="1">
        <f t="array" ref="T267">_xlfn.IFS(L267&gt;5,"High",L267=5,"mediam",L267&lt;5,"low")</f>
        <v>High</v>
      </c>
      <c r="U267" s="1" t="str">
        <f t="shared" si="25"/>
        <v>High</v>
      </c>
      <c r="Z267" s="1">
        <v>1232</v>
      </c>
      <c r="AA267" s="5">
        <v>10266</v>
      </c>
    </row>
    <row r="268" spans="1:27" x14ac:dyDescent="0.3">
      <c r="A268" s="5">
        <v>10267</v>
      </c>
      <c r="B268" s="1">
        <v>1691</v>
      </c>
      <c r="C268" s="2">
        <v>45074</v>
      </c>
      <c r="D268" s="2">
        <v>45079</v>
      </c>
      <c r="E268" s="1" t="s">
        <v>40</v>
      </c>
      <c r="F268" s="1" t="s">
        <v>38</v>
      </c>
      <c r="G268" s="1" t="s">
        <v>30</v>
      </c>
      <c r="H268" s="1" t="s">
        <v>44</v>
      </c>
      <c r="I268" s="1" t="s">
        <v>52</v>
      </c>
      <c r="J268" s="1" t="s">
        <v>53</v>
      </c>
      <c r="K268" s="1" t="s">
        <v>47</v>
      </c>
      <c r="L268" s="1">
        <v>1</v>
      </c>
      <c r="M268" s="1">
        <v>900.78</v>
      </c>
      <c r="N268" s="1">
        <v>5</v>
      </c>
      <c r="O268" s="1">
        <v>855.74</v>
      </c>
      <c r="P268" s="1">
        <f t="shared" si="21"/>
        <v>900.78</v>
      </c>
      <c r="Q268" s="10">
        <f t="shared" si="22"/>
        <v>42.787000000000006</v>
      </c>
      <c r="R268" s="11">
        <f t="shared" si="23"/>
        <v>857.99299999999994</v>
      </c>
      <c r="S268" s="1" t="str">
        <f t="shared" si="24"/>
        <v>Low</v>
      </c>
      <c r="T268" s="1" t="str" cm="1">
        <f t="array" ref="T268">_xlfn.IFS(L268&gt;5,"High",L268=5,"mediam",L268&lt;5,"low")</f>
        <v>low</v>
      </c>
      <c r="U268" s="1" t="b">
        <f t="shared" si="25"/>
        <v>0</v>
      </c>
      <c r="Z268" s="1">
        <v>1691</v>
      </c>
      <c r="AA268" s="5">
        <v>10267</v>
      </c>
    </row>
    <row r="269" spans="1:27" x14ac:dyDescent="0.3">
      <c r="A269" s="5">
        <v>10268</v>
      </c>
      <c r="B269" s="1">
        <v>1112</v>
      </c>
      <c r="C269" s="2">
        <v>45069</v>
      </c>
      <c r="D269" s="2">
        <v>45072</v>
      </c>
      <c r="E269" s="1" t="s">
        <v>37</v>
      </c>
      <c r="F269" s="1" t="s">
        <v>16</v>
      </c>
      <c r="G269" s="1" t="s">
        <v>30</v>
      </c>
      <c r="H269" s="1" t="s">
        <v>42</v>
      </c>
      <c r="I269" s="1" t="s">
        <v>31</v>
      </c>
      <c r="J269" s="1" t="s">
        <v>39</v>
      </c>
      <c r="K269" s="1" t="s">
        <v>28</v>
      </c>
      <c r="L269" s="1">
        <v>1</v>
      </c>
      <c r="M269" s="1">
        <v>2660.56</v>
      </c>
      <c r="N269" s="1">
        <v>10</v>
      </c>
      <c r="O269" s="1">
        <v>2394.5</v>
      </c>
      <c r="P269" s="1">
        <f t="shared" si="21"/>
        <v>2660.56</v>
      </c>
      <c r="Q269" s="10">
        <f t="shared" si="22"/>
        <v>239.45000000000002</v>
      </c>
      <c r="R269" s="11">
        <f t="shared" si="23"/>
        <v>2421.11</v>
      </c>
      <c r="S269" s="1" t="str">
        <f t="shared" si="24"/>
        <v>Low</v>
      </c>
      <c r="T269" s="1" t="str" cm="1">
        <f t="array" ref="T269">_xlfn.IFS(L269&gt;5,"High",L269=5,"mediam",L269&lt;5,"low")</f>
        <v>low</v>
      </c>
      <c r="U269" s="1" t="b">
        <f t="shared" si="25"/>
        <v>0</v>
      </c>
      <c r="Z269" s="1">
        <v>1112</v>
      </c>
      <c r="AA269" s="5">
        <v>10268</v>
      </c>
    </row>
    <row r="270" spans="1:27" x14ac:dyDescent="0.3">
      <c r="A270" s="5">
        <v>10269</v>
      </c>
      <c r="B270" s="1">
        <v>1829</v>
      </c>
      <c r="C270" s="2">
        <v>45125</v>
      </c>
      <c r="D270" s="2">
        <v>45132</v>
      </c>
      <c r="E270" s="1" t="s">
        <v>15</v>
      </c>
      <c r="F270" s="1" t="s">
        <v>41</v>
      </c>
      <c r="G270" s="1" t="s">
        <v>24</v>
      </c>
      <c r="H270" s="1" t="s">
        <v>35</v>
      </c>
      <c r="I270" s="1" t="s">
        <v>49</v>
      </c>
      <c r="J270" s="1" t="s">
        <v>51</v>
      </c>
      <c r="K270" s="1" t="s">
        <v>47</v>
      </c>
      <c r="L270" s="1">
        <v>5</v>
      </c>
      <c r="M270" s="1">
        <v>3156.54</v>
      </c>
      <c r="N270" s="1">
        <v>20</v>
      </c>
      <c r="O270" s="1">
        <v>12626.16</v>
      </c>
      <c r="P270" s="1">
        <f t="shared" si="21"/>
        <v>15782.7</v>
      </c>
      <c r="Q270" s="10">
        <f t="shared" si="22"/>
        <v>2525.232</v>
      </c>
      <c r="R270" s="11">
        <f t="shared" si="23"/>
        <v>13257.468000000001</v>
      </c>
      <c r="S270" s="1" t="str">
        <f t="shared" si="24"/>
        <v>High</v>
      </c>
      <c r="T270" s="1" t="str" cm="1">
        <f t="array" ref="T270">_xlfn.IFS(L270&gt;5,"High",L270=5,"mediam",L270&lt;5,"low")</f>
        <v>mediam</v>
      </c>
      <c r="U270" s="1" t="b">
        <f t="shared" si="25"/>
        <v>0</v>
      </c>
      <c r="Z270" s="1">
        <v>1829</v>
      </c>
      <c r="AA270" s="5">
        <v>10269</v>
      </c>
    </row>
    <row r="271" spans="1:27" x14ac:dyDescent="0.3">
      <c r="A271" s="5">
        <v>10270</v>
      </c>
      <c r="B271" s="1">
        <v>1496</v>
      </c>
      <c r="C271" s="2">
        <v>45080</v>
      </c>
      <c r="D271" s="2">
        <v>45086</v>
      </c>
      <c r="E271" s="1" t="s">
        <v>22</v>
      </c>
      <c r="F271" s="1" t="s">
        <v>29</v>
      </c>
      <c r="G271" s="1" t="s">
        <v>24</v>
      </c>
      <c r="H271" s="1" t="s">
        <v>35</v>
      </c>
      <c r="I271" s="1" t="s">
        <v>31</v>
      </c>
      <c r="J271" s="1" t="s">
        <v>65</v>
      </c>
      <c r="K271" s="1" t="s">
        <v>45</v>
      </c>
      <c r="L271" s="1">
        <v>6</v>
      </c>
      <c r="M271" s="1">
        <v>3197.13</v>
      </c>
      <c r="N271" s="1">
        <v>10</v>
      </c>
      <c r="O271" s="1">
        <v>17264.5</v>
      </c>
      <c r="P271" s="1">
        <f t="shared" si="21"/>
        <v>19182.78</v>
      </c>
      <c r="Q271" s="10">
        <f t="shared" si="22"/>
        <v>1726.45</v>
      </c>
      <c r="R271" s="11">
        <f t="shared" si="23"/>
        <v>17456.329999999998</v>
      </c>
      <c r="S271" s="1" t="str">
        <f t="shared" si="24"/>
        <v>High</v>
      </c>
      <c r="T271" s="1" t="str" cm="1">
        <f t="array" ref="T271">_xlfn.IFS(L271&gt;5,"High",L271=5,"mediam",L271&lt;5,"low")</f>
        <v>High</v>
      </c>
      <c r="U271" s="1" t="str">
        <f t="shared" si="25"/>
        <v>High</v>
      </c>
      <c r="Z271" s="1">
        <v>1496</v>
      </c>
      <c r="AA271" s="5">
        <v>10270</v>
      </c>
    </row>
    <row r="272" spans="1:27" x14ac:dyDescent="0.3">
      <c r="A272" s="5">
        <v>10271</v>
      </c>
      <c r="B272" s="1">
        <v>1441</v>
      </c>
      <c r="C272" s="2">
        <v>45068</v>
      </c>
      <c r="D272" s="2">
        <v>45072</v>
      </c>
      <c r="E272" s="1" t="s">
        <v>40</v>
      </c>
      <c r="F272" s="1" t="s">
        <v>16</v>
      </c>
      <c r="G272" s="1" t="s">
        <v>30</v>
      </c>
      <c r="H272" s="1" t="s">
        <v>25</v>
      </c>
      <c r="I272" s="1" t="s">
        <v>19</v>
      </c>
      <c r="J272" s="1" t="s">
        <v>66</v>
      </c>
      <c r="K272" s="1" t="s">
        <v>47</v>
      </c>
      <c r="L272" s="1">
        <v>3</v>
      </c>
      <c r="M272" s="1">
        <v>2469.5100000000002</v>
      </c>
      <c r="N272" s="1">
        <v>0</v>
      </c>
      <c r="O272" s="1">
        <v>7408.53</v>
      </c>
      <c r="P272" s="1">
        <f t="shared" si="21"/>
        <v>7408.5300000000007</v>
      </c>
      <c r="Q272" s="10">
        <f t="shared" si="22"/>
        <v>0</v>
      </c>
      <c r="R272" s="11">
        <f t="shared" si="23"/>
        <v>7408.5300000000007</v>
      </c>
      <c r="S272" s="1" t="str">
        <f t="shared" si="24"/>
        <v>Low</v>
      </c>
      <c r="T272" s="1" t="str" cm="1">
        <f t="array" ref="T272">_xlfn.IFS(L272&gt;5,"High",L272=5,"mediam",L272&lt;5,"low")</f>
        <v>low</v>
      </c>
      <c r="U272" s="1" t="b">
        <f t="shared" si="25"/>
        <v>0</v>
      </c>
      <c r="Z272" s="1">
        <v>1441</v>
      </c>
      <c r="AA272" s="5">
        <v>10271</v>
      </c>
    </row>
    <row r="273" spans="1:27" x14ac:dyDescent="0.3">
      <c r="A273" s="5">
        <v>10272</v>
      </c>
      <c r="B273" s="1">
        <v>1563</v>
      </c>
      <c r="C273" s="2">
        <v>45239</v>
      </c>
      <c r="D273" s="2">
        <v>45241</v>
      </c>
      <c r="E273" s="1" t="s">
        <v>22</v>
      </c>
      <c r="F273" s="1" t="s">
        <v>16</v>
      </c>
      <c r="G273" s="1" t="s">
        <v>17</v>
      </c>
      <c r="H273" s="1" t="s">
        <v>42</v>
      </c>
      <c r="I273" s="1" t="s">
        <v>31</v>
      </c>
      <c r="J273" s="1" t="s">
        <v>48</v>
      </c>
      <c r="K273" s="1" t="s">
        <v>47</v>
      </c>
      <c r="L273" s="1">
        <v>9</v>
      </c>
      <c r="M273" s="1">
        <v>2119.81</v>
      </c>
      <c r="N273" s="1">
        <v>10</v>
      </c>
      <c r="O273" s="1">
        <v>17170.46</v>
      </c>
      <c r="P273" s="1">
        <f t="shared" si="21"/>
        <v>19078.29</v>
      </c>
      <c r="Q273" s="10">
        <f t="shared" si="22"/>
        <v>1717.046</v>
      </c>
      <c r="R273" s="11">
        <f t="shared" si="23"/>
        <v>17361.244000000002</v>
      </c>
      <c r="S273" s="1" t="str">
        <f t="shared" si="24"/>
        <v>High</v>
      </c>
      <c r="T273" s="1" t="str" cm="1">
        <f t="array" ref="T273">_xlfn.IFS(L273&gt;5,"High",L273=5,"mediam",L273&lt;5,"low")</f>
        <v>High</v>
      </c>
      <c r="U273" s="1" t="str">
        <f t="shared" si="25"/>
        <v>High</v>
      </c>
      <c r="Z273" s="1">
        <v>1563</v>
      </c>
      <c r="AA273" s="5">
        <v>10272</v>
      </c>
    </row>
    <row r="274" spans="1:27" x14ac:dyDescent="0.3">
      <c r="A274" s="5">
        <v>10273</v>
      </c>
      <c r="B274" s="1">
        <v>1267</v>
      </c>
      <c r="C274" s="2">
        <v>45091</v>
      </c>
      <c r="D274" s="2">
        <v>45100</v>
      </c>
      <c r="E274" s="1" t="s">
        <v>46</v>
      </c>
      <c r="F274" s="1" t="s">
        <v>54</v>
      </c>
      <c r="G274" s="1" t="s">
        <v>30</v>
      </c>
      <c r="H274" s="1" t="s">
        <v>18</v>
      </c>
      <c r="I274" s="1" t="s">
        <v>31</v>
      </c>
      <c r="J274" s="1" t="s">
        <v>39</v>
      </c>
      <c r="K274" s="1" t="s">
        <v>45</v>
      </c>
      <c r="L274" s="1">
        <v>6</v>
      </c>
      <c r="M274" s="1">
        <v>384.88</v>
      </c>
      <c r="N274" s="1">
        <v>5</v>
      </c>
      <c r="O274" s="1">
        <v>2193.8200000000002</v>
      </c>
      <c r="P274" s="1">
        <f t="shared" si="21"/>
        <v>2309.2799999999997</v>
      </c>
      <c r="Q274" s="10">
        <f t="shared" si="22"/>
        <v>109.69100000000002</v>
      </c>
      <c r="R274" s="11">
        <f t="shared" si="23"/>
        <v>2199.5889999999999</v>
      </c>
      <c r="S274" s="1" t="str">
        <f t="shared" si="24"/>
        <v>High</v>
      </c>
      <c r="T274" s="1" t="str" cm="1">
        <f t="array" ref="T274">_xlfn.IFS(L274&gt;5,"High",L274=5,"mediam",L274&lt;5,"low")</f>
        <v>High</v>
      </c>
      <c r="U274" s="1" t="str">
        <f t="shared" si="25"/>
        <v>High</v>
      </c>
      <c r="Z274" s="1">
        <v>1267</v>
      </c>
      <c r="AA274" s="5">
        <v>10273</v>
      </c>
    </row>
    <row r="275" spans="1:27" x14ac:dyDescent="0.3">
      <c r="A275" s="5">
        <v>10274</v>
      </c>
      <c r="B275" s="1">
        <v>1509</v>
      </c>
      <c r="C275" s="2">
        <v>45240</v>
      </c>
      <c r="D275" s="2">
        <v>45241</v>
      </c>
      <c r="E275" s="1" t="s">
        <v>37</v>
      </c>
      <c r="F275" s="1" t="s">
        <v>16</v>
      </c>
      <c r="G275" s="1" t="s">
        <v>24</v>
      </c>
      <c r="H275" s="1" t="s">
        <v>44</v>
      </c>
      <c r="I275" s="1" t="s">
        <v>52</v>
      </c>
      <c r="J275" s="1" t="s">
        <v>60</v>
      </c>
      <c r="K275" s="1" t="s">
        <v>33</v>
      </c>
      <c r="L275" s="1">
        <v>4</v>
      </c>
      <c r="M275" s="1">
        <v>1258.1500000000001</v>
      </c>
      <c r="N275" s="1">
        <v>0</v>
      </c>
      <c r="O275" s="1">
        <v>5032.6000000000004</v>
      </c>
      <c r="P275" s="1">
        <f t="shared" si="21"/>
        <v>5032.6000000000004</v>
      </c>
      <c r="Q275" s="10">
        <f t="shared" si="22"/>
        <v>0</v>
      </c>
      <c r="R275" s="11">
        <f t="shared" si="23"/>
        <v>5032.6000000000004</v>
      </c>
      <c r="S275" s="1" t="str">
        <f t="shared" si="24"/>
        <v>Low</v>
      </c>
      <c r="T275" s="1" t="str" cm="1">
        <f t="array" ref="T275">_xlfn.IFS(L275&gt;5,"High",L275=5,"mediam",L275&lt;5,"low")</f>
        <v>low</v>
      </c>
      <c r="U275" s="1" t="b">
        <f t="shared" si="25"/>
        <v>0</v>
      </c>
      <c r="Z275" s="1">
        <v>1509</v>
      </c>
      <c r="AA275" s="5">
        <v>10274</v>
      </c>
    </row>
    <row r="276" spans="1:27" x14ac:dyDescent="0.3">
      <c r="A276" s="5">
        <v>10275</v>
      </c>
      <c r="B276" s="1">
        <v>1806</v>
      </c>
      <c r="C276" s="2">
        <v>44947</v>
      </c>
      <c r="D276" s="2">
        <v>44951</v>
      </c>
      <c r="E276" s="1" t="s">
        <v>16</v>
      </c>
      <c r="F276" s="1" t="s">
        <v>54</v>
      </c>
      <c r="G276" s="1" t="s">
        <v>24</v>
      </c>
      <c r="H276" s="1" t="s">
        <v>25</v>
      </c>
      <c r="I276" s="1" t="s">
        <v>52</v>
      </c>
      <c r="J276" s="1" t="s">
        <v>64</v>
      </c>
      <c r="K276" s="1" t="s">
        <v>33</v>
      </c>
      <c r="L276" s="1">
        <v>7</v>
      </c>
      <c r="M276" s="1">
        <v>509.1</v>
      </c>
      <c r="N276" s="1">
        <v>15</v>
      </c>
      <c r="O276" s="1">
        <v>3029.14</v>
      </c>
      <c r="P276" s="1">
        <f t="shared" si="21"/>
        <v>3563.7000000000003</v>
      </c>
      <c r="Q276" s="10">
        <f t="shared" si="22"/>
        <v>454.37099999999998</v>
      </c>
      <c r="R276" s="11">
        <f t="shared" si="23"/>
        <v>3109.3290000000002</v>
      </c>
      <c r="S276" s="1" t="str">
        <f t="shared" si="24"/>
        <v>High</v>
      </c>
      <c r="T276" s="1" t="str" cm="1">
        <f t="array" ref="T276">_xlfn.IFS(L276&gt;5,"High",L276=5,"mediam",L276&lt;5,"low")</f>
        <v>High</v>
      </c>
      <c r="U276" s="1" t="str">
        <f t="shared" si="25"/>
        <v>High</v>
      </c>
      <c r="Z276" s="1">
        <v>1806</v>
      </c>
      <c r="AA276" s="5">
        <v>10275</v>
      </c>
    </row>
    <row r="277" spans="1:27" x14ac:dyDescent="0.3">
      <c r="A277" s="5">
        <v>10276</v>
      </c>
      <c r="B277" s="1">
        <v>1385</v>
      </c>
      <c r="C277" s="2">
        <v>45008</v>
      </c>
      <c r="D277" s="2">
        <v>45009</v>
      </c>
      <c r="E277" s="1" t="s">
        <v>22</v>
      </c>
      <c r="F277" s="1" t="s">
        <v>23</v>
      </c>
      <c r="G277" s="1" t="s">
        <v>24</v>
      </c>
      <c r="H277" s="1" t="s">
        <v>44</v>
      </c>
      <c r="I277" s="1" t="s">
        <v>52</v>
      </c>
      <c r="J277" s="1" t="s">
        <v>53</v>
      </c>
      <c r="K277" s="1" t="s">
        <v>47</v>
      </c>
      <c r="L277" s="1">
        <v>8</v>
      </c>
      <c r="M277" s="1">
        <v>3860.72</v>
      </c>
      <c r="N277" s="1">
        <v>20</v>
      </c>
      <c r="O277" s="1">
        <v>24708.61</v>
      </c>
      <c r="P277" s="1">
        <f t="shared" si="21"/>
        <v>30885.759999999998</v>
      </c>
      <c r="Q277" s="10">
        <f t="shared" si="22"/>
        <v>4941.7220000000007</v>
      </c>
      <c r="R277" s="11">
        <f t="shared" si="23"/>
        <v>25944.037999999997</v>
      </c>
      <c r="S277" s="1" t="str">
        <f t="shared" si="24"/>
        <v>High</v>
      </c>
      <c r="T277" s="1" t="str" cm="1">
        <f t="array" ref="T277">_xlfn.IFS(L277&gt;5,"High",L277=5,"mediam",L277&lt;5,"low")</f>
        <v>High</v>
      </c>
      <c r="U277" s="1" t="str">
        <f t="shared" si="25"/>
        <v>High</v>
      </c>
      <c r="Z277" s="1">
        <v>1385</v>
      </c>
      <c r="AA277" s="5">
        <v>10276</v>
      </c>
    </row>
    <row r="278" spans="1:27" x14ac:dyDescent="0.3">
      <c r="A278" s="5">
        <v>10277</v>
      </c>
      <c r="B278" s="1">
        <v>1386</v>
      </c>
      <c r="C278" s="2">
        <v>44995</v>
      </c>
      <c r="D278" s="2">
        <v>45001</v>
      </c>
      <c r="E278" s="1" t="s">
        <v>40</v>
      </c>
      <c r="F278" s="1" t="s">
        <v>41</v>
      </c>
      <c r="G278" s="1" t="s">
        <v>30</v>
      </c>
      <c r="H278" s="1" t="s">
        <v>18</v>
      </c>
      <c r="I278" s="1" t="s">
        <v>26</v>
      </c>
      <c r="J278" s="1" t="s">
        <v>69</v>
      </c>
      <c r="K278" s="1" t="s">
        <v>45</v>
      </c>
      <c r="L278" s="1">
        <v>9</v>
      </c>
      <c r="M278" s="1">
        <v>670.06</v>
      </c>
      <c r="N278" s="1">
        <v>20</v>
      </c>
      <c r="O278" s="1">
        <v>4824.43</v>
      </c>
      <c r="P278" s="1">
        <f t="shared" si="21"/>
        <v>6030.5399999999991</v>
      </c>
      <c r="Q278" s="10">
        <f t="shared" si="22"/>
        <v>964.88600000000008</v>
      </c>
      <c r="R278" s="11">
        <f t="shared" si="23"/>
        <v>5065.6539999999986</v>
      </c>
      <c r="S278" s="1" t="str">
        <f t="shared" si="24"/>
        <v>High</v>
      </c>
      <c r="T278" s="1" t="str" cm="1">
        <f t="array" ref="T278">_xlfn.IFS(L278&gt;5,"High",L278=5,"mediam",L278&lt;5,"low")</f>
        <v>High</v>
      </c>
      <c r="U278" s="1" t="str">
        <f t="shared" si="25"/>
        <v>High</v>
      </c>
      <c r="Z278" s="1">
        <v>1386</v>
      </c>
      <c r="AA278" s="5">
        <v>10277</v>
      </c>
    </row>
    <row r="279" spans="1:27" x14ac:dyDescent="0.3">
      <c r="A279" s="5">
        <v>10278</v>
      </c>
      <c r="B279" s="1">
        <v>1112</v>
      </c>
      <c r="C279" s="2">
        <v>45057</v>
      </c>
      <c r="D279" s="2">
        <v>45061</v>
      </c>
      <c r="E279" s="1" t="s">
        <v>46</v>
      </c>
      <c r="F279" s="1" t="s">
        <v>54</v>
      </c>
      <c r="G279" s="1" t="s">
        <v>17</v>
      </c>
      <c r="H279" s="1" t="s">
        <v>18</v>
      </c>
      <c r="I279" s="1" t="s">
        <v>19</v>
      </c>
      <c r="J279" s="1" t="s">
        <v>43</v>
      </c>
      <c r="K279" s="1" t="s">
        <v>45</v>
      </c>
      <c r="L279" s="1">
        <v>6</v>
      </c>
      <c r="M279" s="1">
        <v>734.34</v>
      </c>
      <c r="N279" s="1">
        <v>10</v>
      </c>
      <c r="O279" s="1">
        <v>3965.44</v>
      </c>
      <c r="P279" s="1">
        <f t="shared" si="21"/>
        <v>4406.04</v>
      </c>
      <c r="Q279" s="10">
        <f t="shared" si="22"/>
        <v>396.54400000000004</v>
      </c>
      <c r="R279" s="11">
        <f t="shared" si="23"/>
        <v>4009.4960000000001</v>
      </c>
      <c r="S279" s="1" t="str">
        <f t="shared" si="24"/>
        <v>High</v>
      </c>
      <c r="T279" s="1" t="str" cm="1">
        <f t="array" ref="T279">_xlfn.IFS(L279&gt;5,"High",L279=5,"mediam",L279&lt;5,"low")</f>
        <v>High</v>
      </c>
      <c r="U279" s="1" t="str">
        <f t="shared" si="25"/>
        <v>High</v>
      </c>
      <c r="Z279" s="1">
        <v>1112</v>
      </c>
      <c r="AA279" s="5">
        <v>10278</v>
      </c>
    </row>
    <row r="280" spans="1:27" x14ac:dyDescent="0.3">
      <c r="A280" s="5">
        <v>10279</v>
      </c>
      <c r="B280" s="1">
        <v>1612</v>
      </c>
      <c r="C280" s="2">
        <v>45013</v>
      </c>
      <c r="D280" s="2">
        <v>45018</v>
      </c>
      <c r="E280" s="1" t="s">
        <v>34</v>
      </c>
      <c r="F280" s="1" t="s">
        <v>29</v>
      </c>
      <c r="G280" s="1" t="s">
        <v>24</v>
      </c>
      <c r="H280" s="1" t="s">
        <v>35</v>
      </c>
      <c r="I280" s="1" t="s">
        <v>52</v>
      </c>
      <c r="J280" s="1" t="s">
        <v>60</v>
      </c>
      <c r="K280" s="1" t="s">
        <v>28</v>
      </c>
      <c r="L280" s="1">
        <v>6</v>
      </c>
      <c r="M280" s="1">
        <v>3574.87</v>
      </c>
      <c r="N280" s="1">
        <v>0</v>
      </c>
      <c r="O280" s="1">
        <v>21449.22</v>
      </c>
      <c r="P280" s="1">
        <f t="shared" si="21"/>
        <v>21449.22</v>
      </c>
      <c r="Q280" s="10">
        <f t="shared" si="22"/>
        <v>0</v>
      </c>
      <c r="R280" s="11">
        <f t="shared" si="23"/>
        <v>21449.22</v>
      </c>
      <c r="S280" s="1" t="str">
        <f t="shared" si="24"/>
        <v>High</v>
      </c>
      <c r="T280" s="1" t="str" cm="1">
        <f t="array" ref="T280">_xlfn.IFS(L280&gt;5,"High",L280=5,"mediam",L280&lt;5,"low")</f>
        <v>High</v>
      </c>
      <c r="U280" s="1" t="str">
        <f t="shared" si="25"/>
        <v>High</v>
      </c>
      <c r="Z280" s="1">
        <v>1612</v>
      </c>
      <c r="AA280" s="5">
        <v>10279</v>
      </c>
    </row>
    <row r="281" spans="1:27" x14ac:dyDescent="0.3">
      <c r="A281" s="5">
        <v>10280</v>
      </c>
      <c r="B281" s="1">
        <v>1624</v>
      </c>
      <c r="C281" s="2">
        <v>45144</v>
      </c>
      <c r="D281" s="2">
        <v>45149</v>
      </c>
      <c r="E281" s="1" t="s">
        <v>46</v>
      </c>
      <c r="F281" s="1" t="s">
        <v>41</v>
      </c>
      <c r="G281" s="1" t="s">
        <v>24</v>
      </c>
      <c r="H281" s="1" t="s">
        <v>18</v>
      </c>
      <c r="I281" s="1" t="s">
        <v>49</v>
      </c>
      <c r="J281" s="1" t="s">
        <v>68</v>
      </c>
      <c r="K281" s="1" t="s">
        <v>33</v>
      </c>
      <c r="L281" s="1">
        <v>8</v>
      </c>
      <c r="M281" s="1">
        <v>3784.12</v>
      </c>
      <c r="N281" s="1">
        <v>15</v>
      </c>
      <c r="O281" s="1">
        <v>25732.02</v>
      </c>
      <c r="P281" s="1">
        <f t="shared" si="21"/>
        <v>30272.959999999999</v>
      </c>
      <c r="Q281" s="10">
        <f t="shared" si="22"/>
        <v>3859.8029999999999</v>
      </c>
      <c r="R281" s="11">
        <f t="shared" si="23"/>
        <v>26413.156999999999</v>
      </c>
      <c r="S281" s="1" t="str">
        <f t="shared" si="24"/>
        <v>High</v>
      </c>
      <c r="T281" s="1" t="str" cm="1">
        <f t="array" ref="T281">_xlfn.IFS(L281&gt;5,"High",L281=5,"mediam",L281&lt;5,"low")</f>
        <v>High</v>
      </c>
      <c r="U281" s="1" t="str">
        <f t="shared" si="25"/>
        <v>High</v>
      </c>
      <c r="Z281" s="1">
        <v>1624</v>
      </c>
      <c r="AA281" s="5">
        <v>10280</v>
      </c>
    </row>
    <row r="282" spans="1:27" x14ac:dyDescent="0.3">
      <c r="A282" s="5">
        <v>10281</v>
      </c>
      <c r="B282" s="1">
        <v>1951</v>
      </c>
      <c r="C282" s="2">
        <v>45231</v>
      </c>
      <c r="D282" s="2">
        <v>45240</v>
      </c>
      <c r="E282" s="1" t="s">
        <v>46</v>
      </c>
      <c r="F282" s="1" t="s">
        <v>54</v>
      </c>
      <c r="G282" s="1" t="s">
        <v>30</v>
      </c>
      <c r="H282" s="1" t="s">
        <v>44</v>
      </c>
      <c r="I282" s="1" t="s">
        <v>26</v>
      </c>
      <c r="J282" s="1" t="s">
        <v>69</v>
      </c>
      <c r="K282" s="1" t="s">
        <v>21</v>
      </c>
      <c r="L282" s="1">
        <v>5</v>
      </c>
      <c r="M282" s="1">
        <v>3098.44</v>
      </c>
      <c r="N282" s="1">
        <v>0</v>
      </c>
      <c r="O282" s="1">
        <v>15492.2</v>
      </c>
      <c r="P282" s="1">
        <f t="shared" si="21"/>
        <v>15492.2</v>
      </c>
      <c r="Q282" s="10">
        <f t="shared" si="22"/>
        <v>0</v>
      </c>
      <c r="R282" s="11">
        <f t="shared" si="23"/>
        <v>15492.2</v>
      </c>
      <c r="S282" s="1" t="str">
        <f t="shared" si="24"/>
        <v>High</v>
      </c>
      <c r="T282" s="1" t="str" cm="1">
        <f t="array" ref="T282">_xlfn.IFS(L282&gt;5,"High",L282=5,"mediam",L282&lt;5,"low")</f>
        <v>mediam</v>
      </c>
      <c r="U282" s="1" t="b">
        <f t="shared" si="25"/>
        <v>0</v>
      </c>
      <c r="Z282" s="1">
        <v>1951</v>
      </c>
      <c r="AA282" s="5">
        <v>10281</v>
      </c>
    </row>
    <row r="283" spans="1:27" x14ac:dyDescent="0.3">
      <c r="A283" s="5">
        <v>10282</v>
      </c>
      <c r="B283" s="1">
        <v>1080</v>
      </c>
      <c r="C283" s="2">
        <v>45271</v>
      </c>
      <c r="D283" s="2">
        <v>45272</v>
      </c>
      <c r="E283" s="1" t="s">
        <v>37</v>
      </c>
      <c r="F283" s="1" t="s">
        <v>41</v>
      </c>
      <c r="G283" s="1" t="s">
        <v>17</v>
      </c>
      <c r="H283" s="1" t="s">
        <v>42</v>
      </c>
      <c r="I283" s="1" t="s">
        <v>57</v>
      </c>
      <c r="J283" s="1" t="s">
        <v>67</v>
      </c>
      <c r="K283" s="1" t="s">
        <v>33</v>
      </c>
      <c r="L283" s="1">
        <v>3</v>
      </c>
      <c r="M283" s="1">
        <v>170.81</v>
      </c>
      <c r="N283" s="1">
        <v>20</v>
      </c>
      <c r="O283" s="1">
        <v>409.94</v>
      </c>
      <c r="P283" s="1">
        <f t="shared" si="21"/>
        <v>512.43000000000006</v>
      </c>
      <c r="Q283" s="10">
        <f t="shared" si="22"/>
        <v>81.988</v>
      </c>
      <c r="R283" s="11">
        <f t="shared" si="23"/>
        <v>430.44200000000006</v>
      </c>
      <c r="S283" s="1" t="str">
        <f t="shared" si="24"/>
        <v>Low</v>
      </c>
      <c r="T283" s="1" t="str" cm="1">
        <f t="array" ref="T283">_xlfn.IFS(L283&gt;5,"High",L283=5,"mediam",L283&lt;5,"low")</f>
        <v>low</v>
      </c>
      <c r="U283" s="1" t="b">
        <f t="shared" si="25"/>
        <v>0</v>
      </c>
      <c r="Z283" s="1">
        <v>1080</v>
      </c>
      <c r="AA283" s="5">
        <v>10282</v>
      </c>
    </row>
    <row r="284" spans="1:27" x14ac:dyDescent="0.3">
      <c r="A284" s="5">
        <v>10283</v>
      </c>
      <c r="B284" s="1">
        <v>1698</v>
      </c>
      <c r="C284" s="2">
        <v>45267</v>
      </c>
      <c r="D284" s="2">
        <v>45269</v>
      </c>
      <c r="E284" s="1" t="s">
        <v>16</v>
      </c>
      <c r="F284" s="1" t="s">
        <v>41</v>
      </c>
      <c r="G284" s="1" t="s">
        <v>30</v>
      </c>
      <c r="H284" s="1" t="s">
        <v>42</v>
      </c>
      <c r="I284" s="1" t="s">
        <v>49</v>
      </c>
      <c r="J284" s="1" t="s">
        <v>63</v>
      </c>
      <c r="K284" s="1" t="s">
        <v>33</v>
      </c>
      <c r="L284" s="1">
        <v>3</v>
      </c>
      <c r="M284" s="1">
        <v>155.18</v>
      </c>
      <c r="N284" s="1">
        <v>0</v>
      </c>
      <c r="O284" s="1">
        <v>465.54</v>
      </c>
      <c r="P284" s="1">
        <f t="shared" si="21"/>
        <v>465.54</v>
      </c>
      <c r="Q284" s="10">
        <f t="shared" si="22"/>
        <v>0</v>
      </c>
      <c r="R284" s="11">
        <f t="shared" si="23"/>
        <v>465.54</v>
      </c>
      <c r="S284" s="1" t="str">
        <f t="shared" si="24"/>
        <v>Low</v>
      </c>
      <c r="T284" s="1" t="str" cm="1">
        <f t="array" ref="T284">_xlfn.IFS(L284&gt;5,"High",L284=5,"mediam",L284&lt;5,"low")</f>
        <v>low</v>
      </c>
      <c r="U284" s="1" t="b">
        <f t="shared" si="25"/>
        <v>0</v>
      </c>
      <c r="Z284" s="1">
        <v>1698</v>
      </c>
      <c r="AA284" s="5">
        <v>10283</v>
      </c>
    </row>
    <row r="285" spans="1:27" x14ac:dyDescent="0.3">
      <c r="A285" s="5">
        <v>10284</v>
      </c>
      <c r="B285" s="1">
        <v>1112</v>
      </c>
      <c r="C285" s="2">
        <v>45087</v>
      </c>
      <c r="D285" s="2">
        <v>45093</v>
      </c>
      <c r="E285" s="1" t="s">
        <v>34</v>
      </c>
      <c r="F285" s="1" t="s">
        <v>41</v>
      </c>
      <c r="G285" s="1" t="s">
        <v>24</v>
      </c>
      <c r="H285" s="1" t="s">
        <v>35</v>
      </c>
      <c r="I285" s="1" t="s">
        <v>49</v>
      </c>
      <c r="J285" s="1" t="s">
        <v>51</v>
      </c>
      <c r="K285" s="1" t="s">
        <v>28</v>
      </c>
      <c r="L285" s="1">
        <v>6</v>
      </c>
      <c r="M285" s="1">
        <v>1605.69</v>
      </c>
      <c r="N285" s="1">
        <v>15</v>
      </c>
      <c r="O285" s="1">
        <v>8189.02</v>
      </c>
      <c r="P285" s="1">
        <f t="shared" si="21"/>
        <v>9634.14</v>
      </c>
      <c r="Q285" s="10">
        <f t="shared" si="22"/>
        <v>1228.3530000000001</v>
      </c>
      <c r="R285" s="11">
        <f t="shared" si="23"/>
        <v>8405.7870000000003</v>
      </c>
      <c r="S285" s="1" t="str">
        <f t="shared" si="24"/>
        <v>High</v>
      </c>
      <c r="T285" s="1" t="str" cm="1">
        <f t="array" ref="T285">_xlfn.IFS(L285&gt;5,"High",L285=5,"mediam",L285&lt;5,"low")</f>
        <v>High</v>
      </c>
      <c r="U285" s="1" t="str">
        <f t="shared" si="25"/>
        <v>High</v>
      </c>
      <c r="Z285" s="1">
        <v>1112</v>
      </c>
      <c r="AA285" s="5">
        <v>10284</v>
      </c>
    </row>
    <row r="286" spans="1:27" x14ac:dyDescent="0.3">
      <c r="A286" s="5">
        <v>10285</v>
      </c>
      <c r="B286" s="1">
        <v>1001</v>
      </c>
      <c r="C286" s="2">
        <v>45104</v>
      </c>
      <c r="D286" s="2">
        <v>45109</v>
      </c>
      <c r="E286" s="1" t="s">
        <v>15</v>
      </c>
      <c r="F286" s="1" t="s">
        <v>23</v>
      </c>
      <c r="G286" s="1" t="s">
        <v>17</v>
      </c>
      <c r="H286" s="1" t="s">
        <v>44</v>
      </c>
      <c r="I286" s="1" t="s">
        <v>52</v>
      </c>
      <c r="J286" s="1" t="s">
        <v>56</v>
      </c>
      <c r="K286" s="1" t="s">
        <v>21</v>
      </c>
      <c r="L286" s="1">
        <v>2</v>
      </c>
      <c r="M286" s="1">
        <v>702.07</v>
      </c>
      <c r="N286" s="1">
        <v>10</v>
      </c>
      <c r="O286" s="1">
        <v>1263.73</v>
      </c>
      <c r="P286" s="1">
        <f t="shared" si="21"/>
        <v>1404.14</v>
      </c>
      <c r="Q286" s="10">
        <f t="shared" si="22"/>
        <v>126.373</v>
      </c>
      <c r="R286" s="11">
        <f t="shared" si="23"/>
        <v>1277.7670000000001</v>
      </c>
      <c r="S286" s="1" t="str">
        <f t="shared" si="24"/>
        <v>Low</v>
      </c>
      <c r="T286" s="1" t="str" cm="1">
        <f t="array" ref="T286">_xlfn.IFS(L286&gt;5,"High",L286=5,"mediam",L286&lt;5,"low")</f>
        <v>low</v>
      </c>
      <c r="U286" s="1" t="b">
        <f t="shared" si="25"/>
        <v>0</v>
      </c>
      <c r="Z286" s="1">
        <v>1001</v>
      </c>
      <c r="AA286" s="5">
        <v>10285</v>
      </c>
    </row>
    <row r="287" spans="1:27" x14ac:dyDescent="0.3">
      <c r="A287" s="5">
        <v>10286</v>
      </c>
      <c r="B287" s="1">
        <v>1641</v>
      </c>
      <c r="C287" s="2">
        <v>45043</v>
      </c>
      <c r="D287" s="2">
        <v>45050</v>
      </c>
      <c r="E287" s="1" t="s">
        <v>15</v>
      </c>
      <c r="F287" s="1" t="s">
        <v>29</v>
      </c>
      <c r="G287" s="1" t="s">
        <v>17</v>
      </c>
      <c r="H287" s="1" t="s">
        <v>44</v>
      </c>
      <c r="I287" s="1" t="s">
        <v>57</v>
      </c>
      <c r="J287" s="1" t="s">
        <v>58</v>
      </c>
      <c r="K287" s="1" t="s">
        <v>28</v>
      </c>
      <c r="L287" s="1">
        <v>6</v>
      </c>
      <c r="M287" s="1">
        <v>220.79</v>
      </c>
      <c r="N287" s="1">
        <v>5</v>
      </c>
      <c r="O287" s="1">
        <v>1258.5</v>
      </c>
      <c r="P287" s="1">
        <f t="shared" si="21"/>
        <v>1324.74</v>
      </c>
      <c r="Q287" s="10">
        <f t="shared" si="22"/>
        <v>62.925000000000004</v>
      </c>
      <c r="R287" s="11">
        <f t="shared" si="23"/>
        <v>1261.8150000000001</v>
      </c>
      <c r="S287" s="1" t="str">
        <f t="shared" si="24"/>
        <v>High</v>
      </c>
      <c r="T287" s="1" t="str" cm="1">
        <f t="array" ref="T287">_xlfn.IFS(L287&gt;5,"High",L287=5,"mediam",L287&lt;5,"low")</f>
        <v>High</v>
      </c>
      <c r="U287" s="1" t="str">
        <f t="shared" si="25"/>
        <v>High</v>
      </c>
      <c r="Z287" s="1">
        <v>1641</v>
      </c>
      <c r="AA287" s="5">
        <v>10286</v>
      </c>
    </row>
    <row r="288" spans="1:27" x14ac:dyDescent="0.3">
      <c r="A288" s="5">
        <v>10287</v>
      </c>
      <c r="B288" s="1">
        <v>1219</v>
      </c>
      <c r="C288" s="2">
        <v>45122</v>
      </c>
      <c r="D288" s="2">
        <v>45125</v>
      </c>
      <c r="E288" s="1" t="s">
        <v>22</v>
      </c>
      <c r="F288" s="1" t="s">
        <v>38</v>
      </c>
      <c r="G288" s="1" t="s">
        <v>24</v>
      </c>
      <c r="H288" s="1" t="s">
        <v>18</v>
      </c>
      <c r="I288" s="1" t="s">
        <v>57</v>
      </c>
      <c r="J288" s="1" t="s">
        <v>67</v>
      </c>
      <c r="K288" s="1" t="s">
        <v>21</v>
      </c>
      <c r="L288" s="1">
        <v>6</v>
      </c>
      <c r="M288" s="1">
        <v>1936.66</v>
      </c>
      <c r="N288" s="1">
        <v>0</v>
      </c>
      <c r="O288" s="1">
        <v>11619.96</v>
      </c>
      <c r="P288" s="1">
        <f t="shared" si="21"/>
        <v>11619.960000000001</v>
      </c>
      <c r="Q288" s="10">
        <f t="shared" si="22"/>
        <v>0</v>
      </c>
      <c r="R288" s="11">
        <f t="shared" si="23"/>
        <v>11619.960000000001</v>
      </c>
      <c r="S288" s="1" t="str">
        <f t="shared" si="24"/>
        <v>High</v>
      </c>
      <c r="T288" s="1" t="str" cm="1">
        <f t="array" ref="T288">_xlfn.IFS(L288&gt;5,"High",L288=5,"mediam",L288&lt;5,"low")</f>
        <v>High</v>
      </c>
      <c r="U288" s="1" t="str">
        <f t="shared" si="25"/>
        <v>High</v>
      </c>
      <c r="Z288" s="1">
        <v>1219</v>
      </c>
      <c r="AA288" s="5">
        <v>10287</v>
      </c>
    </row>
    <row r="289" spans="1:27" x14ac:dyDescent="0.3">
      <c r="A289" s="5">
        <v>10288</v>
      </c>
      <c r="B289" s="1">
        <v>1565</v>
      </c>
      <c r="C289" s="2">
        <v>45253</v>
      </c>
      <c r="D289" s="2">
        <v>45256</v>
      </c>
      <c r="E289" s="1" t="s">
        <v>46</v>
      </c>
      <c r="F289" s="1" t="s">
        <v>38</v>
      </c>
      <c r="G289" s="1" t="s">
        <v>17</v>
      </c>
      <c r="H289" s="1" t="s">
        <v>44</v>
      </c>
      <c r="I289" s="1" t="s">
        <v>26</v>
      </c>
      <c r="J289" s="1" t="s">
        <v>36</v>
      </c>
      <c r="K289" s="1" t="s">
        <v>47</v>
      </c>
      <c r="L289" s="1">
        <v>8</v>
      </c>
      <c r="M289" s="1">
        <v>3780.79</v>
      </c>
      <c r="N289" s="1">
        <v>5</v>
      </c>
      <c r="O289" s="1">
        <v>28734</v>
      </c>
      <c r="P289" s="1">
        <f t="shared" si="21"/>
        <v>30246.32</v>
      </c>
      <c r="Q289" s="10">
        <f t="shared" si="22"/>
        <v>1436.7</v>
      </c>
      <c r="R289" s="11">
        <f t="shared" si="23"/>
        <v>28809.62</v>
      </c>
      <c r="S289" s="1" t="str">
        <f t="shared" si="24"/>
        <v>High</v>
      </c>
      <c r="T289" s="1" t="str" cm="1">
        <f t="array" ref="T289">_xlfn.IFS(L289&gt;5,"High",L289=5,"mediam",L289&lt;5,"low")</f>
        <v>High</v>
      </c>
      <c r="U289" s="1" t="str">
        <f t="shared" si="25"/>
        <v>High</v>
      </c>
      <c r="Z289" s="1">
        <v>1565</v>
      </c>
      <c r="AA289" s="5">
        <v>10288</v>
      </c>
    </row>
    <row r="290" spans="1:27" x14ac:dyDescent="0.3">
      <c r="A290" s="5">
        <v>10289</v>
      </c>
      <c r="B290" s="1">
        <v>1854</v>
      </c>
      <c r="C290" s="2">
        <v>45012</v>
      </c>
      <c r="D290" s="2">
        <v>45014</v>
      </c>
      <c r="E290" s="1" t="s">
        <v>37</v>
      </c>
      <c r="F290" s="1" t="s">
        <v>54</v>
      </c>
      <c r="G290" s="1" t="s">
        <v>17</v>
      </c>
      <c r="H290" s="1" t="s">
        <v>25</v>
      </c>
      <c r="I290" s="1" t="s">
        <v>57</v>
      </c>
      <c r="J290" s="1" t="s">
        <v>58</v>
      </c>
      <c r="K290" s="1" t="s">
        <v>21</v>
      </c>
      <c r="L290" s="1">
        <v>7</v>
      </c>
      <c r="M290" s="1">
        <v>1396.71</v>
      </c>
      <c r="N290" s="1">
        <v>20</v>
      </c>
      <c r="O290" s="1">
        <v>7821.58</v>
      </c>
      <c r="P290" s="1">
        <f t="shared" si="21"/>
        <v>9776.9700000000012</v>
      </c>
      <c r="Q290" s="10">
        <f t="shared" si="22"/>
        <v>1564.316</v>
      </c>
      <c r="R290" s="11">
        <f t="shared" si="23"/>
        <v>8212.6540000000005</v>
      </c>
      <c r="S290" s="1" t="str">
        <f t="shared" si="24"/>
        <v>High</v>
      </c>
      <c r="T290" s="1" t="str" cm="1">
        <f t="array" ref="T290">_xlfn.IFS(L290&gt;5,"High",L290=5,"mediam",L290&lt;5,"low")</f>
        <v>High</v>
      </c>
      <c r="U290" s="1" t="str">
        <f t="shared" si="25"/>
        <v>High</v>
      </c>
      <c r="Z290" s="1">
        <v>1854</v>
      </c>
      <c r="AA290" s="5">
        <v>10289</v>
      </c>
    </row>
    <row r="291" spans="1:27" x14ac:dyDescent="0.3">
      <c r="A291" s="5">
        <v>10290</v>
      </c>
      <c r="B291" s="1">
        <v>1996</v>
      </c>
      <c r="C291" s="2">
        <v>45215</v>
      </c>
      <c r="D291" s="2">
        <v>45218</v>
      </c>
      <c r="E291" s="1" t="s">
        <v>37</v>
      </c>
      <c r="F291" s="1" t="s">
        <v>41</v>
      </c>
      <c r="G291" s="1" t="s">
        <v>30</v>
      </c>
      <c r="H291" s="1" t="s">
        <v>18</v>
      </c>
      <c r="I291" s="1" t="s">
        <v>19</v>
      </c>
      <c r="J291" s="1" t="s">
        <v>20</v>
      </c>
      <c r="K291" s="1" t="s">
        <v>28</v>
      </c>
      <c r="L291" s="1">
        <v>8</v>
      </c>
      <c r="M291" s="1">
        <v>2695.39</v>
      </c>
      <c r="N291" s="1">
        <v>10</v>
      </c>
      <c r="O291" s="1">
        <v>19406.810000000001</v>
      </c>
      <c r="P291" s="1">
        <f t="shared" si="21"/>
        <v>21563.119999999999</v>
      </c>
      <c r="Q291" s="10">
        <f t="shared" si="22"/>
        <v>1940.6810000000003</v>
      </c>
      <c r="R291" s="11">
        <f t="shared" si="23"/>
        <v>19622.438999999998</v>
      </c>
      <c r="S291" s="1" t="str">
        <f t="shared" si="24"/>
        <v>High</v>
      </c>
      <c r="T291" s="1" t="str" cm="1">
        <f t="array" ref="T291">_xlfn.IFS(L291&gt;5,"High",L291=5,"mediam",L291&lt;5,"low")</f>
        <v>High</v>
      </c>
      <c r="U291" s="1" t="str">
        <f t="shared" si="25"/>
        <v>High</v>
      </c>
      <c r="Z291" s="1">
        <v>1996</v>
      </c>
      <c r="AA291" s="5">
        <v>10290</v>
      </c>
    </row>
    <row r="292" spans="1:27" x14ac:dyDescent="0.3">
      <c r="A292" s="5">
        <v>10291</v>
      </c>
      <c r="B292" s="1">
        <v>1735</v>
      </c>
      <c r="C292" s="2">
        <v>45007</v>
      </c>
      <c r="D292" s="2">
        <v>45008</v>
      </c>
      <c r="E292" s="1" t="s">
        <v>15</v>
      </c>
      <c r="F292" s="1" t="s">
        <v>54</v>
      </c>
      <c r="G292" s="1" t="s">
        <v>24</v>
      </c>
      <c r="H292" s="1" t="s">
        <v>25</v>
      </c>
      <c r="I292" s="1" t="s">
        <v>52</v>
      </c>
      <c r="J292" s="1" t="s">
        <v>53</v>
      </c>
      <c r="K292" s="1" t="s">
        <v>33</v>
      </c>
      <c r="L292" s="1">
        <v>9</v>
      </c>
      <c r="M292" s="1">
        <v>2661.11</v>
      </c>
      <c r="N292" s="1">
        <v>10</v>
      </c>
      <c r="O292" s="1">
        <v>21554.99</v>
      </c>
      <c r="P292" s="1">
        <f t="shared" si="21"/>
        <v>23949.99</v>
      </c>
      <c r="Q292" s="10">
        <f t="shared" si="22"/>
        <v>2155.4990000000003</v>
      </c>
      <c r="R292" s="11">
        <f t="shared" si="23"/>
        <v>21794.491000000002</v>
      </c>
      <c r="S292" s="1" t="str">
        <f t="shared" si="24"/>
        <v>High</v>
      </c>
      <c r="T292" s="1" t="str" cm="1">
        <f t="array" ref="T292">_xlfn.IFS(L292&gt;5,"High",L292=5,"mediam",L292&lt;5,"low")</f>
        <v>High</v>
      </c>
      <c r="U292" s="1" t="str">
        <f t="shared" si="25"/>
        <v>High</v>
      </c>
      <c r="Z292" s="1">
        <v>1735</v>
      </c>
      <c r="AA292" s="5">
        <v>10291</v>
      </c>
    </row>
    <row r="293" spans="1:27" x14ac:dyDescent="0.3">
      <c r="A293" s="5">
        <v>10292</v>
      </c>
      <c r="B293" s="1">
        <v>1224</v>
      </c>
      <c r="C293" s="2">
        <v>45078</v>
      </c>
      <c r="D293" s="2">
        <v>45083</v>
      </c>
      <c r="E293" s="1" t="s">
        <v>22</v>
      </c>
      <c r="F293" s="1" t="s">
        <v>23</v>
      </c>
      <c r="G293" s="1" t="s">
        <v>24</v>
      </c>
      <c r="H293" s="1" t="s">
        <v>35</v>
      </c>
      <c r="I293" s="1" t="s">
        <v>57</v>
      </c>
      <c r="J293" s="1" t="s">
        <v>67</v>
      </c>
      <c r="K293" s="1" t="s">
        <v>21</v>
      </c>
      <c r="L293" s="1">
        <v>6</v>
      </c>
      <c r="M293" s="1">
        <v>1116.6600000000001</v>
      </c>
      <c r="N293" s="1">
        <v>0</v>
      </c>
      <c r="O293" s="1">
        <v>6699.96</v>
      </c>
      <c r="P293" s="1">
        <f t="shared" si="21"/>
        <v>6699.9600000000009</v>
      </c>
      <c r="Q293" s="10">
        <f t="shared" si="22"/>
        <v>0</v>
      </c>
      <c r="R293" s="11">
        <f t="shared" si="23"/>
        <v>6699.9600000000009</v>
      </c>
      <c r="S293" s="1" t="str">
        <f t="shared" si="24"/>
        <v>High</v>
      </c>
      <c r="T293" s="1" t="str" cm="1">
        <f t="array" ref="T293">_xlfn.IFS(L293&gt;5,"High",L293=5,"mediam",L293&lt;5,"low")</f>
        <v>High</v>
      </c>
      <c r="U293" s="1" t="str">
        <f t="shared" si="25"/>
        <v>High</v>
      </c>
      <c r="Z293" s="1">
        <v>1224</v>
      </c>
      <c r="AA293" s="5">
        <v>10292</v>
      </c>
    </row>
    <row r="294" spans="1:27" x14ac:dyDescent="0.3">
      <c r="A294" s="5">
        <v>10293</v>
      </c>
      <c r="B294" s="1">
        <v>1384</v>
      </c>
      <c r="C294" s="2">
        <v>44987</v>
      </c>
      <c r="D294" s="2">
        <v>44992</v>
      </c>
      <c r="E294" s="1" t="s">
        <v>22</v>
      </c>
      <c r="F294" s="1" t="s">
        <v>23</v>
      </c>
      <c r="G294" s="1" t="s">
        <v>24</v>
      </c>
      <c r="H294" s="1" t="s">
        <v>42</v>
      </c>
      <c r="I294" s="1" t="s">
        <v>26</v>
      </c>
      <c r="J294" s="1" t="s">
        <v>27</v>
      </c>
      <c r="K294" s="1" t="s">
        <v>21</v>
      </c>
      <c r="L294" s="1">
        <v>3</v>
      </c>
      <c r="M294" s="1">
        <v>2654.14</v>
      </c>
      <c r="N294" s="1">
        <v>10</v>
      </c>
      <c r="O294" s="1">
        <v>7166.18</v>
      </c>
      <c r="P294" s="1">
        <f t="shared" si="21"/>
        <v>7962.42</v>
      </c>
      <c r="Q294" s="10">
        <f t="shared" si="22"/>
        <v>716.61800000000005</v>
      </c>
      <c r="R294" s="11">
        <f t="shared" si="23"/>
        <v>7245.8019999999997</v>
      </c>
      <c r="S294" s="1" t="str">
        <f t="shared" si="24"/>
        <v>Low</v>
      </c>
      <c r="T294" s="1" t="str" cm="1">
        <f t="array" ref="T294">_xlfn.IFS(L294&gt;5,"High",L294=5,"mediam",L294&lt;5,"low")</f>
        <v>low</v>
      </c>
      <c r="U294" s="1" t="b">
        <f t="shared" si="25"/>
        <v>0</v>
      </c>
      <c r="Z294" s="1">
        <v>1384</v>
      </c>
      <c r="AA294" s="5">
        <v>10293</v>
      </c>
    </row>
    <row r="295" spans="1:27" x14ac:dyDescent="0.3">
      <c r="A295" s="5">
        <v>10294</v>
      </c>
      <c r="B295" s="1">
        <v>1402</v>
      </c>
      <c r="C295" s="2">
        <v>44987</v>
      </c>
      <c r="D295" s="2">
        <v>44994</v>
      </c>
      <c r="E295" s="1" t="s">
        <v>22</v>
      </c>
      <c r="F295" s="1" t="s">
        <v>16</v>
      </c>
      <c r="G295" s="1" t="s">
        <v>24</v>
      </c>
      <c r="H295" s="1" t="s">
        <v>35</v>
      </c>
      <c r="I295" s="1" t="s">
        <v>19</v>
      </c>
      <c r="J295" s="1" t="s">
        <v>43</v>
      </c>
      <c r="K295" s="1" t="s">
        <v>45</v>
      </c>
      <c r="L295" s="1">
        <v>3</v>
      </c>
      <c r="M295" s="1">
        <v>967.49</v>
      </c>
      <c r="N295" s="1">
        <v>0</v>
      </c>
      <c r="O295" s="1">
        <v>2902.47</v>
      </c>
      <c r="P295" s="1">
        <f t="shared" si="21"/>
        <v>2902.4700000000003</v>
      </c>
      <c r="Q295" s="10">
        <f t="shared" si="22"/>
        <v>0</v>
      </c>
      <c r="R295" s="11">
        <f t="shared" si="23"/>
        <v>2902.4700000000003</v>
      </c>
      <c r="S295" s="1" t="str">
        <f t="shared" si="24"/>
        <v>Low</v>
      </c>
      <c r="T295" s="1" t="str" cm="1">
        <f t="array" ref="T295">_xlfn.IFS(L295&gt;5,"High",L295=5,"mediam",L295&lt;5,"low")</f>
        <v>low</v>
      </c>
      <c r="U295" s="1" t="b">
        <f t="shared" si="25"/>
        <v>0</v>
      </c>
      <c r="Z295" s="1">
        <v>1402</v>
      </c>
      <c r="AA295" s="5">
        <v>10294</v>
      </c>
    </row>
    <row r="296" spans="1:27" x14ac:dyDescent="0.3">
      <c r="A296" s="5">
        <v>10295</v>
      </c>
      <c r="B296" s="1">
        <v>1637</v>
      </c>
      <c r="C296" s="2">
        <v>45280</v>
      </c>
      <c r="D296" s="2">
        <v>45284</v>
      </c>
      <c r="E296" s="1" t="s">
        <v>34</v>
      </c>
      <c r="F296" s="1" t="s">
        <v>23</v>
      </c>
      <c r="G296" s="1" t="s">
        <v>24</v>
      </c>
      <c r="H296" s="1" t="s">
        <v>42</v>
      </c>
      <c r="I296" s="1" t="s">
        <v>31</v>
      </c>
      <c r="J296" s="1" t="s">
        <v>48</v>
      </c>
      <c r="K296" s="1" t="s">
        <v>33</v>
      </c>
      <c r="L296" s="1">
        <v>1</v>
      </c>
      <c r="M296" s="1">
        <v>619.73</v>
      </c>
      <c r="N296" s="1">
        <v>0</v>
      </c>
      <c r="O296" s="1">
        <v>619.73</v>
      </c>
      <c r="P296" s="1">
        <f t="shared" si="21"/>
        <v>619.73</v>
      </c>
      <c r="Q296" s="10">
        <f t="shared" si="22"/>
        <v>0</v>
      </c>
      <c r="R296" s="11">
        <f t="shared" si="23"/>
        <v>619.73</v>
      </c>
      <c r="S296" s="1" t="str">
        <f t="shared" si="24"/>
        <v>Low</v>
      </c>
      <c r="T296" s="1" t="str" cm="1">
        <f t="array" ref="T296">_xlfn.IFS(L296&gt;5,"High",L296=5,"mediam",L296&lt;5,"low")</f>
        <v>low</v>
      </c>
      <c r="U296" s="1" t="b">
        <f t="shared" si="25"/>
        <v>0</v>
      </c>
      <c r="Z296" s="1">
        <v>1637</v>
      </c>
      <c r="AA296" s="5">
        <v>10295</v>
      </c>
    </row>
    <row r="297" spans="1:27" x14ac:dyDescent="0.3">
      <c r="A297" s="5">
        <v>10296</v>
      </c>
      <c r="B297" s="1">
        <v>1129</v>
      </c>
      <c r="C297" s="2">
        <v>44954</v>
      </c>
      <c r="D297" s="2">
        <v>44957</v>
      </c>
      <c r="E297" s="1" t="s">
        <v>16</v>
      </c>
      <c r="F297" s="1" t="s">
        <v>16</v>
      </c>
      <c r="G297" s="1" t="s">
        <v>17</v>
      </c>
      <c r="H297" s="1" t="s">
        <v>35</v>
      </c>
      <c r="I297" s="1" t="s">
        <v>31</v>
      </c>
      <c r="J297" s="1" t="s">
        <v>48</v>
      </c>
      <c r="K297" s="1" t="s">
        <v>47</v>
      </c>
      <c r="L297" s="1">
        <v>5</v>
      </c>
      <c r="M297" s="1">
        <v>2850.33</v>
      </c>
      <c r="N297" s="1">
        <v>5</v>
      </c>
      <c r="O297" s="1">
        <v>13539.07</v>
      </c>
      <c r="P297" s="1">
        <f t="shared" si="21"/>
        <v>14251.65</v>
      </c>
      <c r="Q297" s="10">
        <f t="shared" si="22"/>
        <v>676.95350000000008</v>
      </c>
      <c r="R297" s="11">
        <f t="shared" si="23"/>
        <v>13574.6965</v>
      </c>
      <c r="S297" s="1" t="str">
        <f t="shared" si="24"/>
        <v>High</v>
      </c>
      <c r="T297" s="1" t="str" cm="1">
        <f t="array" ref="T297">_xlfn.IFS(L297&gt;5,"High",L297=5,"mediam",L297&lt;5,"low")</f>
        <v>mediam</v>
      </c>
      <c r="U297" s="1" t="b">
        <f t="shared" si="25"/>
        <v>0</v>
      </c>
      <c r="Z297" s="1">
        <v>1129</v>
      </c>
      <c r="AA297" s="5">
        <v>10296</v>
      </c>
    </row>
    <row r="298" spans="1:27" x14ac:dyDescent="0.3">
      <c r="A298" s="5">
        <v>10297</v>
      </c>
      <c r="B298" s="1">
        <v>1052</v>
      </c>
      <c r="C298" s="2">
        <v>44969</v>
      </c>
      <c r="D298" s="2">
        <v>44970</v>
      </c>
      <c r="E298" s="1" t="s">
        <v>34</v>
      </c>
      <c r="F298" s="1" t="s">
        <v>29</v>
      </c>
      <c r="G298" s="1" t="s">
        <v>30</v>
      </c>
      <c r="H298" s="1" t="s">
        <v>44</v>
      </c>
      <c r="I298" s="1" t="s">
        <v>19</v>
      </c>
      <c r="J298" s="1" t="s">
        <v>20</v>
      </c>
      <c r="K298" s="1" t="s">
        <v>28</v>
      </c>
      <c r="L298" s="1">
        <v>4</v>
      </c>
      <c r="M298" s="1">
        <v>586.75</v>
      </c>
      <c r="N298" s="1">
        <v>10</v>
      </c>
      <c r="O298" s="1">
        <v>2112.3000000000002</v>
      </c>
      <c r="P298" s="1">
        <f t="shared" si="21"/>
        <v>2347</v>
      </c>
      <c r="Q298" s="10">
        <f t="shared" si="22"/>
        <v>211.23000000000002</v>
      </c>
      <c r="R298" s="11">
        <f t="shared" si="23"/>
        <v>2135.77</v>
      </c>
      <c r="S298" s="1" t="str">
        <f t="shared" si="24"/>
        <v>Low</v>
      </c>
      <c r="T298" s="1" t="str" cm="1">
        <f t="array" ref="T298">_xlfn.IFS(L298&gt;5,"High",L298=5,"mediam",L298&lt;5,"low")</f>
        <v>low</v>
      </c>
      <c r="U298" s="1" t="b">
        <f t="shared" si="25"/>
        <v>0</v>
      </c>
      <c r="Z298" s="1">
        <v>1052</v>
      </c>
      <c r="AA298" s="5">
        <v>10297</v>
      </c>
    </row>
    <row r="299" spans="1:27" x14ac:dyDescent="0.3">
      <c r="A299" s="5">
        <v>10298</v>
      </c>
      <c r="B299" s="1">
        <v>1683</v>
      </c>
      <c r="C299" s="2">
        <v>45095</v>
      </c>
      <c r="D299" s="2">
        <v>45103</v>
      </c>
      <c r="E299" s="1" t="s">
        <v>40</v>
      </c>
      <c r="F299" s="1" t="s">
        <v>54</v>
      </c>
      <c r="G299" s="1" t="s">
        <v>24</v>
      </c>
      <c r="H299" s="1" t="s">
        <v>25</v>
      </c>
      <c r="I299" s="1" t="s">
        <v>26</v>
      </c>
      <c r="J299" s="1" t="s">
        <v>36</v>
      </c>
      <c r="K299" s="1" t="s">
        <v>47</v>
      </c>
      <c r="L299" s="1">
        <v>9</v>
      </c>
      <c r="M299" s="1">
        <v>3988.1</v>
      </c>
      <c r="N299" s="1">
        <v>0</v>
      </c>
      <c r="O299" s="1">
        <v>35892.9</v>
      </c>
      <c r="P299" s="1">
        <f t="shared" si="21"/>
        <v>35892.9</v>
      </c>
      <c r="Q299" s="10">
        <f t="shared" si="22"/>
        <v>0</v>
      </c>
      <c r="R299" s="11">
        <f t="shared" si="23"/>
        <v>35892.9</v>
      </c>
      <c r="S299" s="1" t="str">
        <f t="shared" si="24"/>
        <v>High</v>
      </c>
      <c r="T299" s="1" t="str" cm="1">
        <f t="array" ref="T299">_xlfn.IFS(L299&gt;5,"High",L299=5,"mediam",L299&lt;5,"low")</f>
        <v>High</v>
      </c>
      <c r="U299" s="1" t="str">
        <f t="shared" si="25"/>
        <v>High</v>
      </c>
      <c r="Z299" s="1">
        <v>1683</v>
      </c>
      <c r="AA299" s="5">
        <v>10298</v>
      </c>
    </row>
    <row r="300" spans="1:27" x14ac:dyDescent="0.3">
      <c r="A300" s="5">
        <v>10299</v>
      </c>
      <c r="B300" s="1">
        <v>1729</v>
      </c>
      <c r="C300" s="2">
        <v>45012</v>
      </c>
      <c r="D300" s="2">
        <v>45015</v>
      </c>
      <c r="E300" s="1" t="s">
        <v>40</v>
      </c>
      <c r="F300" s="1" t="s">
        <v>29</v>
      </c>
      <c r="G300" s="1" t="s">
        <v>30</v>
      </c>
      <c r="H300" s="1" t="s">
        <v>42</v>
      </c>
      <c r="I300" s="1" t="s">
        <v>19</v>
      </c>
      <c r="J300" s="1" t="s">
        <v>43</v>
      </c>
      <c r="K300" s="1" t="s">
        <v>33</v>
      </c>
      <c r="L300" s="1">
        <v>9</v>
      </c>
      <c r="M300" s="1">
        <v>856.29</v>
      </c>
      <c r="N300" s="1">
        <v>5</v>
      </c>
      <c r="O300" s="1">
        <v>7321.28</v>
      </c>
      <c r="P300" s="1">
        <f t="shared" si="21"/>
        <v>7706.61</v>
      </c>
      <c r="Q300" s="10">
        <f t="shared" si="22"/>
        <v>366.06400000000002</v>
      </c>
      <c r="R300" s="11">
        <f t="shared" si="23"/>
        <v>7340.5459999999994</v>
      </c>
      <c r="S300" s="1" t="str">
        <f t="shared" si="24"/>
        <v>High</v>
      </c>
      <c r="T300" s="1" t="str" cm="1">
        <f t="array" ref="T300">_xlfn.IFS(L300&gt;5,"High",L300=5,"mediam",L300&lt;5,"low")</f>
        <v>High</v>
      </c>
      <c r="U300" s="1" t="str">
        <f t="shared" si="25"/>
        <v>High</v>
      </c>
      <c r="Z300" s="1">
        <v>1729</v>
      </c>
      <c r="AA300" s="5">
        <v>10299</v>
      </c>
    </row>
    <row r="301" spans="1:27" x14ac:dyDescent="0.3">
      <c r="A301" s="5">
        <v>10300</v>
      </c>
      <c r="B301" s="1">
        <v>1671</v>
      </c>
      <c r="C301" s="2">
        <v>45103</v>
      </c>
      <c r="D301" s="2">
        <v>45105</v>
      </c>
      <c r="E301" s="1" t="s">
        <v>16</v>
      </c>
      <c r="F301" s="1" t="s">
        <v>23</v>
      </c>
      <c r="G301" s="1" t="s">
        <v>30</v>
      </c>
      <c r="H301" s="1" t="s">
        <v>18</v>
      </c>
      <c r="I301" s="1" t="s">
        <v>52</v>
      </c>
      <c r="J301" s="1" t="s">
        <v>53</v>
      </c>
      <c r="K301" s="1" t="s">
        <v>21</v>
      </c>
      <c r="L301" s="1">
        <v>5</v>
      </c>
      <c r="M301" s="1">
        <v>2437.4499999999998</v>
      </c>
      <c r="N301" s="1">
        <v>15</v>
      </c>
      <c r="O301" s="1">
        <v>10359.16</v>
      </c>
      <c r="P301" s="1">
        <f t="shared" si="21"/>
        <v>12187.25</v>
      </c>
      <c r="Q301" s="10">
        <f t="shared" si="22"/>
        <v>1553.874</v>
      </c>
      <c r="R301" s="11">
        <f t="shared" si="23"/>
        <v>10633.376</v>
      </c>
      <c r="S301" s="1" t="str">
        <f t="shared" si="24"/>
        <v>High</v>
      </c>
      <c r="T301" s="1" t="str" cm="1">
        <f t="array" ref="T301">_xlfn.IFS(L301&gt;5,"High",L301=5,"mediam",L301&lt;5,"low")</f>
        <v>mediam</v>
      </c>
      <c r="U301" s="1" t="b">
        <f t="shared" si="25"/>
        <v>0</v>
      </c>
      <c r="Z301" s="1">
        <v>1671</v>
      </c>
      <c r="AA301" s="5">
        <v>10300</v>
      </c>
    </row>
    <row r="302" spans="1:27" x14ac:dyDescent="0.3">
      <c r="A302" s="5">
        <v>10301</v>
      </c>
      <c r="B302" s="1">
        <v>1709</v>
      </c>
      <c r="C302" s="2">
        <v>44943</v>
      </c>
      <c r="D302" s="2">
        <v>44947</v>
      </c>
      <c r="E302" s="1" t="s">
        <v>15</v>
      </c>
      <c r="F302" s="1" t="s">
        <v>29</v>
      </c>
      <c r="G302" s="1" t="s">
        <v>17</v>
      </c>
      <c r="H302" s="1" t="s">
        <v>25</v>
      </c>
      <c r="I302" s="1" t="s">
        <v>52</v>
      </c>
      <c r="J302" s="1" t="s">
        <v>53</v>
      </c>
      <c r="K302" s="1" t="s">
        <v>21</v>
      </c>
      <c r="L302" s="1">
        <v>4</v>
      </c>
      <c r="M302" s="1">
        <v>1733.79</v>
      </c>
      <c r="N302" s="1">
        <v>5</v>
      </c>
      <c r="O302" s="1">
        <v>6588.4</v>
      </c>
      <c r="P302" s="1">
        <f t="shared" si="21"/>
        <v>6935.16</v>
      </c>
      <c r="Q302" s="10">
        <f t="shared" si="22"/>
        <v>329.42</v>
      </c>
      <c r="R302" s="11">
        <f t="shared" si="23"/>
        <v>6605.74</v>
      </c>
      <c r="S302" s="1" t="str">
        <f t="shared" si="24"/>
        <v>Low</v>
      </c>
      <c r="T302" s="1" t="str" cm="1">
        <f t="array" ref="T302">_xlfn.IFS(L302&gt;5,"High",L302=5,"mediam",L302&lt;5,"low")</f>
        <v>low</v>
      </c>
      <c r="U302" s="1" t="b">
        <f t="shared" si="25"/>
        <v>0</v>
      </c>
      <c r="Z302" s="1">
        <v>1709</v>
      </c>
      <c r="AA302" s="5">
        <v>10301</v>
      </c>
    </row>
    <row r="303" spans="1:27" x14ac:dyDescent="0.3">
      <c r="A303" s="5">
        <v>10302</v>
      </c>
      <c r="B303" s="1">
        <v>1415</v>
      </c>
      <c r="C303" s="2">
        <v>45024</v>
      </c>
      <c r="D303" s="2">
        <v>45027</v>
      </c>
      <c r="E303" s="1" t="s">
        <v>16</v>
      </c>
      <c r="F303" s="1" t="s">
        <v>29</v>
      </c>
      <c r="G303" s="1" t="s">
        <v>24</v>
      </c>
      <c r="H303" s="1" t="s">
        <v>18</v>
      </c>
      <c r="I303" s="1" t="s">
        <v>31</v>
      </c>
      <c r="J303" s="1" t="s">
        <v>65</v>
      </c>
      <c r="K303" s="1" t="s">
        <v>33</v>
      </c>
      <c r="L303" s="1">
        <v>7</v>
      </c>
      <c r="M303" s="1">
        <v>636.59</v>
      </c>
      <c r="N303" s="1">
        <v>5</v>
      </c>
      <c r="O303" s="1">
        <v>4233.32</v>
      </c>
      <c r="P303" s="1">
        <f t="shared" si="21"/>
        <v>4456.13</v>
      </c>
      <c r="Q303" s="10">
        <f t="shared" si="22"/>
        <v>211.666</v>
      </c>
      <c r="R303" s="11">
        <f t="shared" si="23"/>
        <v>4244.4639999999999</v>
      </c>
      <c r="S303" s="1" t="str">
        <f t="shared" si="24"/>
        <v>High</v>
      </c>
      <c r="T303" s="1" t="str" cm="1">
        <f t="array" ref="T303">_xlfn.IFS(L303&gt;5,"High",L303=5,"mediam",L303&lt;5,"low")</f>
        <v>High</v>
      </c>
      <c r="U303" s="1" t="str">
        <f t="shared" si="25"/>
        <v>High</v>
      </c>
      <c r="Z303" s="1">
        <v>1415</v>
      </c>
      <c r="AA303" s="5">
        <v>10302</v>
      </c>
    </row>
    <row r="304" spans="1:27" x14ac:dyDescent="0.3">
      <c r="A304" s="5">
        <v>10303</v>
      </c>
      <c r="B304" s="1">
        <v>1246</v>
      </c>
      <c r="C304" s="2">
        <v>45124</v>
      </c>
      <c r="D304" s="2">
        <v>45125</v>
      </c>
      <c r="E304" s="1" t="s">
        <v>37</v>
      </c>
      <c r="F304" s="1" t="s">
        <v>29</v>
      </c>
      <c r="G304" s="1" t="s">
        <v>17</v>
      </c>
      <c r="H304" s="1" t="s">
        <v>25</v>
      </c>
      <c r="I304" s="1" t="s">
        <v>57</v>
      </c>
      <c r="J304" s="1" t="s">
        <v>67</v>
      </c>
      <c r="K304" s="1" t="s">
        <v>21</v>
      </c>
      <c r="L304" s="1">
        <v>6</v>
      </c>
      <c r="M304" s="1">
        <v>257.2</v>
      </c>
      <c r="N304" s="1">
        <v>0</v>
      </c>
      <c r="O304" s="1">
        <v>1543.2</v>
      </c>
      <c r="P304" s="1">
        <f t="shared" si="21"/>
        <v>1543.1999999999998</v>
      </c>
      <c r="Q304" s="10">
        <f t="shared" si="22"/>
        <v>0</v>
      </c>
      <c r="R304" s="11">
        <f t="shared" si="23"/>
        <v>1543.1999999999998</v>
      </c>
      <c r="S304" s="1" t="str">
        <f t="shared" si="24"/>
        <v>High</v>
      </c>
      <c r="T304" s="1" t="str" cm="1">
        <f t="array" ref="T304">_xlfn.IFS(L304&gt;5,"High",L304=5,"mediam",L304&lt;5,"low")</f>
        <v>High</v>
      </c>
      <c r="U304" s="1" t="str">
        <f t="shared" si="25"/>
        <v>High</v>
      </c>
      <c r="Z304" s="1">
        <v>1246</v>
      </c>
      <c r="AA304" s="5">
        <v>10303</v>
      </c>
    </row>
    <row r="305" spans="1:27" x14ac:dyDescent="0.3">
      <c r="A305" s="5">
        <v>10304</v>
      </c>
      <c r="B305" s="1">
        <v>1835</v>
      </c>
      <c r="C305" s="2">
        <v>45024</v>
      </c>
      <c r="D305" s="2">
        <v>45027</v>
      </c>
      <c r="E305" s="1" t="s">
        <v>40</v>
      </c>
      <c r="F305" s="1" t="s">
        <v>23</v>
      </c>
      <c r="G305" s="1" t="s">
        <v>24</v>
      </c>
      <c r="H305" s="1" t="s">
        <v>25</v>
      </c>
      <c r="I305" s="1" t="s">
        <v>26</v>
      </c>
      <c r="J305" s="1" t="s">
        <v>61</v>
      </c>
      <c r="K305" s="1" t="s">
        <v>21</v>
      </c>
      <c r="L305" s="1">
        <v>4</v>
      </c>
      <c r="M305" s="1">
        <v>2547.52</v>
      </c>
      <c r="N305" s="1">
        <v>20</v>
      </c>
      <c r="O305" s="1">
        <v>8152.06</v>
      </c>
      <c r="P305" s="1">
        <f t="shared" si="21"/>
        <v>10190.08</v>
      </c>
      <c r="Q305" s="10">
        <f t="shared" si="22"/>
        <v>1630.4120000000003</v>
      </c>
      <c r="R305" s="11">
        <f t="shared" si="23"/>
        <v>8559.6679999999997</v>
      </c>
      <c r="S305" s="1" t="str">
        <f t="shared" si="24"/>
        <v>Low</v>
      </c>
      <c r="T305" s="1" t="str" cm="1">
        <f t="array" ref="T305">_xlfn.IFS(L305&gt;5,"High",L305=5,"mediam",L305&lt;5,"low")</f>
        <v>low</v>
      </c>
      <c r="U305" s="1" t="b">
        <f t="shared" si="25"/>
        <v>0</v>
      </c>
      <c r="Z305" s="1">
        <v>1835</v>
      </c>
      <c r="AA305" s="5">
        <v>10304</v>
      </c>
    </row>
    <row r="306" spans="1:27" x14ac:dyDescent="0.3">
      <c r="A306" s="5">
        <v>10305</v>
      </c>
      <c r="B306" s="1">
        <v>1438</v>
      </c>
      <c r="C306" s="2">
        <v>44991</v>
      </c>
      <c r="D306" s="2">
        <v>44993</v>
      </c>
      <c r="E306" s="1" t="s">
        <v>46</v>
      </c>
      <c r="F306" s="1" t="s">
        <v>41</v>
      </c>
      <c r="G306" s="1" t="s">
        <v>17</v>
      </c>
      <c r="H306" s="1" t="s">
        <v>35</v>
      </c>
      <c r="I306" s="1" t="s">
        <v>31</v>
      </c>
      <c r="J306" s="1" t="s">
        <v>48</v>
      </c>
      <c r="K306" s="1" t="s">
        <v>21</v>
      </c>
      <c r="L306" s="1">
        <v>2</v>
      </c>
      <c r="M306" s="1">
        <v>3256.02</v>
      </c>
      <c r="N306" s="1">
        <v>20</v>
      </c>
      <c r="O306" s="1">
        <v>5209.63</v>
      </c>
      <c r="P306" s="1">
        <f t="shared" si="21"/>
        <v>6512.04</v>
      </c>
      <c r="Q306" s="10">
        <f t="shared" si="22"/>
        <v>1041.9260000000002</v>
      </c>
      <c r="R306" s="11">
        <f t="shared" si="23"/>
        <v>5470.1139999999996</v>
      </c>
      <c r="S306" s="1" t="str">
        <f t="shared" si="24"/>
        <v>Low</v>
      </c>
      <c r="T306" s="1" t="str" cm="1">
        <f t="array" ref="T306">_xlfn.IFS(L306&gt;5,"High",L306=5,"mediam",L306&lt;5,"low")</f>
        <v>low</v>
      </c>
      <c r="U306" s="1" t="b">
        <f t="shared" si="25"/>
        <v>0</v>
      </c>
      <c r="Z306" s="1">
        <v>1438</v>
      </c>
      <c r="AA306" s="5">
        <v>10305</v>
      </c>
    </row>
    <row r="307" spans="1:27" x14ac:dyDescent="0.3">
      <c r="A307" s="5">
        <v>10306</v>
      </c>
      <c r="B307" s="1">
        <v>1202</v>
      </c>
      <c r="C307" s="2">
        <v>45256</v>
      </c>
      <c r="D307" s="2">
        <v>45264</v>
      </c>
      <c r="E307" s="1" t="s">
        <v>46</v>
      </c>
      <c r="F307" s="1" t="s">
        <v>29</v>
      </c>
      <c r="G307" s="1" t="s">
        <v>30</v>
      </c>
      <c r="H307" s="1" t="s">
        <v>42</v>
      </c>
      <c r="I307" s="1" t="s">
        <v>57</v>
      </c>
      <c r="J307" s="1" t="s">
        <v>62</v>
      </c>
      <c r="K307" s="1" t="s">
        <v>28</v>
      </c>
      <c r="L307" s="1">
        <v>1</v>
      </c>
      <c r="M307" s="1">
        <v>3391.76</v>
      </c>
      <c r="N307" s="1">
        <v>20</v>
      </c>
      <c r="O307" s="1">
        <v>2713.41</v>
      </c>
      <c r="P307" s="1">
        <f t="shared" si="21"/>
        <v>3391.76</v>
      </c>
      <c r="Q307" s="10">
        <f t="shared" si="22"/>
        <v>542.68200000000002</v>
      </c>
      <c r="R307" s="11">
        <f t="shared" si="23"/>
        <v>2849.0780000000004</v>
      </c>
      <c r="S307" s="1" t="str">
        <f t="shared" si="24"/>
        <v>Low</v>
      </c>
      <c r="T307" s="1" t="str" cm="1">
        <f t="array" ref="T307">_xlfn.IFS(L307&gt;5,"High",L307=5,"mediam",L307&lt;5,"low")</f>
        <v>low</v>
      </c>
      <c r="U307" s="1" t="b">
        <f t="shared" si="25"/>
        <v>0</v>
      </c>
      <c r="Z307" s="1">
        <v>1202</v>
      </c>
      <c r="AA307" s="5">
        <v>10306</v>
      </c>
    </row>
    <row r="308" spans="1:27" x14ac:dyDescent="0.3">
      <c r="A308" s="5">
        <v>10307</v>
      </c>
      <c r="B308" s="1">
        <v>1183</v>
      </c>
      <c r="C308" s="2">
        <v>45267</v>
      </c>
      <c r="D308" s="2">
        <v>45273</v>
      </c>
      <c r="E308" s="1" t="s">
        <v>15</v>
      </c>
      <c r="F308" s="1" t="s">
        <v>16</v>
      </c>
      <c r="G308" s="1" t="s">
        <v>24</v>
      </c>
      <c r="H308" s="1" t="s">
        <v>42</v>
      </c>
      <c r="I308" s="1" t="s">
        <v>57</v>
      </c>
      <c r="J308" s="1" t="s">
        <v>58</v>
      </c>
      <c r="K308" s="1" t="s">
        <v>28</v>
      </c>
      <c r="L308" s="1">
        <v>4</v>
      </c>
      <c r="M308" s="1">
        <v>2008.45</v>
      </c>
      <c r="N308" s="1">
        <v>5</v>
      </c>
      <c r="O308" s="1">
        <v>7632.11</v>
      </c>
      <c r="P308" s="1">
        <f t="shared" si="21"/>
        <v>8033.8</v>
      </c>
      <c r="Q308" s="10">
        <f t="shared" si="22"/>
        <v>381.60550000000001</v>
      </c>
      <c r="R308" s="11">
        <f t="shared" si="23"/>
        <v>7652.1945000000005</v>
      </c>
      <c r="S308" s="1" t="str">
        <f t="shared" si="24"/>
        <v>Low</v>
      </c>
      <c r="T308" s="1" t="str" cm="1">
        <f t="array" ref="T308">_xlfn.IFS(L308&gt;5,"High",L308=5,"mediam",L308&lt;5,"low")</f>
        <v>low</v>
      </c>
      <c r="U308" s="1" t="b">
        <f t="shared" si="25"/>
        <v>0</v>
      </c>
      <c r="Z308" s="1">
        <v>1183</v>
      </c>
      <c r="AA308" s="5">
        <v>10307</v>
      </c>
    </row>
    <row r="309" spans="1:27" x14ac:dyDescent="0.3">
      <c r="A309" s="5">
        <v>10308</v>
      </c>
      <c r="B309" s="1">
        <v>1122</v>
      </c>
      <c r="C309" s="2">
        <v>44931</v>
      </c>
      <c r="D309" s="2">
        <v>44940</v>
      </c>
      <c r="E309" s="1" t="s">
        <v>37</v>
      </c>
      <c r="F309" s="1" t="s">
        <v>23</v>
      </c>
      <c r="G309" s="1" t="s">
        <v>30</v>
      </c>
      <c r="H309" s="1" t="s">
        <v>25</v>
      </c>
      <c r="I309" s="1" t="s">
        <v>52</v>
      </c>
      <c r="J309" s="1" t="s">
        <v>53</v>
      </c>
      <c r="K309" s="1" t="s">
        <v>45</v>
      </c>
      <c r="L309" s="1">
        <v>4</v>
      </c>
      <c r="M309" s="1">
        <v>3143.2</v>
      </c>
      <c r="N309" s="1">
        <v>0</v>
      </c>
      <c r="O309" s="1">
        <v>12572.8</v>
      </c>
      <c r="P309" s="1">
        <f t="shared" si="21"/>
        <v>12572.8</v>
      </c>
      <c r="Q309" s="10">
        <f t="shared" si="22"/>
        <v>0</v>
      </c>
      <c r="R309" s="11">
        <f t="shared" si="23"/>
        <v>12572.8</v>
      </c>
      <c r="S309" s="1" t="str">
        <f t="shared" si="24"/>
        <v>Low</v>
      </c>
      <c r="T309" s="1" t="str" cm="1">
        <f t="array" ref="T309">_xlfn.IFS(L309&gt;5,"High",L309=5,"mediam",L309&lt;5,"low")</f>
        <v>low</v>
      </c>
      <c r="U309" s="1" t="b">
        <f t="shared" si="25"/>
        <v>0</v>
      </c>
      <c r="Z309" s="1">
        <v>1122</v>
      </c>
      <c r="AA309" s="5">
        <v>10308</v>
      </c>
    </row>
    <row r="310" spans="1:27" x14ac:dyDescent="0.3">
      <c r="A310" s="5">
        <v>10309</v>
      </c>
      <c r="B310" s="1">
        <v>1400</v>
      </c>
      <c r="C310" s="2">
        <v>44928</v>
      </c>
      <c r="D310" s="2">
        <v>44936</v>
      </c>
      <c r="E310" s="1" t="s">
        <v>34</v>
      </c>
      <c r="F310" s="1" t="s">
        <v>29</v>
      </c>
      <c r="G310" s="1" t="s">
        <v>30</v>
      </c>
      <c r="H310" s="1" t="s">
        <v>44</v>
      </c>
      <c r="I310" s="1" t="s">
        <v>49</v>
      </c>
      <c r="J310" s="1" t="s">
        <v>51</v>
      </c>
      <c r="K310" s="1" t="s">
        <v>47</v>
      </c>
      <c r="L310" s="1">
        <v>1</v>
      </c>
      <c r="M310" s="1">
        <v>2740.46</v>
      </c>
      <c r="N310" s="1">
        <v>10</v>
      </c>
      <c r="O310" s="1">
        <v>2466.41</v>
      </c>
      <c r="P310" s="1">
        <f t="shared" si="21"/>
        <v>2740.46</v>
      </c>
      <c r="Q310" s="10">
        <f t="shared" si="22"/>
        <v>246.64099999999999</v>
      </c>
      <c r="R310" s="11">
        <f t="shared" si="23"/>
        <v>2493.819</v>
      </c>
      <c r="S310" s="1" t="str">
        <f t="shared" si="24"/>
        <v>Low</v>
      </c>
      <c r="T310" s="1" t="str" cm="1">
        <f t="array" ref="T310">_xlfn.IFS(L310&gt;5,"High",L310=5,"mediam",L310&lt;5,"low")</f>
        <v>low</v>
      </c>
      <c r="U310" s="1" t="b">
        <f t="shared" si="25"/>
        <v>0</v>
      </c>
      <c r="Z310" s="1">
        <v>1400</v>
      </c>
      <c r="AA310" s="5">
        <v>10309</v>
      </c>
    </row>
    <row r="311" spans="1:27" x14ac:dyDescent="0.3">
      <c r="A311" s="5">
        <v>10310</v>
      </c>
      <c r="B311" s="1">
        <v>1766</v>
      </c>
      <c r="C311" s="2">
        <v>44948</v>
      </c>
      <c r="D311" s="2">
        <v>44951</v>
      </c>
      <c r="E311" s="1" t="s">
        <v>37</v>
      </c>
      <c r="F311" s="1" t="s">
        <v>41</v>
      </c>
      <c r="G311" s="1" t="s">
        <v>17</v>
      </c>
      <c r="H311" s="1" t="s">
        <v>44</v>
      </c>
      <c r="I311" s="1" t="s">
        <v>49</v>
      </c>
      <c r="J311" s="1" t="s">
        <v>51</v>
      </c>
      <c r="K311" s="1" t="s">
        <v>33</v>
      </c>
      <c r="L311" s="1">
        <v>6</v>
      </c>
      <c r="M311" s="1">
        <v>2938.38</v>
      </c>
      <c r="N311" s="1">
        <v>5</v>
      </c>
      <c r="O311" s="1">
        <v>16748.77</v>
      </c>
      <c r="P311" s="1">
        <f t="shared" si="21"/>
        <v>17630.28</v>
      </c>
      <c r="Q311" s="10">
        <f t="shared" si="22"/>
        <v>837.43850000000009</v>
      </c>
      <c r="R311" s="11">
        <f t="shared" si="23"/>
        <v>16792.841499999999</v>
      </c>
      <c r="S311" s="1" t="str">
        <f t="shared" si="24"/>
        <v>High</v>
      </c>
      <c r="T311" s="1" t="str" cm="1">
        <f t="array" ref="T311">_xlfn.IFS(L311&gt;5,"High",L311=5,"mediam",L311&lt;5,"low")</f>
        <v>High</v>
      </c>
      <c r="U311" s="1" t="str">
        <f t="shared" si="25"/>
        <v>High</v>
      </c>
      <c r="Z311" s="1">
        <v>1766</v>
      </c>
      <c r="AA311" s="5">
        <v>10310</v>
      </c>
    </row>
    <row r="312" spans="1:27" x14ac:dyDescent="0.3">
      <c r="A312" s="5">
        <v>10311</v>
      </c>
      <c r="B312" s="1">
        <v>1293</v>
      </c>
      <c r="C312" s="2">
        <v>45038</v>
      </c>
      <c r="D312" s="2">
        <v>45043</v>
      </c>
      <c r="E312" s="1" t="s">
        <v>46</v>
      </c>
      <c r="F312" s="1" t="s">
        <v>23</v>
      </c>
      <c r="G312" s="1" t="s">
        <v>24</v>
      </c>
      <c r="H312" s="1" t="s">
        <v>18</v>
      </c>
      <c r="I312" s="1" t="s">
        <v>19</v>
      </c>
      <c r="J312" s="1" t="s">
        <v>43</v>
      </c>
      <c r="K312" s="1" t="s">
        <v>33</v>
      </c>
      <c r="L312" s="1">
        <v>4</v>
      </c>
      <c r="M312" s="1">
        <v>2046.51</v>
      </c>
      <c r="N312" s="1">
        <v>5</v>
      </c>
      <c r="O312" s="1">
        <v>7776.74</v>
      </c>
      <c r="P312" s="1">
        <f t="shared" si="21"/>
        <v>8186.04</v>
      </c>
      <c r="Q312" s="10">
        <f t="shared" si="22"/>
        <v>388.83699999999999</v>
      </c>
      <c r="R312" s="11">
        <f t="shared" si="23"/>
        <v>7797.2029999999995</v>
      </c>
      <c r="S312" s="1" t="str">
        <f t="shared" si="24"/>
        <v>Low</v>
      </c>
      <c r="T312" s="1" t="str" cm="1">
        <f t="array" ref="T312">_xlfn.IFS(L312&gt;5,"High",L312=5,"mediam",L312&lt;5,"low")</f>
        <v>low</v>
      </c>
      <c r="U312" s="1" t="b">
        <f t="shared" si="25"/>
        <v>0</v>
      </c>
      <c r="Z312" s="1">
        <v>1293</v>
      </c>
      <c r="AA312" s="5">
        <v>10311</v>
      </c>
    </row>
    <row r="313" spans="1:27" x14ac:dyDescent="0.3">
      <c r="A313" s="5">
        <v>10312</v>
      </c>
      <c r="B313" s="1">
        <v>1279</v>
      </c>
      <c r="C313" s="2">
        <v>44983</v>
      </c>
      <c r="D313" s="2">
        <v>44990</v>
      </c>
      <c r="E313" s="1" t="s">
        <v>46</v>
      </c>
      <c r="F313" s="1" t="s">
        <v>38</v>
      </c>
      <c r="G313" s="1" t="s">
        <v>30</v>
      </c>
      <c r="H313" s="1" t="s">
        <v>18</v>
      </c>
      <c r="I313" s="1" t="s">
        <v>52</v>
      </c>
      <c r="J313" s="1" t="s">
        <v>56</v>
      </c>
      <c r="K313" s="1" t="s">
        <v>33</v>
      </c>
      <c r="L313" s="1">
        <v>1</v>
      </c>
      <c r="M313" s="1">
        <v>2588.64</v>
      </c>
      <c r="N313" s="1">
        <v>0</v>
      </c>
      <c r="O313" s="1">
        <v>2588.64</v>
      </c>
      <c r="P313" s="1">
        <f t="shared" si="21"/>
        <v>2588.64</v>
      </c>
      <c r="Q313" s="10">
        <f t="shared" si="22"/>
        <v>0</v>
      </c>
      <c r="R313" s="11">
        <f t="shared" si="23"/>
        <v>2588.64</v>
      </c>
      <c r="S313" s="1" t="str">
        <f t="shared" si="24"/>
        <v>Low</v>
      </c>
      <c r="T313" s="1" t="str" cm="1">
        <f t="array" ref="T313">_xlfn.IFS(L313&gt;5,"High",L313=5,"mediam",L313&lt;5,"low")</f>
        <v>low</v>
      </c>
      <c r="U313" s="1" t="b">
        <f t="shared" si="25"/>
        <v>0</v>
      </c>
      <c r="Z313" s="1">
        <v>1279</v>
      </c>
      <c r="AA313" s="5">
        <v>10312</v>
      </c>
    </row>
    <row r="314" spans="1:27" x14ac:dyDescent="0.3">
      <c r="A314" s="5">
        <v>10313</v>
      </c>
      <c r="B314" s="1">
        <v>1836</v>
      </c>
      <c r="C314" s="2">
        <v>44992</v>
      </c>
      <c r="D314" s="2">
        <v>44997</v>
      </c>
      <c r="E314" s="1" t="s">
        <v>40</v>
      </c>
      <c r="F314" s="1" t="s">
        <v>41</v>
      </c>
      <c r="G314" s="1" t="s">
        <v>17</v>
      </c>
      <c r="H314" s="1" t="s">
        <v>35</v>
      </c>
      <c r="I314" s="1" t="s">
        <v>57</v>
      </c>
      <c r="J314" s="1" t="s">
        <v>62</v>
      </c>
      <c r="K314" s="1" t="s">
        <v>45</v>
      </c>
      <c r="L314" s="1">
        <v>1</v>
      </c>
      <c r="M314" s="1">
        <v>3251.27</v>
      </c>
      <c r="N314" s="1">
        <v>15</v>
      </c>
      <c r="O314" s="1">
        <v>2763.58</v>
      </c>
      <c r="P314" s="1">
        <f t="shared" si="21"/>
        <v>3251.27</v>
      </c>
      <c r="Q314" s="10">
        <f t="shared" si="22"/>
        <v>414.53699999999998</v>
      </c>
      <c r="R314" s="11">
        <f t="shared" si="23"/>
        <v>2836.7330000000002</v>
      </c>
      <c r="S314" s="1" t="str">
        <f t="shared" si="24"/>
        <v>Low</v>
      </c>
      <c r="T314" s="1" t="str" cm="1">
        <f t="array" ref="T314">_xlfn.IFS(L314&gt;5,"High",L314=5,"mediam",L314&lt;5,"low")</f>
        <v>low</v>
      </c>
      <c r="U314" s="1" t="b">
        <f t="shared" si="25"/>
        <v>0</v>
      </c>
      <c r="Z314" s="1">
        <v>1836</v>
      </c>
      <c r="AA314" s="5">
        <v>10313</v>
      </c>
    </row>
    <row r="315" spans="1:27" x14ac:dyDescent="0.3">
      <c r="A315" s="5">
        <v>10314</v>
      </c>
      <c r="B315" s="1">
        <v>1883</v>
      </c>
      <c r="C315" s="2">
        <v>45256</v>
      </c>
      <c r="D315" s="2">
        <v>45264</v>
      </c>
      <c r="E315" s="1" t="s">
        <v>37</v>
      </c>
      <c r="F315" s="1" t="s">
        <v>16</v>
      </c>
      <c r="G315" s="1" t="s">
        <v>24</v>
      </c>
      <c r="H315" s="1" t="s">
        <v>25</v>
      </c>
      <c r="I315" s="1" t="s">
        <v>26</v>
      </c>
      <c r="J315" s="1" t="s">
        <v>69</v>
      </c>
      <c r="K315" s="1" t="s">
        <v>28</v>
      </c>
      <c r="L315" s="1">
        <v>1</v>
      </c>
      <c r="M315" s="1">
        <v>1681.85</v>
      </c>
      <c r="N315" s="1">
        <v>5</v>
      </c>
      <c r="O315" s="1">
        <v>1597.76</v>
      </c>
      <c r="P315" s="1">
        <f t="shared" si="21"/>
        <v>1681.85</v>
      </c>
      <c r="Q315" s="10">
        <f t="shared" si="22"/>
        <v>79.888000000000005</v>
      </c>
      <c r="R315" s="11">
        <f t="shared" si="23"/>
        <v>1601.962</v>
      </c>
      <c r="S315" s="1" t="str">
        <f t="shared" si="24"/>
        <v>Low</v>
      </c>
      <c r="T315" s="1" t="str" cm="1">
        <f t="array" ref="T315">_xlfn.IFS(L315&gt;5,"High",L315=5,"mediam",L315&lt;5,"low")</f>
        <v>low</v>
      </c>
      <c r="U315" s="1" t="b">
        <f t="shared" si="25"/>
        <v>0</v>
      </c>
      <c r="Z315" s="1">
        <v>1883</v>
      </c>
      <c r="AA315" s="5">
        <v>10314</v>
      </c>
    </row>
    <row r="316" spans="1:27" x14ac:dyDescent="0.3">
      <c r="A316" s="5">
        <v>10315</v>
      </c>
      <c r="B316" s="1">
        <v>1609</v>
      </c>
      <c r="C316" s="2">
        <v>45024</v>
      </c>
      <c r="D316" s="2">
        <v>45029</v>
      </c>
      <c r="E316" s="1" t="s">
        <v>37</v>
      </c>
      <c r="F316" s="1" t="s">
        <v>29</v>
      </c>
      <c r="G316" s="1" t="s">
        <v>24</v>
      </c>
      <c r="H316" s="1" t="s">
        <v>18</v>
      </c>
      <c r="I316" s="1" t="s">
        <v>49</v>
      </c>
      <c r="J316" s="1" t="s">
        <v>50</v>
      </c>
      <c r="K316" s="1" t="s">
        <v>45</v>
      </c>
      <c r="L316" s="1">
        <v>8</v>
      </c>
      <c r="M316" s="1">
        <v>3253.02</v>
      </c>
      <c r="N316" s="1">
        <v>15</v>
      </c>
      <c r="O316" s="1">
        <v>22120.54</v>
      </c>
      <c r="P316" s="1">
        <f t="shared" si="21"/>
        <v>26024.16</v>
      </c>
      <c r="Q316" s="10">
        <f t="shared" si="22"/>
        <v>3318.0810000000001</v>
      </c>
      <c r="R316" s="11">
        <f t="shared" si="23"/>
        <v>22706.078999999998</v>
      </c>
      <c r="S316" s="1" t="str">
        <f t="shared" si="24"/>
        <v>High</v>
      </c>
      <c r="T316" s="1" t="str" cm="1">
        <f t="array" ref="T316">_xlfn.IFS(L316&gt;5,"High",L316=5,"mediam",L316&lt;5,"low")</f>
        <v>High</v>
      </c>
      <c r="U316" s="1" t="str">
        <f t="shared" si="25"/>
        <v>High</v>
      </c>
      <c r="Z316" s="1">
        <v>1609</v>
      </c>
      <c r="AA316" s="5">
        <v>10315</v>
      </c>
    </row>
    <row r="317" spans="1:27" x14ac:dyDescent="0.3">
      <c r="A317" s="5">
        <v>10316</v>
      </c>
      <c r="B317" s="1">
        <v>1197</v>
      </c>
      <c r="C317" s="2">
        <v>45070</v>
      </c>
      <c r="D317" s="2">
        <v>45071</v>
      </c>
      <c r="E317" s="1" t="s">
        <v>46</v>
      </c>
      <c r="F317" s="1" t="s">
        <v>38</v>
      </c>
      <c r="G317" s="1" t="s">
        <v>30</v>
      </c>
      <c r="H317" s="1" t="s">
        <v>18</v>
      </c>
      <c r="I317" s="1" t="s">
        <v>57</v>
      </c>
      <c r="J317" s="1" t="s">
        <v>58</v>
      </c>
      <c r="K317" s="1" t="s">
        <v>33</v>
      </c>
      <c r="L317" s="1">
        <v>8</v>
      </c>
      <c r="M317" s="1">
        <v>2429.2600000000002</v>
      </c>
      <c r="N317" s="1">
        <v>15</v>
      </c>
      <c r="O317" s="1">
        <v>16518.97</v>
      </c>
      <c r="P317" s="1">
        <f t="shared" si="21"/>
        <v>19434.080000000002</v>
      </c>
      <c r="Q317" s="10">
        <f t="shared" si="22"/>
        <v>2477.8454999999999</v>
      </c>
      <c r="R317" s="11">
        <f t="shared" si="23"/>
        <v>16956.234500000002</v>
      </c>
      <c r="S317" s="1" t="str">
        <f t="shared" si="24"/>
        <v>High</v>
      </c>
      <c r="T317" s="1" t="str" cm="1">
        <f t="array" ref="T317">_xlfn.IFS(L317&gt;5,"High",L317=5,"mediam",L317&lt;5,"low")</f>
        <v>High</v>
      </c>
      <c r="U317" s="1" t="str">
        <f t="shared" si="25"/>
        <v>High</v>
      </c>
      <c r="Z317" s="1">
        <v>1197</v>
      </c>
      <c r="AA317" s="5">
        <v>10316</v>
      </c>
    </row>
    <row r="318" spans="1:27" x14ac:dyDescent="0.3">
      <c r="A318" s="5">
        <v>10317</v>
      </c>
      <c r="B318" s="1">
        <v>1981</v>
      </c>
      <c r="C318" s="2">
        <v>45051</v>
      </c>
      <c r="D318" s="2">
        <v>45056</v>
      </c>
      <c r="E318" s="1" t="s">
        <v>34</v>
      </c>
      <c r="F318" s="1" t="s">
        <v>38</v>
      </c>
      <c r="G318" s="1" t="s">
        <v>24</v>
      </c>
      <c r="H318" s="1" t="s">
        <v>25</v>
      </c>
      <c r="I318" s="1" t="s">
        <v>49</v>
      </c>
      <c r="J318" s="1" t="s">
        <v>63</v>
      </c>
      <c r="K318" s="1" t="s">
        <v>47</v>
      </c>
      <c r="L318" s="1">
        <v>2</v>
      </c>
      <c r="M318" s="1">
        <v>788.72</v>
      </c>
      <c r="N318" s="1">
        <v>20</v>
      </c>
      <c r="O318" s="1">
        <v>1261.95</v>
      </c>
      <c r="P318" s="1">
        <f t="shared" si="21"/>
        <v>1577.44</v>
      </c>
      <c r="Q318" s="10">
        <f t="shared" si="22"/>
        <v>252.39000000000001</v>
      </c>
      <c r="R318" s="11">
        <f t="shared" si="23"/>
        <v>1325.05</v>
      </c>
      <c r="S318" s="1" t="str">
        <f t="shared" si="24"/>
        <v>Low</v>
      </c>
      <c r="T318" s="1" t="str" cm="1">
        <f t="array" ref="T318">_xlfn.IFS(L318&gt;5,"High",L318=5,"mediam",L318&lt;5,"low")</f>
        <v>low</v>
      </c>
      <c r="U318" s="1" t="b">
        <f t="shared" si="25"/>
        <v>0</v>
      </c>
      <c r="Z318" s="1">
        <v>1981</v>
      </c>
      <c r="AA318" s="5">
        <v>10317</v>
      </c>
    </row>
    <row r="319" spans="1:27" x14ac:dyDescent="0.3">
      <c r="A319" s="5">
        <v>10318</v>
      </c>
      <c r="B319" s="1">
        <v>1906</v>
      </c>
      <c r="C319" s="2">
        <v>45093</v>
      </c>
      <c r="D319" s="2">
        <v>45097</v>
      </c>
      <c r="E319" s="1" t="s">
        <v>15</v>
      </c>
      <c r="F319" s="1" t="s">
        <v>23</v>
      </c>
      <c r="G319" s="1" t="s">
        <v>30</v>
      </c>
      <c r="H319" s="1" t="s">
        <v>35</v>
      </c>
      <c r="I319" s="1" t="s">
        <v>49</v>
      </c>
      <c r="J319" s="1" t="s">
        <v>68</v>
      </c>
      <c r="K319" s="1" t="s">
        <v>21</v>
      </c>
      <c r="L319" s="1">
        <v>7</v>
      </c>
      <c r="M319" s="1">
        <v>245.03</v>
      </c>
      <c r="N319" s="1">
        <v>0</v>
      </c>
      <c r="O319" s="1">
        <v>1715.21</v>
      </c>
      <c r="P319" s="1">
        <f t="shared" si="21"/>
        <v>1715.21</v>
      </c>
      <c r="Q319" s="10">
        <f t="shared" si="22"/>
        <v>0</v>
      </c>
      <c r="R319" s="11">
        <f t="shared" si="23"/>
        <v>1715.21</v>
      </c>
      <c r="S319" s="1" t="str">
        <f t="shared" si="24"/>
        <v>High</v>
      </c>
      <c r="T319" s="1" t="str" cm="1">
        <f t="array" ref="T319">_xlfn.IFS(L319&gt;5,"High",L319=5,"mediam",L319&lt;5,"low")</f>
        <v>High</v>
      </c>
      <c r="U319" s="1" t="str">
        <f t="shared" si="25"/>
        <v>High</v>
      </c>
      <c r="Z319" s="1">
        <v>1906</v>
      </c>
      <c r="AA319" s="5">
        <v>10318</v>
      </c>
    </row>
    <row r="320" spans="1:27" x14ac:dyDescent="0.3">
      <c r="A320" s="5">
        <v>10319</v>
      </c>
      <c r="B320" s="1">
        <v>1510</v>
      </c>
      <c r="C320" s="2">
        <v>45012</v>
      </c>
      <c r="D320" s="2">
        <v>45018</v>
      </c>
      <c r="E320" s="1" t="s">
        <v>22</v>
      </c>
      <c r="F320" s="1" t="s">
        <v>38</v>
      </c>
      <c r="G320" s="1" t="s">
        <v>24</v>
      </c>
      <c r="H320" s="1" t="s">
        <v>18</v>
      </c>
      <c r="I320" s="1" t="s">
        <v>49</v>
      </c>
      <c r="J320" s="1" t="s">
        <v>50</v>
      </c>
      <c r="K320" s="1" t="s">
        <v>28</v>
      </c>
      <c r="L320" s="1">
        <v>8</v>
      </c>
      <c r="M320" s="1">
        <v>1546.6</v>
      </c>
      <c r="N320" s="1">
        <v>15</v>
      </c>
      <c r="O320" s="1">
        <v>10516.88</v>
      </c>
      <c r="P320" s="1">
        <f t="shared" si="21"/>
        <v>12372.8</v>
      </c>
      <c r="Q320" s="10">
        <f t="shared" si="22"/>
        <v>1577.5319999999999</v>
      </c>
      <c r="R320" s="11">
        <f t="shared" si="23"/>
        <v>10795.268</v>
      </c>
      <c r="S320" s="1" t="str">
        <f t="shared" si="24"/>
        <v>High</v>
      </c>
      <c r="T320" s="1" t="str" cm="1">
        <f t="array" ref="T320">_xlfn.IFS(L320&gt;5,"High",L320=5,"mediam",L320&lt;5,"low")</f>
        <v>High</v>
      </c>
      <c r="U320" s="1" t="str">
        <f t="shared" si="25"/>
        <v>High</v>
      </c>
      <c r="Z320" s="1">
        <v>1510</v>
      </c>
      <c r="AA320" s="5">
        <v>10319</v>
      </c>
    </row>
    <row r="321" spans="1:27" x14ac:dyDescent="0.3">
      <c r="A321" s="5">
        <v>10320</v>
      </c>
      <c r="B321" s="1">
        <v>1751</v>
      </c>
      <c r="C321" s="2">
        <v>45002</v>
      </c>
      <c r="D321" s="2">
        <v>45005</v>
      </c>
      <c r="E321" s="1" t="s">
        <v>15</v>
      </c>
      <c r="F321" s="1" t="s">
        <v>16</v>
      </c>
      <c r="G321" s="1" t="s">
        <v>17</v>
      </c>
      <c r="H321" s="1" t="s">
        <v>35</v>
      </c>
      <c r="I321" s="1" t="s">
        <v>26</v>
      </c>
      <c r="J321" s="1" t="s">
        <v>36</v>
      </c>
      <c r="K321" s="1" t="s">
        <v>28</v>
      </c>
      <c r="L321" s="1">
        <v>8</v>
      </c>
      <c r="M321" s="1">
        <v>2254.7800000000002</v>
      </c>
      <c r="N321" s="1">
        <v>0</v>
      </c>
      <c r="O321" s="1">
        <v>18038.240000000002</v>
      </c>
      <c r="P321" s="1">
        <f t="shared" si="21"/>
        <v>18038.240000000002</v>
      </c>
      <c r="Q321" s="10">
        <f t="shared" si="22"/>
        <v>0</v>
      </c>
      <c r="R321" s="11">
        <f t="shared" si="23"/>
        <v>18038.240000000002</v>
      </c>
      <c r="S321" s="1" t="str">
        <f t="shared" si="24"/>
        <v>High</v>
      </c>
      <c r="T321" s="1" t="str" cm="1">
        <f t="array" ref="T321">_xlfn.IFS(L321&gt;5,"High",L321=5,"mediam",L321&lt;5,"low")</f>
        <v>High</v>
      </c>
      <c r="U321" s="1" t="str">
        <f t="shared" si="25"/>
        <v>High</v>
      </c>
      <c r="Z321" s="1">
        <v>1751</v>
      </c>
      <c r="AA321" s="5">
        <v>10320</v>
      </c>
    </row>
    <row r="322" spans="1:27" x14ac:dyDescent="0.3">
      <c r="A322" s="5">
        <v>10321</v>
      </c>
      <c r="B322" s="1">
        <v>1143</v>
      </c>
      <c r="C322" s="2">
        <v>45270</v>
      </c>
      <c r="D322" s="2">
        <v>45275</v>
      </c>
      <c r="E322" s="1" t="s">
        <v>37</v>
      </c>
      <c r="F322" s="1" t="s">
        <v>16</v>
      </c>
      <c r="G322" s="1" t="s">
        <v>30</v>
      </c>
      <c r="H322" s="1" t="s">
        <v>42</v>
      </c>
      <c r="I322" s="1" t="s">
        <v>52</v>
      </c>
      <c r="J322" s="1" t="s">
        <v>60</v>
      </c>
      <c r="K322" s="1" t="s">
        <v>45</v>
      </c>
      <c r="L322" s="1">
        <v>7</v>
      </c>
      <c r="M322" s="1">
        <v>3383.31</v>
      </c>
      <c r="N322" s="1">
        <v>20</v>
      </c>
      <c r="O322" s="1">
        <v>18946.54</v>
      </c>
      <c r="P322" s="1">
        <f t="shared" si="21"/>
        <v>23683.17</v>
      </c>
      <c r="Q322" s="10">
        <f t="shared" si="22"/>
        <v>3789.3080000000004</v>
      </c>
      <c r="R322" s="11">
        <f t="shared" si="23"/>
        <v>19893.861999999997</v>
      </c>
      <c r="S322" s="1" t="str">
        <f t="shared" si="24"/>
        <v>High</v>
      </c>
      <c r="T322" s="1" t="str" cm="1">
        <f t="array" ref="T322">_xlfn.IFS(L322&gt;5,"High",L322=5,"mediam",L322&lt;5,"low")</f>
        <v>High</v>
      </c>
      <c r="U322" s="1" t="str">
        <f t="shared" si="25"/>
        <v>High</v>
      </c>
      <c r="Z322" s="1">
        <v>1143</v>
      </c>
      <c r="AA322" s="5">
        <v>10321</v>
      </c>
    </row>
    <row r="323" spans="1:27" x14ac:dyDescent="0.3">
      <c r="A323" s="5">
        <v>10322</v>
      </c>
      <c r="B323" s="1">
        <v>1608</v>
      </c>
      <c r="C323" s="2">
        <v>45220</v>
      </c>
      <c r="D323" s="2">
        <v>45222</v>
      </c>
      <c r="E323" s="1" t="s">
        <v>15</v>
      </c>
      <c r="F323" s="1" t="s">
        <v>54</v>
      </c>
      <c r="G323" s="1" t="s">
        <v>30</v>
      </c>
      <c r="H323" s="1" t="s">
        <v>35</v>
      </c>
      <c r="I323" s="1" t="s">
        <v>26</v>
      </c>
      <c r="J323" s="1" t="s">
        <v>61</v>
      </c>
      <c r="K323" s="1" t="s">
        <v>28</v>
      </c>
      <c r="L323" s="1">
        <v>5</v>
      </c>
      <c r="M323" s="1">
        <v>640.82000000000005</v>
      </c>
      <c r="N323" s="1">
        <v>0</v>
      </c>
      <c r="O323" s="1">
        <v>3204.1</v>
      </c>
      <c r="P323" s="1">
        <f t="shared" ref="P323:P386" si="26">L323*M323</f>
        <v>3204.1000000000004</v>
      </c>
      <c r="Q323" s="10">
        <f t="shared" ref="Q323:Q386" si="27">O323*N323%</f>
        <v>0</v>
      </c>
      <c r="R323" s="11">
        <f t="shared" ref="R323:R386" si="28">P323-Q323</f>
        <v>3204.1000000000004</v>
      </c>
      <c r="S323" s="1" t="str">
        <f t="shared" ref="S323:S386" si="29">IF(L323&gt;=5,"High","Low")</f>
        <v>High</v>
      </c>
      <c r="T323" s="1" t="str" cm="1">
        <f t="array" ref="T323">_xlfn.IFS(L323&gt;5,"High",L323=5,"mediam",L323&lt;5,"low")</f>
        <v>mediam</v>
      </c>
      <c r="U323" s="1" t="b">
        <f t="shared" si="25"/>
        <v>0</v>
      </c>
      <c r="Z323" s="1">
        <v>1608</v>
      </c>
      <c r="AA323" s="5">
        <v>10322</v>
      </c>
    </row>
    <row r="324" spans="1:27" x14ac:dyDescent="0.3">
      <c r="A324" s="5">
        <v>10323</v>
      </c>
      <c r="B324" s="1">
        <v>1200</v>
      </c>
      <c r="C324" s="2">
        <v>44985</v>
      </c>
      <c r="D324" s="2">
        <v>44991</v>
      </c>
      <c r="E324" s="1" t="s">
        <v>46</v>
      </c>
      <c r="F324" s="1" t="s">
        <v>16</v>
      </c>
      <c r="G324" s="1" t="s">
        <v>24</v>
      </c>
      <c r="H324" s="1" t="s">
        <v>44</v>
      </c>
      <c r="I324" s="1" t="s">
        <v>31</v>
      </c>
      <c r="J324" s="1" t="s">
        <v>48</v>
      </c>
      <c r="K324" s="1" t="s">
        <v>33</v>
      </c>
      <c r="L324" s="1">
        <v>1</v>
      </c>
      <c r="M324" s="1">
        <v>3230.79</v>
      </c>
      <c r="N324" s="1">
        <v>5</v>
      </c>
      <c r="O324" s="1">
        <v>3069.25</v>
      </c>
      <c r="P324" s="1">
        <f t="shared" si="26"/>
        <v>3230.79</v>
      </c>
      <c r="Q324" s="10">
        <f t="shared" si="27"/>
        <v>153.46250000000001</v>
      </c>
      <c r="R324" s="11">
        <f t="shared" si="28"/>
        <v>3077.3274999999999</v>
      </c>
      <c r="S324" s="1" t="str">
        <f t="shared" si="29"/>
        <v>Low</v>
      </c>
      <c r="T324" s="1" t="str" cm="1">
        <f t="array" ref="T324">_xlfn.IFS(L324&gt;5,"High",L324=5,"mediam",L324&lt;5,"low")</f>
        <v>low</v>
      </c>
      <c r="U324" s="1" t="b">
        <f t="shared" si="25"/>
        <v>0</v>
      </c>
      <c r="Z324" s="1">
        <v>1200</v>
      </c>
      <c r="AA324" s="5">
        <v>10323</v>
      </c>
    </row>
    <row r="325" spans="1:27" x14ac:dyDescent="0.3">
      <c r="A325" s="5">
        <v>10324</v>
      </c>
      <c r="B325" s="1">
        <v>1123</v>
      </c>
      <c r="C325" s="2">
        <v>45064</v>
      </c>
      <c r="D325" s="2">
        <v>45070</v>
      </c>
      <c r="E325" s="1" t="s">
        <v>46</v>
      </c>
      <c r="F325" s="1" t="s">
        <v>41</v>
      </c>
      <c r="G325" s="1" t="s">
        <v>24</v>
      </c>
      <c r="H325" s="1" t="s">
        <v>44</v>
      </c>
      <c r="I325" s="1" t="s">
        <v>57</v>
      </c>
      <c r="J325" s="1" t="s">
        <v>58</v>
      </c>
      <c r="K325" s="1" t="s">
        <v>33</v>
      </c>
      <c r="L325" s="1">
        <v>9</v>
      </c>
      <c r="M325" s="1">
        <v>3472.58</v>
      </c>
      <c r="N325" s="1">
        <v>15</v>
      </c>
      <c r="O325" s="1">
        <v>26565.24</v>
      </c>
      <c r="P325" s="1">
        <f t="shared" si="26"/>
        <v>31253.22</v>
      </c>
      <c r="Q325" s="10">
        <f t="shared" si="27"/>
        <v>3984.7860000000001</v>
      </c>
      <c r="R325" s="11">
        <f t="shared" si="28"/>
        <v>27268.434000000001</v>
      </c>
      <c r="S325" s="1" t="str">
        <f t="shared" si="29"/>
        <v>High</v>
      </c>
      <c r="T325" s="1" t="str" cm="1">
        <f t="array" ref="T325">_xlfn.IFS(L325&gt;5,"High",L325=5,"mediam",L325&lt;5,"low")</f>
        <v>High</v>
      </c>
      <c r="U325" s="1" t="str">
        <f t="shared" si="25"/>
        <v>High</v>
      </c>
      <c r="Z325" s="1">
        <v>1123</v>
      </c>
      <c r="AA325" s="5">
        <v>10324</v>
      </c>
    </row>
    <row r="326" spans="1:27" x14ac:dyDescent="0.3">
      <c r="A326" s="5">
        <v>10325</v>
      </c>
      <c r="B326" s="1">
        <v>1186</v>
      </c>
      <c r="C326" s="2">
        <v>45025</v>
      </c>
      <c r="D326" s="2">
        <v>45030</v>
      </c>
      <c r="E326" s="1" t="s">
        <v>37</v>
      </c>
      <c r="F326" s="1" t="s">
        <v>38</v>
      </c>
      <c r="G326" s="1" t="s">
        <v>30</v>
      </c>
      <c r="H326" s="1" t="s">
        <v>35</v>
      </c>
      <c r="I326" s="1" t="s">
        <v>52</v>
      </c>
      <c r="J326" s="1" t="s">
        <v>64</v>
      </c>
      <c r="K326" s="1" t="s">
        <v>45</v>
      </c>
      <c r="L326" s="1">
        <v>7</v>
      </c>
      <c r="M326" s="1">
        <v>730.15</v>
      </c>
      <c r="N326" s="1">
        <v>0</v>
      </c>
      <c r="O326" s="1">
        <v>5111.05</v>
      </c>
      <c r="P326" s="1">
        <f t="shared" si="26"/>
        <v>5111.05</v>
      </c>
      <c r="Q326" s="10">
        <f t="shared" si="27"/>
        <v>0</v>
      </c>
      <c r="R326" s="11">
        <f t="shared" si="28"/>
        <v>5111.05</v>
      </c>
      <c r="S326" s="1" t="str">
        <f t="shared" si="29"/>
        <v>High</v>
      </c>
      <c r="T326" s="1" t="str" cm="1">
        <f t="array" ref="T326">_xlfn.IFS(L326&gt;5,"High",L326=5,"mediam",L326&lt;5,"low")</f>
        <v>High</v>
      </c>
      <c r="U326" s="1" t="str">
        <f t="shared" si="25"/>
        <v>High</v>
      </c>
      <c r="Z326" s="1">
        <v>1186</v>
      </c>
      <c r="AA326" s="5">
        <v>10325</v>
      </c>
    </row>
    <row r="327" spans="1:27" x14ac:dyDescent="0.3">
      <c r="A327" s="5">
        <v>10326</v>
      </c>
      <c r="B327" s="1">
        <v>1325</v>
      </c>
      <c r="C327" s="2">
        <v>45118</v>
      </c>
      <c r="D327" s="2">
        <v>45124</v>
      </c>
      <c r="E327" s="1" t="s">
        <v>37</v>
      </c>
      <c r="F327" s="1" t="s">
        <v>16</v>
      </c>
      <c r="G327" s="1" t="s">
        <v>24</v>
      </c>
      <c r="H327" s="1" t="s">
        <v>44</v>
      </c>
      <c r="I327" s="1" t="s">
        <v>52</v>
      </c>
      <c r="J327" s="1" t="s">
        <v>60</v>
      </c>
      <c r="K327" s="1" t="s">
        <v>33</v>
      </c>
      <c r="L327" s="1">
        <v>2</v>
      </c>
      <c r="M327" s="1">
        <v>3428.64</v>
      </c>
      <c r="N327" s="1">
        <v>10</v>
      </c>
      <c r="O327" s="1">
        <v>6171.55</v>
      </c>
      <c r="P327" s="1">
        <f t="shared" si="26"/>
        <v>6857.28</v>
      </c>
      <c r="Q327" s="10">
        <f t="shared" si="27"/>
        <v>617.15500000000009</v>
      </c>
      <c r="R327" s="11">
        <f t="shared" si="28"/>
        <v>6240.125</v>
      </c>
      <c r="S327" s="1" t="str">
        <f t="shared" si="29"/>
        <v>Low</v>
      </c>
      <c r="T327" s="1" t="str" cm="1">
        <f t="array" ref="T327">_xlfn.IFS(L327&gt;5,"High",L327=5,"mediam",L327&lt;5,"low")</f>
        <v>low</v>
      </c>
      <c r="U327" s="1" t="b">
        <f t="shared" si="25"/>
        <v>0</v>
      </c>
      <c r="Z327" s="1">
        <v>1325</v>
      </c>
      <c r="AA327" s="5">
        <v>10326</v>
      </c>
    </row>
    <row r="328" spans="1:27" x14ac:dyDescent="0.3">
      <c r="A328" s="5">
        <v>10327</v>
      </c>
      <c r="B328" s="1">
        <v>1463</v>
      </c>
      <c r="C328" s="2">
        <v>45169</v>
      </c>
      <c r="D328" s="2">
        <v>45176</v>
      </c>
      <c r="E328" s="1" t="s">
        <v>22</v>
      </c>
      <c r="F328" s="1" t="s">
        <v>23</v>
      </c>
      <c r="G328" s="1" t="s">
        <v>17</v>
      </c>
      <c r="H328" s="1" t="s">
        <v>42</v>
      </c>
      <c r="I328" s="1" t="s">
        <v>52</v>
      </c>
      <c r="J328" s="1" t="s">
        <v>60</v>
      </c>
      <c r="K328" s="1" t="s">
        <v>47</v>
      </c>
      <c r="L328" s="1">
        <v>6</v>
      </c>
      <c r="M328" s="1">
        <v>3967.1</v>
      </c>
      <c r="N328" s="1">
        <v>0</v>
      </c>
      <c r="O328" s="1">
        <v>23802.6</v>
      </c>
      <c r="P328" s="1">
        <f t="shared" si="26"/>
        <v>23802.6</v>
      </c>
      <c r="Q328" s="10">
        <f t="shared" si="27"/>
        <v>0</v>
      </c>
      <c r="R328" s="11">
        <f t="shared" si="28"/>
        <v>23802.6</v>
      </c>
      <c r="S328" s="1" t="str">
        <f t="shared" si="29"/>
        <v>High</v>
      </c>
      <c r="T328" s="1" t="str" cm="1">
        <f t="array" ref="T328">_xlfn.IFS(L328&gt;5,"High",L328=5,"mediam",L328&lt;5,"low")</f>
        <v>High</v>
      </c>
      <c r="U328" s="1" t="str">
        <f t="shared" si="25"/>
        <v>High</v>
      </c>
      <c r="Z328" s="1">
        <v>1463</v>
      </c>
      <c r="AA328" s="5">
        <v>10327</v>
      </c>
    </row>
    <row r="329" spans="1:27" x14ac:dyDescent="0.3">
      <c r="A329" s="5">
        <v>10328</v>
      </c>
      <c r="B329" s="1">
        <v>1348</v>
      </c>
      <c r="C329" s="2">
        <v>45245</v>
      </c>
      <c r="D329" s="2">
        <v>45250</v>
      </c>
      <c r="E329" s="1" t="s">
        <v>22</v>
      </c>
      <c r="F329" s="1" t="s">
        <v>54</v>
      </c>
      <c r="G329" s="1" t="s">
        <v>24</v>
      </c>
      <c r="H329" s="1" t="s">
        <v>25</v>
      </c>
      <c r="I329" s="1" t="s">
        <v>52</v>
      </c>
      <c r="J329" s="1" t="s">
        <v>53</v>
      </c>
      <c r="K329" s="1" t="s">
        <v>45</v>
      </c>
      <c r="L329" s="1">
        <v>2</v>
      </c>
      <c r="M329" s="1">
        <v>2948.33</v>
      </c>
      <c r="N329" s="1">
        <v>15</v>
      </c>
      <c r="O329" s="1">
        <v>5012.16</v>
      </c>
      <c r="P329" s="1">
        <f t="shared" si="26"/>
        <v>5896.66</v>
      </c>
      <c r="Q329" s="10">
        <f t="shared" si="27"/>
        <v>751.82399999999996</v>
      </c>
      <c r="R329" s="11">
        <f t="shared" si="28"/>
        <v>5144.8360000000002</v>
      </c>
      <c r="S329" s="1" t="str">
        <f t="shared" si="29"/>
        <v>Low</v>
      </c>
      <c r="T329" s="1" t="str" cm="1">
        <f t="array" ref="T329">_xlfn.IFS(L329&gt;5,"High",L329=5,"mediam",L329&lt;5,"low")</f>
        <v>low</v>
      </c>
      <c r="U329" s="1" t="b">
        <f t="shared" ref="U329:U392" si="30">IF(L329&gt;5,"High",IF(L329="Mediam","Low"))</f>
        <v>0</v>
      </c>
      <c r="Z329" s="1">
        <v>1348</v>
      </c>
      <c r="AA329" s="5">
        <v>10328</v>
      </c>
    </row>
    <row r="330" spans="1:27" x14ac:dyDescent="0.3">
      <c r="A330" s="5">
        <v>10329</v>
      </c>
      <c r="B330" s="1">
        <v>1770</v>
      </c>
      <c r="C330" s="2">
        <v>44975</v>
      </c>
      <c r="D330" s="2">
        <v>44976</v>
      </c>
      <c r="E330" s="1" t="s">
        <v>40</v>
      </c>
      <c r="F330" s="1" t="s">
        <v>38</v>
      </c>
      <c r="G330" s="1" t="s">
        <v>17</v>
      </c>
      <c r="H330" s="1" t="s">
        <v>44</v>
      </c>
      <c r="I330" s="1" t="s">
        <v>26</v>
      </c>
      <c r="J330" s="1" t="s">
        <v>27</v>
      </c>
      <c r="K330" s="1" t="s">
        <v>47</v>
      </c>
      <c r="L330" s="1">
        <v>1</v>
      </c>
      <c r="M330" s="1">
        <v>3171.36</v>
      </c>
      <c r="N330" s="1">
        <v>20</v>
      </c>
      <c r="O330" s="1">
        <v>2537.09</v>
      </c>
      <c r="P330" s="1">
        <f t="shared" si="26"/>
        <v>3171.36</v>
      </c>
      <c r="Q330" s="10">
        <f t="shared" si="27"/>
        <v>507.41800000000006</v>
      </c>
      <c r="R330" s="11">
        <f t="shared" si="28"/>
        <v>2663.942</v>
      </c>
      <c r="S330" s="1" t="str">
        <f t="shared" si="29"/>
        <v>Low</v>
      </c>
      <c r="T330" s="1" t="str" cm="1">
        <f t="array" ref="T330">_xlfn.IFS(L330&gt;5,"High",L330=5,"mediam",L330&lt;5,"low")</f>
        <v>low</v>
      </c>
      <c r="U330" s="1" t="b">
        <f t="shared" si="30"/>
        <v>0</v>
      </c>
      <c r="Z330" s="1">
        <v>1770</v>
      </c>
      <c r="AA330" s="5">
        <v>10329</v>
      </c>
    </row>
    <row r="331" spans="1:27" x14ac:dyDescent="0.3">
      <c r="A331" s="5">
        <v>10330</v>
      </c>
      <c r="B331" s="1">
        <v>1659</v>
      </c>
      <c r="C331" s="2">
        <v>44958</v>
      </c>
      <c r="D331" s="2">
        <v>44966</v>
      </c>
      <c r="E331" s="1" t="s">
        <v>37</v>
      </c>
      <c r="F331" s="1" t="s">
        <v>54</v>
      </c>
      <c r="G331" s="1" t="s">
        <v>17</v>
      </c>
      <c r="H331" s="1" t="s">
        <v>44</v>
      </c>
      <c r="I331" s="1" t="s">
        <v>52</v>
      </c>
      <c r="J331" s="1" t="s">
        <v>64</v>
      </c>
      <c r="K331" s="1" t="s">
        <v>21</v>
      </c>
      <c r="L331" s="1">
        <v>7</v>
      </c>
      <c r="M331" s="1">
        <v>3978.5</v>
      </c>
      <c r="N331" s="1">
        <v>20</v>
      </c>
      <c r="O331" s="1">
        <v>22279.599999999999</v>
      </c>
      <c r="P331" s="1">
        <f t="shared" si="26"/>
        <v>27849.5</v>
      </c>
      <c r="Q331" s="10">
        <f t="shared" si="27"/>
        <v>4455.92</v>
      </c>
      <c r="R331" s="11">
        <f t="shared" si="28"/>
        <v>23393.58</v>
      </c>
      <c r="S331" s="1" t="str">
        <f t="shared" si="29"/>
        <v>High</v>
      </c>
      <c r="T331" s="1" t="str" cm="1">
        <f t="array" ref="T331">_xlfn.IFS(L331&gt;5,"High",L331=5,"mediam",L331&lt;5,"low")</f>
        <v>High</v>
      </c>
      <c r="U331" s="1" t="str">
        <f t="shared" si="30"/>
        <v>High</v>
      </c>
      <c r="Z331" s="1">
        <v>1659</v>
      </c>
      <c r="AA331" s="5">
        <v>10330</v>
      </c>
    </row>
    <row r="332" spans="1:27" x14ac:dyDescent="0.3">
      <c r="A332" s="5">
        <v>10331</v>
      </c>
      <c r="B332" s="1">
        <v>1763</v>
      </c>
      <c r="C332" s="2">
        <v>45203</v>
      </c>
      <c r="D332" s="2">
        <v>45207</v>
      </c>
      <c r="E332" s="1" t="s">
        <v>34</v>
      </c>
      <c r="F332" s="1" t="s">
        <v>38</v>
      </c>
      <c r="G332" s="1" t="s">
        <v>17</v>
      </c>
      <c r="H332" s="1" t="s">
        <v>35</v>
      </c>
      <c r="I332" s="1" t="s">
        <v>19</v>
      </c>
      <c r="J332" s="1" t="s">
        <v>55</v>
      </c>
      <c r="K332" s="1" t="s">
        <v>47</v>
      </c>
      <c r="L332" s="1">
        <v>2</v>
      </c>
      <c r="M332" s="1">
        <v>2481.1</v>
      </c>
      <c r="N332" s="1">
        <v>15</v>
      </c>
      <c r="O332" s="1">
        <v>4217.87</v>
      </c>
      <c r="P332" s="1">
        <f t="shared" si="26"/>
        <v>4962.2</v>
      </c>
      <c r="Q332" s="10">
        <f t="shared" si="27"/>
        <v>632.68049999999994</v>
      </c>
      <c r="R332" s="11">
        <f t="shared" si="28"/>
        <v>4329.5195000000003</v>
      </c>
      <c r="S332" s="1" t="str">
        <f t="shared" si="29"/>
        <v>Low</v>
      </c>
      <c r="T332" s="1" t="str" cm="1">
        <f t="array" ref="T332">_xlfn.IFS(L332&gt;5,"High",L332=5,"mediam",L332&lt;5,"low")</f>
        <v>low</v>
      </c>
      <c r="U332" s="1" t="b">
        <f t="shared" si="30"/>
        <v>0</v>
      </c>
      <c r="Z332" s="1">
        <v>1763</v>
      </c>
      <c r="AA332" s="5">
        <v>10331</v>
      </c>
    </row>
    <row r="333" spans="1:27" x14ac:dyDescent="0.3">
      <c r="A333" s="5">
        <v>10332</v>
      </c>
      <c r="B333" s="1">
        <v>1954</v>
      </c>
      <c r="C333" s="2">
        <v>44946</v>
      </c>
      <c r="D333" s="2">
        <v>44955</v>
      </c>
      <c r="E333" s="1" t="s">
        <v>15</v>
      </c>
      <c r="F333" s="1" t="s">
        <v>23</v>
      </c>
      <c r="G333" s="1" t="s">
        <v>17</v>
      </c>
      <c r="H333" s="1" t="s">
        <v>42</v>
      </c>
      <c r="I333" s="1" t="s">
        <v>57</v>
      </c>
      <c r="J333" s="1" t="s">
        <v>67</v>
      </c>
      <c r="K333" s="1" t="s">
        <v>21</v>
      </c>
      <c r="L333" s="1">
        <v>2</v>
      </c>
      <c r="M333" s="1">
        <v>1335.36</v>
      </c>
      <c r="N333" s="1">
        <v>5</v>
      </c>
      <c r="O333" s="1">
        <v>2537.1799999999998</v>
      </c>
      <c r="P333" s="1">
        <f t="shared" si="26"/>
        <v>2670.72</v>
      </c>
      <c r="Q333" s="10">
        <f t="shared" si="27"/>
        <v>126.85899999999999</v>
      </c>
      <c r="R333" s="11">
        <f t="shared" si="28"/>
        <v>2543.8609999999999</v>
      </c>
      <c r="S333" s="1" t="str">
        <f t="shared" si="29"/>
        <v>Low</v>
      </c>
      <c r="T333" s="1" t="str" cm="1">
        <f t="array" ref="T333">_xlfn.IFS(L333&gt;5,"High",L333=5,"mediam",L333&lt;5,"low")</f>
        <v>low</v>
      </c>
      <c r="U333" s="1" t="b">
        <f t="shared" si="30"/>
        <v>0</v>
      </c>
      <c r="Z333" s="1">
        <v>1954</v>
      </c>
      <c r="AA333" s="5">
        <v>10332</v>
      </c>
    </row>
    <row r="334" spans="1:27" x14ac:dyDescent="0.3">
      <c r="A334" s="5">
        <v>10333</v>
      </c>
      <c r="B334" s="1">
        <v>1931</v>
      </c>
      <c r="C334" s="2">
        <v>45080</v>
      </c>
      <c r="D334" s="2">
        <v>45086</v>
      </c>
      <c r="E334" s="1" t="s">
        <v>37</v>
      </c>
      <c r="F334" s="1" t="s">
        <v>54</v>
      </c>
      <c r="G334" s="1" t="s">
        <v>17</v>
      </c>
      <c r="H334" s="1" t="s">
        <v>25</v>
      </c>
      <c r="I334" s="1" t="s">
        <v>52</v>
      </c>
      <c r="J334" s="1" t="s">
        <v>60</v>
      </c>
      <c r="K334" s="1" t="s">
        <v>21</v>
      </c>
      <c r="L334" s="1">
        <v>5</v>
      </c>
      <c r="M334" s="1">
        <v>3374.49</v>
      </c>
      <c r="N334" s="1">
        <v>5</v>
      </c>
      <c r="O334" s="1">
        <v>16028.83</v>
      </c>
      <c r="P334" s="1">
        <f t="shared" si="26"/>
        <v>16872.449999999997</v>
      </c>
      <c r="Q334" s="10">
        <f t="shared" si="27"/>
        <v>801.44150000000002</v>
      </c>
      <c r="R334" s="11">
        <f t="shared" si="28"/>
        <v>16071.008499999996</v>
      </c>
      <c r="S334" s="1" t="str">
        <f t="shared" si="29"/>
        <v>High</v>
      </c>
      <c r="T334" s="1" t="str" cm="1">
        <f t="array" ref="T334">_xlfn.IFS(L334&gt;5,"High",L334=5,"mediam",L334&lt;5,"low")</f>
        <v>mediam</v>
      </c>
      <c r="U334" s="1" t="b">
        <f t="shared" si="30"/>
        <v>0</v>
      </c>
      <c r="Z334" s="1">
        <v>1931</v>
      </c>
      <c r="AA334" s="5">
        <v>10333</v>
      </c>
    </row>
    <row r="335" spans="1:27" x14ac:dyDescent="0.3">
      <c r="A335" s="5">
        <v>10334</v>
      </c>
      <c r="B335" s="1">
        <v>1402</v>
      </c>
      <c r="C335" s="2">
        <v>44994</v>
      </c>
      <c r="D335" s="2">
        <v>44995</v>
      </c>
      <c r="E335" s="1" t="s">
        <v>16</v>
      </c>
      <c r="F335" s="1" t="s">
        <v>29</v>
      </c>
      <c r="G335" s="1" t="s">
        <v>24</v>
      </c>
      <c r="H335" s="1" t="s">
        <v>35</v>
      </c>
      <c r="I335" s="1" t="s">
        <v>57</v>
      </c>
      <c r="J335" s="1" t="s">
        <v>59</v>
      </c>
      <c r="K335" s="1" t="s">
        <v>47</v>
      </c>
      <c r="L335" s="1">
        <v>5</v>
      </c>
      <c r="M335" s="1">
        <v>2515.77</v>
      </c>
      <c r="N335" s="1">
        <v>20</v>
      </c>
      <c r="O335" s="1">
        <v>10063.08</v>
      </c>
      <c r="P335" s="1">
        <f t="shared" si="26"/>
        <v>12578.85</v>
      </c>
      <c r="Q335" s="10">
        <f t="shared" si="27"/>
        <v>2012.616</v>
      </c>
      <c r="R335" s="11">
        <f t="shared" si="28"/>
        <v>10566.234</v>
      </c>
      <c r="S335" s="1" t="str">
        <f t="shared" si="29"/>
        <v>High</v>
      </c>
      <c r="T335" s="1" t="str" cm="1">
        <f t="array" ref="T335">_xlfn.IFS(L335&gt;5,"High",L335=5,"mediam",L335&lt;5,"low")</f>
        <v>mediam</v>
      </c>
      <c r="U335" s="1" t="b">
        <f t="shared" si="30"/>
        <v>0</v>
      </c>
      <c r="Z335" s="1">
        <v>1402</v>
      </c>
      <c r="AA335" s="5">
        <v>10334</v>
      </c>
    </row>
    <row r="336" spans="1:27" x14ac:dyDescent="0.3">
      <c r="A336" s="5">
        <v>10335</v>
      </c>
      <c r="B336" s="1">
        <v>1345</v>
      </c>
      <c r="C336" s="2">
        <v>45140</v>
      </c>
      <c r="D336" s="2">
        <v>45143</v>
      </c>
      <c r="E336" s="1" t="s">
        <v>40</v>
      </c>
      <c r="F336" s="1" t="s">
        <v>41</v>
      </c>
      <c r="G336" s="1" t="s">
        <v>17</v>
      </c>
      <c r="H336" s="1" t="s">
        <v>35</v>
      </c>
      <c r="I336" s="1" t="s">
        <v>19</v>
      </c>
      <c r="J336" s="1" t="s">
        <v>43</v>
      </c>
      <c r="K336" s="1" t="s">
        <v>45</v>
      </c>
      <c r="L336" s="1">
        <v>7</v>
      </c>
      <c r="M336" s="1">
        <v>2387.6</v>
      </c>
      <c r="N336" s="1">
        <v>20</v>
      </c>
      <c r="O336" s="1">
        <v>13370.56</v>
      </c>
      <c r="P336" s="1">
        <f t="shared" si="26"/>
        <v>16713.2</v>
      </c>
      <c r="Q336" s="10">
        <f t="shared" si="27"/>
        <v>2674.1120000000001</v>
      </c>
      <c r="R336" s="11">
        <f t="shared" si="28"/>
        <v>14039.088</v>
      </c>
      <c r="S336" s="1" t="str">
        <f t="shared" si="29"/>
        <v>High</v>
      </c>
      <c r="T336" s="1" t="str" cm="1">
        <f t="array" ref="T336">_xlfn.IFS(L336&gt;5,"High",L336=5,"mediam",L336&lt;5,"low")</f>
        <v>High</v>
      </c>
      <c r="U336" s="1" t="str">
        <f t="shared" si="30"/>
        <v>High</v>
      </c>
      <c r="Z336" s="1">
        <v>1345</v>
      </c>
      <c r="AA336" s="5">
        <v>10335</v>
      </c>
    </row>
    <row r="337" spans="1:27" x14ac:dyDescent="0.3">
      <c r="A337" s="5">
        <v>10336</v>
      </c>
      <c r="B337" s="1">
        <v>1962</v>
      </c>
      <c r="C337" s="2">
        <v>45069</v>
      </c>
      <c r="D337" s="2">
        <v>45072</v>
      </c>
      <c r="E337" s="1" t="s">
        <v>16</v>
      </c>
      <c r="F337" s="1" t="s">
        <v>41</v>
      </c>
      <c r="G337" s="1" t="s">
        <v>24</v>
      </c>
      <c r="H337" s="1" t="s">
        <v>42</v>
      </c>
      <c r="I337" s="1" t="s">
        <v>19</v>
      </c>
      <c r="J337" s="1" t="s">
        <v>66</v>
      </c>
      <c r="K337" s="1" t="s">
        <v>33</v>
      </c>
      <c r="L337" s="1">
        <v>1</v>
      </c>
      <c r="M337" s="1">
        <v>1126.5</v>
      </c>
      <c r="N337" s="1">
        <v>15</v>
      </c>
      <c r="O337" s="1">
        <v>957.52</v>
      </c>
      <c r="P337" s="1">
        <f t="shared" si="26"/>
        <v>1126.5</v>
      </c>
      <c r="Q337" s="10">
        <f t="shared" si="27"/>
        <v>143.62799999999999</v>
      </c>
      <c r="R337" s="11">
        <f t="shared" si="28"/>
        <v>982.87200000000007</v>
      </c>
      <c r="S337" s="1" t="str">
        <f t="shared" si="29"/>
        <v>Low</v>
      </c>
      <c r="T337" s="1" t="str" cm="1">
        <f t="array" ref="T337">_xlfn.IFS(L337&gt;5,"High",L337=5,"mediam",L337&lt;5,"low")</f>
        <v>low</v>
      </c>
      <c r="U337" s="1" t="b">
        <f t="shared" si="30"/>
        <v>0</v>
      </c>
      <c r="Z337" s="1">
        <v>1962</v>
      </c>
      <c r="AA337" s="5">
        <v>10336</v>
      </c>
    </row>
    <row r="338" spans="1:27" x14ac:dyDescent="0.3">
      <c r="A338" s="5">
        <v>10337</v>
      </c>
      <c r="B338" s="1">
        <v>1510</v>
      </c>
      <c r="C338" s="2">
        <v>45158</v>
      </c>
      <c r="D338" s="2">
        <v>45162</v>
      </c>
      <c r="E338" s="1" t="s">
        <v>46</v>
      </c>
      <c r="F338" s="1" t="s">
        <v>38</v>
      </c>
      <c r="G338" s="1" t="s">
        <v>17</v>
      </c>
      <c r="H338" s="1" t="s">
        <v>25</v>
      </c>
      <c r="I338" s="1" t="s">
        <v>57</v>
      </c>
      <c r="J338" s="1" t="s">
        <v>62</v>
      </c>
      <c r="K338" s="1" t="s">
        <v>33</v>
      </c>
      <c r="L338" s="1">
        <v>8</v>
      </c>
      <c r="M338" s="1">
        <v>3061.89</v>
      </c>
      <c r="N338" s="1">
        <v>5</v>
      </c>
      <c r="O338" s="1">
        <v>23270.36</v>
      </c>
      <c r="P338" s="1">
        <f t="shared" si="26"/>
        <v>24495.119999999999</v>
      </c>
      <c r="Q338" s="10">
        <f t="shared" si="27"/>
        <v>1163.518</v>
      </c>
      <c r="R338" s="11">
        <f t="shared" si="28"/>
        <v>23331.601999999999</v>
      </c>
      <c r="S338" s="1" t="str">
        <f t="shared" si="29"/>
        <v>High</v>
      </c>
      <c r="T338" s="1" t="str" cm="1">
        <f t="array" ref="T338">_xlfn.IFS(L338&gt;5,"High",L338=5,"mediam",L338&lt;5,"low")</f>
        <v>High</v>
      </c>
      <c r="U338" s="1" t="str">
        <f t="shared" si="30"/>
        <v>High</v>
      </c>
      <c r="Z338" s="1">
        <v>1510</v>
      </c>
      <c r="AA338" s="5">
        <v>10337</v>
      </c>
    </row>
    <row r="339" spans="1:27" x14ac:dyDescent="0.3">
      <c r="A339" s="5">
        <v>10338</v>
      </c>
      <c r="B339" s="1">
        <v>1146</v>
      </c>
      <c r="C339" s="2">
        <v>45139</v>
      </c>
      <c r="D339" s="2">
        <v>45145</v>
      </c>
      <c r="E339" s="1" t="s">
        <v>22</v>
      </c>
      <c r="F339" s="1" t="s">
        <v>29</v>
      </c>
      <c r="G339" s="1" t="s">
        <v>30</v>
      </c>
      <c r="H339" s="1" t="s">
        <v>42</v>
      </c>
      <c r="I339" s="1" t="s">
        <v>49</v>
      </c>
      <c r="J339" s="1" t="s">
        <v>50</v>
      </c>
      <c r="K339" s="1" t="s">
        <v>21</v>
      </c>
      <c r="L339" s="1">
        <v>3</v>
      </c>
      <c r="M339" s="1">
        <v>464.42</v>
      </c>
      <c r="N339" s="1">
        <v>20</v>
      </c>
      <c r="O339" s="1">
        <v>1114.6099999999999</v>
      </c>
      <c r="P339" s="1">
        <f t="shared" si="26"/>
        <v>1393.26</v>
      </c>
      <c r="Q339" s="10">
        <f t="shared" si="27"/>
        <v>222.922</v>
      </c>
      <c r="R339" s="11">
        <f t="shared" si="28"/>
        <v>1170.338</v>
      </c>
      <c r="S339" s="1" t="str">
        <f t="shared" si="29"/>
        <v>Low</v>
      </c>
      <c r="T339" s="1" t="str" cm="1">
        <f t="array" ref="T339">_xlfn.IFS(L339&gt;5,"High",L339=5,"mediam",L339&lt;5,"low")</f>
        <v>low</v>
      </c>
      <c r="U339" s="1" t="b">
        <f t="shared" si="30"/>
        <v>0</v>
      </c>
      <c r="Z339" s="1">
        <v>1146</v>
      </c>
      <c r="AA339" s="5">
        <v>10338</v>
      </c>
    </row>
    <row r="340" spans="1:27" x14ac:dyDescent="0.3">
      <c r="A340" s="5">
        <v>10339</v>
      </c>
      <c r="B340" s="1">
        <v>1147</v>
      </c>
      <c r="C340" s="2">
        <v>45005</v>
      </c>
      <c r="D340" s="2">
        <v>45012</v>
      </c>
      <c r="E340" s="1" t="s">
        <v>15</v>
      </c>
      <c r="F340" s="1" t="s">
        <v>54</v>
      </c>
      <c r="G340" s="1" t="s">
        <v>17</v>
      </c>
      <c r="H340" s="1" t="s">
        <v>25</v>
      </c>
      <c r="I340" s="1" t="s">
        <v>31</v>
      </c>
      <c r="J340" s="1" t="s">
        <v>32</v>
      </c>
      <c r="K340" s="1" t="s">
        <v>21</v>
      </c>
      <c r="L340" s="1">
        <v>4</v>
      </c>
      <c r="M340" s="1">
        <v>3708.51</v>
      </c>
      <c r="N340" s="1">
        <v>5</v>
      </c>
      <c r="O340" s="1">
        <v>14092.34</v>
      </c>
      <c r="P340" s="1">
        <f t="shared" si="26"/>
        <v>14834.04</v>
      </c>
      <c r="Q340" s="10">
        <f t="shared" si="27"/>
        <v>704.61700000000008</v>
      </c>
      <c r="R340" s="11">
        <f t="shared" si="28"/>
        <v>14129.423000000001</v>
      </c>
      <c r="S340" s="1" t="str">
        <f t="shared" si="29"/>
        <v>Low</v>
      </c>
      <c r="T340" s="1" t="str" cm="1">
        <f t="array" ref="T340">_xlfn.IFS(L340&gt;5,"High",L340=5,"mediam",L340&lt;5,"low")</f>
        <v>low</v>
      </c>
      <c r="U340" s="1" t="b">
        <f t="shared" si="30"/>
        <v>0</v>
      </c>
      <c r="Z340" s="1">
        <v>1147</v>
      </c>
      <c r="AA340" s="5">
        <v>10339</v>
      </c>
    </row>
    <row r="341" spans="1:27" x14ac:dyDescent="0.3">
      <c r="A341" s="5">
        <v>10340</v>
      </c>
      <c r="B341" s="1">
        <v>1863</v>
      </c>
      <c r="C341" s="2">
        <v>45140</v>
      </c>
      <c r="D341" s="2">
        <v>45144</v>
      </c>
      <c r="E341" s="1" t="s">
        <v>37</v>
      </c>
      <c r="F341" s="1" t="s">
        <v>29</v>
      </c>
      <c r="G341" s="1" t="s">
        <v>30</v>
      </c>
      <c r="H341" s="1" t="s">
        <v>42</v>
      </c>
      <c r="I341" s="1" t="s">
        <v>49</v>
      </c>
      <c r="J341" s="1" t="s">
        <v>50</v>
      </c>
      <c r="K341" s="1" t="s">
        <v>45</v>
      </c>
      <c r="L341" s="1">
        <v>9</v>
      </c>
      <c r="M341" s="1">
        <v>1404.42</v>
      </c>
      <c r="N341" s="1">
        <v>20</v>
      </c>
      <c r="O341" s="1">
        <v>10111.82</v>
      </c>
      <c r="P341" s="1">
        <f t="shared" si="26"/>
        <v>12639.78</v>
      </c>
      <c r="Q341" s="10">
        <f t="shared" si="27"/>
        <v>2022.364</v>
      </c>
      <c r="R341" s="11">
        <f t="shared" si="28"/>
        <v>10617.416000000001</v>
      </c>
      <c r="S341" s="1" t="str">
        <f t="shared" si="29"/>
        <v>High</v>
      </c>
      <c r="T341" s="1" t="str" cm="1">
        <f t="array" ref="T341">_xlfn.IFS(L341&gt;5,"High",L341=5,"mediam",L341&lt;5,"low")</f>
        <v>High</v>
      </c>
      <c r="U341" s="1" t="str">
        <f t="shared" si="30"/>
        <v>High</v>
      </c>
      <c r="Z341" s="1">
        <v>1863</v>
      </c>
      <c r="AA341" s="5">
        <v>10340</v>
      </c>
    </row>
    <row r="342" spans="1:27" x14ac:dyDescent="0.3">
      <c r="A342" s="5">
        <v>10341</v>
      </c>
      <c r="B342" s="1">
        <v>1710</v>
      </c>
      <c r="C342" s="2">
        <v>45042</v>
      </c>
      <c r="D342" s="2">
        <v>45048</v>
      </c>
      <c r="E342" s="1" t="s">
        <v>16</v>
      </c>
      <c r="F342" s="1" t="s">
        <v>29</v>
      </c>
      <c r="G342" s="1" t="s">
        <v>17</v>
      </c>
      <c r="H342" s="1" t="s">
        <v>35</v>
      </c>
      <c r="I342" s="1" t="s">
        <v>49</v>
      </c>
      <c r="J342" s="1" t="s">
        <v>51</v>
      </c>
      <c r="K342" s="1" t="s">
        <v>28</v>
      </c>
      <c r="L342" s="1">
        <v>4</v>
      </c>
      <c r="M342" s="1">
        <v>641.92999999999995</v>
      </c>
      <c r="N342" s="1">
        <v>0</v>
      </c>
      <c r="O342" s="1">
        <v>2567.7199999999998</v>
      </c>
      <c r="P342" s="1">
        <f t="shared" si="26"/>
        <v>2567.7199999999998</v>
      </c>
      <c r="Q342" s="10">
        <f t="shared" si="27"/>
        <v>0</v>
      </c>
      <c r="R342" s="11">
        <f t="shared" si="28"/>
        <v>2567.7199999999998</v>
      </c>
      <c r="S342" s="1" t="str">
        <f t="shared" si="29"/>
        <v>Low</v>
      </c>
      <c r="T342" s="1" t="str" cm="1">
        <f t="array" ref="T342">_xlfn.IFS(L342&gt;5,"High",L342=5,"mediam",L342&lt;5,"low")</f>
        <v>low</v>
      </c>
      <c r="U342" s="1" t="b">
        <f t="shared" si="30"/>
        <v>0</v>
      </c>
      <c r="Z342" s="1">
        <v>1710</v>
      </c>
      <c r="AA342" s="5">
        <v>10341</v>
      </c>
    </row>
    <row r="343" spans="1:27" x14ac:dyDescent="0.3">
      <c r="A343" s="5">
        <v>10342</v>
      </c>
      <c r="B343" s="1">
        <v>1819</v>
      </c>
      <c r="C343" s="2">
        <v>45018</v>
      </c>
      <c r="D343" s="2">
        <v>45019</v>
      </c>
      <c r="E343" s="1" t="s">
        <v>15</v>
      </c>
      <c r="F343" s="1" t="s">
        <v>54</v>
      </c>
      <c r="G343" s="1" t="s">
        <v>17</v>
      </c>
      <c r="H343" s="1" t="s">
        <v>35</v>
      </c>
      <c r="I343" s="1" t="s">
        <v>26</v>
      </c>
      <c r="J343" s="1" t="s">
        <v>27</v>
      </c>
      <c r="K343" s="1" t="s">
        <v>47</v>
      </c>
      <c r="L343" s="1">
        <v>5</v>
      </c>
      <c r="M343" s="1">
        <v>1853.11</v>
      </c>
      <c r="N343" s="1">
        <v>10</v>
      </c>
      <c r="O343" s="1">
        <v>8338.99</v>
      </c>
      <c r="P343" s="1">
        <f t="shared" si="26"/>
        <v>9265.5499999999993</v>
      </c>
      <c r="Q343" s="10">
        <f t="shared" si="27"/>
        <v>833.899</v>
      </c>
      <c r="R343" s="11">
        <f t="shared" si="28"/>
        <v>8431.6509999999998</v>
      </c>
      <c r="S343" s="1" t="str">
        <f t="shared" si="29"/>
        <v>High</v>
      </c>
      <c r="T343" s="1" t="str" cm="1">
        <f t="array" ref="T343">_xlfn.IFS(L343&gt;5,"High",L343=5,"mediam",L343&lt;5,"low")</f>
        <v>mediam</v>
      </c>
      <c r="U343" s="1" t="b">
        <f t="shared" si="30"/>
        <v>0</v>
      </c>
      <c r="Z343" s="1">
        <v>1819</v>
      </c>
      <c r="AA343" s="5">
        <v>10342</v>
      </c>
    </row>
    <row r="344" spans="1:27" x14ac:dyDescent="0.3">
      <c r="A344" s="5">
        <v>10343</v>
      </c>
      <c r="B344" s="1">
        <v>1488</v>
      </c>
      <c r="C344" s="2">
        <v>45196</v>
      </c>
      <c r="D344" s="2">
        <v>45204</v>
      </c>
      <c r="E344" s="1" t="s">
        <v>46</v>
      </c>
      <c r="F344" s="1" t="s">
        <v>23</v>
      </c>
      <c r="G344" s="1" t="s">
        <v>17</v>
      </c>
      <c r="H344" s="1" t="s">
        <v>18</v>
      </c>
      <c r="I344" s="1" t="s">
        <v>49</v>
      </c>
      <c r="J344" s="1" t="s">
        <v>51</v>
      </c>
      <c r="K344" s="1" t="s">
        <v>21</v>
      </c>
      <c r="L344" s="1">
        <v>7</v>
      </c>
      <c r="M344" s="1">
        <v>313.51</v>
      </c>
      <c r="N344" s="1">
        <v>0</v>
      </c>
      <c r="O344" s="1">
        <v>2194.5700000000002</v>
      </c>
      <c r="P344" s="1">
        <f t="shared" si="26"/>
        <v>2194.5699999999997</v>
      </c>
      <c r="Q344" s="10">
        <f t="shared" si="27"/>
        <v>0</v>
      </c>
      <c r="R344" s="11">
        <f t="shared" si="28"/>
        <v>2194.5699999999997</v>
      </c>
      <c r="S344" s="1" t="str">
        <f t="shared" si="29"/>
        <v>High</v>
      </c>
      <c r="T344" s="1" t="str" cm="1">
        <f t="array" ref="T344">_xlfn.IFS(L344&gt;5,"High",L344=5,"mediam",L344&lt;5,"low")</f>
        <v>High</v>
      </c>
      <c r="U344" s="1" t="str">
        <f t="shared" si="30"/>
        <v>High</v>
      </c>
      <c r="Z344" s="1">
        <v>1488</v>
      </c>
      <c r="AA344" s="5">
        <v>10343</v>
      </c>
    </row>
    <row r="345" spans="1:27" x14ac:dyDescent="0.3">
      <c r="A345" s="5">
        <v>10344</v>
      </c>
      <c r="B345" s="1">
        <v>1928</v>
      </c>
      <c r="C345" s="2">
        <v>45094</v>
      </c>
      <c r="D345" s="2">
        <v>45101</v>
      </c>
      <c r="E345" s="1" t="s">
        <v>22</v>
      </c>
      <c r="F345" s="1" t="s">
        <v>29</v>
      </c>
      <c r="G345" s="1" t="s">
        <v>30</v>
      </c>
      <c r="H345" s="1" t="s">
        <v>44</v>
      </c>
      <c r="I345" s="1" t="s">
        <v>52</v>
      </c>
      <c r="J345" s="1" t="s">
        <v>56</v>
      </c>
      <c r="K345" s="1" t="s">
        <v>33</v>
      </c>
      <c r="L345" s="1">
        <v>4</v>
      </c>
      <c r="M345" s="1">
        <v>2785.81</v>
      </c>
      <c r="N345" s="1">
        <v>20</v>
      </c>
      <c r="O345" s="1">
        <v>8914.59</v>
      </c>
      <c r="P345" s="1">
        <f t="shared" si="26"/>
        <v>11143.24</v>
      </c>
      <c r="Q345" s="10">
        <f t="shared" si="27"/>
        <v>1782.9180000000001</v>
      </c>
      <c r="R345" s="11">
        <f t="shared" si="28"/>
        <v>9360.3220000000001</v>
      </c>
      <c r="S345" s="1" t="str">
        <f t="shared" si="29"/>
        <v>Low</v>
      </c>
      <c r="T345" s="1" t="str" cm="1">
        <f t="array" ref="T345">_xlfn.IFS(L345&gt;5,"High",L345=5,"mediam",L345&lt;5,"low")</f>
        <v>low</v>
      </c>
      <c r="U345" s="1" t="b">
        <f t="shared" si="30"/>
        <v>0</v>
      </c>
      <c r="Z345" s="1">
        <v>1928</v>
      </c>
      <c r="AA345" s="5">
        <v>10344</v>
      </c>
    </row>
    <row r="346" spans="1:27" x14ac:dyDescent="0.3">
      <c r="A346" s="5">
        <v>10345</v>
      </c>
      <c r="B346" s="1">
        <v>1935</v>
      </c>
      <c r="C346" s="2">
        <v>44984</v>
      </c>
      <c r="D346" s="2">
        <v>44993</v>
      </c>
      <c r="E346" s="1" t="s">
        <v>34</v>
      </c>
      <c r="F346" s="1" t="s">
        <v>29</v>
      </c>
      <c r="G346" s="1" t="s">
        <v>30</v>
      </c>
      <c r="H346" s="1" t="s">
        <v>42</v>
      </c>
      <c r="I346" s="1" t="s">
        <v>26</v>
      </c>
      <c r="J346" s="1" t="s">
        <v>36</v>
      </c>
      <c r="K346" s="1" t="s">
        <v>45</v>
      </c>
      <c r="L346" s="1">
        <v>1</v>
      </c>
      <c r="M346" s="1">
        <v>3625.42</v>
      </c>
      <c r="N346" s="1">
        <v>10</v>
      </c>
      <c r="O346" s="1">
        <v>3262.88</v>
      </c>
      <c r="P346" s="1">
        <f t="shared" si="26"/>
        <v>3625.42</v>
      </c>
      <c r="Q346" s="10">
        <f t="shared" si="27"/>
        <v>326.28800000000001</v>
      </c>
      <c r="R346" s="11">
        <f t="shared" si="28"/>
        <v>3299.1320000000001</v>
      </c>
      <c r="S346" s="1" t="str">
        <f t="shared" si="29"/>
        <v>Low</v>
      </c>
      <c r="T346" s="1" t="str" cm="1">
        <f t="array" ref="T346">_xlfn.IFS(L346&gt;5,"High",L346=5,"mediam",L346&lt;5,"low")</f>
        <v>low</v>
      </c>
      <c r="U346" s="1" t="b">
        <f t="shared" si="30"/>
        <v>0</v>
      </c>
      <c r="Z346" s="1">
        <v>1935</v>
      </c>
      <c r="AA346" s="5">
        <v>10345</v>
      </c>
    </row>
    <row r="347" spans="1:27" x14ac:dyDescent="0.3">
      <c r="A347" s="5">
        <v>10346</v>
      </c>
      <c r="B347" s="1">
        <v>1639</v>
      </c>
      <c r="C347" s="2">
        <v>45210</v>
      </c>
      <c r="D347" s="2">
        <v>45213</v>
      </c>
      <c r="E347" s="1" t="s">
        <v>40</v>
      </c>
      <c r="F347" s="1" t="s">
        <v>23</v>
      </c>
      <c r="G347" s="1" t="s">
        <v>17</v>
      </c>
      <c r="H347" s="1" t="s">
        <v>18</v>
      </c>
      <c r="I347" s="1" t="s">
        <v>26</v>
      </c>
      <c r="J347" s="1" t="s">
        <v>36</v>
      </c>
      <c r="K347" s="1" t="s">
        <v>47</v>
      </c>
      <c r="L347" s="1">
        <v>9</v>
      </c>
      <c r="M347" s="1">
        <v>3373.46</v>
      </c>
      <c r="N347" s="1">
        <v>10</v>
      </c>
      <c r="O347" s="1">
        <v>27325.03</v>
      </c>
      <c r="P347" s="1">
        <f t="shared" si="26"/>
        <v>30361.14</v>
      </c>
      <c r="Q347" s="10">
        <f t="shared" si="27"/>
        <v>2732.5030000000002</v>
      </c>
      <c r="R347" s="11">
        <f t="shared" si="28"/>
        <v>27628.636999999999</v>
      </c>
      <c r="S347" s="1" t="str">
        <f t="shared" si="29"/>
        <v>High</v>
      </c>
      <c r="T347" s="1" t="str" cm="1">
        <f t="array" ref="T347">_xlfn.IFS(L347&gt;5,"High",L347=5,"mediam",L347&lt;5,"low")</f>
        <v>High</v>
      </c>
      <c r="U347" s="1" t="str">
        <f t="shared" si="30"/>
        <v>High</v>
      </c>
      <c r="Z347" s="1">
        <v>1639</v>
      </c>
      <c r="AA347" s="5">
        <v>10346</v>
      </c>
    </row>
    <row r="348" spans="1:27" x14ac:dyDescent="0.3">
      <c r="A348" s="5">
        <v>10347</v>
      </c>
      <c r="B348" s="1">
        <v>1550</v>
      </c>
      <c r="C348" s="2">
        <v>44952</v>
      </c>
      <c r="D348" s="2">
        <v>44954</v>
      </c>
      <c r="E348" s="1" t="s">
        <v>15</v>
      </c>
      <c r="F348" s="1" t="s">
        <v>29</v>
      </c>
      <c r="G348" s="1" t="s">
        <v>24</v>
      </c>
      <c r="H348" s="1" t="s">
        <v>44</v>
      </c>
      <c r="I348" s="1" t="s">
        <v>19</v>
      </c>
      <c r="J348" s="1" t="s">
        <v>20</v>
      </c>
      <c r="K348" s="1" t="s">
        <v>45</v>
      </c>
      <c r="L348" s="1">
        <v>4</v>
      </c>
      <c r="M348" s="1">
        <v>640.37</v>
      </c>
      <c r="N348" s="1">
        <v>20</v>
      </c>
      <c r="O348" s="1">
        <v>2049.1799999999998</v>
      </c>
      <c r="P348" s="1">
        <f t="shared" si="26"/>
        <v>2561.48</v>
      </c>
      <c r="Q348" s="10">
        <f t="shared" si="27"/>
        <v>409.83600000000001</v>
      </c>
      <c r="R348" s="11">
        <f t="shared" si="28"/>
        <v>2151.6440000000002</v>
      </c>
      <c r="S348" s="1" t="str">
        <f t="shared" si="29"/>
        <v>Low</v>
      </c>
      <c r="T348" s="1" t="str" cm="1">
        <f t="array" ref="T348">_xlfn.IFS(L348&gt;5,"High",L348=5,"mediam",L348&lt;5,"low")</f>
        <v>low</v>
      </c>
      <c r="U348" s="1" t="b">
        <f t="shared" si="30"/>
        <v>0</v>
      </c>
      <c r="Z348" s="1">
        <v>1550</v>
      </c>
      <c r="AA348" s="5">
        <v>10347</v>
      </c>
    </row>
    <row r="349" spans="1:27" x14ac:dyDescent="0.3">
      <c r="A349" s="5">
        <v>10348</v>
      </c>
      <c r="B349" s="1">
        <v>1337</v>
      </c>
      <c r="C349" s="2">
        <v>44992</v>
      </c>
      <c r="D349" s="2">
        <v>44993</v>
      </c>
      <c r="E349" s="1" t="s">
        <v>15</v>
      </c>
      <c r="F349" s="1" t="s">
        <v>29</v>
      </c>
      <c r="G349" s="1" t="s">
        <v>17</v>
      </c>
      <c r="H349" s="1" t="s">
        <v>42</v>
      </c>
      <c r="I349" s="1" t="s">
        <v>49</v>
      </c>
      <c r="J349" s="1" t="s">
        <v>68</v>
      </c>
      <c r="K349" s="1" t="s">
        <v>47</v>
      </c>
      <c r="L349" s="1">
        <v>9</v>
      </c>
      <c r="M349" s="1">
        <v>636.14</v>
      </c>
      <c r="N349" s="1">
        <v>20</v>
      </c>
      <c r="O349" s="1">
        <v>4580.21</v>
      </c>
      <c r="P349" s="1">
        <f t="shared" si="26"/>
        <v>5725.26</v>
      </c>
      <c r="Q349" s="10">
        <f t="shared" si="27"/>
        <v>916.04200000000003</v>
      </c>
      <c r="R349" s="11">
        <f t="shared" si="28"/>
        <v>4809.2179999999998</v>
      </c>
      <c r="S349" s="1" t="str">
        <f t="shared" si="29"/>
        <v>High</v>
      </c>
      <c r="T349" s="1" t="str" cm="1">
        <f t="array" ref="T349">_xlfn.IFS(L349&gt;5,"High",L349=5,"mediam",L349&lt;5,"low")</f>
        <v>High</v>
      </c>
      <c r="U349" s="1" t="str">
        <f t="shared" si="30"/>
        <v>High</v>
      </c>
      <c r="Z349" s="1">
        <v>1337</v>
      </c>
      <c r="AA349" s="5">
        <v>10348</v>
      </c>
    </row>
    <row r="350" spans="1:27" x14ac:dyDescent="0.3">
      <c r="A350" s="5">
        <v>10349</v>
      </c>
      <c r="B350" s="1">
        <v>1871</v>
      </c>
      <c r="C350" s="2">
        <v>45174</v>
      </c>
      <c r="D350" s="2">
        <v>45177</v>
      </c>
      <c r="E350" s="1" t="s">
        <v>34</v>
      </c>
      <c r="F350" s="1" t="s">
        <v>29</v>
      </c>
      <c r="G350" s="1" t="s">
        <v>30</v>
      </c>
      <c r="H350" s="1" t="s">
        <v>25</v>
      </c>
      <c r="I350" s="1" t="s">
        <v>19</v>
      </c>
      <c r="J350" s="1" t="s">
        <v>55</v>
      </c>
      <c r="K350" s="1" t="s">
        <v>47</v>
      </c>
      <c r="L350" s="1">
        <v>6</v>
      </c>
      <c r="M350" s="1">
        <v>3281.72</v>
      </c>
      <c r="N350" s="1">
        <v>5</v>
      </c>
      <c r="O350" s="1">
        <v>18705.8</v>
      </c>
      <c r="P350" s="1">
        <f t="shared" si="26"/>
        <v>19690.32</v>
      </c>
      <c r="Q350" s="10">
        <f t="shared" si="27"/>
        <v>935.29</v>
      </c>
      <c r="R350" s="11">
        <f t="shared" si="28"/>
        <v>18755.03</v>
      </c>
      <c r="S350" s="1" t="str">
        <f t="shared" si="29"/>
        <v>High</v>
      </c>
      <c r="T350" s="1" t="str" cm="1">
        <f t="array" ref="T350">_xlfn.IFS(L350&gt;5,"High",L350=5,"mediam",L350&lt;5,"low")</f>
        <v>High</v>
      </c>
      <c r="U350" s="1" t="str">
        <f t="shared" si="30"/>
        <v>High</v>
      </c>
      <c r="Z350" s="1">
        <v>1871</v>
      </c>
      <c r="AA350" s="5">
        <v>10349</v>
      </c>
    </row>
    <row r="351" spans="1:27" x14ac:dyDescent="0.3">
      <c r="A351" s="5">
        <v>10350</v>
      </c>
      <c r="B351" s="1">
        <v>1640</v>
      </c>
      <c r="C351" s="2">
        <v>45180</v>
      </c>
      <c r="D351" s="2">
        <v>45185</v>
      </c>
      <c r="E351" s="1" t="s">
        <v>15</v>
      </c>
      <c r="F351" s="1" t="s">
        <v>41</v>
      </c>
      <c r="G351" s="1" t="s">
        <v>17</v>
      </c>
      <c r="H351" s="1" t="s">
        <v>44</v>
      </c>
      <c r="I351" s="1" t="s">
        <v>57</v>
      </c>
      <c r="J351" s="1" t="s">
        <v>62</v>
      </c>
      <c r="K351" s="1" t="s">
        <v>21</v>
      </c>
      <c r="L351" s="1">
        <v>1</v>
      </c>
      <c r="M351" s="1">
        <v>3708.38</v>
      </c>
      <c r="N351" s="1">
        <v>20</v>
      </c>
      <c r="O351" s="1">
        <v>2966.7</v>
      </c>
      <c r="P351" s="1">
        <f t="shared" si="26"/>
        <v>3708.38</v>
      </c>
      <c r="Q351" s="10">
        <f t="shared" si="27"/>
        <v>593.34</v>
      </c>
      <c r="R351" s="11">
        <f t="shared" si="28"/>
        <v>3115.04</v>
      </c>
      <c r="S351" s="1" t="str">
        <f t="shared" si="29"/>
        <v>Low</v>
      </c>
      <c r="T351" s="1" t="str" cm="1">
        <f t="array" ref="T351">_xlfn.IFS(L351&gt;5,"High",L351=5,"mediam",L351&lt;5,"low")</f>
        <v>low</v>
      </c>
      <c r="U351" s="1" t="b">
        <f t="shared" si="30"/>
        <v>0</v>
      </c>
      <c r="Z351" s="1">
        <v>1640</v>
      </c>
      <c r="AA351" s="5">
        <v>10350</v>
      </c>
    </row>
    <row r="352" spans="1:27" x14ac:dyDescent="0.3">
      <c r="A352" s="5">
        <v>10351</v>
      </c>
      <c r="B352" s="1">
        <v>1778</v>
      </c>
      <c r="C352" s="2">
        <v>44970</v>
      </c>
      <c r="D352" s="2">
        <v>44972</v>
      </c>
      <c r="E352" s="1" t="s">
        <v>46</v>
      </c>
      <c r="F352" s="1" t="s">
        <v>16</v>
      </c>
      <c r="G352" s="1" t="s">
        <v>30</v>
      </c>
      <c r="H352" s="1" t="s">
        <v>35</v>
      </c>
      <c r="I352" s="1" t="s">
        <v>31</v>
      </c>
      <c r="J352" s="1" t="s">
        <v>32</v>
      </c>
      <c r="K352" s="1" t="s">
        <v>45</v>
      </c>
      <c r="L352" s="1">
        <v>3</v>
      </c>
      <c r="M352" s="1">
        <v>1923.58</v>
      </c>
      <c r="N352" s="1">
        <v>15</v>
      </c>
      <c r="O352" s="1">
        <v>4905.13</v>
      </c>
      <c r="P352" s="1">
        <f t="shared" si="26"/>
        <v>5770.74</v>
      </c>
      <c r="Q352" s="10">
        <f t="shared" si="27"/>
        <v>735.76949999999999</v>
      </c>
      <c r="R352" s="11">
        <f t="shared" si="28"/>
        <v>5034.9704999999994</v>
      </c>
      <c r="S352" s="1" t="str">
        <f t="shared" si="29"/>
        <v>Low</v>
      </c>
      <c r="T352" s="1" t="str" cm="1">
        <f t="array" ref="T352">_xlfn.IFS(L352&gt;5,"High",L352=5,"mediam",L352&lt;5,"low")</f>
        <v>low</v>
      </c>
      <c r="U352" s="1" t="b">
        <f t="shared" si="30"/>
        <v>0</v>
      </c>
      <c r="Z352" s="1">
        <v>1778</v>
      </c>
      <c r="AA352" s="5">
        <v>10351</v>
      </c>
    </row>
    <row r="353" spans="1:27" x14ac:dyDescent="0.3">
      <c r="A353" s="5">
        <v>10352</v>
      </c>
      <c r="B353" s="1">
        <v>1987</v>
      </c>
      <c r="C353" s="2">
        <v>45023</v>
      </c>
      <c r="D353" s="2">
        <v>45026</v>
      </c>
      <c r="E353" s="1" t="s">
        <v>46</v>
      </c>
      <c r="F353" s="1" t="s">
        <v>23</v>
      </c>
      <c r="G353" s="1" t="s">
        <v>30</v>
      </c>
      <c r="H353" s="1" t="s">
        <v>18</v>
      </c>
      <c r="I353" s="1" t="s">
        <v>26</v>
      </c>
      <c r="J353" s="1" t="s">
        <v>36</v>
      </c>
      <c r="K353" s="1" t="s">
        <v>45</v>
      </c>
      <c r="L353" s="1">
        <v>2</v>
      </c>
      <c r="M353" s="1">
        <v>2071.04</v>
      </c>
      <c r="N353" s="1">
        <v>20</v>
      </c>
      <c r="O353" s="1">
        <v>3313.66</v>
      </c>
      <c r="P353" s="1">
        <f t="shared" si="26"/>
        <v>4142.08</v>
      </c>
      <c r="Q353" s="10">
        <f t="shared" si="27"/>
        <v>662.73199999999997</v>
      </c>
      <c r="R353" s="11">
        <f t="shared" si="28"/>
        <v>3479.348</v>
      </c>
      <c r="S353" s="1" t="str">
        <f t="shared" si="29"/>
        <v>Low</v>
      </c>
      <c r="T353" s="1" t="str" cm="1">
        <f t="array" ref="T353">_xlfn.IFS(L353&gt;5,"High",L353=5,"mediam",L353&lt;5,"low")</f>
        <v>low</v>
      </c>
      <c r="U353" s="1" t="b">
        <f t="shared" si="30"/>
        <v>0</v>
      </c>
      <c r="Z353" s="1">
        <v>1987</v>
      </c>
      <c r="AA353" s="5">
        <v>10352</v>
      </c>
    </row>
    <row r="354" spans="1:27" x14ac:dyDescent="0.3">
      <c r="A354" s="5">
        <v>10353</v>
      </c>
      <c r="B354" s="1">
        <v>1952</v>
      </c>
      <c r="C354" s="2">
        <v>44968</v>
      </c>
      <c r="D354" s="2">
        <v>44972</v>
      </c>
      <c r="E354" s="1" t="s">
        <v>34</v>
      </c>
      <c r="F354" s="1" t="s">
        <v>29</v>
      </c>
      <c r="G354" s="1" t="s">
        <v>30</v>
      </c>
      <c r="H354" s="1" t="s">
        <v>44</v>
      </c>
      <c r="I354" s="1" t="s">
        <v>57</v>
      </c>
      <c r="J354" s="1" t="s">
        <v>67</v>
      </c>
      <c r="K354" s="1" t="s">
        <v>33</v>
      </c>
      <c r="L354" s="1">
        <v>9</v>
      </c>
      <c r="M354" s="1">
        <v>1375.31</v>
      </c>
      <c r="N354" s="1">
        <v>15</v>
      </c>
      <c r="O354" s="1">
        <v>10521.12</v>
      </c>
      <c r="P354" s="1">
        <f t="shared" si="26"/>
        <v>12377.789999999999</v>
      </c>
      <c r="Q354" s="10">
        <f t="shared" si="27"/>
        <v>1578.1680000000001</v>
      </c>
      <c r="R354" s="11">
        <f t="shared" si="28"/>
        <v>10799.621999999999</v>
      </c>
      <c r="S354" s="1" t="str">
        <f t="shared" si="29"/>
        <v>High</v>
      </c>
      <c r="T354" s="1" t="str" cm="1">
        <f t="array" ref="T354">_xlfn.IFS(L354&gt;5,"High",L354=5,"mediam",L354&lt;5,"low")</f>
        <v>High</v>
      </c>
      <c r="U354" s="1" t="str">
        <f t="shared" si="30"/>
        <v>High</v>
      </c>
      <c r="Z354" s="1">
        <v>1952</v>
      </c>
      <c r="AA354" s="5">
        <v>10353</v>
      </c>
    </row>
    <row r="355" spans="1:27" x14ac:dyDescent="0.3">
      <c r="A355" s="5">
        <v>10354</v>
      </c>
      <c r="B355" s="1">
        <v>1472</v>
      </c>
      <c r="C355" s="2">
        <v>45153</v>
      </c>
      <c r="D355" s="2">
        <v>45160</v>
      </c>
      <c r="E355" s="1" t="s">
        <v>40</v>
      </c>
      <c r="F355" s="1" t="s">
        <v>41</v>
      </c>
      <c r="G355" s="1" t="s">
        <v>17</v>
      </c>
      <c r="H355" s="1" t="s">
        <v>44</v>
      </c>
      <c r="I355" s="1" t="s">
        <v>57</v>
      </c>
      <c r="J355" s="1" t="s">
        <v>58</v>
      </c>
      <c r="K355" s="1" t="s">
        <v>33</v>
      </c>
      <c r="L355" s="1">
        <v>1</v>
      </c>
      <c r="M355" s="1">
        <v>3592.92</v>
      </c>
      <c r="N355" s="1">
        <v>20</v>
      </c>
      <c r="O355" s="1">
        <v>2874.34</v>
      </c>
      <c r="P355" s="1">
        <f t="shared" si="26"/>
        <v>3592.92</v>
      </c>
      <c r="Q355" s="10">
        <f t="shared" si="27"/>
        <v>574.86800000000005</v>
      </c>
      <c r="R355" s="11">
        <f t="shared" si="28"/>
        <v>3018.0520000000001</v>
      </c>
      <c r="S355" s="1" t="str">
        <f t="shared" si="29"/>
        <v>Low</v>
      </c>
      <c r="T355" s="1" t="str" cm="1">
        <f t="array" ref="T355">_xlfn.IFS(L355&gt;5,"High",L355=5,"mediam",L355&lt;5,"low")</f>
        <v>low</v>
      </c>
      <c r="U355" s="1" t="b">
        <f t="shared" si="30"/>
        <v>0</v>
      </c>
      <c r="Z355" s="1">
        <v>1472</v>
      </c>
      <c r="AA355" s="5">
        <v>10354</v>
      </c>
    </row>
    <row r="356" spans="1:27" x14ac:dyDescent="0.3">
      <c r="A356" s="5">
        <v>10355</v>
      </c>
      <c r="B356" s="1">
        <v>1945</v>
      </c>
      <c r="C356" s="2">
        <v>45188</v>
      </c>
      <c r="D356" s="2">
        <v>45191</v>
      </c>
      <c r="E356" s="1" t="s">
        <v>37</v>
      </c>
      <c r="F356" s="1" t="s">
        <v>23</v>
      </c>
      <c r="G356" s="1" t="s">
        <v>30</v>
      </c>
      <c r="H356" s="1" t="s">
        <v>35</v>
      </c>
      <c r="I356" s="1" t="s">
        <v>52</v>
      </c>
      <c r="J356" s="1" t="s">
        <v>53</v>
      </c>
      <c r="K356" s="1" t="s">
        <v>21</v>
      </c>
      <c r="L356" s="1">
        <v>9</v>
      </c>
      <c r="M356" s="1">
        <v>2632.88</v>
      </c>
      <c r="N356" s="1">
        <v>5</v>
      </c>
      <c r="O356" s="1">
        <v>22511.119999999999</v>
      </c>
      <c r="P356" s="1">
        <f t="shared" si="26"/>
        <v>23695.920000000002</v>
      </c>
      <c r="Q356" s="10">
        <f t="shared" si="27"/>
        <v>1125.556</v>
      </c>
      <c r="R356" s="11">
        <f t="shared" si="28"/>
        <v>22570.364000000001</v>
      </c>
      <c r="S356" s="1" t="str">
        <f t="shared" si="29"/>
        <v>High</v>
      </c>
      <c r="T356" s="1" t="str" cm="1">
        <f t="array" ref="T356">_xlfn.IFS(L356&gt;5,"High",L356=5,"mediam",L356&lt;5,"low")</f>
        <v>High</v>
      </c>
      <c r="U356" s="1" t="str">
        <f t="shared" si="30"/>
        <v>High</v>
      </c>
      <c r="Z356" s="1">
        <v>1945</v>
      </c>
      <c r="AA356" s="5">
        <v>10355</v>
      </c>
    </row>
    <row r="357" spans="1:27" x14ac:dyDescent="0.3">
      <c r="A357" s="5">
        <v>10356</v>
      </c>
      <c r="B357" s="1">
        <v>1150</v>
      </c>
      <c r="C357" s="2">
        <v>45093</v>
      </c>
      <c r="D357" s="2">
        <v>45102</v>
      </c>
      <c r="E357" s="1" t="s">
        <v>16</v>
      </c>
      <c r="F357" s="1" t="s">
        <v>38</v>
      </c>
      <c r="G357" s="1" t="s">
        <v>30</v>
      </c>
      <c r="H357" s="1" t="s">
        <v>42</v>
      </c>
      <c r="I357" s="1" t="s">
        <v>31</v>
      </c>
      <c r="J357" s="1" t="s">
        <v>48</v>
      </c>
      <c r="K357" s="1" t="s">
        <v>21</v>
      </c>
      <c r="L357" s="1">
        <v>9</v>
      </c>
      <c r="M357" s="1">
        <v>1259.77</v>
      </c>
      <c r="N357" s="1">
        <v>15</v>
      </c>
      <c r="O357" s="1">
        <v>9637.24</v>
      </c>
      <c r="P357" s="1">
        <f t="shared" si="26"/>
        <v>11337.93</v>
      </c>
      <c r="Q357" s="10">
        <f t="shared" si="27"/>
        <v>1445.586</v>
      </c>
      <c r="R357" s="11">
        <f t="shared" si="28"/>
        <v>9892.344000000001</v>
      </c>
      <c r="S357" s="1" t="str">
        <f t="shared" si="29"/>
        <v>High</v>
      </c>
      <c r="T357" s="1" t="str" cm="1">
        <f t="array" ref="T357">_xlfn.IFS(L357&gt;5,"High",L357=5,"mediam",L357&lt;5,"low")</f>
        <v>High</v>
      </c>
      <c r="U357" s="1" t="str">
        <f t="shared" si="30"/>
        <v>High</v>
      </c>
      <c r="Z357" s="1">
        <v>1150</v>
      </c>
      <c r="AA357" s="5">
        <v>10356</v>
      </c>
    </row>
    <row r="358" spans="1:27" x14ac:dyDescent="0.3">
      <c r="A358" s="5">
        <v>10357</v>
      </c>
      <c r="B358" s="1">
        <v>1414</v>
      </c>
      <c r="C358" s="2">
        <v>45205</v>
      </c>
      <c r="D358" s="2">
        <v>45213</v>
      </c>
      <c r="E358" s="1" t="s">
        <v>37</v>
      </c>
      <c r="F358" s="1" t="s">
        <v>38</v>
      </c>
      <c r="G358" s="1" t="s">
        <v>17</v>
      </c>
      <c r="H358" s="1" t="s">
        <v>25</v>
      </c>
      <c r="I358" s="1" t="s">
        <v>57</v>
      </c>
      <c r="J358" s="1" t="s">
        <v>58</v>
      </c>
      <c r="K358" s="1" t="s">
        <v>28</v>
      </c>
      <c r="L358" s="1">
        <v>8</v>
      </c>
      <c r="M358" s="1">
        <v>1300.31</v>
      </c>
      <c r="N358" s="1">
        <v>0</v>
      </c>
      <c r="O358" s="1">
        <v>10402.48</v>
      </c>
      <c r="P358" s="1">
        <f t="shared" si="26"/>
        <v>10402.48</v>
      </c>
      <c r="Q358" s="10">
        <f t="shared" si="27"/>
        <v>0</v>
      </c>
      <c r="R358" s="11">
        <f t="shared" si="28"/>
        <v>10402.48</v>
      </c>
      <c r="S358" s="1" t="str">
        <f t="shared" si="29"/>
        <v>High</v>
      </c>
      <c r="T358" s="1" t="str" cm="1">
        <f t="array" ref="T358">_xlfn.IFS(L358&gt;5,"High",L358=5,"mediam",L358&lt;5,"low")</f>
        <v>High</v>
      </c>
      <c r="U358" s="1" t="str">
        <f t="shared" si="30"/>
        <v>High</v>
      </c>
      <c r="Z358" s="1">
        <v>1414</v>
      </c>
      <c r="AA358" s="5">
        <v>10357</v>
      </c>
    </row>
    <row r="359" spans="1:27" x14ac:dyDescent="0.3">
      <c r="A359" s="5">
        <v>10358</v>
      </c>
      <c r="B359" s="1">
        <v>1989</v>
      </c>
      <c r="C359" s="2">
        <v>45015</v>
      </c>
      <c r="D359" s="2">
        <v>45019</v>
      </c>
      <c r="E359" s="1" t="s">
        <v>15</v>
      </c>
      <c r="F359" s="1" t="s">
        <v>29</v>
      </c>
      <c r="G359" s="1" t="s">
        <v>30</v>
      </c>
      <c r="H359" s="1" t="s">
        <v>35</v>
      </c>
      <c r="I359" s="1" t="s">
        <v>57</v>
      </c>
      <c r="J359" s="1" t="s">
        <v>58</v>
      </c>
      <c r="K359" s="1" t="s">
        <v>33</v>
      </c>
      <c r="L359" s="1">
        <v>8</v>
      </c>
      <c r="M359" s="1">
        <v>3581.12</v>
      </c>
      <c r="N359" s="1">
        <v>15</v>
      </c>
      <c r="O359" s="1">
        <v>24351.62</v>
      </c>
      <c r="P359" s="1">
        <f t="shared" si="26"/>
        <v>28648.959999999999</v>
      </c>
      <c r="Q359" s="10">
        <f t="shared" si="27"/>
        <v>3652.7429999999999</v>
      </c>
      <c r="R359" s="11">
        <f t="shared" si="28"/>
        <v>24996.217000000001</v>
      </c>
      <c r="S359" s="1" t="str">
        <f t="shared" si="29"/>
        <v>High</v>
      </c>
      <c r="T359" s="1" t="str" cm="1">
        <f t="array" ref="T359">_xlfn.IFS(L359&gt;5,"High",L359=5,"mediam",L359&lt;5,"low")</f>
        <v>High</v>
      </c>
      <c r="U359" s="1" t="str">
        <f t="shared" si="30"/>
        <v>High</v>
      </c>
      <c r="Z359" s="1">
        <v>1989</v>
      </c>
      <c r="AA359" s="5">
        <v>10358</v>
      </c>
    </row>
    <row r="360" spans="1:27" x14ac:dyDescent="0.3">
      <c r="A360" s="5">
        <v>10359</v>
      </c>
      <c r="B360" s="1">
        <v>1297</v>
      </c>
      <c r="C360" s="2">
        <v>45104</v>
      </c>
      <c r="D360" s="2">
        <v>45105</v>
      </c>
      <c r="E360" s="1" t="s">
        <v>16</v>
      </c>
      <c r="F360" s="1" t="s">
        <v>41</v>
      </c>
      <c r="G360" s="1" t="s">
        <v>17</v>
      </c>
      <c r="H360" s="1" t="s">
        <v>25</v>
      </c>
      <c r="I360" s="1" t="s">
        <v>31</v>
      </c>
      <c r="J360" s="1" t="s">
        <v>48</v>
      </c>
      <c r="K360" s="1" t="s">
        <v>47</v>
      </c>
      <c r="L360" s="1">
        <v>1</v>
      </c>
      <c r="M360" s="1">
        <v>202.49</v>
      </c>
      <c r="N360" s="1">
        <v>5</v>
      </c>
      <c r="O360" s="1">
        <v>192.37</v>
      </c>
      <c r="P360" s="1">
        <f t="shared" si="26"/>
        <v>202.49</v>
      </c>
      <c r="Q360" s="10">
        <f t="shared" si="27"/>
        <v>9.6185000000000009</v>
      </c>
      <c r="R360" s="11">
        <f t="shared" si="28"/>
        <v>192.8715</v>
      </c>
      <c r="S360" s="1" t="str">
        <f t="shared" si="29"/>
        <v>Low</v>
      </c>
      <c r="T360" s="1" t="str" cm="1">
        <f t="array" ref="T360">_xlfn.IFS(L360&gt;5,"High",L360=5,"mediam",L360&lt;5,"low")</f>
        <v>low</v>
      </c>
      <c r="U360" s="1" t="b">
        <f t="shared" si="30"/>
        <v>0</v>
      </c>
      <c r="Z360" s="1">
        <v>1297</v>
      </c>
      <c r="AA360" s="5">
        <v>10359</v>
      </c>
    </row>
    <row r="361" spans="1:27" x14ac:dyDescent="0.3">
      <c r="A361" s="5">
        <v>10360</v>
      </c>
      <c r="B361" s="1">
        <v>1610</v>
      </c>
      <c r="C361" s="2">
        <v>45123</v>
      </c>
      <c r="D361" s="2">
        <v>45124</v>
      </c>
      <c r="E361" s="1" t="s">
        <v>34</v>
      </c>
      <c r="F361" s="1" t="s">
        <v>41</v>
      </c>
      <c r="G361" s="1" t="s">
        <v>30</v>
      </c>
      <c r="H361" s="1" t="s">
        <v>42</v>
      </c>
      <c r="I361" s="1" t="s">
        <v>31</v>
      </c>
      <c r="J361" s="1" t="s">
        <v>32</v>
      </c>
      <c r="K361" s="1" t="s">
        <v>45</v>
      </c>
      <c r="L361" s="1">
        <v>8</v>
      </c>
      <c r="M361" s="1">
        <v>1392.5</v>
      </c>
      <c r="N361" s="1">
        <v>15</v>
      </c>
      <c r="O361" s="1">
        <v>9469</v>
      </c>
      <c r="P361" s="1">
        <f t="shared" si="26"/>
        <v>11140</v>
      </c>
      <c r="Q361" s="10">
        <f t="shared" si="27"/>
        <v>1420.35</v>
      </c>
      <c r="R361" s="11">
        <f t="shared" si="28"/>
        <v>9719.65</v>
      </c>
      <c r="S361" s="1" t="str">
        <f t="shared" si="29"/>
        <v>High</v>
      </c>
      <c r="T361" s="1" t="str" cm="1">
        <f t="array" ref="T361">_xlfn.IFS(L361&gt;5,"High",L361=5,"mediam",L361&lt;5,"low")</f>
        <v>High</v>
      </c>
      <c r="U361" s="1" t="str">
        <f t="shared" si="30"/>
        <v>High</v>
      </c>
      <c r="Z361" s="1">
        <v>1610</v>
      </c>
      <c r="AA361" s="5">
        <v>10360</v>
      </c>
    </row>
    <row r="362" spans="1:27" x14ac:dyDescent="0.3">
      <c r="A362" s="5">
        <v>10361</v>
      </c>
      <c r="B362" s="1">
        <v>1262</v>
      </c>
      <c r="C362" s="2">
        <v>45233</v>
      </c>
      <c r="D362" s="2">
        <v>45234</v>
      </c>
      <c r="E362" s="1" t="s">
        <v>34</v>
      </c>
      <c r="F362" s="1" t="s">
        <v>23</v>
      </c>
      <c r="G362" s="1" t="s">
        <v>24</v>
      </c>
      <c r="H362" s="1" t="s">
        <v>44</v>
      </c>
      <c r="I362" s="1" t="s">
        <v>57</v>
      </c>
      <c r="J362" s="1" t="s">
        <v>59</v>
      </c>
      <c r="K362" s="1" t="s">
        <v>21</v>
      </c>
      <c r="L362" s="1">
        <v>3</v>
      </c>
      <c r="M362" s="1">
        <v>2284.27</v>
      </c>
      <c r="N362" s="1">
        <v>20</v>
      </c>
      <c r="O362" s="1">
        <v>5482.25</v>
      </c>
      <c r="P362" s="1">
        <f t="shared" si="26"/>
        <v>6852.8099999999995</v>
      </c>
      <c r="Q362" s="10">
        <f t="shared" si="27"/>
        <v>1096.45</v>
      </c>
      <c r="R362" s="11">
        <f t="shared" si="28"/>
        <v>5756.36</v>
      </c>
      <c r="S362" s="1" t="str">
        <f t="shared" si="29"/>
        <v>Low</v>
      </c>
      <c r="T362" s="1" t="str" cm="1">
        <f t="array" ref="T362">_xlfn.IFS(L362&gt;5,"High",L362=5,"mediam",L362&lt;5,"low")</f>
        <v>low</v>
      </c>
      <c r="U362" s="1" t="b">
        <f t="shared" si="30"/>
        <v>0</v>
      </c>
      <c r="Z362" s="1">
        <v>1262</v>
      </c>
      <c r="AA362" s="5">
        <v>10361</v>
      </c>
    </row>
    <row r="363" spans="1:27" x14ac:dyDescent="0.3">
      <c r="A363" s="5">
        <v>10362</v>
      </c>
      <c r="B363" s="1">
        <v>1763</v>
      </c>
      <c r="C363" s="2">
        <v>45193</v>
      </c>
      <c r="D363" s="2">
        <v>45194</v>
      </c>
      <c r="E363" s="1" t="s">
        <v>40</v>
      </c>
      <c r="F363" s="1" t="s">
        <v>23</v>
      </c>
      <c r="G363" s="1" t="s">
        <v>24</v>
      </c>
      <c r="H363" s="1" t="s">
        <v>25</v>
      </c>
      <c r="I363" s="1" t="s">
        <v>31</v>
      </c>
      <c r="J363" s="1" t="s">
        <v>48</v>
      </c>
      <c r="K363" s="1" t="s">
        <v>45</v>
      </c>
      <c r="L363" s="1">
        <v>7</v>
      </c>
      <c r="M363" s="1">
        <v>720.64</v>
      </c>
      <c r="N363" s="1">
        <v>20</v>
      </c>
      <c r="O363" s="1">
        <v>4035.58</v>
      </c>
      <c r="P363" s="1">
        <f t="shared" si="26"/>
        <v>5044.4799999999996</v>
      </c>
      <c r="Q363" s="10">
        <f t="shared" si="27"/>
        <v>807.11599999999999</v>
      </c>
      <c r="R363" s="11">
        <f t="shared" si="28"/>
        <v>4237.3639999999996</v>
      </c>
      <c r="S363" s="1" t="str">
        <f t="shared" si="29"/>
        <v>High</v>
      </c>
      <c r="T363" s="1" t="str" cm="1">
        <f t="array" ref="T363">_xlfn.IFS(L363&gt;5,"High",L363=5,"mediam",L363&lt;5,"low")</f>
        <v>High</v>
      </c>
      <c r="U363" s="1" t="str">
        <f t="shared" si="30"/>
        <v>High</v>
      </c>
      <c r="Z363" s="1">
        <v>1763</v>
      </c>
      <c r="AA363" s="5">
        <v>10362</v>
      </c>
    </row>
    <row r="364" spans="1:27" x14ac:dyDescent="0.3">
      <c r="A364" s="5">
        <v>10363</v>
      </c>
      <c r="B364" s="1">
        <v>1143</v>
      </c>
      <c r="C364" s="2">
        <v>45194</v>
      </c>
      <c r="D364" s="2">
        <v>45202</v>
      </c>
      <c r="E364" s="1" t="s">
        <v>16</v>
      </c>
      <c r="F364" s="1" t="s">
        <v>41</v>
      </c>
      <c r="G364" s="1" t="s">
        <v>30</v>
      </c>
      <c r="H364" s="1" t="s">
        <v>18</v>
      </c>
      <c r="I364" s="1" t="s">
        <v>57</v>
      </c>
      <c r="J364" s="1" t="s">
        <v>62</v>
      </c>
      <c r="K364" s="1" t="s">
        <v>45</v>
      </c>
      <c r="L364" s="1">
        <v>1</v>
      </c>
      <c r="M364" s="1">
        <v>504.58</v>
      </c>
      <c r="N364" s="1">
        <v>5</v>
      </c>
      <c r="O364" s="1">
        <v>479.35</v>
      </c>
      <c r="P364" s="1">
        <f t="shared" si="26"/>
        <v>504.58</v>
      </c>
      <c r="Q364" s="10">
        <f t="shared" si="27"/>
        <v>23.967500000000001</v>
      </c>
      <c r="R364" s="11">
        <f t="shared" si="28"/>
        <v>480.61249999999995</v>
      </c>
      <c r="S364" s="1" t="str">
        <f t="shared" si="29"/>
        <v>Low</v>
      </c>
      <c r="T364" s="1" t="str" cm="1">
        <f t="array" ref="T364">_xlfn.IFS(L364&gt;5,"High",L364=5,"mediam",L364&lt;5,"low")</f>
        <v>low</v>
      </c>
      <c r="U364" s="1" t="b">
        <f t="shared" si="30"/>
        <v>0</v>
      </c>
      <c r="Z364" s="1">
        <v>1143</v>
      </c>
      <c r="AA364" s="5">
        <v>10363</v>
      </c>
    </row>
    <row r="365" spans="1:27" x14ac:dyDescent="0.3">
      <c r="A365" s="5">
        <v>10364</v>
      </c>
      <c r="B365" s="1">
        <v>1345</v>
      </c>
      <c r="C365" s="2">
        <v>45000</v>
      </c>
      <c r="D365" s="2">
        <v>45003</v>
      </c>
      <c r="E365" s="1" t="s">
        <v>46</v>
      </c>
      <c r="F365" s="1" t="s">
        <v>23</v>
      </c>
      <c r="G365" s="1" t="s">
        <v>24</v>
      </c>
      <c r="H365" s="1" t="s">
        <v>18</v>
      </c>
      <c r="I365" s="1" t="s">
        <v>57</v>
      </c>
      <c r="J365" s="1" t="s">
        <v>67</v>
      </c>
      <c r="K365" s="1" t="s">
        <v>28</v>
      </c>
      <c r="L365" s="1">
        <v>1</v>
      </c>
      <c r="M365" s="1">
        <v>3288.81</v>
      </c>
      <c r="N365" s="1">
        <v>10</v>
      </c>
      <c r="O365" s="1">
        <v>2959.93</v>
      </c>
      <c r="P365" s="1">
        <f t="shared" si="26"/>
        <v>3288.81</v>
      </c>
      <c r="Q365" s="10">
        <f t="shared" si="27"/>
        <v>295.99299999999999</v>
      </c>
      <c r="R365" s="11">
        <f t="shared" si="28"/>
        <v>2992.817</v>
      </c>
      <c r="S365" s="1" t="str">
        <f t="shared" si="29"/>
        <v>Low</v>
      </c>
      <c r="T365" s="1" t="str" cm="1">
        <f t="array" ref="T365">_xlfn.IFS(L365&gt;5,"High",L365=5,"mediam",L365&lt;5,"low")</f>
        <v>low</v>
      </c>
      <c r="U365" s="1" t="b">
        <f t="shared" si="30"/>
        <v>0</v>
      </c>
      <c r="Z365" s="1">
        <v>1345</v>
      </c>
      <c r="AA365" s="5">
        <v>10364</v>
      </c>
    </row>
    <row r="366" spans="1:27" x14ac:dyDescent="0.3">
      <c r="A366" s="5">
        <v>10365</v>
      </c>
      <c r="B366" s="1">
        <v>1623</v>
      </c>
      <c r="C366" s="2">
        <v>44934</v>
      </c>
      <c r="D366" s="2">
        <v>44940</v>
      </c>
      <c r="E366" s="1" t="s">
        <v>16</v>
      </c>
      <c r="F366" s="1" t="s">
        <v>41</v>
      </c>
      <c r="G366" s="1" t="s">
        <v>17</v>
      </c>
      <c r="H366" s="1" t="s">
        <v>35</v>
      </c>
      <c r="I366" s="1" t="s">
        <v>52</v>
      </c>
      <c r="J366" s="1" t="s">
        <v>53</v>
      </c>
      <c r="K366" s="1" t="s">
        <v>33</v>
      </c>
      <c r="L366" s="1">
        <v>5</v>
      </c>
      <c r="M366" s="1">
        <v>3593.46</v>
      </c>
      <c r="N366" s="1">
        <v>20</v>
      </c>
      <c r="O366" s="1">
        <v>14373.84</v>
      </c>
      <c r="P366" s="1">
        <f t="shared" si="26"/>
        <v>17967.3</v>
      </c>
      <c r="Q366" s="10">
        <f t="shared" si="27"/>
        <v>2874.768</v>
      </c>
      <c r="R366" s="11">
        <f t="shared" si="28"/>
        <v>15092.531999999999</v>
      </c>
      <c r="S366" s="1" t="str">
        <f t="shared" si="29"/>
        <v>High</v>
      </c>
      <c r="T366" s="1" t="str" cm="1">
        <f t="array" ref="T366">_xlfn.IFS(L366&gt;5,"High",L366=5,"mediam",L366&lt;5,"low")</f>
        <v>mediam</v>
      </c>
      <c r="U366" s="1" t="b">
        <f t="shared" si="30"/>
        <v>0</v>
      </c>
      <c r="Z366" s="1">
        <v>1623</v>
      </c>
      <c r="AA366" s="5">
        <v>10365</v>
      </c>
    </row>
    <row r="367" spans="1:27" x14ac:dyDescent="0.3">
      <c r="A367" s="5">
        <v>10366</v>
      </c>
      <c r="B367" s="1">
        <v>1571</v>
      </c>
      <c r="C367" s="2">
        <v>45223</v>
      </c>
      <c r="D367" s="2">
        <v>45226</v>
      </c>
      <c r="E367" s="1" t="s">
        <v>15</v>
      </c>
      <c r="F367" s="1" t="s">
        <v>16</v>
      </c>
      <c r="G367" s="1" t="s">
        <v>24</v>
      </c>
      <c r="H367" s="1" t="s">
        <v>42</v>
      </c>
      <c r="I367" s="1" t="s">
        <v>49</v>
      </c>
      <c r="J367" s="1" t="s">
        <v>63</v>
      </c>
      <c r="K367" s="1" t="s">
        <v>21</v>
      </c>
      <c r="L367" s="1">
        <v>5</v>
      </c>
      <c r="M367" s="1">
        <v>3320.88</v>
      </c>
      <c r="N367" s="1">
        <v>0</v>
      </c>
      <c r="O367" s="1">
        <v>16604.400000000001</v>
      </c>
      <c r="P367" s="1">
        <f t="shared" si="26"/>
        <v>16604.400000000001</v>
      </c>
      <c r="Q367" s="10">
        <f t="shared" si="27"/>
        <v>0</v>
      </c>
      <c r="R367" s="11">
        <f t="shared" si="28"/>
        <v>16604.400000000001</v>
      </c>
      <c r="S367" s="1" t="str">
        <f t="shared" si="29"/>
        <v>High</v>
      </c>
      <c r="T367" s="1" t="str" cm="1">
        <f t="array" ref="T367">_xlfn.IFS(L367&gt;5,"High",L367=5,"mediam",L367&lt;5,"low")</f>
        <v>mediam</v>
      </c>
      <c r="U367" s="1" t="b">
        <f t="shared" si="30"/>
        <v>0</v>
      </c>
      <c r="Z367" s="1">
        <v>1571</v>
      </c>
      <c r="AA367" s="5">
        <v>10366</v>
      </c>
    </row>
    <row r="368" spans="1:27" x14ac:dyDescent="0.3">
      <c r="A368" s="5">
        <v>10367</v>
      </c>
      <c r="B368" s="1">
        <v>1880</v>
      </c>
      <c r="C368" s="2">
        <v>45090</v>
      </c>
      <c r="D368" s="2">
        <v>45095</v>
      </c>
      <c r="E368" s="1" t="s">
        <v>46</v>
      </c>
      <c r="F368" s="1" t="s">
        <v>41</v>
      </c>
      <c r="G368" s="1" t="s">
        <v>30</v>
      </c>
      <c r="H368" s="1" t="s">
        <v>35</v>
      </c>
      <c r="I368" s="1" t="s">
        <v>57</v>
      </c>
      <c r="J368" s="1" t="s">
        <v>62</v>
      </c>
      <c r="K368" s="1" t="s">
        <v>45</v>
      </c>
      <c r="L368" s="1">
        <v>8</v>
      </c>
      <c r="M368" s="1">
        <v>3610.33</v>
      </c>
      <c r="N368" s="1">
        <v>5</v>
      </c>
      <c r="O368" s="1">
        <v>27438.51</v>
      </c>
      <c r="P368" s="1">
        <f t="shared" si="26"/>
        <v>28882.639999999999</v>
      </c>
      <c r="Q368" s="10">
        <f t="shared" si="27"/>
        <v>1371.9255000000001</v>
      </c>
      <c r="R368" s="11">
        <f t="shared" si="28"/>
        <v>27510.714499999998</v>
      </c>
      <c r="S368" s="1" t="str">
        <f t="shared" si="29"/>
        <v>High</v>
      </c>
      <c r="T368" s="1" t="str" cm="1">
        <f t="array" ref="T368">_xlfn.IFS(L368&gt;5,"High",L368=5,"mediam",L368&lt;5,"low")</f>
        <v>High</v>
      </c>
      <c r="U368" s="1" t="str">
        <f t="shared" si="30"/>
        <v>High</v>
      </c>
      <c r="Z368" s="1">
        <v>1880</v>
      </c>
      <c r="AA368" s="5">
        <v>10367</v>
      </c>
    </row>
    <row r="369" spans="1:27" x14ac:dyDescent="0.3">
      <c r="A369" s="5">
        <v>10368</v>
      </c>
      <c r="B369" s="1">
        <v>1001</v>
      </c>
      <c r="C369" s="2">
        <v>45011</v>
      </c>
      <c r="D369" s="2">
        <v>45018</v>
      </c>
      <c r="E369" s="1" t="s">
        <v>22</v>
      </c>
      <c r="F369" s="1" t="s">
        <v>38</v>
      </c>
      <c r="G369" s="1" t="s">
        <v>30</v>
      </c>
      <c r="H369" s="1" t="s">
        <v>35</v>
      </c>
      <c r="I369" s="1" t="s">
        <v>19</v>
      </c>
      <c r="J369" s="1" t="s">
        <v>20</v>
      </c>
      <c r="K369" s="1" t="s">
        <v>21</v>
      </c>
      <c r="L369" s="1">
        <v>7</v>
      </c>
      <c r="M369" s="1">
        <v>2279.48</v>
      </c>
      <c r="N369" s="1">
        <v>15</v>
      </c>
      <c r="O369" s="1">
        <v>13562.91</v>
      </c>
      <c r="P369" s="1">
        <f t="shared" si="26"/>
        <v>15956.36</v>
      </c>
      <c r="Q369" s="10">
        <f t="shared" si="27"/>
        <v>2034.4364999999998</v>
      </c>
      <c r="R369" s="11">
        <f t="shared" si="28"/>
        <v>13921.923500000001</v>
      </c>
      <c r="S369" s="1" t="str">
        <f t="shared" si="29"/>
        <v>High</v>
      </c>
      <c r="T369" s="1" t="str" cm="1">
        <f t="array" ref="T369">_xlfn.IFS(L369&gt;5,"High",L369=5,"mediam",L369&lt;5,"low")</f>
        <v>High</v>
      </c>
      <c r="U369" s="1" t="str">
        <f t="shared" si="30"/>
        <v>High</v>
      </c>
      <c r="Z369" s="1">
        <v>1001</v>
      </c>
      <c r="AA369" s="5">
        <v>10368</v>
      </c>
    </row>
    <row r="370" spans="1:27" x14ac:dyDescent="0.3">
      <c r="A370" s="5">
        <v>10369</v>
      </c>
      <c r="B370" s="1">
        <v>1896</v>
      </c>
      <c r="C370" s="2">
        <v>44998</v>
      </c>
      <c r="D370" s="2">
        <v>45000</v>
      </c>
      <c r="E370" s="1" t="s">
        <v>22</v>
      </c>
      <c r="F370" s="1" t="s">
        <v>23</v>
      </c>
      <c r="G370" s="1" t="s">
        <v>17</v>
      </c>
      <c r="H370" s="1" t="s">
        <v>35</v>
      </c>
      <c r="I370" s="1" t="s">
        <v>26</v>
      </c>
      <c r="J370" s="1" t="s">
        <v>36</v>
      </c>
      <c r="K370" s="1" t="s">
        <v>47</v>
      </c>
      <c r="L370" s="1">
        <v>8</v>
      </c>
      <c r="M370" s="1">
        <v>3277.19</v>
      </c>
      <c r="N370" s="1">
        <v>15</v>
      </c>
      <c r="O370" s="1">
        <v>22284.89</v>
      </c>
      <c r="P370" s="1">
        <f t="shared" si="26"/>
        <v>26217.52</v>
      </c>
      <c r="Q370" s="10">
        <f t="shared" si="27"/>
        <v>3342.7334999999998</v>
      </c>
      <c r="R370" s="11">
        <f t="shared" si="28"/>
        <v>22874.786500000002</v>
      </c>
      <c r="S370" s="1" t="str">
        <f t="shared" si="29"/>
        <v>High</v>
      </c>
      <c r="T370" s="1" t="str" cm="1">
        <f t="array" ref="T370">_xlfn.IFS(L370&gt;5,"High",L370=5,"mediam",L370&lt;5,"low")</f>
        <v>High</v>
      </c>
      <c r="U370" s="1" t="str">
        <f t="shared" si="30"/>
        <v>High</v>
      </c>
      <c r="Z370" s="1">
        <v>1896</v>
      </c>
      <c r="AA370" s="5">
        <v>10369</v>
      </c>
    </row>
    <row r="371" spans="1:27" x14ac:dyDescent="0.3">
      <c r="A371" s="5">
        <v>10370</v>
      </c>
      <c r="B371" s="1">
        <v>1303</v>
      </c>
      <c r="C371" s="2">
        <v>44981</v>
      </c>
      <c r="D371" s="2">
        <v>44987</v>
      </c>
      <c r="E371" s="1" t="s">
        <v>22</v>
      </c>
      <c r="F371" s="1" t="s">
        <v>41</v>
      </c>
      <c r="G371" s="1" t="s">
        <v>30</v>
      </c>
      <c r="H371" s="1" t="s">
        <v>18</v>
      </c>
      <c r="I371" s="1" t="s">
        <v>49</v>
      </c>
      <c r="J371" s="1" t="s">
        <v>63</v>
      </c>
      <c r="K371" s="1" t="s">
        <v>28</v>
      </c>
      <c r="L371" s="1">
        <v>6</v>
      </c>
      <c r="M371" s="1">
        <v>1628.56</v>
      </c>
      <c r="N371" s="1">
        <v>0</v>
      </c>
      <c r="O371" s="1">
        <v>9771.36</v>
      </c>
      <c r="P371" s="1">
        <f t="shared" si="26"/>
        <v>9771.36</v>
      </c>
      <c r="Q371" s="10">
        <f t="shared" si="27"/>
        <v>0</v>
      </c>
      <c r="R371" s="11">
        <f t="shared" si="28"/>
        <v>9771.36</v>
      </c>
      <c r="S371" s="1" t="str">
        <f t="shared" si="29"/>
        <v>High</v>
      </c>
      <c r="T371" s="1" t="str" cm="1">
        <f t="array" ref="T371">_xlfn.IFS(L371&gt;5,"High",L371=5,"mediam",L371&lt;5,"low")</f>
        <v>High</v>
      </c>
      <c r="U371" s="1" t="str">
        <f t="shared" si="30"/>
        <v>High</v>
      </c>
      <c r="Z371" s="1">
        <v>1303</v>
      </c>
      <c r="AA371" s="5">
        <v>10370</v>
      </c>
    </row>
    <row r="372" spans="1:27" x14ac:dyDescent="0.3">
      <c r="A372" s="5">
        <v>10371</v>
      </c>
      <c r="B372" s="1">
        <v>1253</v>
      </c>
      <c r="C372" s="2">
        <v>44973</v>
      </c>
      <c r="D372" s="2">
        <v>44979</v>
      </c>
      <c r="E372" s="1" t="s">
        <v>34</v>
      </c>
      <c r="F372" s="1" t="s">
        <v>41</v>
      </c>
      <c r="G372" s="1" t="s">
        <v>17</v>
      </c>
      <c r="H372" s="1" t="s">
        <v>18</v>
      </c>
      <c r="I372" s="1" t="s">
        <v>49</v>
      </c>
      <c r="J372" s="1" t="s">
        <v>68</v>
      </c>
      <c r="K372" s="1" t="s">
        <v>47</v>
      </c>
      <c r="L372" s="1">
        <v>6</v>
      </c>
      <c r="M372" s="1">
        <v>2715.13</v>
      </c>
      <c r="N372" s="1">
        <v>20</v>
      </c>
      <c r="O372" s="1">
        <v>13032.62</v>
      </c>
      <c r="P372" s="1">
        <f t="shared" si="26"/>
        <v>16290.78</v>
      </c>
      <c r="Q372" s="10">
        <f t="shared" si="27"/>
        <v>2606.5240000000003</v>
      </c>
      <c r="R372" s="11">
        <f t="shared" si="28"/>
        <v>13684.256000000001</v>
      </c>
      <c r="S372" s="1" t="str">
        <f t="shared" si="29"/>
        <v>High</v>
      </c>
      <c r="T372" s="1" t="str" cm="1">
        <f t="array" ref="T372">_xlfn.IFS(L372&gt;5,"High",L372=5,"mediam",L372&lt;5,"low")</f>
        <v>High</v>
      </c>
      <c r="U372" s="1" t="str">
        <f t="shared" si="30"/>
        <v>High</v>
      </c>
      <c r="Z372" s="1">
        <v>1253</v>
      </c>
      <c r="AA372" s="5">
        <v>10371</v>
      </c>
    </row>
    <row r="373" spans="1:27" x14ac:dyDescent="0.3">
      <c r="A373" s="5">
        <v>10372</v>
      </c>
      <c r="B373" s="1">
        <v>1651</v>
      </c>
      <c r="C373" s="2">
        <v>45164</v>
      </c>
      <c r="D373" s="2">
        <v>45167</v>
      </c>
      <c r="E373" s="1" t="s">
        <v>16</v>
      </c>
      <c r="F373" s="1" t="s">
        <v>23</v>
      </c>
      <c r="G373" s="1" t="s">
        <v>24</v>
      </c>
      <c r="H373" s="1" t="s">
        <v>35</v>
      </c>
      <c r="I373" s="1" t="s">
        <v>49</v>
      </c>
      <c r="J373" s="1" t="s">
        <v>63</v>
      </c>
      <c r="K373" s="1" t="s">
        <v>21</v>
      </c>
      <c r="L373" s="1">
        <v>2</v>
      </c>
      <c r="M373" s="1">
        <v>3957.02</v>
      </c>
      <c r="N373" s="1">
        <v>5</v>
      </c>
      <c r="O373" s="1">
        <v>7518.34</v>
      </c>
      <c r="P373" s="1">
        <f t="shared" si="26"/>
        <v>7914.04</v>
      </c>
      <c r="Q373" s="10">
        <f t="shared" si="27"/>
        <v>375.91700000000003</v>
      </c>
      <c r="R373" s="11">
        <f t="shared" si="28"/>
        <v>7538.1229999999996</v>
      </c>
      <c r="S373" s="1" t="str">
        <f t="shared" si="29"/>
        <v>Low</v>
      </c>
      <c r="T373" s="1" t="str" cm="1">
        <f t="array" ref="T373">_xlfn.IFS(L373&gt;5,"High",L373=5,"mediam",L373&lt;5,"low")</f>
        <v>low</v>
      </c>
      <c r="U373" s="1" t="b">
        <f t="shared" si="30"/>
        <v>0</v>
      </c>
      <c r="Z373" s="1">
        <v>1651</v>
      </c>
      <c r="AA373" s="5">
        <v>10372</v>
      </c>
    </row>
    <row r="374" spans="1:27" x14ac:dyDescent="0.3">
      <c r="A374" s="5">
        <v>10373</v>
      </c>
      <c r="B374" s="1">
        <v>1452</v>
      </c>
      <c r="C374" s="2">
        <v>45030</v>
      </c>
      <c r="D374" s="2">
        <v>45036</v>
      </c>
      <c r="E374" s="1" t="s">
        <v>22</v>
      </c>
      <c r="F374" s="1" t="s">
        <v>16</v>
      </c>
      <c r="G374" s="1" t="s">
        <v>24</v>
      </c>
      <c r="H374" s="1" t="s">
        <v>18</v>
      </c>
      <c r="I374" s="1" t="s">
        <v>52</v>
      </c>
      <c r="J374" s="1" t="s">
        <v>53</v>
      </c>
      <c r="K374" s="1" t="s">
        <v>21</v>
      </c>
      <c r="L374" s="1">
        <v>6</v>
      </c>
      <c r="M374" s="1">
        <v>1019.05</v>
      </c>
      <c r="N374" s="1">
        <v>0</v>
      </c>
      <c r="O374" s="1">
        <v>6114.3</v>
      </c>
      <c r="P374" s="1">
        <f t="shared" si="26"/>
        <v>6114.2999999999993</v>
      </c>
      <c r="Q374" s="10">
        <f t="shared" si="27"/>
        <v>0</v>
      </c>
      <c r="R374" s="11">
        <f t="shared" si="28"/>
        <v>6114.2999999999993</v>
      </c>
      <c r="S374" s="1" t="str">
        <f t="shared" si="29"/>
        <v>High</v>
      </c>
      <c r="T374" s="1" t="str" cm="1">
        <f t="array" ref="T374">_xlfn.IFS(L374&gt;5,"High",L374=5,"mediam",L374&lt;5,"low")</f>
        <v>High</v>
      </c>
      <c r="U374" s="1" t="str">
        <f t="shared" si="30"/>
        <v>High</v>
      </c>
      <c r="Z374" s="1">
        <v>1452</v>
      </c>
      <c r="AA374" s="5">
        <v>10373</v>
      </c>
    </row>
    <row r="375" spans="1:27" x14ac:dyDescent="0.3">
      <c r="A375" s="5">
        <v>10374</v>
      </c>
      <c r="B375" s="1">
        <v>1036</v>
      </c>
      <c r="C375" s="2">
        <v>45136</v>
      </c>
      <c r="D375" s="2">
        <v>45141</v>
      </c>
      <c r="E375" s="1" t="s">
        <v>37</v>
      </c>
      <c r="F375" s="1" t="s">
        <v>16</v>
      </c>
      <c r="G375" s="1" t="s">
        <v>17</v>
      </c>
      <c r="H375" s="1" t="s">
        <v>42</v>
      </c>
      <c r="I375" s="1" t="s">
        <v>57</v>
      </c>
      <c r="J375" s="1" t="s">
        <v>58</v>
      </c>
      <c r="K375" s="1" t="s">
        <v>33</v>
      </c>
      <c r="L375" s="1">
        <v>5</v>
      </c>
      <c r="M375" s="1">
        <v>1651.11</v>
      </c>
      <c r="N375" s="1">
        <v>20</v>
      </c>
      <c r="O375" s="1">
        <v>6604.44</v>
      </c>
      <c r="P375" s="1">
        <f t="shared" si="26"/>
        <v>8255.5499999999993</v>
      </c>
      <c r="Q375" s="10">
        <f t="shared" si="27"/>
        <v>1320.8879999999999</v>
      </c>
      <c r="R375" s="11">
        <f t="shared" si="28"/>
        <v>6934.6619999999994</v>
      </c>
      <c r="S375" s="1" t="str">
        <f t="shared" si="29"/>
        <v>High</v>
      </c>
      <c r="T375" s="1" t="str" cm="1">
        <f t="array" ref="T375">_xlfn.IFS(L375&gt;5,"High",L375=5,"mediam",L375&lt;5,"low")</f>
        <v>mediam</v>
      </c>
      <c r="U375" s="1" t="b">
        <f t="shared" si="30"/>
        <v>0</v>
      </c>
      <c r="Z375" s="1">
        <v>1036</v>
      </c>
      <c r="AA375" s="5">
        <v>10374</v>
      </c>
    </row>
    <row r="376" spans="1:27" x14ac:dyDescent="0.3">
      <c r="A376" s="5">
        <v>10375</v>
      </c>
      <c r="B376" s="1">
        <v>1159</v>
      </c>
      <c r="C376" s="2">
        <v>44968</v>
      </c>
      <c r="D376" s="2">
        <v>44970</v>
      </c>
      <c r="E376" s="1" t="s">
        <v>40</v>
      </c>
      <c r="F376" s="1" t="s">
        <v>23</v>
      </c>
      <c r="G376" s="1" t="s">
        <v>17</v>
      </c>
      <c r="H376" s="1" t="s">
        <v>35</v>
      </c>
      <c r="I376" s="1" t="s">
        <v>52</v>
      </c>
      <c r="J376" s="1" t="s">
        <v>60</v>
      </c>
      <c r="K376" s="1" t="s">
        <v>45</v>
      </c>
      <c r="L376" s="1">
        <v>3</v>
      </c>
      <c r="M376" s="1">
        <v>1998.18</v>
      </c>
      <c r="N376" s="1">
        <v>5</v>
      </c>
      <c r="O376" s="1">
        <v>5694.81</v>
      </c>
      <c r="P376" s="1">
        <f t="shared" si="26"/>
        <v>5994.54</v>
      </c>
      <c r="Q376" s="10">
        <f t="shared" si="27"/>
        <v>284.74050000000005</v>
      </c>
      <c r="R376" s="11">
        <f t="shared" si="28"/>
        <v>5709.7995000000001</v>
      </c>
      <c r="S376" s="1" t="str">
        <f t="shared" si="29"/>
        <v>Low</v>
      </c>
      <c r="T376" s="1" t="str" cm="1">
        <f t="array" ref="T376">_xlfn.IFS(L376&gt;5,"High",L376=5,"mediam",L376&lt;5,"low")</f>
        <v>low</v>
      </c>
      <c r="U376" s="1" t="b">
        <f t="shared" si="30"/>
        <v>0</v>
      </c>
      <c r="Z376" s="1">
        <v>1159</v>
      </c>
      <c r="AA376" s="5">
        <v>10375</v>
      </c>
    </row>
    <row r="377" spans="1:27" x14ac:dyDescent="0.3">
      <c r="A377" s="5">
        <v>10376</v>
      </c>
      <c r="B377" s="1">
        <v>1008</v>
      </c>
      <c r="C377" s="2">
        <v>45242</v>
      </c>
      <c r="D377" s="2">
        <v>45251</v>
      </c>
      <c r="E377" s="1" t="s">
        <v>37</v>
      </c>
      <c r="F377" s="1" t="s">
        <v>54</v>
      </c>
      <c r="G377" s="1" t="s">
        <v>30</v>
      </c>
      <c r="H377" s="1" t="s">
        <v>18</v>
      </c>
      <c r="I377" s="1" t="s">
        <v>57</v>
      </c>
      <c r="J377" s="1" t="s">
        <v>59</v>
      </c>
      <c r="K377" s="1" t="s">
        <v>45</v>
      </c>
      <c r="L377" s="1">
        <v>6</v>
      </c>
      <c r="M377" s="1">
        <v>681.36</v>
      </c>
      <c r="N377" s="1">
        <v>15</v>
      </c>
      <c r="O377" s="1">
        <v>3474.94</v>
      </c>
      <c r="P377" s="1">
        <f t="shared" si="26"/>
        <v>4088.16</v>
      </c>
      <c r="Q377" s="10">
        <f t="shared" si="27"/>
        <v>521.24099999999999</v>
      </c>
      <c r="R377" s="11">
        <f t="shared" si="28"/>
        <v>3566.9189999999999</v>
      </c>
      <c r="S377" s="1" t="str">
        <f t="shared" si="29"/>
        <v>High</v>
      </c>
      <c r="T377" s="1" t="str" cm="1">
        <f t="array" ref="T377">_xlfn.IFS(L377&gt;5,"High",L377=5,"mediam",L377&lt;5,"low")</f>
        <v>High</v>
      </c>
      <c r="U377" s="1" t="str">
        <f t="shared" si="30"/>
        <v>High</v>
      </c>
      <c r="Z377" s="1">
        <v>1008</v>
      </c>
      <c r="AA377" s="5">
        <v>10376</v>
      </c>
    </row>
    <row r="378" spans="1:27" x14ac:dyDescent="0.3">
      <c r="A378" s="5">
        <v>10377</v>
      </c>
      <c r="B378" s="1">
        <v>1232</v>
      </c>
      <c r="C378" s="2">
        <v>45194</v>
      </c>
      <c r="D378" s="2">
        <v>45202</v>
      </c>
      <c r="E378" s="1" t="s">
        <v>22</v>
      </c>
      <c r="F378" s="1" t="s">
        <v>23</v>
      </c>
      <c r="G378" s="1" t="s">
        <v>24</v>
      </c>
      <c r="H378" s="1" t="s">
        <v>25</v>
      </c>
      <c r="I378" s="1" t="s">
        <v>52</v>
      </c>
      <c r="J378" s="1" t="s">
        <v>56</v>
      </c>
      <c r="K378" s="1" t="s">
        <v>47</v>
      </c>
      <c r="L378" s="1">
        <v>8</v>
      </c>
      <c r="M378" s="1">
        <v>462</v>
      </c>
      <c r="N378" s="1">
        <v>5</v>
      </c>
      <c r="O378" s="1">
        <v>3511.2</v>
      </c>
      <c r="P378" s="1">
        <f t="shared" si="26"/>
        <v>3696</v>
      </c>
      <c r="Q378" s="10">
        <f t="shared" si="27"/>
        <v>175.56</v>
      </c>
      <c r="R378" s="11">
        <f t="shared" si="28"/>
        <v>3520.44</v>
      </c>
      <c r="S378" s="1" t="str">
        <f t="shared" si="29"/>
        <v>High</v>
      </c>
      <c r="T378" s="1" t="str" cm="1">
        <f t="array" ref="T378">_xlfn.IFS(L378&gt;5,"High",L378=5,"mediam",L378&lt;5,"low")</f>
        <v>High</v>
      </c>
      <c r="U378" s="1" t="str">
        <f t="shared" si="30"/>
        <v>High</v>
      </c>
      <c r="Z378" s="1">
        <v>1232</v>
      </c>
      <c r="AA378" s="5">
        <v>10377</v>
      </c>
    </row>
    <row r="379" spans="1:27" x14ac:dyDescent="0.3">
      <c r="A379" s="5">
        <v>10378</v>
      </c>
      <c r="B379" s="1">
        <v>1098</v>
      </c>
      <c r="C379" s="2">
        <v>45189</v>
      </c>
      <c r="D379" s="2">
        <v>45192</v>
      </c>
      <c r="E379" s="1" t="s">
        <v>40</v>
      </c>
      <c r="F379" s="1" t="s">
        <v>23</v>
      </c>
      <c r="G379" s="1" t="s">
        <v>17</v>
      </c>
      <c r="H379" s="1" t="s">
        <v>35</v>
      </c>
      <c r="I379" s="1" t="s">
        <v>52</v>
      </c>
      <c r="J379" s="1" t="s">
        <v>64</v>
      </c>
      <c r="K379" s="1" t="s">
        <v>28</v>
      </c>
      <c r="L379" s="1">
        <v>9</v>
      </c>
      <c r="M379" s="1">
        <v>3344.43</v>
      </c>
      <c r="N379" s="1">
        <v>10</v>
      </c>
      <c r="O379" s="1">
        <v>27089.88</v>
      </c>
      <c r="P379" s="1">
        <f t="shared" si="26"/>
        <v>30099.87</v>
      </c>
      <c r="Q379" s="10">
        <f t="shared" si="27"/>
        <v>2708.9880000000003</v>
      </c>
      <c r="R379" s="11">
        <f t="shared" si="28"/>
        <v>27390.881999999998</v>
      </c>
      <c r="S379" s="1" t="str">
        <f t="shared" si="29"/>
        <v>High</v>
      </c>
      <c r="T379" s="1" t="str" cm="1">
        <f t="array" ref="T379">_xlfn.IFS(L379&gt;5,"High",L379=5,"mediam",L379&lt;5,"low")</f>
        <v>High</v>
      </c>
      <c r="U379" s="1" t="str">
        <f t="shared" si="30"/>
        <v>High</v>
      </c>
      <c r="Z379" s="1">
        <v>1098</v>
      </c>
      <c r="AA379" s="5">
        <v>10378</v>
      </c>
    </row>
    <row r="380" spans="1:27" x14ac:dyDescent="0.3">
      <c r="A380" s="5">
        <v>10379</v>
      </c>
      <c r="B380" s="1">
        <v>1658</v>
      </c>
      <c r="C380" s="2">
        <v>45262</v>
      </c>
      <c r="D380" s="2">
        <v>45270</v>
      </c>
      <c r="E380" s="1" t="s">
        <v>15</v>
      </c>
      <c r="F380" s="1" t="s">
        <v>16</v>
      </c>
      <c r="G380" s="1" t="s">
        <v>24</v>
      </c>
      <c r="H380" s="1" t="s">
        <v>35</v>
      </c>
      <c r="I380" s="1" t="s">
        <v>26</v>
      </c>
      <c r="J380" s="1" t="s">
        <v>69</v>
      </c>
      <c r="K380" s="1" t="s">
        <v>45</v>
      </c>
      <c r="L380" s="1">
        <v>1</v>
      </c>
      <c r="M380" s="1">
        <v>3910.66</v>
      </c>
      <c r="N380" s="1">
        <v>5</v>
      </c>
      <c r="O380" s="1">
        <v>3715.13</v>
      </c>
      <c r="P380" s="1">
        <f t="shared" si="26"/>
        <v>3910.66</v>
      </c>
      <c r="Q380" s="10">
        <f t="shared" si="27"/>
        <v>185.75650000000002</v>
      </c>
      <c r="R380" s="11">
        <f t="shared" si="28"/>
        <v>3724.9034999999999</v>
      </c>
      <c r="S380" s="1" t="str">
        <f t="shared" si="29"/>
        <v>Low</v>
      </c>
      <c r="T380" s="1" t="str" cm="1">
        <f t="array" ref="T380">_xlfn.IFS(L380&gt;5,"High",L380=5,"mediam",L380&lt;5,"low")</f>
        <v>low</v>
      </c>
      <c r="U380" s="1" t="b">
        <f t="shared" si="30"/>
        <v>0</v>
      </c>
      <c r="Z380" s="1">
        <v>1658</v>
      </c>
      <c r="AA380" s="5">
        <v>10379</v>
      </c>
    </row>
    <row r="381" spans="1:27" x14ac:dyDescent="0.3">
      <c r="A381" s="5">
        <v>10380</v>
      </c>
      <c r="B381" s="1">
        <v>1815</v>
      </c>
      <c r="C381" s="2">
        <v>45291</v>
      </c>
      <c r="D381" s="2">
        <v>45300</v>
      </c>
      <c r="E381" s="1" t="s">
        <v>37</v>
      </c>
      <c r="F381" s="1" t="s">
        <v>16</v>
      </c>
      <c r="G381" s="1" t="s">
        <v>17</v>
      </c>
      <c r="H381" s="1" t="s">
        <v>42</v>
      </c>
      <c r="I381" s="1" t="s">
        <v>19</v>
      </c>
      <c r="J381" s="1" t="s">
        <v>55</v>
      </c>
      <c r="K381" s="1" t="s">
        <v>33</v>
      </c>
      <c r="L381" s="1">
        <v>3</v>
      </c>
      <c r="M381" s="1">
        <v>1708.19</v>
      </c>
      <c r="N381" s="1">
        <v>10</v>
      </c>
      <c r="O381" s="1">
        <v>4612.1099999999997</v>
      </c>
      <c r="P381" s="1">
        <f t="shared" si="26"/>
        <v>5124.57</v>
      </c>
      <c r="Q381" s="10">
        <f t="shared" si="27"/>
        <v>461.21100000000001</v>
      </c>
      <c r="R381" s="11">
        <f t="shared" si="28"/>
        <v>4663.3589999999995</v>
      </c>
      <c r="S381" s="1" t="str">
        <f t="shared" si="29"/>
        <v>Low</v>
      </c>
      <c r="T381" s="1" t="str" cm="1">
        <f t="array" ref="T381">_xlfn.IFS(L381&gt;5,"High",L381=5,"mediam",L381&lt;5,"low")</f>
        <v>low</v>
      </c>
      <c r="U381" s="1" t="b">
        <f t="shared" si="30"/>
        <v>0</v>
      </c>
      <c r="Z381" s="1">
        <v>1815</v>
      </c>
      <c r="AA381" s="5">
        <v>10380</v>
      </c>
    </row>
    <row r="382" spans="1:27" x14ac:dyDescent="0.3">
      <c r="A382" s="5">
        <v>10381</v>
      </c>
      <c r="B382" s="1">
        <v>1207</v>
      </c>
      <c r="C382" s="2">
        <v>45185</v>
      </c>
      <c r="D382" s="2">
        <v>45188</v>
      </c>
      <c r="E382" s="1" t="s">
        <v>16</v>
      </c>
      <c r="F382" s="1" t="s">
        <v>23</v>
      </c>
      <c r="G382" s="1" t="s">
        <v>24</v>
      </c>
      <c r="H382" s="1" t="s">
        <v>44</v>
      </c>
      <c r="I382" s="1" t="s">
        <v>52</v>
      </c>
      <c r="J382" s="1" t="s">
        <v>56</v>
      </c>
      <c r="K382" s="1" t="s">
        <v>47</v>
      </c>
      <c r="L382" s="1">
        <v>3</v>
      </c>
      <c r="M382" s="1">
        <v>487.45</v>
      </c>
      <c r="N382" s="1">
        <v>5</v>
      </c>
      <c r="O382" s="1">
        <v>1389.23</v>
      </c>
      <c r="P382" s="1">
        <f t="shared" si="26"/>
        <v>1462.35</v>
      </c>
      <c r="Q382" s="10">
        <f t="shared" si="27"/>
        <v>69.461500000000001</v>
      </c>
      <c r="R382" s="11">
        <f t="shared" si="28"/>
        <v>1392.8885</v>
      </c>
      <c r="S382" s="1" t="str">
        <f t="shared" si="29"/>
        <v>Low</v>
      </c>
      <c r="T382" s="1" t="str" cm="1">
        <f t="array" ref="T382">_xlfn.IFS(L382&gt;5,"High",L382=5,"mediam",L382&lt;5,"low")</f>
        <v>low</v>
      </c>
      <c r="U382" s="1" t="b">
        <f t="shared" si="30"/>
        <v>0</v>
      </c>
      <c r="Z382" s="1">
        <v>1207</v>
      </c>
      <c r="AA382" s="5">
        <v>10381</v>
      </c>
    </row>
    <row r="383" spans="1:27" x14ac:dyDescent="0.3">
      <c r="A383" s="5">
        <v>10382</v>
      </c>
      <c r="B383" s="1">
        <v>1130</v>
      </c>
      <c r="C383" s="2">
        <v>45209</v>
      </c>
      <c r="D383" s="2">
        <v>45212</v>
      </c>
      <c r="E383" s="1" t="s">
        <v>16</v>
      </c>
      <c r="F383" s="1" t="s">
        <v>23</v>
      </c>
      <c r="G383" s="1" t="s">
        <v>30</v>
      </c>
      <c r="H383" s="1" t="s">
        <v>44</v>
      </c>
      <c r="I383" s="1" t="s">
        <v>26</v>
      </c>
      <c r="J383" s="1" t="s">
        <v>36</v>
      </c>
      <c r="K383" s="1" t="s">
        <v>47</v>
      </c>
      <c r="L383" s="1">
        <v>8</v>
      </c>
      <c r="M383" s="1">
        <v>403.38</v>
      </c>
      <c r="N383" s="1">
        <v>10</v>
      </c>
      <c r="O383" s="1">
        <v>2904.34</v>
      </c>
      <c r="P383" s="1">
        <f t="shared" si="26"/>
        <v>3227.04</v>
      </c>
      <c r="Q383" s="10">
        <f t="shared" si="27"/>
        <v>290.43400000000003</v>
      </c>
      <c r="R383" s="11">
        <f t="shared" si="28"/>
        <v>2936.6059999999998</v>
      </c>
      <c r="S383" s="1" t="str">
        <f t="shared" si="29"/>
        <v>High</v>
      </c>
      <c r="T383" s="1" t="str" cm="1">
        <f t="array" ref="T383">_xlfn.IFS(L383&gt;5,"High",L383=5,"mediam",L383&lt;5,"low")</f>
        <v>High</v>
      </c>
      <c r="U383" s="1" t="str">
        <f t="shared" si="30"/>
        <v>High</v>
      </c>
      <c r="Z383" s="1">
        <v>1130</v>
      </c>
      <c r="AA383" s="5">
        <v>10382</v>
      </c>
    </row>
    <row r="384" spans="1:27" x14ac:dyDescent="0.3">
      <c r="A384" s="5">
        <v>10383</v>
      </c>
      <c r="B384" s="1">
        <v>1403</v>
      </c>
      <c r="C384" s="2">
        <v>45040</v>
      </c>
      <c r="D384" s="2">
        <v>45042</v>
      </c>
      <c r="E384" s="1" t="s">
        <v>37</v>
      </c>
      <c r="F384" s="1" t="s">
        <v>23</v>
      </c>
      <c r="G384" s="1" t="s">
        <v>24</v>
      </c>
      <c r="H384" s="1" t="s">
        <v>42</v>
      </c>
      <c r="I384" s="1" t="s">
        <v>31</v>
      </c>
      <c r="J384" s="1" t="s">
        <v>48</v>
      </c>
      <c r="K384" s="1" t="s">
        <v>33</v>
      </c>
      <c r="L384" s="1">
        <v>1</v>
      </c>
      <c r="M384" s="1">
        <v>3581.58</v>
      </c>
      <c r="N384" s="1">
        <v>15</v>
      </c>
      <c r="O384" s="1">
        <v>3044.34</v>
      </c>
      <c r="P384" s="1">
        <f t="shared" si="26"/>
        <v>3581.58</v>
      </c>
      <c r="Q384" s="10">
        <f t="shared" si="27"/>
        <v>456.65100000000001</v>
      </c>
      <c r="R384" s="11">
        <f t="shared" si="28"/>
        <v>3124.9290000000001</v>
      </c>
      <c r="S384" s="1" t="str">
        <f t="shared" si="29"/>
        <v>Low</v>
      </c>
      <c r="T384" s="1" t="str" cm="1">
        <f t="array" ref="T384">_xlfn.IFS(L384&gt;5,"High",L384=5,"mediam",L384&lt;5,"low")</f>
        <v>low</v>
      </c>
      <c r="U384" s="1" t="b">
        <f t="shared" si="30"/>
        <v>0</v>
      </c>
      <c r="Z384" s="1">
        <v>1403</v>
      </c>
      <c r="AA384" s="5">
        <v>10383</v>
      </c>
    </row>
    <row r="385" spans="1:27" x14ac:dyDescent="0.3">
      <c r="A385" s="5">
        <v>10384</v>
      </c>
      <c r="B385" s="1">
        <v>1151</v>
      </c>
      <c r="C385" s="2">
        <v>45289</v>
      </c>
      <c r="D385" s="2">
        <v>45297</v>
      </c>
      <c r="E385" s="1" t="s">
        <v>22</v>
      </c>
      <c r="F385" s="1" t="s">
        <v>16</v>
      </c>
      <c r="G385" s="1" t="s">
        <v>24</v>
      </c>
      <c r="H385" s="1" t="s">
        <v>42</v>
      </c>
      <c r="I385" s="1" t="s">
        <v>19</v>
      </c>
      <c r="J385" s="1" t="s">
        <v>55</v>
      </c>
      <c r="K385" s="1" t="s">
        <v>28</v>
      </c>
      <c r="L385" s="1">
        <v>5</v>
      </c>
      <c r="M385" s="1">
        <v>1935.68</v>
      </c>
      <c r="N385" s="1">
        <v>20</v>
      </c>
      <c r="O385" s="1">
        <v>7742.72</v>
      </c>
      <c r="P385" s="1">
        <f t="shared" si="26"/>
        <v>9678.4</v>
      </c>
      <c r="Q385" s="10">
        <f t="shared" si="27"/>
        <v>1548.5440000000001</v>
      </c>
      <c r="R385" s="11">
        <f t="shared" si="28"/>
        <v>8129.8559999999998</v>
      </c>
      <c r="S385" s="1" t="str">
        <f t="shared" si="29"/>
        <v>High</v>
      </c>
      <c r="T385" s="1" t="str" cm="1">
        <f t="array" ref="T385">_xlfn.IFS(L385&gt;5,"High",L385=5,"mediam",L385&lt;5,"low")</f>
        <v>mediam</v>
      </c>
      <c r="U385" s="1" t="b">
        <f t="shared" si="30"/>
        <v>0</v>
      </c>
      <c r="Z385" s="1">
        <v>1151</v>
      </c>
      <c r="AA385" s="5">
        <v>10384</v>
      </c>
    </row>
    <row r="386" spans="1:27" x14ac:dyDescent="0.3">
      <c r="A386" s="5">
        <v>10385</v>
      </c>
      <c r="B386" s="1">
        <v>1053</v>
      </c>
      <c r="C386" s="2">
        <v>44966</v>
      </c>
      <c r="D386" s="2">
        <v>44967</v>
      </c>
      <c r="E386" s="1" t="s">
        <v>16</v>
      </c>
      <c r="F386" s="1" t="s">
        <v>23</v>
      </c>
      <c r="G386" s="1" t="s">
        <v>24</v>
      </c>
      <c r="H386" s="1" t="s">
        <v>42</v>
      </c>
      <c r="I386" s="1" t="s">
        <v>52</v>
      </c>
      <c r="J386" s="1" t="s">
        <v>64</v>
      </c>
      <c r="K386" s="1" t="s">
        <v>33</v>
      </c>
      <c r="L386" s="1">
        <v>3</v>
      </c>
      <c r="M386" s="1">
        <v>1382.11</v>
      </c>
      <c r="N386" s="1">
        <v>10</v>
      </c>
      <c r="O386" s="1">
        <v>3731.7</v>
      </c>
      <c r="P386" s="1">
        <f t="shared" si="26"/>
        <v>4146.33</v>
      </c>
      <c r="Q386" s="10">
        <f t="shared" si="27"/>
        <v>373.17</v>
      </c>
      <c r="R386" s="11">
        <f t="shared" si="28"/>
        <v>3773.16</v>
      </c>
      <c r="S386" s="1" t="str">
        <f t="shared" si="29"/>
        <v>Low</v>
      </c>
      <c r="T386" s="1" t="str" cm="1">
        <f t="array" ref="T386">_xlfn.IFS(L386&gt;5,"High",L386=5,"mediam",L386&lt;5,"low")</f>
        <v>low</v>
      </c>
      <c r="U386" s="1" t="b">
        <f t="shared" si="30"/>
        <v>0</v>
      </c>
      <c r="Z386" s="1">
        <v>1053</v>
      </c>
      <c r="AA386" s="5">
        <v>10385</v>
      </c>
    </row>
    <row r="387" spans="1:27" x14ac:dyDescent="0.3">
      <c r="A387" s="5">
        <v>10386</v>
      </c>
      <c r="B387" s="1">
        <v>1119</v>
      </c>
      <c r="C387" s="2">
        <v>45146</v>
      </c>
      <c r="D387" s="2">
        <v>45154</v>
      </c>
      <c r="E387" s="1" t="s">
        <v>15</v>
      </c>
      <c r="F387" s="1" t="s">
        <v>23</v>
      </c>
      <c r="G387" s="1" t="s">
        <v>24</v>
      </c>
      <c r="H387" s="1" t="s">
        <v>44</v>
      </c>
      <c r="I387" s="1" t="s">
        <v>49</v>
      </c>
      <c r="J387" s="1" t="s">
        <v>68</v>
      </c>
      <c r="K387" s="1" t="s">
        <v>28</v>
      </c>
      <c r="L387" s="1">
        <v>2</v>
      </c>
      <c r="M387" s="1">
        <v>1984.38</v>
      </c>
      <c r="N387" s="1">
        <v>10</v>
      </c>
      <c r="O387" s="1">
        <v>3571.88</v>
      </c>
      <c r="P387" s="1">
        <f t="shared" ref="P387:P450" si="31">L387*M387</f>
        <v>3968.76</v>
      </c>
      <c r="Q387" s="10">
        <f t="shared" ref="Q387:Q450" si="32">O387*N387%</f>
        <v>357.18800000000005</v>
      </c>
      <c r="R387" s="11">
        <f t="shared" ref="R387:R450" si="33">P387-Q387</f>
        <v>3611.5720000000001</v>
      </c>
      <c r="S387" s="1" t="str">
        <f t="shared" ref="S387:S450" si="34">IF(L387&gt;=5,"High","Low")</f>
        <v>Low</v>
      </c>
      <c r="T387" s="1" t="str" cm="1">
        <f t="array" ref="T387">_xlfn.IFS(L387&gt;5,"High",L387=5,"mediam",L387&lt;5,"low")</f>
        <v>low</v>
      </c>
      <c r="U387" s="1" t="b">
        <f t="shared" si="30"/>
        <v>0</v>
      </c>
      <c r="Z387" s="1">
        <v>1119</v>
      </c>
      <c r="AA387" s="5">
        <v>10386</v>
      </c>
    </row>
    <row r="388" spans="1:27" x14ac:dyDescent="0.3">
      <c r="A388" s="5">
        <v>10387</v>
      </c>
      <c r="B388" s="1">
        <v>1672</v>
      </c>
      <c r="C388" s="2">
        <v>45055</v>
      </c>
      <c r="D388" s="2">
        <v>45062</v>
      </c>
      <c r="E388" s="1" t="s">
        <v>46</v>
      </c>
      <c r="F388" s="1" t="s">
        <v>29</v>
      </c>
      <c r="G388" s="1" t="s">
        <v>24</v>
      </c>
      <c r="H388" s="1" t="s">
        <v>42</v>
      </c>
      <c r="I388" s="1" t="s">
        <v>31</v>
      </c>
      <c r="J388" s="1" t="s">
        <v>32</v>
      </c>
      <c r="K388" s="1" t="s">
        <v>33</v>
      </c>
      <c r="L388" s="1">
        <v>8</v>
      </c>
      <c r="M388" s="1">
        <v>1375.47</v>
      </c>
      <c r="N388" s="1">
        <v>15</v>
      </c>
      <c r="O388" s="1">
        <v>9353.2000000000007</v>
      </c>
      <c r="P388" s="1">
        <f t="shared" si="31"/>
        <v>11003.76</v>
      </c>
      <c r="Q388" s="10">
        <f t="shared" si="32"/>
        <v>1402.98</v>
      </c>
      <c r="R388" s="11">
        <f t="shared" si="33"/>
        <v>9600.7800000000007</v>
      </c>
      <c r="S388" s="1" t="str">
        <f t="shared" si="34"/>
        <v>High</v>
      </c>
      <c r="T388" s="1" t="str" cm="1">
        <f t="array" ref="T388">_xlfn.IFS(L388&gt;5,"High",L388=5,"mediam",L388&lt;5,"low")</f>
        <v>High</v>
      </c>
      <c r="U388" s="1" t="str">
        <f t="shared" si="30"/>
        <v>High</v>
      </c>
      <c r="Z388" s="1">
        <v>1672</v>
      </c>
      <c r="AA388" s="5">
        <v>10387</v>
      </c>
    </row>
    <row r="389" spans="1:27" x14ac:dyDescent="0.3">
      <c r="A389" s="5">
        <v>10388</v>
      </c>
      <c r="B389" s="1">
        <v>1919</v>
      </c>
      <c r="C389" s="2">
        <v>44934</v>
      </c>
      <c r="D389" s="2">
        <v>44941</v>
      </c>
      <c r="E389" s="1" t="s">
        <v>22</v>
      </c>
      <c r="F389" s="1" t="s">
        <v>54</v>
      </c>
      <c r="G389" s="1" t="s">
        <v>30</v>
      </c>
      <c r="H389" s="1" t="s">
        <v>18</v>
      </c>
      <c r="I389" s="1" t="s">
        <v>31</v>
      </c>
      <c r="J389" s="1" t="s">
        <v>39</v>
      </c>
      <c r="K389" s="1" t="s">
        <v>33</v>
      </c>
      <c r="L389" s="1">
        <v>3</v>
      </c>
      <c r="M389" s="1">
        <v>2032.79</v>
      </c>
      <c r="N389" s="1">
        <v>10</v>
      </c>
      <c r="O389" s="1">
        <v>5488.53</v>
      </c>
      <c r="P389" s="1">
        <f t="shared" si="31"/>
        <v>6098.37</v>
      </c>
      <c r="Q389" s="10">
        <f t="shared" si="32"/>
        <v>548.85299999999995</v>
      </c>
      <c r="R389" s="11">
        <f t="shared" si="33"/>
        <v>5549.5169999999998</v>
      </c>
      <c r="S389" s="1" t="str">
        <f t="shared" si="34"/>
        <v>Low</v>
      </c>
      <c r="T389" s="1" t="str" cm="1">
        <f t="array" ref="T389">_xlfn.IFS(L389&gt;5,"High",L389=5,"mediam",L389&lt;5,"low")</f>
        <v>low</v>
      </c>
      <c r="U389" s="1" t="b">
        <f t="shared" si="30"/>
        <v>0</v>
      </c>
      <c r="Z389" s="1">
        <v>1919</v>
      </c>
      <c r="AA389" s="5">
        <v>10388</v>
      </c>
    </row>
    <row r="390" spans="1:27" x14ac:dyDescent="0.3">
      <c r="A390" s="5">
        <v>10389</v>
      </c>
      <c r="B390" s="1">
        <v>1627</v>
      </c>
      <c r="C390" s="2">
        <v>45027</v>
      </c>
      <c r="D390" s="2">
        <v>45030</v>
      </c>
      <c r="E390" s="1" t="s">
        <v>15</v>
      </c>
      <c r="F390" s="1" t="s">
        <v>38</v>
      </c>
      <c r="G390" s="1" t="s">
        <v>17</v>
      </c>
      <c r="H390" s="1" t="s">
        <v>35</v>
      </c>
      <c r="I390" s="1" t="s">
        <v>26</v>
      </c>
      <c r="J390" s="1" t="s">
        <v>69</v>
      </c>
      <c r="K390" s="1" t="s">
        <v>21</v>
      </c>
      <c r="L390" s="1">
        <v>7</v>
      </c>
      <c r="M390" s="1">
        <v>3459.29</v>
      </c>
      <c r="N390" s="1">
        <v>0</v>
      </c>
      <c r="O390" s="1">
        <v>24215.03</v>
      </c>
      <c r="P390" s="1">
        <f t="shared" si="31"/>
        <v>24215.03</v>
      </c>
      <c r="Q390" s="10">
        <f t="shared" si="32"/>
        <v>0</v>
      </c>
      <c r="R390" s="11">
        <f t="shared" si="33"/>
        <v>24215.03</v>
      </c>
      <c r="S390" s="1" t="str">
        <f t="shared" si="34"/>
        <v>High</v>
      </c>
      <c r="T390" s="1" t="str" cm="1">
        <f t="array" ref="T390">_xlfn.IFS(L390&gt;5,"High",L390=5,"mediam",L390&lt;5,"low")</f>
        <v>High</v>
      </c>
      <c r="U390" s="1" t="str">
        <f t="shared" si="30"/>
        <v>High</v>
      </c>
      <c r="Z390" s="1">
        <v>1627</v>
      </c>
      <c r="AA390" s="5">
        <v>10389</v>
      </c>
    </row>
    <row r="391" spans="1:27" x14ac:dyDescent="0.3">
      <c r="A391" s="5">
        <v>10390</v>
      </c>
      <c r="B391" s="1">
        <v>1586</v>
      </c>
      <c r="C391" s="2">
        <v>45102</v>
      </c>
      <c r="D391" s="2">
        <v>45103</v>
      </c>
      <c r="E391" s="1" t="s">
        <v>40</v>
      </c>
      <c r="F391" s="1" t="s">
        <v>54</v>
      </c>
      <c r="G391" s="1" t="s">
        <v>24</v>
      </c>
      <c r="H391" s="1" t="s">
        <v>35</v>
      </c>
      <c r="I391" s="1" t="s">
        <v>31</v>
      </c>
      <c r="J391" s="1" t="s">
        <v>48</v>
      </c>
      <c r="K391" s="1" t="s">
        <v>47</v>
      </c>
      <c r="L391" s="1">
        <v>1</v>
      </c>
      <c r="M391" s="1">
        <v>2430.36</v>
      </c>
      <c r="N391" s="1">
        <v>15</v>
      </c>
      <c r="O391" s="1">
        <v>2065.81</v>
      </c>
      <c r="P391" s="1">
        <f t="shared" si="31"/>
        <v>2430.36</v>
      </c>
      <c r="Q391" s="10">
        <f t="shared" si="32"/>
        <v>309.87149999999997</v>
      </c>
      <c r="R391" s="11">
        <f t="shared" si="33"/>
        <v>2120.4885000000004</v>
      </c>
      <c r="S391" s="1" t="str">
        <f t="shared" si="34"/>
        <v>Low</v>
      </c>
      <c r="T391" s="1" t="str" cm="1">
        <f t="array" ref="T391">_xlfn.IFS(L391&gt;5,"High",L391=5,"mediam",L391&lt;5,"low")</f>
        <v>low</v>
      </c>
      <c r="U391" s="1" t="b">
        <f t="shared" si="30"/>
        <v>0</v>
      </c>
      <c r="Z391" s="1">
        <v>1586</v>
      </c>
      <c r="AA391" s="5">
        <v>10390</v>
      </c>
    </row>
    <row r="392" spans="1:27" x14ac:dyDescent="0.3">
      <c r="A392" s="5">
        <v>10391</v>
      </c>
      <c r="B392" s="1">
        <v>1624</v>
      </c>
      <c r="C392" s="2">
        <v>45033</v>
      </c>
      <c r="D392" s="2">
        <v>45037</v>
      </c>
      <c r="E392" s="1" t="s">
        <v>15</v>
      </c>
      <c r="F392" s="1" t="s">
        <v>29</v>
      </c>
      <c r="G392" s="1" t="s">
        <v>30</v>
      </c>
      <c r="H392" s="1" t="s">
        <v>25</v>
      </c>
      <c r="I392" s="1" t="s">
        <v>19</v>
      </c>
      <c r="J392" s="1" t="s">
        <v>66</v>
      </c>
      <c r="K392" s="1" t="s">
        <v>33</v>
      </c>
      <c r="L392" s="1">
        <v>6</v>
      </c>
      <c r="M392" s="1">
        <v>2824.42</v>
      </c>
      <c r="N392" s="1">
        <v>0</v>
      </c>
      <c r="O392" s="1">
        <v>16946.52</v>
      </c>
      <c r="P392" s="1">
        <f t="shared" si="31"/>
        <v>16946.52</v>
      </c>
      <c r="Q392" s="10">
        <f t="shared" si="32"/>
        <v>0</v>
      </c>
      <c r="R392" s="11">
        <f t="shared" si="33"/>
        <v>16946.52</v>
      </c>
      <c r="S392" s="1" t="str">
        <f t="shared" si="34"/>
        <v>High</v>
      </c>
      <c r="T392" s="1" t="str" cm="1">
        <f t="array" ref="T392">_xlfn.IFS(L392&gt;5,"High",L392=5,"mediam",L392&lt;5,"low")</f>
        <v>High</v>
      </c>
      <c r="U392" s="1" t="str">
        <f t="shared" si="30"/>
        <v>High</v>
      </c>
      <c r="Z392" s="1">
        <v>1624</v>
      </c>
      <c r="AA392" s="5">
        <v>10391</v>
      </c>
    </row>
    <row r="393" spans="1:27" x14ac:dyDescent="0.3">
      <c r="A393" s="5">
        <v>10392</v>
      </c>
      <c r="B393" s="1">
        <v>1967</v>
      </c>
      <c r="C393" s="2">
        <v>45027</v>
      </c>
      <c r="D393" s="2">
        <v>45036</v>
      </c>
      <c r="E393" s="1" t="s">
        <v>22</v>
      </c>
      <c r="F393" s="1" t="s">
        <v>38</v>
      </c>
      <c r="G393" s="1" t="s">
        <v>24</v>
      </c>
      <c r="H393" s="1" t="s">
        <v>25</v>
      </c>
      <c r="I393" s="1" t="s">
        <v>52</v>
      </c>
      <c r="J393" s="1" t="s">
        <v>60</v>
      </c>
      <c r="K393" s="1" t="s">
        <v>33</v>
      </c>
      <c r="L393" s="1">
        <v>3</v>
      </c>
      <c r="M393" s="1">
        <v>1553.98</v>
      </c>
      <c r="N393" s="1">
        <v>15</v>
      </c>
      <c r="O393" s="1">
        <v>3962.65</v>
      </c>
      <c r="P393" s="1">
        <f t="shared" si="31"/>
        <v>4661.9400000000005</v>
      </c>
      <c r="Q393" s="10">
        <f t="shared" si="32"/>
        <v>594.39750000000004</v>
      </c>
      <c r="R393" s="11">
        <f t="shared" si="33"/>
        <v>4067.5425000000005</v>
      </c>
      <c r="S393" s="1" t="str">
        <f t="shared" si="34"/>
        <v>Low</v>
      </c>
      <c r="T393" s="1" t="str" cm="1">
        <f t="array" ref="T393">_xlfn.IFS(L393&gt;5,"High",L393=5,"mediam",L393&lt;5,"low")</f>
        <v>low</v>
      </c>
      <c r="U393" s="1" t="b">
        <f t="shared" ref="U393:U456" si="35">IF(L393&gt;5,"High",IF(L393="Mediam","Low"))</f>
        <v>0</v>
      </c>
      <c r="Z393" s="1">
        <v>1967</v>
      </c>
      <c r="AA393" s="5">
        <v>10392</v>
      </c>
    </row>
    <row r="394" spans="1:27" x14ac:dyDescent="0.3">
      <c r="A394" s="5">
        <v>10393</v>
      </c>
      <c r="B394" s="1">
        <v>1419</v>
      </c>
      <c r="C394" s="2">
        <v>45186</v>
      </c>
      <c r="D394" s="2">
        <v>45191</v>
      </c>
      <c r="E394" s="1" t="s">
        <v>40</v>
      </c>
      <c r="F394" s="1" t="s">
        <v>23</v>
      </c>
      <c r="G394" s="1" t="s">
        <v>24</v>
      </c>
      <c r="H394" s="1" t="s">
        <v>35</v>
      </c>
      <c r="I394" s="1" t="s">
        <v>52</v>
      </c>
      <c r="J394" s="1" t="s">
        <v>60</v>
      </c>
      <c r="K394" s="1" t="s">
        <v>45</v>
      </c>
      <c r="L394" s="1">
        <v>8</v>
      </c>
      <c r="M394" s="1">
        <v>2993.25</v>
      </c>
      <c r="N394" s="1">
        <v>10</v>
      </c>
      <c r="O394" s="1">
        <v>21551.4</v>
      </c>
      <c r="P394" s="1">
        <f t="shared" si="31"/>
        <v>23946</v>
      </c>
      <c r="Q394" s="10">
        <f t="shared" si="32"/>
        <v>2155.1400000000003</v>
      </c>
      <c r="R394" s="11">
        <f t="shared" si="33"/>
        <v>21790.86</v>
      </c>
      <c r="S394" s="1" t="str">
        <f t="shared" si="34"/>
        <v>High</v>
      </c>
      <c r="T394" s="1" t="str" cm="1">
        <f t="array" ref="T394">_xlfn.IFS(L394&gt;5,"High",L394=5,"mediam",L394&lt;5,"low")</f>
        <v>High</v>
      </c>
      <c r="U394" s="1" t="str">
        <f t="shared" si="35"/>
        <v>High</v>
      </c>
      <c r="Z394" s="1">
        <v>1419</v>
      </c>
      <c r="AA394" s="5">
        <v>10393</v>
      </c>
    </row>
    <row r="395" spans="1:27" x14ac:dyDescent="0.3">
      <c r="A395" s="5">
        <v>10394</v>
      </c>
      <c r="B395" s="1">
        <v>1421</v>
      </c>
      <c r="C395" s="2">
        <v>45172</v>
      </c>
      <c r="D395" s="2">
        <v>45173</v>
      </c>
      <c r="E395" s="1" t="s">
        <v>22</v>
      </c>
      <c r="F395" s="1" t="s">
        <v>29</v>
      </c>
      <c r="G395" s="1" t="s">
        <v>17</v>
      </c>
      <c r="H395" s="1" t="s">
        <v>18</v>
      </c>
      <c r="I395" s="1" t="s">
        <v>49</v>
      </c>
      <c r="J395" s="1" t="s">
        <v>50</v>
      </c>
      <c r="K395" s="1" t="s">
        <v>47</v>
      </c>
      <c r="L395" s="1">
        <v>6</v>
      </c>
      <c r="M395" s="1">
        <v>2716.48</v>
      </c>
      <c r="N395" s="1">
        <v>0</v>
      </c>
      <c r="O395" s="1">
        <v>16298.88</v>
      </c>
      <c r="P395" s="1">
        <f t="shared" si="31"/>
        <v>16298.880000000001</v>
      </c>
      <c r="Q395" s="10">
        <f t="shared" si="32"/>
        <v>0</v>
      </c>
      <c r="R395" s="11">
        <f t="shared" si="33"/>
        <v>16298.880000000001</v>
      </c>
      <c r="S395" s="1" t="str">
        <f t="shared" si="34"/>
        <v>High</v>
      </c>
      <c r="T395" s="1" t="str" cm="1">
        <f t="array" ref="T395">_xlfn.IFS(L395&gt;5,"High",L395=5,"mediam",L395&lt;5,"low")</f>
        <v>High</v>
      </c>
      <c r="U395" s="1" t="str">
        <f t="shared" si="35"/>
        <v>High</v>
      </c>
      <c r="Z395" s="1">
        <v>1421</v>
      </c>
      <c r="AA395" s="5">
        <v>10394</v>
      </c>
    </row>
    <row r="396" spans="1:27" x14ac:dyDescent="0.3">
      <c r="A396" s="5">
        <v>10395</v>
      </c>
      <c r="B396" s="1">
        <v>1103</v>
      </c>
      <c r="C396" s="2">
        <v>45201</v>
      </c>
      <c r="D396" s="2">
        <v>45206</v>
      </c>
      <c r="E396" s="1" t="s">
        <v>16</v>
      </c>
      <c r="F396" s="1" t="s">
        <v>23</v>
      </c>
      <c r="G396" s="1" t="s">
        <v>24</v>
      </c>
      <c r="H396" s="1" t="s">
        <v>44</v>
      </c>
      <c r="I396" s="1" t="s">
        <v>26</v>
      </c>
      <c r="J396" s="1" t="s">
        <v>36</v>
      </c>
      <c r="K396" s="1" t="s">
        <v>45</v>
      </c>
      <c r="L396" s="1">
        <v>2</v>
      </c>
      <c r="M396" s="1">
        <v>610.30999999999995</v>
      </c>
      <c r="N396" s="1">
        <v>10</v>
      </c>
      <c r="O396" s="1">
        <v>1098.56</v>
      </c>
      <c r="P396" s="1">
        <f t="shared" si="31"/>
        <v>1220.6199999999999</v>
      </c>
      <c r="Q396" s="10">
        <f t="shared" si="32"/>
        <v>109.85599999999999</v>
      </c>
      <c r="R396" s="11">
        <f t="shared" si="33"/>
        <v>1110.7639999999999</v>
      </c>
      <c r="S396" s="1" t="str">
        <f t="shared" si="34"/>
        <v>Low</v>
      </c>
      <c r="T396" s="1" t="str" cm="1">
        <f t="array" ref="T396">_xlfn.IFS(L396&gt;5,"High",L396=5,"mediam",L396&lt;5,"low")</f>
        <v>low</v>
      </c>
      <c r="U396" s="1" t="b">
        <f t="shared" si="35"/>
        <v>0</v>
      </c>
      <c r="Z396" s="1">
        <v>1103</v>
      </c>
      <c r="AA396" s="5">
        <v>10395</v>
      </c>
    </row>
    <row r="397" spans="1:27" x14ac:dyDescent="0.3">
      <c r="A397" s="5">
        <v>10396</v>
      </c>
      <c r="B397" s="1">
        <v>1851</v>
      </c>
      <c r="C397" s="2">
        <v>44958</v>
      </c>
      <c r="D397" s="2">
        <v>44966</v>
      </c>
      <c r="E397" s="1" t="s">
        <v>46</v>
      </c>
      <c r="F397" s="1" t="s">
        <v>16</v>
      </c>
      <c r="G397" s="1" t="s">
        <v>30</v>
      </c>
      <c r="H397" s="1" t="s">
        <v>44</v>
      </c>
      <c r="I397" s="1" t="s">
        <v>49</v>
      </c>
      <c r="J397" s="1" t="s">
        <v>51</v>
      </c>
      <c r="K397" s="1" t="s">
        <v>47</v>
      </c>
      <c r="L397" s="1">
        <v>6</v>
      </c>
      <c r="M397" s="1">
        <v>2354.67</v>
      </c>
      <c r="N397" s="1">
        <v>15</v>
      </c>
      <c r="O397" s="1">
        <v>12008.82</v>
      </c>
      <c r="P397" s="1">
        <f t="shared" si="31"/>
        <v>14128.02</v>
      </c>
      <c r="Q397" s="10">
        <f t="shared" si="32"/>
        <v>1801.3229999999999</v>
      </c>
      <c r="R397" s="11">
        <f t="shared" si="33"/>
        <v>12326.697</v>
      </c>
      <c r="S397" s="1" t="str">
        <f t="shared" si="34"/>
        <v>High</v>
      </c>
      <c r="T397" s="1" t="str" cm="1">
        <f t="array" ref="T397">_xlfn.IFS(L397&gt;5,"High",L397=5,"mediam",L397&lt;5,"low")</f>
        <v>High</v>
      </c>
      <c r="U397" s="1" t="str">
        <f t="shared" si="35"/>
        <v>High</v>
      </c>
      <c r="Z397" s="1">
        <v>1851</v>
      </c>
      <c r="AA397" s="5">
        <v>10396</v>
      </c>
    </row>
    <row r="398" spans="1:27" x14ac:dyDescent="0.3">
      <c r="A398" s="5">
        <v>10397</v>
      </c>
      <c r="B398" s="1">
        <v>1253</v>
      </c>
      <c r="C398" s="2">
        <v>45063</v>
      </c>
      <c r="D398" s="2">
        <v>45071</v>
      </c>
      <c r="E398" s="1" t="s">
        <v>22</v>
      </c>
      <c r="F398" s="1" t="s">
        <v>41</v>
      </c>
      <c r="G398" s="1" t="s">
        <v>30</v>
      </c>
      <c r="H398" s="1" t="s">
        <v>18</v>
      </c>
      <c r="I398" s="1" t="s">
        <v>31</v>
      </c>
      <c r="J398" s="1" t="s">
        <v>39</v>
      </c>
      <c r="K398" s="1" t="s">
        <v>45</v>
      </c>
      <c r="L398" s="1">
        <v>7</v>
      </c>
      <c r="M398" s="1">
        <v>1138.46</v>
      </c>
      <c r="N398" s="1">
        <v>10</v>
      </c>
      <c r="O398" s="1">
        <v>7172.3</v>
      </c>
      <c r="P398" s="1">
        <f t="shared" si="31"/>
        <v>7969.22</v>
      </c>
      <c r="Q398" s="10">
        <f t="shared" si="32"/>
        <v>717.23</v>
      </c>
      <c r="R398" s="11">
        <f t="shared" si="33"/>
        <v>7251.99</v>
      </c>
      <c r="S398" s="1" t="str">
        <f t="shared" si="34"/>
        <v>High</v>
      </c>
      <c r="T398" s="1" t="str" cm="1">
        <f t="array" ref="T398">_xlfn.IFS(L398&gt;5,"High",L398=5,"mediam",L398&lt;5,"low")</f>
        <v>High</v>
      </c>
      <c r="U398" s="1" t="str">
        <f t="shared" si="35"/>
        <v>High</v>
      </c>
      <c r="Z398" s="1">
        <v>1253</v>
      </c>
      <c r="AA398" s="5">
        <v>10397</v>
      </c>
    </row>
    <row r="399" spans="1:27" x14ac:dyDescent="0.3">
      <c r="A399" s="5">
        <v>10398</v>
      </c>
      <c r="B399" s="1">
        <v>1226</v>
      </c>
      <c r="C399" s="2">
        <v>44938</v>
      </c>
      <c r="D399" s="2">
        <v>44943</v>
      </c>
      <c r="E399" s="1" t="s">
        <v>22</v>
      </c>
      <c r="F399" s="1" t="s">
        <v>29</v>
      </c>
      <c r="G399" s="1" t="s">
        <v>17</v>
      </c>
      <c r="H399" s="1" t="s">
        <v>44</v>
      </c>
      <c r="I399" s="1" t="s">
        <v>49</v>
      </c>
      <c r="J399" s="1" t="s">
        <v>63</v>
      </c>
      <c r="K399" s="1" t="s">
        <v>33</v>
      </c>
      <c r="L399" s="1">
        <v>5</v>
      </c>
      <c r="M399" s="1">
        <v>3245.77</v>
      </c>
      <c r="N399" s="1">
        <v>0</v>
      </c>
      <c r="O399" s="1">
        <v>16228.85</v>
      </c>
      <c r="P399" s="1">
        <f t="shared" si="31"/>
        <v>16228.85</v>
      </c>
      <c r="Q399" s="10">
        <f t="shared" si="32"/>
        <v>0</v>
      </c>
      <c r="R399" s="11">
        <f t="shared" si="33"/>
        <v>16228.85</v>
      </c>
      <c r="S399" s="1" t="str">
        <f t="shared" si="34"/>
        <v>High</v>
      </c>
      <c r="T399" s="1" t="str" cm="1">
        <f t="array" ref="T399">_xlfn.IFS(L399&gt;5,"High",L399=5,"mediam",L399&lt;5,"low")</f>
        <v>mediam</v>
      </c>
      <c r="U399" s="1" t="b">
        <f t="shared" si="35"/>
        <v>0</v>
      </c>
      <c r="Z399" s="1">
        <v>1226</v>
      </c>
      <c r="AA399" s="5">
        <v>10398</v>
      </c>
    </row>
    <row r="400" spans="1:27" x14ac:dyDescent="0.3">
      <c r="A400" s="5">
        <v>10399</v>
      </c>
      <c r="B400" s="1">
        <v>1111</v>
      </c>
      <c r="C400" s="2">
        <v>45228</v>
      </c>
      <c r="D400" s="2">
        <v>45237</v>
      </c>
      <c r="E400" s="1" t="s">
        <v>16</v>
      </c>
      <c r="F400" s="1" t="s">
        <v>16</v>
      </c>
      <c r="G400" s="1" t="s">
        <v>24</v>
      </c>
      <c r="H400" s="1" t="s">
        <v>42</v>
      </c>
      <c r="I400" s="1" t="s">
        <v>19</v>
      </c>
      <c r="J400" s="1" t="s">
        <v>43</v>
      </c>
      <c r="K400" s="1" t="s">
        <v>33</v>
      </c>
      <c r="L400" s="1">
        <v>3</v>
      </c>
      <c r="M400" s="1">
        <v>1789.86</v>
      </c>
      <c r="N400" s="1">
        <v>0</v>
      </c>
      <c r="O400" s="1">
        <v>5369.58</v>
      </c>
      <c r="P400" s="1">
        <f t="shared" si="31"/>
        <v>5369.58</v>
      </c>
      <c r="Q400" s="10">
        <f t="shared" si="32"/>
        <v>0</v>
      </c>
      <c r="R400" s="11">
        <f t="shared" si="33"/>
        <v>5369.58</v>
      </c>
      <c r="S400" s="1" t="str">
        <f t="shared" si="34"/>
        <v>Low</v>
      </c>
      <c r="T400" s="1" t="str" cm="1">
        <f t="array" ref="T400">_xlfn.IFS(L400&gt;5,"High",L400=5,"mediam",L400&lt;5,"low")</f>
        <v>low</v>
      </c>
      <c r="U400" s="1" t="b">
        <f t="shared" si="35"/>
        <v>0</v>
      </c>
      <c r="Z400" s="1">
        <v>1111</v>
      </c>
      <c r="AA400" s="5">
        <v>10399</v>
      </c>
    </row>
    <row r="401" spans="1:27" x14ac:dyDescent="0.3">
      <c r="A401" s="5">
        <v>10400</v>
      </c>
      <c r="B401" s="1">
        <v>1509</v>
      </c>
      <c r="C401" s="2">
        <v>44942</v>
      </c>
      <c r="D401" s="2">
        <v>44943</v>
      </c>
      <c r="E401" s="1" t="s">
        <v>34</v>
      </c>
      <c r="F401" s="1" t="s">
        <v>29</v>
      </c>
      <c r="G401" s="1" t="s">
        <v>30</v>
      </c>
      <c r="H401" s="1" t="s">
        <v>35</v>
      </c>
      <c r="I401" s="1" t="s">
        <v>52</v>
      </c>
      <c r="J401" s="1" t="s">
        <v>60</v>
      </c>
      <c r="K401" s="1" t="s">
        <v>21</v>
      </c>
      <c r="L401" s="1">
        <v>4</v>
      </c>
      <c r="M401" s="1">
        <v>3979.53</v>
      </c>
      <c r="N401" s="1">
        <v>10</v>
      </c>
      <c r="O401" s="1">
        <v>14326.31</v>
      </c>
      <c r="P401" s="1">
        <f t="shared" si="31"/>
        <v>15918.12</v>
      </c>
      <c r="Q401" s="10">
        <f t="shared" si="32"/>
        <v>1432.6310000000001</v>
      </c>
      <c r="R401" s="11">
        <f t="shared" si="33"/>
        <v>14485.489000000001</v>
      </c>
      <c r="S401" s="1" t="str">
        <f t="shared" si="34"/>
        <v>Low</v>
      </c>
      <c r="T401" s="1" t="str" cm="1">
        <f t="array" ref="T401">_xlfn.IFS(L401&gt;5,"High",L401=5,"mediam",L401&lt;5,"low")</f>
        <v>low</v>
      </c>
      <c r="U401" s="1" t="b">
        <f t="shared" si="35"/>
        <v>0</v>
      </c>
      <c r="Z401" s="1">
        <v>1509</v>
      </c>
      <c r="AA401" s="5">
        <v>10400</v>
      </c>
    </row>
    <row r="402" spans="1:27" x14ac:dyDescent="0.3">
      <c r="A402" s="5">
        <v>10401</v>
      </c>
      <c r="B402" s="1">
        <v>1472</v>
      </c>
      <c r="C402" s="2">
        <v>45055</v>
      </c>
      <c r="D402" s="2">
        <v>45059</v>
      </c>
      <c r="E402" s="1" t="s">
        <v>16</v>
      </c>
      <c r="F402" s="1" t="s">
        <v>29</v>
      </c>
      <c r="G402" s="1" t="s">
        <v>24</v>
      </c>
      <c r="H402" s="1" t="s">
        <v>35</v>
      </c>
      <c r="I402" s="1" t="s">
        <v>31</v>
      </c>
      <c r="J402" s="1" t="s">
        <v>48</v>
      </c>
      <c r="K402" s="1" t="s">
        <v>45</v>
      </c>
      <c r="L402" s="1">
        <v>4</v>
      </c>
      <c r="M402" s="1">
        <v>506.13</v>
      </c>
      <c r="N402" s="1">
        <v>5</v>
      </c>
      <c r="O402" s="1">
        <v>1923.29</v>
      </c>
      <c r="P402" s="1">
        <f t="shared" si="31"/>
        <v>2024.52</v>
      </c>
      <c r="Q402" s="10">
        <f t="shared" si="32"/>
        <v>96.164500000000004</v>
      </c>
      <c r="R402" s="11">
        <f t="shared" si="33"/>
        <v>1928.3554999999999</v>
      </c>
      <c r="S402" s="1" t="str">
        <f t="shared" si="34"/>
        <v>Low</v>
      </c>
      <c r="T402" s="1" t="str" cm="1">
        <f t="array" ref="T402">_xlfn.IFS(L402&gt;5,"High",L402=5,"mediam",L402&lt;5,"low")</f>
        <v>low</v>
      </c>
      <c r="U402" s="1" t="b">
        <f t="shared" si="35"/>
        <v>0</v>
      </c>
      <c r="Z402" s="1">
        <v>1472</v>
      </c>
      <c r="AA402" s="5">
        <v>10401</v>
      </c>
    </row>
    <row r="403" spans="1:27" x14ac:dyDescent="0.3">
      <c r="A403" s="5">
        <v>10402</v>
      </c>
      <c r="B403" s="1">
        <v>1098</v>
      </c>
      <c r="C403" s="2">
        <v>44989</v>
      </c>
      <c r="D403" s="2">
        <v>44992</v>
      </c>
      <c r="E403" s="1" t="s">
        <v>40</v>
      </c>
      <c r="F403" s="1" t="s">
        <v>16</v>
      </c>
      <c r="G403" s="1" t="s">
        <v>24</v>
      </c>
      <c r="H403" s="1" t="s">
        <v>18</v>
      </c>
      <c r="I403" s="1" t="s">
        <v>49</v>
      </c>
      <c r="J403" s="1" t="s">
        <v>51</v>
      </c>
      <c r="K403" s="1" t="s">
        <v>28</v>
      </c>
      <c r="L403" s="1">
        <v>6</v>
      </c>
      <c r="M403" s="1">
        <v>3154.34</v>
      </c>
      <c r="N403" s="1">
        <v>15</v>
      </c>
      <c r="O403" s="1">
        <v>16087.13</v>
      </c>
      <c r="P403" s="1">
        <f t="shared" si="31"/>
        <v>18926.04</v>
      </c>
      <c r="Q403" s="10">
        <f t="shared" si="32"/>
        <v>2413.0694999999996</v>
      </c>
      <c r="R403" s="11">
        <f t="shared" si="33"/>
        <v>16512.970500000003</v>
      </c>
      <c r="S403" s="1" t="str">
        <f t="shared" si="34"/>
        <v>High</v>
      </c>
      <c r="T403" s="1" t="str" cm="1">
        <f t="array" ref="T403">_xlfn.IFS(L403&gt;5,"High",L403=5,"mediam",L403&lt;5,"low")</f>
        <v>High</v>
      </c>
      <c r="U403" s="1" t="str">
        <f t="shared" si="35"/>
        <v>High</v>
      </c>
      <c r="Z403" s="1">
        <v>1098</v>
      </c>
      <c r="AA403" s="5">
        <v>10402</v>
      </c>
    </row>
    <row r="404" spans="1:27" x14ac:dyDescent="0.3">
      <c r="A404" s="5">
        <v>10403</v>
      </c>
      <c r="B404" s="1">
        <v>1152</v>
      </c>
      <c r="C404" s="2">
        <v>45035</v>
      </c>
      <c r="D404" s="2">
        <v>45037</v>
      </c>
      <c r="E404" s="1" t="s">
        <v>16</v>
      </c>
      <c r="F404" s="1" t="s">
        <v>38</v>
      </c>
      <c r="G404" s="1" t="s">
        <v>24</v>
      </c>
      <c r="H404" s="1" t="s">
        <v>44</v>
      </c>
      <c r="I404" s="1" t="s">
        <v>26</v>
      </c>
      <c r="J404" s="1" t="s">
        <v>36</v>
      </c>
      <c r="K404" s="1" t="s">
        <v>21</v>
      </c>
      <c r="L404" s="1">
        <v>1</v>
      </c>
      <c r="M404" s="1">
        <v>2743.75</v>
      </c>
      <c r="N404" s="1">
        <v>15</v>
      </c>
      <c r="O404" s="1">
        <v>2332.19</v>
      </c>
      <c r="P404" s="1">
        <f t="shared" si="31"/>
        <v>2743.75</v>
      </c>
      <c r="Q404" s="10">
        <f t="shared" si="32"/>
        <v>349.82850000000002</v>
      </c>
      <c r="R404" s="11">
        <f t="shared" si="33"/>
        <v>2393.9214999999999</v>
      </c>
      <c r="S404" s="1" t="str">
        <f t="shared" si="34"/>
        <v>Low</v>
      </c>
      <c r="T404" s="1" t="str" cm="1">
        <f t="array" ref="T404">_xlfn.IFS(L404&gt;5,"High",L404=5,"mediam",L404&lt;5,"low")</f>
        <v>low</v>
      </c>
      <c r="U404" s="1" t="b">
        <f t="shared" si="35"/>
        <v>0</v>
      </c>
      <c r="Z404" s="1">
        <v>1152</v>
      </c>
      <c r="AA404" s="5">
        <v>10403</v>
      </c>
    </row>
    <row r="405" spans="1:27" x14ac:dyDescent="0.3">
      <c r="A405" s="5">
        <v>10404</v>
      </c>
      <c r="B405" s="1">
        <v>1860</v>
      </c>
      <c r="C405" s="2">
        <v>44947</v>
      </c>
      <c r="D405" s="2">
        <v>44955</v>
      </c>
      <c r="E405" s="1" t="s">
        <v>16</v>
      </c>
      <c r="F405" s="1" t="s">
        <v>54</v>
      </c>
      <c r="G405" s="1" t="s">
        <v>17</v>
      </c>
      <c r="H405" s="1" t="s">
        <v>25</v>
      </c>
      <c r="I405" s="1" t="s">
        <v>19</v>
      </c>
      <c r="J405" s="1" t="s">
        <v>66</v>
      </c>
      <c r="K405" s="1" t="s">
        <v>45</v>
      </c>
      <c r="L405" s="1">
        <v>4</v>
      </c>
      <c r="M405" s="1">
        <v>3104.87</v>
      </c>
      <c r="N405" s="1">
        <v>10</v>
      </c>
      <c r="O405" s="1">
        <v>11177.53</v>
      </c>
      <c r="P405" s="1">
        <f t="shared" si="31"/>
        <v>12419.48</v>
      </c>
      <c r="Q405" s="10">
        <f t="shared" si="32"/>
        <v>1117.7530000000002</v>
      </c>
      <c r="R405" s="11">
        <f t="shared" si="33"/>
        <v>11301.726999999999</v>
      </c>
      <c r="S405" s="1" t="str">
        <f t="shared" si="34"/>
        <v>Low</v>
      </c>
      <c r="T405" s="1" t="str" cm="1">
        <f t="array" ref="T405">_xlfn.IFS(L405&gt;5,"High",L405=5,"mediam",L405&lt;5,"low")</f>
        <v>low</v>
      </c>
      <c r="U405" s="1" t="b">
        <f t="shared" si="35"/>
        <v>0</v>
      </c>
      <c r="Z405" s="1">
        <v>1860</v>
      </c>
      <c r="AA405" s="5">
        <v>10404</v>
      </c>
    </row>
    <row r="406" spans="1:27" x14ac:dyDescent="0.3">
      <c r="A406" s="5">
        <v>10405</v>
      </c>
      <c r="B406" s="1">
        <v>1913</v>
      </c>
      <c r="C406" s="2">
        <v>45084</v>
      </c>
      <c r="D406" s="2">
        <v>45091</v>
      </c>
      <c r="E406" s="1" t="s">
        <v>46</v>
      </c>
      <c r="F406" s="1" t="s">
        <v>23</v>
      </c>
      <c r="G406" s="1" t="s">
        <v>24</v>
      </c>
      <c r="H406" s="1" t="s">
        <v>25</v>
      </c>
      <c r="I406" s="1" t="s">
        <v>19</v>
      </c>
      <c r="J406" s="1" t="s">
        <v>66</v>
      </c>
      <c r="K406" s="1" t="s">
        <v>45</v>
      </c>
      <c r="L406" s="1">
        <v>4</v>
      </c>
      <c r="M406" s="1">
        <v>1333.99</v>
      </c>
      <c r="N406" s="1">
        <v>5</v>
      </c>
      <c r="O406" s="1">
        <v>5069.16</v>
      </c>
      <c r="P406" s="1">
        <f t="shared" si="31"/>
        <v>5335.96</v>
      </c>
      <c r="Q406" s="10">
        <f t="shared" si="32"/>
        <v>253.458</v>
      </c>
      <c r="R406" s="11">
        <f t="shared" si="33"/>
        <v>5082.5020000000004</v>
      </c>
      <c r="S406" s="1" t="str">
        <f t="shared" si="34"/>
        <v>Low</v>
      </c>
      <c r="T406" s="1" t="str" cm="1">
        <f t="array" ref="T406">_xlfn.IFS(L406&gt;5,"High",L406=5,"mediam",L406&lt;5,"low")</f>
        <v>low</v>
      </c>
      <c r="U406" s="1" t="b">
        <f t="shared" si="35"/>
        <v>0</v>
      </c>
      <c r="Z406" s="1">
        <v>1913</v>
      </c>
      <c r="AA406" s="5">
        <v>10405</v>
      </c>
    </row>
    <row r="407" spans="1:27" x14ac:dyDescent="0.3">
      <c r="A407" s="5">
        <v>10406</v>
      </c>
      <c r="B407" s="1">
        <v>1895</v>
      </c>
      <c r="C407" s="2">
        <v>45195</v>
      </c>
      <c r="D407" s="2">
        <v>45204</v>
      </c>
      <c r="E407" s="1" t="s">
        <v>16</v>
      </c>
      <c r="F407" s="1" t="s">
        <v>29</v>
      </c>
      <c r="G407" s="1" t="s">
        <v>30</v>
      </c>
      <c r="H407" s="1" t="s">
        <v>44</v>
      </c>
      <c r="I407" s="1" t="s">
        <v>49</v>
      </c>
      <c r="J407" s="1" t="s">
        <v>51</v>
      </c>
      <c r="K407" s="1" t="s">
        <v>21</v>
      </c>
      <c r="L407" s="1">
        <v>1</v>
      </c>
      <c r="M407" s="1">
        <v>2044.41</v>
      </c>
      <c r="N407" s="1">
        <v>0</v>
      </c>
      <c r="O407" s="1">
        <v>2044.41</v>
      </c>
      <c r="P407" s="1">
        <f t="shared" si="31"/>
        <v>2044.41</v>
      </c>
      <c r="Q407" s="10">
        <f t="shared" si="32"/>
        <v>0</v>
      </c>
      <c r="R407" s="11">
        <f t="shared" si="33"/>
        <v>2044.41</v>
      </c>
      <c r="S407" s="1" t="str">
        <f t="shared" si="34"/>
        <v>Low</v>
      </c>
      <c r="T407" s="1" t="str" cm="1">
        <f t="array" ref="T407">_xlfn.IFS(L407&gt;5,"High",L407=5,"mediam",L407&lt;5,"low")</f>
        <v>low</v>
      </c>
      <c r="U407" s="1" t="b">
        <f t="shared" si="35"/>
        <v>0</v>
      </c>
      <c r="Z407" s="1">
        <v>1895</v>
      </c>
      <c r="AA407" s="5">
        <v>10406</v>
      </c>
    </row>
    <row r="408" spans="1:27" x14ac:dyDescent="0.3">
      <c r="A408" s="5">
        <v>10407</v>
      </c>
      <c r="B408" s="1">
        <v>1877</v>
      </c>
      <c r="C408" s="2">
        <v>45088</v>
      </c>
      <c r="D408" s="2">
        <v>45090</v>
      </c>
      <c r="E408" s="1" t="s">
        <v>22</v>
      </c>
      <c r="F408" s="1" t="s">
        <v>23</v>
      </c>
      <c r="G408" s="1" t="s">
        <v>24</v>
      </c>
      <c r="H408" s="1" t="s">
        <v>25</v>
      </c>
      <c r="I408" s="1" t="s">
        <v>52</v>
      </c>
      <c r="J408" s="1" t="s">
        <v>53</v>
      </c>
      <c r="K408" s="1" t="s">
        <v>33</v>
      </c>
      <c r="L408" s="1">
        <v>9</v>
      </c>
      <c r="M408" s="1">
        <v>3216.56</v>
      </c>
      <c r="N408" s="1">
        <v>20</v>
      </c>
      <c r="O408" s="1">
        <v>23159.23</v>
      </c>
      <c r="P408" s="1">
        <f t="shared" si="31"/>
        <v>28949.040000000001</v>
      </c>
      <c r="Q408" s="10">
        <f t="shared" si="32"/>
        <v>4631.8460000000005</v>
      </c>
      <c r="R408" s="11">
        <f t="shared" si="33"/>
        <v>24317.194</v>
      </c>
      <c r="S408" s="1" t="str">
        <f t="shared" si="34"/>
        <v>High</v>
      </c>
      <c r="T408" s="1" t="str" cm="1">
        <f t="array" ref="T408">_xlfn.IFS(L408&gt;5,"High",L408=5,"mediam",L408&lt;5,"low")</f>
        <v>High</v>
      </c>
      <c r="U408" s="1" t="str">
        <f t="shared" si="35"/>
        <v>High</v>
      </c>
      <c r="Z408" s="1">
        <v>1877</v>
      </c>
      <c r="AA408" s="5">
        <v>10407</v>
      </c>
    </row>
    <row r="409" spans="1:27" x14ac:dyDescent="0.3">
      <c r="A409" s="5">
        <v>10408</v>
      </c>
      <c r="B409" s="1">
        <v>1337</v>
      </c>
      <c r="C409" s="2">
        <v>45186</v>
      </c>
      <c r="D409" s="2">
        <v>45190</v>
      </c>
      <c r="E409" s="1" t="s">
        <v>46</v>
      </c>
      <c r="F409" s="1" t="s">
        <v>41</v>
      </c>
      <c r="G409" s="1" t="s">
        <v>30</v>
      </c>
      <c r="H409" s="1" t="s">
        <v>18</v>
      </c>
      <c r="I409" s="1" t="s">
        <v>49</v>
      </c>
      <c r="J409" s="1" t="s">
        <v>63</v>
      </c>
      <c r="K409" s="1" t="s">
        <v>45</v>
      </c>
      <c r="L409" s="1">
        <v>4</v>
      </c>
      <c r="M409" s="1">
        <v>1045.28</v>
      </c>
      <c r="N409" s="1">
        <v>20</v>
      </c>
      <c r="O409" s="1">
        <v>3344.9</v>
      </c>
      <c r="P409" s="1">
        <f t="shared" si="31"/>
        <v>4181.12</v>
      </c>
      <c r="Q409" s="10">
        <f t="shared" si="32"/>
        <v>668.98</v>
      </c>
      <c r="R409" s="11">
        <f t="shared" si="33"/>
        <v>3512.14</v>
      </c>
      <c r="S409" s="1" t="str">
        <f t="shared" si="34"/>
        <v>Low</v>
      </c>
      <c r="T409" s="1" t="str" cm="1">
        <f t="array" ref="T409">_xlfn.IFS(L409&gt;5,"High",L409=5,"mediam",L409&lt;5,"low")</f>
        <v>low</v>
      </c>
      <c r="U409" s="1" t="b">
        <f t="shared" si="35"/>
        <v>0</v>
      </c>
      <c r="Z409" s="1">
        <v>1337</v>
      </c>
      <c r="AA409" s="5">
        <v>10408</v>
      </c>
    </row>
    <row r="410" spans="1:27" x14ac:dyDescent="0.3">
      <c r="A410" s="5">
        <v>10409</v>
      </c>
      <c r="B410" s="1">
        <v>1705</v>
      </c>
      <c r="C410" s="2">
        <v>45028</v>
      </c>
      <c r="D410" s="2">
        <v>45034</v>
      </c>
      <c r="E410" s="1" t="s">
        <v>37</v>
      </c>
      <c r="F410" s="1" t="s">
        <v>16</v>
      </c>
      <c r="G410" s="1" t="s">
        <v>24</v>
      </c>
      <c r="H410" s="1" t="s">
        <v>18</v>
      </c>
      <c r="I410" s="1" t="s">
        <v>31</v>
      </c>
      <c r="J410" s="1" t="s">
        <v>39</v>
      </c>
      <c r="K410" s="1" t="s">
        <v>33</v>
      </c>
      <c r="L410" s="1">
        <v>7</v>
      </c>
      <c r="M410" s="1">
        <v>1020.23</v>
      </c>
      <c r="N410" s="1">
        <v>10</v>
      </c>
      <c r="O410" s="1">
        <v>6427.45</v>
      </c>
      <c r="P410" s="1">
        <f t="shared" si="31"/>
        <v>7141.6100000000006</v>
      </c>
      <c r="Q410" s="10">
        <f t="shared" si="32"/>
        <v>642.745</v>
      </c>
      <c r="R410" s="11">
        <f t="shared" si="33"/>
        <v>6498.8650000000007</v>
      </c>
      <c r="S410" s="1" t="str">
        <f t="shared" si="34"/>
        <v>High</v>
      </c>
      <c r="T410" s="1" t="str" cm="1">
        <f t="array" ref="T410">_xlfn.IFS(L410&gt;5,"High",L410=5,"mediam",L410&lt;5,"low")</f>
        <v>High</v>
      </c>
      <c r="U410" s="1" t="str">
        <f t="shared" si="35"/>
        <v>High</v>
      </c>
      <c r="Z410" s="1">
        <v>1705</v>
      </c>
      <c r="AA410" s="5">
        <v>10409</v>
      </c>
    </row>
    <row r="411" spans="1:27" x14ac:dyDescent="0.3">
      <c r="A411" s="5">
        <v>10410</v>
      </c>
      <c r="B411" s="1">
        <v>1821</v>
      </c>
      <c r="C411" s="2">
        <v>45149</v>
      </c>
      <c r="D411" s="2">
        <v>45152</v>
      </c>
      <c r="E411" s="1" t="s">
        <v>34</v>
      </c>
      <c r="F411" s="1" t="s">
        <v>23</v>
      </c>
      <c r="G411" s="1" t="s">
        <v>30</v>
      </c>
      <c r="H411" s="1" t="s">
        <v>44</v>
      </c>
      <c r="I411" s="1" t="s">
        <v>49</v>
      </c>
      <c r="J411" s="1" t="s">
        <v>50</v>
      </c>
      <c r="K411" s="1" t="s">
        <v>21</v>
      </c>
      <c r="L411" s="1">
        <v>3</v>
      </c>
      <c r="M411" s="1">
        <v>2271.5500000000002</v>
      </c>
      <c r="N411" s="1">
        <v>5</v>
      </c>
      <c r="O411" s="1">
        <v>6473.92</v>
      </c>
      <c r="P411" s="1">
        <f t="shared" si="31"/>
        <v>6814.6500000000005</v>
      </c>
      <c r="Q411" s="10">
        <f t="shared" si="32"/>
        <v>323.69600000000003</v>
      </c>
      <c r="R411" s="11">
        <f t="shared" si="33"/>
        <v>6490.9540000000006</v>
      </c>
      <c r="S411" s="1" t="str">
        <f t="shared" si="34"/>
        <v>Low</v>
      </c>
      <c r="T411" s="1" t="str" cm="1">
        <f t="array" ref="T411">_xlfn.IFS(L411&gt;5,"High",L411=5,"mediam",L411&lt;5,"low")</f>
        <v>low</v>
      </c>
      <c r="U411" s="1" t="b">
        <f t="shared" si="35"/>
        <v>0</v>
      </c>
      <c r="Z411" s="1">
        <v>1821</v>
      </c>
      <c r="AA411" s="5">
        <v>10410</v>
      </c>
    </row>
    <row r="412" spans="1:27" x14ac:dyDescent="0.3">
      <c r="A412" s="5">
        <v>10411</v>
      </c>
      <c r="B412" s="1">
        <v>1162</v>
      </c>
      <c r="C412" s="2">
        <v>44985</v>
      </c>
      <c r="D412" s="2">
        <v>44993</v>
      </c>
      <c r="E412" s="1" t="s">
        <v>46</v>
      </c>
      <c r="F412" s="1" t="s">
        <v>16</v>
      </c>
      <c r="G412" s="1" t="s">
        <v>30</v>
      </c>
      <c r="H412" s="1" t="s">
        <v>25</v>
      </c>
      <c r="I412" s="1" t="s">
        <v>19</v>
      </c>
      <c r="J412" s="1" t="s">
        <v>43</v>
      </c>
      <c r="K412" s="1" t="s">
        <v>33</v>
      </c>
      <c r="L412" s="1">
        <v>3</v>
      </c>
      <c r="M412" s="1">
        <v>2165.7199999999998</v>
      </c>
      <c r="N412" s="1">
        <v>5</v>
      </c>
      <c r="O412" s="1">
        <v>6172.3</v>
      </c>
      <c r="P412" s="1">
        <f t="shared" si="31"/>
        <v>6497.16</v>
      </c>
      <c r="Q412" s="10">
        <f t="shared" si="32"/>
        <v>308.61500000000001</v>
      </c>
      <c r="R412" s="11">
        <f t="shared" si="33"/>
        <v>6188.5450000000001</v>
      </c>
      <c r="S412" s="1" t="str">
        <f t="shared" si="34"/>
        <v>Low</v>
      </c>
      <c r="T412" s="1" t="str" cm="1">
        <f t="array" ref="T412">_xlfn.IFS(L412&gt;5,"High",L412=5,"mediam",L412&lt;5,"low")</f>
        <v>low</v>
      </c>
      <c r="U412" s="1" t="b">
        <f t="shared" si="35"/>
        <v>0</v>
      </c>
      <c r="Z412" s="1">
        <v>1162</v>
      </c>
      <c r="AA412" s="5">
        <v>10411</v>
      </c>
    </row>
    <row r="413" spans="1:27" x14ac:dyDescent="0.3">
      <c r="A413" s="5">
        <v>10412</v>
      </c>
      <c r="B413" s="1">
        <v>1719</v>
      </c>
      <c r="C413" s="2">
        <v>45173</v>
      </c>
      <c r="D413" s="2">
        <v>45176</v>
      </c>
      <c r="E413" s="1" t="s">
        <v>40</v>
      </c>
      <c r="F413" s="1" t="s">
        <v>23</v>
      </c>
      <c r="G413" s="1" t="s">
        <v>24</v>
      </c>
      <c r="H413" s="1" t="s">
        <v>18</v>
      </c>
      <c r="I413" s="1" t="s">
        <v>49</v>
      </c>
      <c r="J413" s="1" t="s">
        <v>63</v>
      </c>
      <c r="K413" s="1" t="s">
        <v>47</v>
      </c>
      <c r="L413" s="1">
        <v>8</v>
      </c>
      <c r="M413" s="1">
        <v>1236.71</v>
      </c>
      <c r="N413" s="1">
        <v>15</v>
      </c>
      <c r="O413" s="1">
        <v>8409.6299999999992</v>
      </c>
      <c r="P413" s="1">
        <f t="shared" si="31"/>
        <v>9893.68</v>
      </c>
      <c r="Q413" s="10">
        <f t="shared" si="32"/>
        <v>1261.4444999999998</v>
      </c>
      <c r="R413" s="11">
        <f t="shared" si="33"/>
        <v>8632.2355000000007</v>
      </c>
      <c r="S413" s="1" t="str">
        <f t="shared" si="34"/>
        <v>High</v>
      </c>
      <c r="T413" s="1" t="str" cm="1">
        <f t="array" ref="T413">_xlfn.IFS(L413&gt;5,"High",L413=5,"mediam",L413&lt;5,"low")</f>
        <v>High</v>
      </c>
      <c r="U413" s="1" t="str">
        <f t="shared" si="35"/>
        <v>High</v>
      </c>
      <c r="Z413" s="1">
        <v>1719</v>
      </c>
      <c r="AA413" s="5">
        <v>10412</v>
      </c>
    </row>
    <row r="414" spans="1:27" x14ac:dyDescent="0.3">
      <c r="A414" s="5">
        <v>10413</v>
      </c>
      <c r="B414" s="1">
        <v>1956</v>
      </c>
      <c r="C414" s="2">
        <v>45054</v>
      </c>
      <c r="D414" s="2">
        <v>45056</v>
      </c>
      <c r="E414" s="1" t="s">
        <v>37</v>
      </c>
      <c r="F414" s="1" t="s">
        <v>54</v>
      </c>
      <c r="G414" s="1" t="s">
        <v>24</v>
      </c>
      <c r="H414" s="1" t="s">
        <v>18</v>
      </c>
      <c r="I414" s="1" t="s">
        <v>52</v>
      </c>
      <c r="J414" s="1" t="s">
        <v>53</v>
      </c>
      <c r="K414" s="1" t="s">
        <v>28</v>
      </c>
      <c r="L414" s="1">
        <v>8</v>
      </c>
      <c r="M414" s="1">
        <v>1297.5899999999999</v>
      </c>
      <c r="N414" s="1">
        <v>0</v>
      </c>
      <c r="O414" s="1">
        <v>10380.719999999999</v>
      </c>
      <c r="P414" s="1">
        <f t="shared" si="31"/>
        <v>10380.719999999999</v>
      </c>
      <c r="Q414" s="10">
        <f t="shared" si="32"/>
        <v>0</v>
      </c>
      <c r="R414" s="11">
        <f t="shared" si="33"/>
        <v>10380.719999999999</v>
      </c>
      <c r="S414" s="1" t="str">
        <f t="shared" si="34"/>
        <v>High</v>
      </c>
      <c r="T414" s="1" t="str" cm="1">
        <f t="array" ref="T414">_xlfn.IFS(L414&gt;5,"High",L414=5,"mediam",L414&lt;5,"low")</f>
        <v>High</v>
      </c>
      <c r="U414" s="1" t="str">
        <f t="shared" si="35"/>
        <v>High</v>
      </c>
      <c r="Z414" s="1">
        <v>1956</v>
      </c>
      <c r="AA414" s="5">
        <v>10413</v>
      </c>
    </row>
    <row r="415" spans="1:27" x14ac:dyDescent="0.3">
      <c r="A415" s="5">
        <v>10414</v>
      </c>
      <c r="B415" s="1">
        <v>1680</v>
      </c>
      <c r="C415" s="2">
        <v>45209</v>
      </c>
      <c r="D415" s="2">
        <v>45212</v>
      </c>
      <c r="E415" s="1" t="s">
        <v>46</v>
      </c>
      <c r="F415" s="1" t="s">
        <v>54</v>
      </c>
      <c r="G415" s="1" t="s">
        <v>30</v>
      </c>
      <c r="H415" s="1" t="s">
        <v>42</v>
      </c>
      <c r="I415" s="1" t="s">
        <v>26</v>
      </c>
      <c r="J415" s="1" t="s">
        <v>36</v>
      </c>
      <c r="K415" s="1" t="s">
        <v>45</v>
      </c>
      <c r="L415" s="1">
        <v>1</v>
      </c>
      <c r="M415" s="1">
        <v>1219.7</v>
      </c>
      <c r="N415" s="1">
        <v>5</v>
      </c>
      <c r="O415" s="1">
        <v>1158.71</v>
      </c>
      <c r="P415" s="1">
        <f t="shared" si="31"/>
        <v>1219.7</v>
      </c>
      <c r="Q415" s="10">
        <f t="shared" si="32"/>
        <v>57.935500000000005</v>
      </c>
      <c r="R415" s="11">
        <f t="shared" si="33"/>
        <v>1161.7645</v>
      </c>
      <c r="S415" s="1" t="str">
        <f t="shared" si="34"/>
        <v>Low</v>
      </c>
      <c r="T415" s="1" t="str" cm="1">
        <f t="array" ref="T415">_xlfn.IFS(L415&gt;5,"High",L415=5,"mediam",L415&lt;5,"low")</f>
        <v>low</v>
      </c>
      <c r="U415" s="1" t="b">
        <f t="shared" si="35"/>
        <v>0</v>
      </c>
      <c r="Z415" s="1">
        <v>1680</v>
      </c>
      <c r="AA415" s="5">
        <v>10414</v>
      </c>
    </row>
    <row r="416" spans="1:27" x14ac:dyDescent="0.3">
      <c r="A416" s="5">
        <v>10415</v>
      </c>
      <c r="B416" s="1">
        <v>1995</v>
      </c>
      <c r="C416" s="2">
        <v>45251</v>
      </c>
      <c r="D416" s="2">
        <v>45257</v>
      </c>
      <c r="E416" s="1" t="s">
        <v>46</v>
      </c>
      <c r="F416" s="1" t="s">
        <v>54</v>
      </c>
      <c r="G416" s="1" t="s">
        <v>17</v>
      </c>
      <c r="H416" s="1" t="s">
        <v>42</v>
      </c>
      <c r="I416" s="1" t="s">
        <v>57</v>
      </c>
      <c r="J416" s="1" t="s">
        <v>67</v>
      </c>
      <c r="K416" s="1" t="s">
        <v>28</v>
      </c>
      <c r="L416" s="1">
        <v>2</v>
      </c>
      <c r="M416" s="1">
        <v>3120.32</v>
      </c>
      <c r="N416" s="1">
        <v>20</v>
      </c>
      <c r="O416" s="1">
        <v>4992.51</v>
      </c>
      <c r="P416" s="1">
        <f t="shared" si="31"/>
        <v>6240.64</v>
      </c>
      <c r="Q416" s="10">
        <f t="shared" si="32"/>
        <v>998.50200000000007</v>
      </c>
      <c r="R416" s="11">
        <f t="shared" si="33"/>
        <v>5242.1379999999999</v>
      </c>
      <c r="S416" s="1" t="str">
        <f t="shared" si="34"/>
        <v>Low</v>
      </c>
      <c r="T416" s="1" t="str" cm="1">
        <f t="array" ref="T416">_xlfn.IFS(L416&gt;5,"High",L416=5,"mediam",L416&lt;5,"low")</f>
        <v>low</v>
      </c>
      <c r="U416" s="1" t="b">
        <f t="shared" si="35"/>
        <v>0</v>
      </c>
      <c r="Z416" s="1">
        <v>1995</v>
      </c>
      <c r="AA416" s="5">
        <v>10415</v>
      </c>
    </row>
    <row r="417" spans="1:27" x14ac:dyDescent="0.3">
      <c r="A417" s="5">
        <v>10416</v>
      </c>
      <c r="B417" s="1">
        <v>1160</v>
      </c>
      <c r="C417" s="2">
        <v>44951</v>
      </c>
      <c r="D417" s="2">
        <v>44953</v>
      </c>
      <c r="E417" s="1" t="s">
        <v>34</v>
      </c>
      <c r="F417" s="1" t="s">
        <v>54</v>
      </c>
      <c r="G417" s="1" t="s">
        <v>24</v>
      </c>
      <c r="H417" s="1" t="s">
        <v>18</v>
      </c>
      <c r="I417" s="1" t="s">
        <v>49</v>
      </c>
      <c r="J417" s="1" t="s">
        <v>63</v>
      </c>
      <c r="K417" s="1" t="s">
        <v>33</v>
      </c>
      <c r="L417" s="1">
        <v>8</v>
      </c>
      <c r="M417" s="1">
        <v>2659.82</v>
      </c>
      <c r="N417" s="1">
        <v>0</v>
      </c>
      <c r="O417" s="1">
        <v>21278.560000000001</v>
      </c>
      <c r="P417" s="1">
        <f t="shared" si="31"/>
        <v>21278.560000000001</v>
      </c>
      <c r="Q417" s="10">
        <f t="shared" si="32"/>
        <v>0</v>
      </c>
      <c r="R417" s="11">
        <f t="shared" si="33"/>
        <v>21278.560000000001</v>
      </c>
      <c r="S417" s="1" t="str">
        <f t="shared" si="34"/>
        <v>High</v>
      </c>
      <c r="T417" s="1" t="str" cm="1">
        <f t="array" ref="T417">_xlfn.IFS(L417&gt;5,"High",L417=5,"mediam",L417&lt;5,"low")</f>
        <v>High</v>
      </c>
      <c r="U417" s="1" t="str">
        <f t="shared" si="35"/>
        <v>High</v>
      </c>
      <c r="Z417" s="1">
        <v>1160</v>
      </c>
      <c r="AA417" s="5">
        <v>10416</v>
      </c>
    </row>
    <row r="418" spans="1:27" x14ac:dyDescent="0.3">
      <c r="A418" s="5">
        <v>10417</v>
      </c>
      <c r="B418" s="1">
        <v>1579</v>
      </c>
      <c r="C418" s="2">
        <v>45057</v>
      </c>
      <c r="D418" s="2">
        <v>45065</v>
      </c>
      <c r="E418" s="1" t="s">
        <v>22</v>
      </c>
      <c r="F418" s="1" t="s">
        <v>54</v>
      </c>
      <c r="G418" s="1" t="s">
        <v>17</v>
      </c>
      <c r="H418" s="1" t="s">
        <v>44</v>
      </c>
      <c r="I418" s="1" t="s">
        <v>52</v>
      </c>
      <c r="J418" s="1" t="s">
        <v>64</v>
      </c>
      <c r="K418" s="1" t="s">
        <v>45</v>
      </c>
      <c r="L418" s="1">
        <v>1</v>
      </c>
      <c r="M418" s="1">
        <v>3354.81</v>
      </c>
      <c r="N418" s="1">
        <v>0</v>
      </c>
      <c r="O418" s="1">
        <v>3354.81</v>
      </c>
      <c r="P418" s="1">
        <f t="shared" si="31"/>
        <v>3354.81</v>
      </c>
      <c r="Q418" s="10">
        <f t="shared" si="32"/>
        <v>0</v>
      </c>
      <c r="R418" s="11">
        <f t="shared" si="33"/>
        <v>3354.81</v>
      </c>
      <c r="S418" s="1" t="str">
        <f t="shared" si="34"/>
        <v>Low</v>
      </c>
      <c r="T418" s="1" t="str" cm="1">
        <f t="array" ref="T418">_xlfn.IFS(L418&gt;5,"High",L418=5,"mediam",L418&lt;5,"low")</f>
        <v>low</v>
      </c>
      <c r="U418" s="1" t="b">
        <f t="shared" si="35"/>
        <v>0</v>
      </c>
      <c r="Z418" s="1">
        <v>1579</v>
      </c>
      <c r="AA418" s="5">
        <v>10417</v>
      </c>
    </row>
    <row r="419" spans="1:27" x14ac:dyDescent="0.3">
      <c r="A419" s="5">
        <v>10418</v>
      </c>
      <c r="B419" s="1">
        <v>1800</v>
      </c>
      <c r="C419" s="2">
        <v>45279</v>
      </c>
      <c r="D419" s="2">
        <v>45280</v>
      </c>
      <c r="E419" s="1" t="s">
        <v>40</v>
      </c>
      <c r="F419" s="1" t="s">
        <v>54</v>
      </c>
      <c r="G419" s="1" t="s">
        <v>24</v>
      </c>
      <c r="H419" s="1" t="s">
        <v>35</v>
      </c>
      <c r="I419" s="1" t="s">
        <v>52</v>
      </c>
      <c r="J419" s="1" t="s">
        <v>56</v>
      </c>
      <c r="K419" s="1" t="s">
        <v>33</v>
      </c>
      <c r="L419" s="1">
        <v>8</v>
      </c>
      <c r="M419" s="1">
        <v>3905.57</v>
      </c>
      <c r="N419" s="1">
        <v>10</v>
      </c>
      <c r="O419" s="1">
        <v>28120.1</v>
      </c>
      <c r="P419" s="1">
        <f t="shared" si="31"/>
        <v>31244.560000000001</v>
      </c>
      <c r="Q419" s="10">
        <f t="shared" si="32"/>
        <v>2812.01</v>
      </c>
      <c r="R419" s="11">
        <f t="shared" si="33"/>
        <v>28432.550000000003</v>
      </c>
      <c r="S419" s="1" t="str">
        <f t="shared" si="34"/>
        <v>High</v>
      </c>
      <c r="T419" s="1" t="str" cm="1">
        <f t="array" ref="T419">_xlfn.IFS(L419&gt;5,"High",L419=5,"mediam",L419&lt;5,"low")</f>
        <v>High</v>
      </c>
      <c r="U419" s="1" t="str">
        <f t="shared" si="35"/>
        <v>High</v>
      </c>
      <c r="Z419" s="1">
        <v>1800</v>
      </c>
      <c r="AA419" s="5">
        <v>10418</v>
      </c>
    </row>
    <row r="420" spans="1:27" x14ac:dyDescent="0.3">
      <c r="A420" s="5">
        <v>10419</v>
      </c>
      <c r="B420" s="1">
        <v>1397</v>
      </c>
      <c r="C420" s="2">
        <v>45122</v>
      </c>
      <c r="D420" s="2">
        <v>45129</v>
      </c>
      <c r="E420" s="1" t="s">
        <v>15</v>
      </c>
      <c r="F420" s="1" t="s">
        <v>16</v>
      </c>
      <c r="G420" s="1" t="s">
        <v>24</v>
      </c>
      <c r="H420" s="1" t="s">
        <v>35</v>
      </c>
      <c r="I420" s="1" t="s">
        <v>26</v>
      </c>
      <c r="J420" s="1" t="s">
        <v>27</v>
      </c>
      <c r="K420" s="1" t="s">
        <v>47</v>
      </c>
      <c r="L420" s="1">
        <v>8</v>
      </c>
      <c r="M420" s="1">
        <v>1975.53</v>
      </c>
      <c r="N420" s="1">
        <v>5</v>
      </c>
      <c r="O420" s="1">
        <v>15014.03</v>
      </c>
      <c r="P420" s="1">
        <f t="shared" si="31"/>
        <v>15804.24</v>
      </c>
      <c r="Q420" s="10">
        <f t="shared" si="32"/>
        <v>750.70150000000012</v>
      </c>
      <c r="R420" s="11">
        <f t="shared" si="33"/>
        <v>15053.538499999999</v>
      </c>
      <c r="S420" s="1" t="str">
        <f t="shared" si="34"/>
        <v>High</v>
      </c>
      <c r="T420" s="1" t="str" cm="1">
        <f t="array" ref="T420">_xlfn.IFS(L420&gt;5,"High",L420=5,"mediam",L420&lt;5,"low")</f>
        <v>High</v>
      </c>
      <c r="U420" s="1" t="str">
        <f t="shared" si="35"/>
        <v>High</v>
      </c>
      <c r="Z420" s="1">
        <v>1397</v>
      </c>
      <c r="AA420" s="5">
        <v>10419</v>
      </c>
    </row>
    <row r="421" spans="1:27" x14ac:dyDescent="0.3">
      <c r="A421" s="5">
        <v>10420</v>
      </c>
      <c r="B421" s="1">
        <v>1276</v>
      </c>
      <c r="C421" s="2">
        <v>45207</v>
      </c>
      <c r="D421" s="2">
        <v>45209</v>
      </c>
      <c r="E421" s="1" t="s">
        <v>15</v>
      </c>
      <c r="F421" s="1" t="s">
        <v>29</v>
      </c>
      <c r="G421" s="1" t="s">
        <v>24</v>
      </c>
      <c r="H421" s="1" t="s">
        <v>18</v>
      </c>
      <c r="I421" s="1" t="s">
        <v>19</v>
      </c>
      <c r="J421" s="1" t="s">
        <v>66</v>
      </c>
      <c r="K421" s="1" t="s">
        <v>21</v>
      </c>
      <c r="L421" s="1">
        <v>2</v>
      </c>
      <c r="M421" s="1">
        <v>406.77</v>
      </c>
      <c r="N421" s="1">
        <v>10</v>
      </c>
      <c r="O421" s="1">
        <v>732.19</v>
      </c>
      <c r="P421" s="1">
        <f t="shared" si="31"/>
        <v>813.54</v>
      </c>
      <c r="Q421" s="10">
        <f t="shared" si="32"/>
        <v>73.219000000000008</v>
      </c>
      <c r="R421" s="11">
        <f t="shared" si="33"/>
        <v>740.32099999999991</v>
      </c>
      <c r="S421" s="1" t="str">
        <f t="shared" si="34"/>
        <v>Low</v>
      </c>
      <c r="T421" s="1" t="str" cm="1">
        <f t="array" ref="T421">_xlfn.IFS(L421&gt;5,"High",L421=5,"mediam",L421&lt;5,"low")</f>
        <v>low</v>
      </c>
      <c r="U421" s="1" t="b">
        <f t="shared" si="35"/>
        <v>0</v>
      </c>
      <c r="Z421" s="1">
        <v>1276</v>
      </c>
      <c r="AA421" s="5">
        <v>10420</v>
      </c>
    </row>
    <row r="422" spans="1:27" x14ac:dyDescent="0.3">
      <c r="A422" s="5">
        <v>10421</v>
      </c>
      <c r="B422" s="1">
        <v>1815</v>
      </c>
      <c r="C422" s="2">
        <v>45080</v>
      </c>
      <c r="D422" s="2">
        <v>45086</v>
      </c>
      <c r="E422" s="1" t="s">
        <v>46</v>
      </c>
      <c r="F422" s="1" t="s">
        <v>23</v>
      </c>
      <c r="G422" s="1" t="s">
        <v>24</v>
      </c>
      <c r="H422" s="1" t="s">
        <v>18</v>
      </c>
      <c r="I422" s="1" t="s">
        <v>52</v>
      </c>
      <c r="J422" s="1" t="s">
        <v>64</v>
      </c>
      <c r="K422" s="1" t="s">
        <v>45</v>
      </c>
      <c r="L422" s="1">
        <v>4</v>
      </c>
      <c r="M422" s="1">
        <v>335.16</v>
      </c>
      <c r="N422" s="1">
        <v>5</v>
      </c>
      <c r="O422" s="1">
        <v>1273.6099999999999</v>
      </c>
      <c r="P422" s="1">
        <f t="shared" si="31"/>
        <v>1340.64</v>
      </c>
      <c r="Q422" s="10">
        <f t="shared" si="32"/>
        <v>63.680499999999995</v>
      </c>
      <c r="R422" s="11">
        <f t="shared" si="33"/>
        <v>1276.9595000000002</v>
      </c>
      <c r="S422" s="1" t="str">
        <f t="shared" si="34"/>
        <v>Low</v>
      </c>
      <c r="T422" s="1" t="str" cm="1">
        <f t="array" ref="T422">_xlfn.IFS(L422&gt;5,"High",L422=5,"mediam",L422&lt;5,"low")</f>
        <v>low</v>
      </c>
      <c r="U422" s="1" t="b">
        <f t="shared" si="35"/>
        <v>0</v>
      </c>
      <c r="Z422" s="1">
        <v>1815</v>
      </c>
      <c r="AA422" s="5">
        <v>10421</v>
      </c>
    </row>
    <row r="423" spans="1:27" x14ac:dyDescent="0.3">
      <c r="A423" s="5">
        <v>10422</v>
      </c>
      <c r="B423" s="1">
        <v>1915</v>
      </c>
      <c r="C423" s="2">
        <v>45059</v>
      </c>
      <c r="D423" s="2">
        <v>45061</v>
      </c>
      <c r="E423" s="1" t="s">
        <v>16</v>
      </c>
      <c r="F423" s="1" t="s">
        <v>54</v>
      </c>
      <c r="G423" s="1" t="s">
        <v>17</v>
      </c>
      <c r="H423" s="1" t="s">
        <v>18</v>
      </c>
      <c r="I423" s="1" t="s">
        <v>52</v>
      </c>
      <c r="J423" s="1" t="s">
        <v>64</v>
      </c>
      <c r="K423" s="1" t="s">
        <v>47</v>
      </c>
      <c r="L423" s="1">
        <v>6</v>
      </c>
      <c r="M423" s="1">
        <v>1288.31</v>
      </c>
      <c r="N423" s="1">
        <v>15</v>
      </c>
      <c r="O423" s="1">
        <v>6570.38</v>
      </c>
      <c r="P423" s="1">
        <f t="shared" si="31"/>
        <v>7729.86</v>
      </c>
      <c r="Q423" s="10">
        <f t="shared" si="32"/>
        <v>985.55700000000002</v>
      </c>
      <c r="R423" s="11">
        <f t="shared" si="33"/>
        <v>6744.3029999999999</v>
      </c>
      <c r="S423" s="1" t="str">
        <f t="shared" si="34"/>
        <v>High</v>
      </c>
      <c r="T423" s="1" t="str" cm="1">
        <f t="array" ref="T423">_xlfn.IFS(L423&gt;5,"High",L423=5,"mediam",L423&lt;5,"low")</f>
        <v>High</v>
      </c>
      <c r="U423" s="1" t="str">
        <f t="shared" si="35"/>
        <v>High</v>
      </c>
      <c r="Z423" s="1">
        <v>1915</v>
      </c>
      <c r="AA423" s="5">
        <v>10422</v>
      </c>
    </row>
    <row r="424" spans="1:27" x14ac:dyDescent="0.3">
      <c r="A424" s="5">
        <v>10423</v>
      </c>
      <c r="B424" s="1">
        <v>1503</v>
      </c>
      <c r="C424" s="2">
        <v>45153</v>
      </c>
      <c r="D424" s="2">
        <v>45155</v>
      </c>
      <c r="E424" s="1" t="s">
        <v>40</v>
      </c>
      <c r="F424" s="1" t="s">
        <v>16</v>
      </c>
      <c r="G424" s="1" t="s">
        <v>24</v>
      </c>
      <c r="H424" s="1" t="s">
        <v>44</v>
      </c>
      <c r="I424" s="1" t="s">
        <v>52</v>
      </c>
      <c r="J424" s="1" t="s">
        <v>60</v>
      </c>
      <c r="K424" s="1" t="s">
        <v>47</v>
      </c>
      <c r="L424" s="1">
        <v>9</v>
      </c>
      <c r="M424" s="1">
        <v>3740.3</v>
      </c>
      <c r="N424" s="1">
        <v>10</v>
      </c>
      <c r="O424" s="1">
        <v>30296.43</v>
      </c>
      <c r="P424" s="1">
        <f t="shared" si="31"/>
        <v>33662.700000000004</v>
      </c>
      <c r="Q424" s="10">
        <f t="shared" si="32"/>
        <v>3029.643</v>
      </c>
      <c r="R424" s="11">
        <f t="shared" si="33"/>
        <v>30633.057000000004</v>
      </c>
      <c r="S424" s="1" t="str">
        <f t="shared" si="34"/>
        <v>High</v>
      </c>
      <c r="T424" s="1" t="str" cm="1">
        <f t="array" ref="T424">_xlfn.IFS(L424&gt;5,"High",L424=5,"mediam",L424&lt;5,"low")</f>
        <v>High</v>
      </c>
      <c r="U424" s="1" t="str">
        <f t="shared" si="35"/>
        <v>High</v>
      </c>
      <c r="Z424" s="1">
        <v>1503</v>
      </c>
      <c r="AA424" s="5">
        <v>10423</v>
      </c>
    </row>
    <row r="425" spans="1:27" x14ac:dyDescent="0.3">
      <c r="A425" s="5">
        <v>10424</v>
      </c>
      <c r="B425" s="1">
        <v>1895</v>
      </c>
      <c r="C425" s="2">
        <v>45115</v>
      </c>
      <c r="D425" s="2">
        <v>45123</v>
      </c>
      <c r="E425" s="1" t="s">
        <v>37</v>
      </c>
      <c r="F425" s="1" t="s">
        <v>16</v>
      </c>
      <c r="G425" s="1" t="s">
        <v>30</v>
      </c>
      <c r="H425" s="1" t="s">
        <v>42</v>
      </c>
      <c r="I425" s="1" t="s">
        <v>52</v>
      </c>
      <c r="J425" s="1" t="s">
        <v>56</v>
      </c>
      <c r="K425" s="1" t="s">
        <v>45</v>
      </c>
      <c r="L425" s="1">
        <v>8</v>
      </c>
      <c r="M425" s="1">
        <v>2164.37</v>
      </c>
      <c r="N425" s="1">
        <v>10</v>
      </c>
      <c r="O425" s="1">
        <v>15583.46</v>
      </c>
      <c r="P425" s="1">
        <f t="shared" si="31"/>
        <v>17314.96</v>
      </c>
      <c r="Q425" s="10">
        <f t="shared" si="32"/>
        <v>1558.346</v>
      </c>
      <c r="R425" s="11">
        <f t="shared" si="33"/>
        <v>15756.614</v>
      </c>
      <c r="S425" s="1" t="str">
        <f t="shared" si="34"/>
        <v>High</v>
      </c>
      <c r="T425" s="1" t="str" cm="1">
        <f t="array" ref="T425">_xlfn.IFS(L425&gt;5,"High",L425=5,"mediam",L425&lt;5,"low")</f>
        <v>High</v>
      </c>
      <c r="U425" s="1" t="str">
        <f t="shared" si="35"/>
        <v>High</v>
      </c>
      <c r="Z425" s="1">
        <v>1895</v>
      </c>
      <c r="AA425" s="5">
        <v>10424</v>
      </c>
    </row>
    <row r="426" spans="1:27" x14ac:dyDescent="0.3">
      <c r="A426" s="5">
        <v>10425</v>
      </c>
      <c r="B426" s="1">
        <v>1391</v>
      </c>
      <c r="C426" s="2">
        <v>45191</v>
      </c>
      <c r="D426" s="2">
        <v>45193</v>
      </c>
      <c r="E426" s="1" t="s">
        <v>16</v>
      </c>
      <c r="F426" s="1" t="s">
        <v>16</v>
      </c>
      <c r="G426" s="1" t="s">
        <v>30</v>
      </c>
      <c r="H426" s="1" t="s">
        <v>18</v>
      </c>
      <c r="I426" s="1" t="s">
        <v>31</v>
      </c>
      <c r="J426" s="1" t="s">
        <v>39</v>
      </c>
      <c r="K426" s="1" t="s">
        <v>33</v>
      </c>
      <c r="L426" s="1">
        <v>8</v>
      </c>
      <c r="M426" s="1">
        <v>1196.3800000000001</v>
      </c>
      <c r="N426" s="1">
        <v>20</v>
      </c>
      <c r="O426" s="1">
        <v>7656.83</v>
      </c>
      <c r="P426" s="1">
        <f t="shared" si="31"/>
        <v>9571.0400000000009</v>
      </c>
      <c r="Q426" s="10">
        <f t="shared" si="32"/>
        <v>1531.366</v>
      </c>
      <c r="R426" s="11">
        <f t="shared" si="33"/>
        <v>8039.6740000000009</v>
      </c>
      <c r="S426" s="1" t="str">
        <f t="shared" si="34"/>
        <v>High</v>
      </c>
      <c r="T426" s="1" t="str" cm="1">
        <f t="array" ref="T426">_xlfn.IFS(L426&gt;5,"High",L426=5,"mediam",L426&lt;5,"low")</f>
        <v>High</v>
      </c>
      <c r="U426" s="1" t="str">
        <f t="shared" si="35"/>
        <v>High</v>
      </c>
      <c r="Z426" s="1">
        <v>1391</v>
      </c>
      <c r="AA426" s="5">
        <v>10425</v>
      </c>
    </row>
    <row r="427" spans="1:27" x14ac:dyDescent="0.3">
      <c r="A427" s="5">
        <v>10426</v>
      </c>
      <c r="B427" s="1">
        <v>1134</v>
      </c>
      <c r="C427" s="2">
        <v>45060</v>
      </c>
      <c r="D427" s="2">
        <v>45067</v>
      </c>
      <c r="E427" s="1" t="s">
        <v>16</v>
      </c>
      <c r="F427" s="1" t="s">
        <v>29</v>
      </c>
      <c r="G427" s="1" t="s">
        <v>17</v>
      </c>
      <c r="H427" s="1" t="s">
        <v>18</v>
      </c>
      <c r="I427" s="1" t="s">
        <v>31</v>
      </c>
      <c r="J427" s="1" t="s">
        <v>32</v>
      </c>
      <c r="K427" s="1" t="s">
        <v>47</v>
      </c>
      <c r="L427" s="1">
        <v>7</v>
      </c>
      <c r="M427" s="1">
        <v>1686.79</v>
      </c>
      <c r="N427" s="1">
        <v>10</v>
      </c>
      <c r="O427" s="1">
        <v>10626.78</v>
      </c>
      <c r="P427" s="1">
        <f t="shared" si="31"/>
        <v>11807.529999999999</v>
      </c>
      <c r="Q427" s="10">
        <f t="shared" si="32"/>
        <v>1062.6780000000001</v>
      </c>
      <c r="R427" s="11">
        <f t="shared" si="33"/>
        <v>10744.851999999999</v>
      </c>
      <c r="S427" s="1" t="str">
        <f t="shared" si="34"/>
        <v>High</v>
      </c>
      <c r="T427" s="1" t="str" cm="1">
        <f t="array" ref="T427">_xlfn.IFS(L427&gt;5,"High",L427=5,"mediam",L427&lt;5,"low")</f>
        <v>High</v>
      </c>
      <c r="U427" s="1" t="str">
        <f t="shared" si="35"/>
        <v>High</v>
      </c>
      <c r="Z427" s="1">
        <v>1134</v>
      </c>
      <c r="AA427" s="5">
        <v>10426</v>
      </c>
    </row>
    <row r="428" spans="1:27" x14ac:dyDescent="0.3">
      <c r="A428" s="5">
        <v>10427</v>
      </c>
      <c r="B428" s="1">
        <v>1194</v>
      </c>
      <c r="C428" s="2">
        <v>45137</v>
      </c>
      <c r="D428" s="2">
        <v>45140</v>
      </c>
      <c r="E428" s="1" t="s">
        <v>40</v>
      </c>
      <c r="F428" s="1" t="s">
        <v>23</v>
      </c>
      <c r="G428" s="1" t="s">
        <v>24</v>
      </c>
      <c r="H428" s="1" t="s">
        <v>25</v>
      </c>
      <c r="I428" s="1" t="s">
        <v>19</v>
      </c>
      <c r="J428" s="1" t="s">
        <v>55</v>
      </c>
      <c r="K428" s="1" t="s">
        <v>28</v>
      </c>
      <c r="L428" s="1">
        <v>9</v>
      </c>
      <c r="M428" s="1">
        <v>2454.59</v>
      </c>
      <c r="N428" s="1">
        <v>5</v>
      </c>
      <c r="O428" s="1">
        <v>20986.74</v>
      </c>
      <c r="P428" s="1">
        <f t="shared" si="31"/>
        <v>22091.31</v>
      </c>
      <c r="Q428" s="10">
        <f t="shared" si="32"/>
        <v>1049.3370000000002</v>
      </c>
      <c r="R428" s="11">
        <f t="shared" si="33"/>
        <v>21041.973000000002</v>
      </c>
      <c r="S428" s="1" t="str">
        <f t="shared" si="34"/>
        <v>High</v>
      </c>
      <c r="T428" s="1" t="str" cm="1">
        <f t="array" ref="T428">_xlfn.IFS(L428&gt;5,"High",L428=5,"mediam",L428&lt;5,"low")</f>
        <v>High</v>
      </c>
      <c r="U428" s="1" t="str">
        <f t="shared" si="35"/>
        <v>High</v>
      </c>
      <c r="Z428" s="1">
        <v>1194</v>
      </c>
      <c r="AA428" s="5">
        <v>10427</v>
      </c>
    </row>
    <row r="429" spans="1:27" x14ac:dyDescent="0.3">
      <c r="A429" s="5">
        <v>10428</v>
      </c>
      <c r="B429" s="1">
        <v>1400</v>
      </c>
      <c r="C429" s="2">
        <v>44986</v>
      </c>
      <c r="D429" s="2">
        <v>44994</v>
      </c>
      <c r="E429" s="1" t="s">
        <v>22</v>
      </c>
      <c r="F429" s="1" t="s">
        <v>29</v>
      </c>
      <c r="G429" s="1" t="s">
        <v>30</v>
      </c>
      <c r="H429" s="1" t="s">
        <v>44</v>
      </c>
      <c r="I429" s="1" t="s">
        <v>49</v>
      </c>
      <c r="J429" s="1" t="s">
        <v>51</v>
      </c>
      <c r="K429" s="1" t="s">
        <v>47</v>
      </c>
      <c r="L429" s="1">
        <v>2</v>
      </c>
      <c r="M429" s="1">
        <v>2663.86</v>
      </c>
      <c r="N429" s="1">
        <v>20</v>
      </c>
      <c r="O429" s="1">
        <v>4262.18</v>
      </c>
      <c r="P429" s="1">
        <f t="shared" si="31"/>
        <v>5327.72</v>
      </c>
      <c r="Q429" s="10">
        <f t="shared" si="32"/>
        <v>852.43600000000015</v>
      </c>
      <c r="R429" s="11">
        <f t="shared" si="33"/>
        <v>4475.2839999999997</v>
      </c>
      <c r="S429" s="1" t="str">
        <f t="shared" si="34"/>
        <v>Low</v>
      </c>
      <c r="T429" s="1" t="str" cm="1">
        <f t="array" ref="T429">_xlfn.IFS(L429&gt;5,"High",L429=5,"mediam",L429&lt;5,"low")</f>
        <v>low</v>
      </c>
      <c r="U429" s="1" t="b">
        <f t="shared" si="35"/>
        <v>0</v>
      </c>
      <c r="Z429" s="1">
        <v>1400</v>
      </c>
      <c r="AA429" s="5">
        <v>10428</v>
      </c>
    </row>
    <row r="430" spans="1:27" x14ac:dyDescent="0.3">
      <c r="A430" s="5">
        <v>10429</v>
      </c>
      <c r="B430" s="1">
        <v>1639</v>
      </c>
      <c r="C430" s="2">
        <v>45290</v>
      </c>
      <c r="D430" s="2">
        <v>45297</v>
      </c>
      <c r="E430" s="1" t="s">
        <v>46</v>
      </c>
      <c r="F430" s="1" t="s">
        <v>38</v>
      </c>
      <c r="G430" s="1" t="s">
        <v>17</v>
      </c>
      <c r="H430" s="1" t="s">
        <v>18</v>
      </c>
      <c r="I430" s="1" t="s">
        <v>52</v>
      </c>
      <c r="J430" s="1" t="s">
        <v>56</v>
      </c>
      <c r="K430" s="1" t="s">
        <v>33</v>
      </c>
      <c r="L430" s="1">
        <v>3</v>
      </c>
      <c r="M430" s="1">
        <v>742.59</v>
      </c>
      <c r="N430" s="1">
        <v>10</v>
      </c>
      <c r="O430" s="1">
        <v>2004.99</v>
      </c>
      <c r="P430" s="1">
        <f t="shared" si="31"/>
        <v>2227.77</v>
      </c>
      <c r="Q430" s="10">
        <f t="shared" si="32"/>
        <v>200.49900000000002</v>
      </c>
      <c r="R430" s="11">
        <f t="shared" si="33"/>
        <v>2027.271</v>
      </c>
      <c r="S430" s="1" t="str">
        <f t="shared" si="34"/>
        <v>Low</v>
      </c>
      <c r="T430" s="1" t="str" cm="1">
        <f t="array" ref="T430">_xlfn.IFS(L430&gt;5,"High",L430=5,"mediam",L430&lt;5,"low")</f>
        <v>low</v>
      </c>
      <c r="U430" s="1" t="b">
        <f t="shared" si="35"/>
        <v>0</v>
      </c>
      <c r="Z430" s="1">
        <v>1639</v>
      </c>
      <c r="AA430" s="5">
        <v>10429</v>
      </c>
    </row>
    <row r="431" spans="1:27" x14ac:dyDescent="0.3">
      <c r="A431" s="5">
        <v>10430</v>
      </c>
      <c r="B431" s="1">
        <v>1032</v>
      </c>
      <c r="C431" s="2">
        <v>45290</v>
      </c>
      <c r="D431" s="2">
        <v>45298</v>
      </c>
      <c r="E431" s="1" t="s">
        <v>46</v>
      </c>
      <c r="F431" s="1" t="s">
        <v>16</v>
      </c>
      <c r="G431" s="1" t="s">
        <v>24</v>
      </c>
      <c r="H431" s="1" t="s">
        <v>25</v>
      </c>
      <c r="I431" s="1" t="s">
        <v>26</v>
      </c>
      <c r="J431" s="1" t="s">
        <v>69</v>
      </c>
      <c r="K431" s="1" t="s">
        <v>33</v>
      </c>
      <c r="L431" s="1">
        <v>8</v>
      </c>
      <c r="M431" s="1">
        <v>3911.57</v>
      </c>
      <c r="N431" s="1">
        <v>10</v>
      </c>
      <c r="O431" s="1">
        <v>28163.3</v>
      </c>
      <c r="P431" s="1">
        <f t="shared" si="31"/>
        <v>31292.560000000001</v>
      </c>
      <c r="Q431" s="10">
        <f t="shared" si="32"/>
        <v>2816.33</v>
      </c>
      <c r="R431" s="11">
        <f t="shared" si="33"/>
        <v>28476.230000000003</v>
      </c>
      <c r="S431" s="1" t="str">
        <f t="shared" si="34"/>
        <v>High</v>
      </c>
      <c r="T431" s="1" t="str" cm="1">
        <f t="array" ref="T431">_xlfn.IFS(L431&gt;5,"High",L431=5,"mediam",L431&lt;5,"low")</f>
        <v>High</v>
      </c>
      <c r="U431" s="1" t="str">
        <f t="shared" si="35"/>
        <v>High</v>
      </c>
      <c r="Z431" s="1">
        <v>1032</v>
      </c>
      <c r="AA431" s="5">
        <v>10430</v>
      </c>
    </row>
    <row r="432" spans="1:27" x14ac:dyDescent="0.3">
      <c r="A432" s="5">
        <v>10431</v>
      </c>
      <c r="B432" s="1">
        <v>1687</v>
      </c>
      <c r="C432" s="2">
        <v>45139</v>
      </c>
      <c r="D432" s="2">
        <v>45146</v>
      </c>
      <c r="E432" s="1" t="s">
        <v>46</v>
      </c>
      <c r="F432" s="1" t="s">
        <v>38</v>
      </c>
      <c r="G432" s="1" t="s">
        <v>30</v>
      </c>
      <c r="H432" s="1" t="s">
        <v>35</v>
      </c>
      <c r="I432" s="1" t="s">
        <v>49</v>
      </c>
      <c r="J432" s="1" t="s">
        <v>51</v>
      </c>
      <c r="K432" s="1" t="s">
        <v>28</v>
      </c>
      <c r="L432" s="1">
        <v>6</v>
      </c>
      <c r="M432" s="1">
        <v>2247.37</v>
      </c>
      <c r="N432" s="1">
        <v>15</v>
      </c>
      <c r="O432" s="1">
        <v>11461.59</v>
      </c>
      <c r="P432" s="1">
        <f t="shared" si="31"/>
        <v>13484.22</v>
      </c>
      <c r="Q432" s="10">
        <f t="shared" si="32"/>
        <v>1719.2384999999999</v>
      </c>
      <c r="R432" s="11">
        <f t="shared" si="33"/>
        <v>11764.9815</v>
      </c>
      <c r="S432" s="1" t="str">
        <f t="shared" si="34"/>
        <v>High</v>
      </c>
      <c r="T432" s="1" t="str" cm="1">
        <f t="array" ref="T432">_xlfn.IFS(L432&gt;5,"High",L432=5,"mediam",L432&lt;5,"low")</f>
        <v>High</v>
      </c>
      <c r="U432" s="1" t="str">
        <f t="shared" si="35"/>
        <v>High</v>
      </c>
      <c r="Z432" s="1">
        <v>1687</v>
      </c>
      <c r="AA432" s="5">
        <v>10431</v>
      </c>
    </row>
    <row r="433" spans="1:27" x14ac:dyDescent="0.3">
      <c r="A433" s="5">
        <v>10432</v>
      </c>
      <c r="B433" s="1">
        <v>1459</v>
      </c>
      <c r="C433" s="2">
        <v>45142</v>
      </c>
      <c r="D433" s="2">
        <v>45148</v>
      </c>
      <c r="E433" s="1" t="s">
        <v>46</v>
      </c>
      <c r="F433" s="1" t="s">
        <v>41</v>
      </c>
      <c r="G433" s="1" t="s">
        <v>30</v>
      </c>
      <c r="H433" s="1" t="s">
        <v>18</v>
      </c>
      <c r="I433" s="1" t="s">
        <v>26</v>
      </c>
      <c r="J433" s="1" t="s">
        <v>61</v>
      </c>
      <c r="K433" s="1" t="s">
        <v>47</v>
      </c>
      <c r="L433" s="1">
        <v>9</v>
      </c>
      <c r="M433" s="1">
        <v>672.4</v>
      </c>
      <c r="N433" s="1">
        <v>10</v>
      </c>
      <c r="O433" s="1">
        <v>5446.44</v>
      </c>
      <c r="P433" s="1">
        <f t="shared" si="31"/>
        <v>6051.5999999999995</v>
      </c>
      <c r="Q433" s="10">
        <f t="shared" si="32"/>
        <v>544.64400000000001</v>
      </c>
      <c r="R433" s="11">
        <f t="shared" si="33"/>
        <v>5506.9559999999992</v>
      </c>
      <c r="S433" s="1" t="str">
        <f t="shared" si="34"/>
        <v>High</v>
      </c>
      <c r="T433" s="1" t="str" cm="1">
        <f t="array" ref="T433">_xlfn.IFS(L433&gt;5,"High",L433=5,"mediam",L433&lt;5,"low")</f>
        <v>High</v>
      </c>
      <c r="U433" s="1" t="str">
        <f t="shared" si="35"/>
        <v>High</v>
      </c>
      <c r="Z433" s="1">
        <v>1459</v>
      </c>
      <c r="AA433" s="5">
        <v>10432</v>
      </c>
    </row>
    <row r="434" spans="1:27" x14ac:dyDescent="0.3">
      <c r="A434" s="5">
        <v>10433</v>
      </c>
      <c r="B434" s="1">
        <v>1954</v>
      </c>
      <c r="C434" s="2">
        <v>45152</v>
      </c>
      <c r="D434" s="2">
        <v>45159</v>
      </c>
      <c r="E434" s="1" t="s">
        <v>15</v>
      </c>
      <c r="F434" s="1" t="s">
        <v>54</v>
      </c>
      <c r="G434" s="1" t="s">
        <v>17</v>
      </c>
      <c r="H434" s="1" t="s">
        <v>18</v>
      </c>
      <c r="I434" s="1" t="s">
        <v>49</v>
      </c>
      <c r="J434" s="1" t="s">
        <v>51</v>
      </c>
      <c r="K434" s="1" t="s">
        <v>33</v>
      </c>
      <c r="L434" s="1">
        <v>4</v>
      </c>
      <c r="M434" s="1">
        <v>3590.5</v>
      </c>
      <c r="N434" s="1">
        <v>0</v>
      </c>
      <c r="O434" s="1">
        <v>14362</v>
      </c>
      <c r="P434" s="1">
        <f t="shared" si="31"/>
        <v>14362</v>
      </c>
      <c r="Q434" s="10">
        <f t="shared" si="32"/>
        <v>0</v>
      </c>
      <c r="R434" s="11">
        <f t="shared" si="33"/>
        <v>14362</v>
      </c>
      <c r="S434" s="1" t="str">
        <f t="shared" si="34"/>
        <v>Low</v>
      </c>
      <c r="T434" s="1" t="str" cm="1">
        <f t="array" ref="T434">_xlfn.IFS(L434&gt;5,"High",L434=5,"mediam",L434&lt;5,"low")</f>
        <v>low</v>
      </c>
      <c r="U434" s="1" t="b">
        <f t="shared" si="35"/>
        <v>0</v>
      </c>
      <c r="Z434" s="1">
        <v>1954</v>
      </c>
      <c r="AA434" s="5">
        <v>10433</v>
      </c>
    </row>
    <row r="435" spans="1:27" x14ac:dyDescent="0.3">
      <c r="A435" s="5">
        <v>10434</v>
      </c>
      <c r="B435" s="1">
        <v>1882</v>
      </c>
      <c r="C435" s="2">
        <v>45057</v>
      </c>
      <c r="D435" s="2">
        <v>45062</v>
      </c>
      <c r="E435" s="1" t="s">
        <v>46</v>
      </c>
      <c r="F435" s="1" t="s">
        <v>54</v>
      </c>
      <c r="G435" s="1" t="s">
        <v>24</v>
      </c>
      <c r="H435" s="1" t="s">
        <v>25</v>
      </c>
      <c r="I435" s="1" t="s">
        <v>19</v>
      </c>
      <c r="J435" s="1" t="s">
        <v>20</v>
      </c>
      <c r="K435" s="1" t="s">
        <v>45</v>
      </c>
      <c r="L435" s="1">
        <v>8</v>
      </c>
      <c r="M435" s="1">
        <v>437.36</v>
      </c>
      <c r="N435" s="1">
        <v>20</v>
      </c>
      <c r="O435" s="1">
        <v>2799.1</v>
      </c>
      <c r="P435" s="1">
        <f t="shared" si="31"/>
        <v>3498.88</v>
      </c>
      <c r="Q435" s="10">
        <f t="shared" si="32"/>
        <v>559.82000000000005</v>
      </c>
      <c r="R435" s="11">
        <f t="shared" si="33"/>
        <v>2939.06</v>
      </c>
      <c r="S435" s="1" t="str">
        <f t="shared" si="34"/>
        <v>High</v>
      </c>
      <c r="T435" s="1" t="str" cm="1">
        <f t="array" ref="T435">_xlfn.IFS(L435&gt;5,"High",L435=5,"mediam",L435&lt;5,"low")</f>
        <v>High</v>
      </c>
      <c r="U435" s="1" t="str">
        <f t="shared" si="35"/>
        <v>High</v>
      </c>
      <c r="Z435" s="1">
        <v>1882</v>
      </c>
      <c r="AA435" s="5">
        <v>10434</v>
      </c>
    </row>
    <row r="436" spans="1:27" x14ac:dyDescent="0.3">
      <c r="A436" s="5">
        <v>10435</v>
      </c>
      <c r="B436" s="1">
        <v>1469</v>
      </c>
      <c r="C436" s="2">
        <v>45002</v>
      </c>
      <c r="D436" s="2">
        <v>45009</v>
      </c>
      <c r="E436" s="1" t="s">
        <v>15</v>
      </c>
      <c r="F436" s="1" t="s">
        <v>29</v>
      </c>
      <c r="G436" s="1" t="s">
        <v>24</v>
      </c>
      <c r="H436" s="1" t="s">
        <v>44</v>
      </c>
      <c r="I436" s="1" t="s">
        <v>52</v>
      </c>
      <c r="J436" s="1" t="s">
        <v>56</v>
      </c>
      <c r="K436" s="1" t="s">
        <v>21</v>
      </c>
      <c r="L436" s="1">
        <v>3</v>
      </c>
      <c r="M436" s="1">
        <v>3644.78</v>
      </c>
      <c r="N436" s="1">
        <v>0</v>
      </c>
      <c r="O436" s="1">
        <v>10934.34</v>
      </c>
      <c r="P436" s="1">
        <f t="shared" si="31"/>
        <v>10934.34</v>
      </c>
      <c r="Q436" s="10">
        <f t="shared" si="32"/>
        <v>0</v>
      </c>
      <c r="R436" s="11">
        <f t="shared" si="33"/>
        <v>10934.34</v>
      </c>
      <c r="S436" s="1" t="str">
        <f t="shared" si="34"/>
        <v>Low</v>
      </c>
      <c r="T436" s="1" t="str" cm="1">
        <f t="array" ref="T436">_xlfn.IFS(L436&gt;5,"High",L436=5,"mediam",L436&lt;5,"low")</f>
        <v>low</v>
      </c>
      <c r="U436" s="1" t="b">
        <f t="shared" si="35"/>
        <v>0</v>
      </c>
      <c r="Z436" s="1">
        <v>1469</v>
      </c>
      <c r="AA436" s="5">
        <v>10435</v>
      </c>
    </row>
    <row r="437" spans="1:27" x14ac:dyDescent="0.3">
      <c r="A437" s="5">
        <v>10436</v>
      </c>
      <c r="B437" s="1">
        <v>1374</v>
      </c>
      <c r="C437" s="2">
        <v>45212</v>
      </c>
      <c r="D437" s="2">
        <v>45213</v>
      </c>
      <c r="E437" s="1" t="s">
        <v>15</v>
      </c>
      <c r="F437" s="1" t="s">
        <v>23</v>
      </c>
      <c r="G437" s="1" t="s">
        <v>30</v>
      </c>
      <c r="H437" s="1" t="s">
        <v>18</v>
      </c>
      <c r="I437" s="1" t="s">
        <v>52</v>
      </c>
      <c r="J437" s="1" t="s">
        <v>60</v>
      </c>
      <c r="K437" s="1" t="s">
        <v>21</v>
      </c>
      <c r="L437" s="1">
        <v>3</v>
      </c>
      <c r="M437" s="1">
        <v>3986.78</v>
      </c>
      <c r="N437" s="1">
        <v>20</v>
      </c>
      <c r="O437" s="1">
        <v>9568.27</v>
      </c>
      <c r="P437" s="1">
        <f t="shared" si="31"/>
        <v>11960.34</v>
      </c>
      <c r="Q437" s="10">
        <f t="shared" si="32"/>
        <v>1913.6540000000002</v>
      </c>
      <c r="R437" s="11">
        <f t="shared" si="33"/>
        <v>10046.686</v>
      </c>
      <c r="S437" s="1" t="str">
        <f t="shared" si="34"/>
        <v>Low</v>
      </c>
      <c r="T437" s="1" t="str" cm="1">
        <f t="array" ref="T437">_xlfn.IFS(L437&gt;5,"High",L437=5,"mediam",L437&lt;5,"low")</f>
        <v>low</v>
      </c>
      <c r="U437" s="1" t="b">
        <f t="shared" si="35"/>
        <v>0</v>
      </c>
      <c r="Z437" s="1">
        <v>1374</v>
      </c>
      <c r="AA437" s="5">
        <v>10436</v>
      </c>
    </row>
    <row r="438" spans="1:27" x14ac:dyDescent="0.3">
      <c r="A438" s="5">
        <v>10437</v>
      </c>
      <c r="B438" s="1">
        <v>1021</v>
      </c>
      <c r="C438" s="2">
        <v>45203</v>
      </c>
      <c r="D438" s="2">
        <v>45204</v>
      </c>
      <c r="E438" s="1" t="s">
        <v>22</v>
      </c>
      <c r="F438" s="1" t="s">
        <v>38</v>
      </c>
      <c r="G438" s="1" t="s">
        <v>30</v>
      </c>
      <c r="H438" s="1" t="s">
        <v>35</v>
      </c>
      <c r="I438" s="1" t="s">
        <v>57</v>
      </c>
      <c r="J438" s="1" t="s">
        <v>62</v>
      </c>
      <c r="K438" s="1" t="s">
        <v>21</v>
      </c>
      <c r="L438" s="1">
        <v>8</v>
      </c>
      <c r="M438" s="1">
        <v>2846.66</v>
      </c>
      <c r="N438" s="1">
        <v>15</v>
      </c>
      <c r="O438" s="1">
        <v>19357.29</v>
      </c>
      <c r="P438" s="1">
        <f t="shared" si="31"/>
        <v>22773.279999999999</v>
      </c>
      <c r="Q438" s="10">
        <f t="shared" si="32"/>
        <v>2903.5934999999999</v>
      </c>
      <c r="R438" s="11">
        <f t="shared" si="33"/>
        <v>19869.6865</v>
      </c>
      <c r="S438" s="1" t="str">
        <f t="shared" si="34"/>
        <v>High</v>
      </c>
      <c r="T438" s="1" t="str" cm="1">
        <f t="array" ref="T438">_xlfn.IFS(L438&gt;5,"High",L438=5,"mediam",L438&lt;5,"low")</f>
        <v>High</v>
      </c>
      <c r="U438" s="1" t="str">
        <f t="shared" si="35"/>
        <v>High</v>
      </c>
      <c r="Z438" s="1">
        <v>1021</v>
      </c>
      <c r="AA438" s="5">
        <v>10437</v>
      </c>
    </row>
    <row r="439" spans="1:27" x14ac:dyDescent="0.3">
      <c r="A439" s="5">
        <v>10438</v>
      </c>
      <c r="B439" s="1">
        <v>1749</v>
      </c>
      <c r="C439" s="2">
        <v>45082</v>
      </c>
      <c r="D439" s="2">
        <v>45091</v>
      </c>
      <c r="E439" s="1" t="s">
        <v>46</v>
      </c>
      <c r="F439" s="1" t="s">
        <v>23</v>
      </c>
      <c r="G439" s="1" t="s">
        <v>30</v>
      </c>
      <c r="H439" s="1" t="s">
        <v>18</v>
      </c>
      <c r="I439" s="1" t="s">
        <v>26</v>
      </c>
      <c r="J439" s="1" t="s">
        <v>61</v>
      </c>
      <c r="K439" s="1" t="s">
        <v>47</v>
      </c>
      <c r="L439" s="1">
        <v>5</v>
      </c>
      <c r="M439" s="1">
        <v>3116.22</v>
      </c>
      <c r="N439" s="1">
        <v>10</v>
      </c>
      <c r="O439" s="1">
        <v>14022.99</v>
      </c>
      <c r="P439" s="1">
        <f t="shared" si="31"/>
        <v>15581.099999999999</v>
      </c>
      <c r="Q439" s="10">
        <f t="shared" si="32"/>
        <v>1402.299</v>
      </c>
      <c r="R439" s="11">
        <f t="shared" si="33"/>
        <v>14178.800999999999</v>
      </c>
      <c r="S439" s="1" t="str">
        <f t="shared" si="34"/>
        <v>High</v>
      </c>
      <c r="T439" s="1" t="str" cm="1">
        <f t="array" ref="T439">_xlfn.IFS(L439&gt;5,"High",L439=5,"mediam",L439&lt;5,"low")</f>
        <v>mediam</v>
      </c>
      <c r="U439" s="1" t="b">
        <f t="shared" si="35"/>
        <v>0</v>
      </c>
      <c r="Z439" s="1">
        <v>1749</v>
      </c>
      <c r="AA439" s="5">
        <v>10438</v>
      </c>
    </row>
    <row r="440" spans="1:27" x14ac:dyDescent="0.3">
      <c r="A440" s="5">
        <v>10439</v>
      </c>
      <c r="B440" s="1">
        <v>1669</v>
      </c>
      <c r="C440" s="2">
        <v>45174</v>
      </c>
      <c r="D440" s="2">
        <v>45179</v>
      </c>
      <c r="E440" s="1" t="s">
        <v>34</v>
      </c>
      <c r="F440" s="1" t="s">
        <v>29</v>
      </c>
      <c r="G440" s="1" t="s">
        <v>24</v>
      </c>
      <c r="H440" s="1" t="s">
        <v>35</v>
      </c>
      <c r="I440" s="1" t="s">
        <v>49</v>
      </c>
      <c r="J440" s="1" t="s">
        <v>51</v>
      </c>
      <c r="K440" s="1" t="s">
        <v>28</v>
      </c>
      <c r="L440" s="1">
        <v>3</v>
      </c>
      <c r="M440" s="1">
        <v>1448.62</v>
      </c>
      <c r="N440" s="1">
        <v>10</v>
      </c>
      <c r="O440" s="1">
        <v>3911.27</v>
      </c>
      <c r="P440" s="1">
        <f t="shared" si="31"/>
        <v>4345.8599999999997</v>
      </c>
      <c r="Q440" s="10">
        <f t="shared" si="32"/>
        <v>391.12700000000001</v>
      </c>
      <c r="R440" s="11">
        <f t="shared" si="33"/>
        <v>3954.7329999999997</v>
      </c>
      <c r="S440" s="1" t="str">
        <f t="shared" si="34"/>
        <v>Low</v>
      </c>
      <c r="T440" s="1" t="str" cm="1">
        <f t="array" ref="T440">_xlfn.IFS(L440&gt;5,"High",L440=5,"mediam",L440&lt;5,"low")</f>
        <v>low</v>
      </c>
      <c r="U440" s="1" t="b">
        <f t="shared" si="35"/>
        <v>0</v>
      </c>
      <c r="Z440" s="1">
        <v>1669</v>
      </c>
      <c r="AA440" s="5">
        <v>10439</v>
      </c>
    </row>
    <row r="441" spans="1:27" x14ac:dyDescent="0.3">
      <c r="A441" s="5">
        <v>10440</v>
      </c>
      <c r="B441" s="1">
        <v>1037</v>
      </c>
      <c r="C441" s="2">
        <v>45144</v>
      </c>
      <c r="D441" s="2">
        <v>45149</v>
      </c>
      <c r="E441" s="1" t="s">
        <v>37</v>
      </c>
      <c r="F441" s="1" t="s">
        <v>54</v>
      </c>
      <c r="G441" s="1" t="s">
        <v>17</v>
      </c>
      <c r="H441" s="1" t="s">
        <v>42</v>
      </c>
      <c r="I441" s="1" t="s">
        <v>49</v>
      </c>
      <c r="J441" s="1" t="s">
        <v>50</v>
      </c>
      <c r="K441" s="1" t="s">
        <v>33</v>
      </c>
      <c r="L441" s="1">
        <v>1</v>
      </c>
      <c r="M441" s="1">
        <v>3775.07</v>
      </c>
      <c r="N441" s="1">
        <v>10</v>
      </c>
      <c r="O441" s="1">
        <v>3397.56</v>
      </c>
      <c r="P441" s="1">
        <f t="shared" si="31"/>
        <v>3775.07</v>
      </c>
      <c r="Q441" s="10">
        <f t="shared" si="32"/>
        <v>339.75600000000003</v>
      </c>
      <c r="R441" s="11">
        <f t="shared" si="33"/>
        <v>3435.3140000000003</v>
      </c>
      <c r="S441" s="1" t="str">
        <f t="shared" si="34"/>
        <v>Low</v>
      </c>
      <c r="T441" s="1" t="str" cm="1">
        <f t="array" ref="T441">_xlfn.IFS(L441&gt;5,"High",L441=5,"mediam",L441&lt;5,"low")</f>
        <v>low</v>
      </c>
      <c r="U441" s="1" t="b">
        <f t="shared" si="35"/>
        <v>0</v>
      </c>
      <c r="Z441" s="1">
        <v>1037</v>
      </c>
      <c r="AA441" s="5">
        <v>10440</v>
      </c>
    </row>
    <row r="442" spans="1:27" x14ac:dyDescent="0.3">
      <c r="A442" s="5">
        <v>10441</v>
      </c>
      <c r="B442" s="1">
        <v>1229</v>
      </c>
      <c r="C442" s="2">
        <v>45116</v>
      </c>
      <c r="D442" s="2">
        <v>45119</v>
      </c>
      <c r="E442" s="1" t="s">
        <v>16</v>
      </c>
      <c r="F442" s="1" t="s">
        <v>23</v>
      </c>
      <c r="G442" s="1" t="s">
        <v>17</v>
      </c>
      <c r="H442" s="1" t="s">
        <v>42</v>
      </c>
      <c r="I442" s="1" t="s">
        <v>31</v>
      </c>
      <c r="J442" s="1" t="s">
        <v>65</v>
      </c>
      <c r="K442" s="1" t="s">
        <v>45</v>
      </c>
      <c r="L442" s="1">
        <v>3</v>
      </c>
      <c r="M442" s="1">
        <v>2189.4</v>
      </c>
      <c r="N442" s="1">
        <v>20</v>
      </c>
      <c r="O442" s="1">
        <v>5254.56</v>
      </c>
      <c r="P442" s="1">
        <f t="shared" si="31"/>
        <v>6568.2000000000007</v>
      </c>
      <c r="Q442" s="10">
        <f t="shared" si="32"/>
        <v>1050.912</v>
      </c>
      <c r="R442" s="11">
        <f t="shared" si="33"/>
        <v>5517.2880000000005</v>
      </c>
      <c r="S442" s="1" t="str">
        <f t="shared" si="34"/>
        <v>Low</v>
      </c>
      <c r="T442" s="1" t="str" cm="1">
        <f t="array" ref="T442">_xlfn.IFS(L442&gt;5,"High",L442=5,"mediam",L442&lt;5,"low")</f>
        <v>low</v>
      </c>
      <c r="U442" s="1" t="b">
        <f t="shared" si="35"/>
        <v>0</v>
      </c>
      <c r="Z442" s="1">
        <v>1229</v>
      </c>
      <c r="AA442" s="5">
        <v>10441</v>
      </c>
    </row>
    <row r="443" spans="1:27" x14ac:dyDescent="0.3">
      <c r="A443" s="5">
        <v>10442</v>
      </c>
      <c r="B443" s="1">
        <v>1364</v>
      </c>
      <c r="C443" s="2">
        <v>45089</v>
      </c>
      <c r="D443" s="2">
        <v>45094</v>
      </c>
      <c r="E443" s="1" t="s">
        <v>15</v>
      </c>
      <c r="F443" s="1" t="s">
        <v>23</v>
      </c>
      <c r="G443" s="1" t="s">
        <v>24</v>
      </c>
      <c r="H443" s="1" t="s">
        <v>35</v>
      </c>
      <c r="I443" s="1" t="s">
        <v>57</v>
      </c>
      <c r="J443" s="1" t="s">
        <v>58</v>
      </c>
      <c r="K443" s="1" t="s">
        <v>45</v>
      </c>
      <c r="L443" s="1">
        <v>9</v>
      </c>
      <c r="M443" s="1">
        <v>2969.7</v>
      </c>
      <c r="N443" s="1">
        <v>10</v>
      </c>
      <c r="O443" s="1">
        <v>24054.57</v>
      </c>
      <c r="P443" s="1">
        <f t="shared" si="31"/>
        <v>26727.3</v>
      </c>
      <c r="Q443" s="10">
        <f t="shared" si="32"/>
        <v>2405.4569999999999</v>
      </c>
      <c r="R443" s="11">
        <f t="shared" si="33"/>
        <v>24321.843000000001</v>
      </c>
      <c r="S443" s="1" t="str">
        <f t="shared" si="34"/>
        <v>High</v>
      </c>
      <c r="T443" s="1" t="str" cm="1">
        <f t="array" ref="T443">_xlfn.IFS(L443&gt;5,"High",L443=5,"mediam",L443&lt;5,"low")</f>
        <v>High</v>
      </c>
      <c r="U443" s="1" t="str">
        <f t="shared" si="35"/>
        <v>High</v>
      </c>
      <c r="Z443" s="1">
        <v>1364</v>
      </c>
      <c r="AA443" s="5">
        <v>10442</v>
      </c>
    </row>
    <row r="444" spans="1:27" x14ac:dyDescent="0.3">
      <c r="A444" s="5">
        <v>10443</v>
      </c>
      <c r="B444" s="1">
        <v>1562</v>
      </c>
      <c r="C444" s="2">
        <v>45106</v>
      </c>
      <c r="D444" s="2">
        <v>45109</v>
      </c>
      <c r="E444" s="1" t="s">
        <v>40</v>
      </c>
      <c r="F444" s="1" t="s">
        <v>54</v>
      </c>
      <c r="G444" s="1" t="s">
        <v>17</v>
      </c>
      <c r="H444" s="1" t="s">
        <v>44</v>
      </c>
      <c r="I444" s="1" t="s">
        <v>31</v>
      </c>
      <c r="J444" s="1" t="s">
        <v>65</v>
      </c>
      <c r="K444" s="1" t="s">
        <v>47</v>
      </c>
      <c r="L444" s="1">
        <v>5</v>
      </c>
      <c r="M444" s="1">
        <v>3707.81</v>
      </c>
      <c r="N444" s="1">
        <v>0</v>
      </c>
      <c r="O444" s="1">
        <v>18539.05</v>
      </c>
      <c r="P444" s="1">
        <f t="shared" si="31"/>
        <v>18539.05</v>
      </c>
      <c r="Q444" s="10">
        <f t="shared" si="32"/>
        <v>0</v>
      </c>
      <c r="R444" s="11">
        <f t="shared" si="33"/>
        <v>18539.05</v>
      </c>
      <c r="S444" s="1" t="str">
        <f t="shared" si="34"/>
        <v>High</v>
      </c>
      <c r="T444" s="1" t="str" cm="1">
        <f t="array" ref="T444">_xlfn.IFS(L444&gt;5,"High",L444=5,"mediam",L444&lt;5,"low")</f>
        <v>mediam</v>
      </c>
      <c r="U444" s="1" t="b">
        <f t="shared" si="35"/>
        <v>0</v>
      </c>
      <c r="Z444" s="1">
        <v>1562</v>
      </c>
      <c r="AA444" s="5">
        <v>10443</v>
      </c>
    </row>
    <row r="445" spans="1:27" x14ac:dyDescent="0.3">
      <c r="A445" s="5">
        <v>10444</v>
      </c>
      <c r="B445" s="1">
        <v>1437</v>
      </c>
      <c r="C445" s="2">
        <v>44960</v>
      </c>
      <c r="D445" s="2">
        <v>44969</v>
      </c>
      <c r="E445" s="1" t="s">
        <v>40</v>
      </c>
      <c r="F445" s="1" t="s">
        <v>38</v>
      </c>
      <c r="G445" s="1" t="s">
        <v>30</v>
      </c>
      <c r="H445" s="1" t="s">
        <v>18</v>
      </c>
      <c r="I445" s="1" t="s">
        <v>31</v>
      </c>
      <c r="J445" s="1" t="s">
        <v>32</v>
      </c>
      <c r="K445" s="1" t="s">
        <v>21</v>
      </c>
      <c r="L445" s="1">
        <v>2</v>
      </c>
      <c r="M445" s="1">
        <v>3904.44</v>
      </c>
      <c r="N445" s="1">
        <v>10</v>
      </c>
      <c r="O445" s="1">
        <v>7027.99</v>
      </c>
      <c r="P445" s="1">
        <f t="shared" si="31"/>
        <v>7808.88</v>
      </c>
      <c r="Q445" s="10">
        <f t="shared" si="32"/>
        <v>702.79899999999998</v>
      </c>
      <c r="R445" s="11">
        <f t="shared" si="33"/>
        <v>7106.0810000000001</v>
      </c>
      <c r="S445" s="1" t="str">
        <f t="shared" si="34"/>
        <v>Low</v>
      </c>
      <c r="T445" s="1" t="str" cm="1">
        <f t="array" ref="T445">_xlfn.IFS(L445&gt;5,"High",L445=5,"mediam",L445&lt;5,"low")</f>
        <v>low</v>
      </c>
      <c r="U445" s="1" t="b">
        <f t="shared" si="35"/>
        <v>0</v>
      </c>
      <c r="Z445" s="1">
        <v>1437</v>
      </c>
      <c r="AA445" s="5">
        <v>10444</v>
      </c>
    </row>
    <row r="446" spans="1:27" x14ac:dyDescent="0.3">
      <c r="A446" s="5">
        <v>10445</v>
      </c>
      <c r="B446" s="1">
        <v>1775</v>
      </c>
      <c r="C446" s="2">
        <v>44967</v>
      </c>
      <c r="D446" s="2">
        <v>44976</v>
      </c>
      <c r="E446" s="1" t="s">
        <v>37</v>
      </c>
      <c r="F446" s="1" t="s">
        <v>54</v>
      </c>
      <c r="G446" s="1" t="s">
        <v>17</v>
      </c>
      <c r="H446" s="1" t="s">
        <v>18</v>
      </c>
      <c r="I446" s="1" t="s">
        <v>31</v>
      </c>
      <c r="J446" s="1" t="s">
        <v>48</v>
      </c>
      <c r="K446" s="1" t="s">
        <v>47</v>
      </c>
      <c r="L446" s="1">
        <v>7</v>
      </c>
      <c r="M446" s="1">
        <v>3357.84</v>
      </c>
      <c r="N446" s="1">
        <v>15</v>
      </c>
      <c r="O446" s="1">
        <v>19979.150000000001</v>
      </c>
      <c r="P446" s="1">
        <f t="shared" si="31"/>
        <v>23504.880000000001</v>
      </c>
      <c r="Q446" s="10">
        <f t="shared" si="32"/>
        <v>2996.8724999999999</v>
      </c>
      <c r="R446" s="11">
        <f t="shared" si="33"/>
        <v>20508.0075</v>
      </c>
      <c r="S446" s="1" t="str">
        <f t="shared" si="34"/>
        <v>High</v>
      </c>
      <c r="T446" s="1" t="str" cm="1">
        <f t="array" ref="T446">_xlfn.IFS(L446&gt;5,"High",L446=5,"mediam",L446&lt;5,"low")</f>
        <v>High</v>
      </c>
      <c r="U446" s="1" t="str">
        <f t="shared" si="35"/>
        <v>High</v>
      </c>
      <c r="Z446" s="1">
        <v>1775</v>
      </c>
      <c r="AA446" s="5">
        <v>10445</v>
      </c>
    </row>
    <row r="447" spans="1:27" x14ac:dyDescent="0.3">
      <c r="A447" s="5">
        <v>10446</v>
      </c>
      <c r="B447" s="1">
        <v>1282</v>
      </c>
      <c r="C447" s="2">
        <v>45233</v>
      </c>
      <c r="D447" s="2">
        <v>45239</v>
      </c>
      <c r="E447" s="1" t="s">
        <v>40</v>
      </c>
      <c r="F447" s="1" t="s">
        <v>23</v>
      </c>
      <c r="G447" s="1" t="s">
        <v>17</v>
      </c>
      <c r="H447" s="1" t="s">
        <v>42</v>
      </c>
      <c r="I447" s="1" t="s">
        <v>26</v>
      </c>
      <c r="J447" s="1" t="s">
        <v>27</v>
      </c>
      <c r="K447" s="1" t="s">
        <v>28</v>
      </c>
      <c r="L447" s="1">
        <v>2</v>
      </c>
      <c r="M447" s="1">
        <v>1316.62</v>
      </c>
      <c r="N447" s="1">
        <v>0</v>
      </c>
      <c r="O447" s="1">
        <v>2633.24</v>
      </c>
      <c r="P447" s="1">
        <f t="shared" si="31"/>
        <v>2633.24</v>
      </c>
      <c r="Q447" s="10">
        <f t="shared" si="32"/>
        <v>0</v>
      </c>
      <c r="R447" s="11">
        <f t="shared" si="33"/>
        <v>2633.24</v>
      </c>
      <c r="S447" s="1" t="str">
        <f t="shared" si="34"/>
        <v>Low</v>
      </c>
      <c r="T447" s="1" t="str" cm="1">
        <f t="array" ref="T447">_xlfn.IFS(L447&gt;5,"High",L447=5,"mediam",L447&lt;5,"low")</f>
        <v>low</v>
      </c>
      <c r="U447" s="1" t="b">
        <f t="shared" si="35"/>
        <v>0</v>
      </c>
      <c r="Z447" s="1">
        <v>1282</v>
      </c>
      <c r="AA447" s="5">
        <v>10446</v>
      </c>
    </row>
    <row r="448" spans="1:27" x14ac:dyDescent="0.3">
      <c r="A448" s="5">
        <v>10447</v>
      </c>
      <c r="B448" s="1">
        <v>1026</v>
      </c>
      <c r="C448" s="2">
        <v>45264</v>
      </c>
      <c r="D448" s="2">
        <v>45265</v>
      </c>
      <c r="E448" s="1" t="s">
        <v>34</v>
      </c>
      <c r="F448" s="1" t="s">
        <v>38</v>
      </c>
      <c r="G448" s="1" t="s">
        <v>17</v>
      </c>
      <c r="H448" s="1" t="s">
        <v>35</v>
      </c>
      <c r="I448" s="1" t="s">
        <v>26</v>
      </c>
      <c r="J448" s="1" t="s">
        <v>69</v>
      </c>
      <c r="K448" s="1" t="s">
        <v>28</v>
      </c>
      <c r="L448" s="1">
        <v>4</v>
      </c>
      <c r="M448" s="1">
        <v>3871.21</v>
      </c>
      <c r="N448" s="1">
        <v>10</v>
      </c>
      <c r="O448" s="1">
        <v>13936.36</v>
      </c>
      <c r="P448" s="1">
        <f t="shared" si="31"/>
        <v>15484.84</v>
      </c>
      <c r="Q448" s="10">
        <f t="shared" si="32"/>
        <v>1393.6360000000002</v>
      </c>
      <c r="R448" s="11">
        <f t="shared" si="33"/>
        <v>14091.204</v>
      </c>
      <c r="S448" s="1" t="str">
        <f t="shared" si="34"/>
        <v>Low</v>
      </c>
      <c r="T448" s="1" t="str" cm="1">
        <f t="array" ref="T448">_xlfn.IFS(L448&gt;5,"High",L448=5,"mediam",L448&lt;5,"low")</f>
        <v>low</v>
      </c>
      <c r="U448" s="1" t="b">
        <f t="shared" si="35"/>
        <v>0</v>
      </c>
      <c r="Z448" s="1">
        <v>1026</v>
      </c>
      <c r="AA448" s="5">
        <v>10447</v>
      </c>
    </row>
    <row r="449" spans="1:27" x14ac:dyDescent="0.3">
      <c r="A449" s="5">
        <v>10448</v>
      </c>
      <c r="B449" s="1">
        <v>1225</v>
      </c>
      <c r="C449" s="2">
        <v>45240</v>
      </c>
      <c r="D449" s="2">
        <v>45247</v>
      </c>
      <c r="E449" s="1" t="s">
        <v>40</v>
      </c>
      <c r="F449" s="1" t="s">
        <v>38</v>
      </c>
      <c r="G449" s="1" t="s">
        <v>30</v>
      </c>
      <c r="H449" s="1" t="s">
        <v>18</v>
      </c>
      <c r="I449" s="1" t="s">
        <v>19</v>
      </c>
      <c r="J449" s="1" t="s">
        <v>20</v>
      </c>
      <c r="K449" s="1" t="s">
        <v>33</v>
      </c>
      <c r="L449" s="1">
        <v>7</v>
      </c>
      <c r="M449" s="1">
        <v>2568.2600000000002</v>
      </c>
      <c r="N449" s="1">
        <v>10</v>
      </c>
      <c r="O449" s="1">
        <v>16180.04</v>
      </c>
      <c r="P449" s="1">
        <f t="shared" si="31"/>
        <v>17977.82</v>
      </c>
      <c r="Q449" s="10">
        <f t="shared" si="32"/>
        <v>1618.0040000000001</v>
      </c>
      <c r="R449" s="11">
        <f t="shared" si="33"/>
        <v>16359.815999999999</v>
      </c>
      <c r="S449" s="1" t="str">
        <f t="shared" si="34"/>
        <v>High</v>
      </c>
      <c r="T449" s="1" t="str" cm="1">
        <f t="array" ref="T449">_xlfn.IFS(L449&gt;5,"High",L449=5,"mediam",L449&lt;5,"low")</f>
        <v>High</v>
      </c>
      <c r="U449" s="1" t="str">
        <f t="shared" si="35"/>
        <v>High</v>
      </c>
      <c r="Z449" s="1">
        <v>1225</v>
      </c>
      <c r="AA449" s="5">
        <v>10448</v>
      </c>
    </row>
    <row r="450" spans="1:27" x14ac:dyDescent="0.3">
      <c r="A450" s="5">
        <v>10449</v>
      </c>
      <c r="B450" s="1">
        <v>1276</v>
      </c>
      <c r="C450" s="2">
        <v>45001</v>
      </c>
      <c r="D450" s="2">
        <v>45008</v>
      </c>
      <c r="E450" s="1" t="s">
        <v>16</v>
      </c>
      <c r="F450" s="1" t="s">
        <v>54</v>
      </c>
      <c r="G450" s="1" t="s">
        <v>24</v>
      </c>
      <c r="H450" s="1" t="s">
        <v>18</v>
      </c>
      <c r="I450" s="1" t="s">
        <v>19</v>
      </c>
      <c r="J450" s="1" t="s">
        <v>66</v>
      </c>
      <c r="K450" s="1" t="s">
        <v>33</v>
      </c>
      <c r="L450" s="1">
        <v>4</v>
      </c>
      <c r="M450" s="1">
        <v>3732.97</v>
      </c>
      <c r="N450" s="1">
        <v>5</v>
      </c>
      <c r="O450" s="1">
        <v>14185.29</v>
      </c>
      <c r="P450" s="1">
        <f t="shared" si="31"/>
        <v>14931.88</v>
      </c>
      <c r="Q450" s="10">
        <f t="shared" si="32"/>
        <v>709.26450000000011</v>
      </c>
      <c r="R450" s="11">
        <f t="shared" si="33"/>
        <v>14222.6155</v>
      </c>
      <c r="S450" s="1" t="str">
        <f t="shared" si="34"/>
        <v>Low</v>
      </c>
      <c r="T450" s="1" t="str" cm="1">
        <f t="array" ref="T450">_xlfn.IFS(L450&gt;5,"High",L450=5,"mediam",L450&lt;5,"low")</f>
        <v>low</v>
      </c>
      <c r="U450" s="1" t="b">
        <f t="shared" si="35"/>
        <v>0</v>
      </c>
      <c r="Z450" s="1">
        <v>1276</v>
      </c>
      <c r="AA450" s="5">
        <v>10449</v>
      </c>
    </row>
    <row r="451" spans="1:27" x14ac:dyDescent="0.3">
      <c r="A451" s="5">
        <v>10450</v>
      </c>
      <c r="B451" s="1">
        <v>1797</v>
      </c>
      <c r="C451" s="2">
        <v>45205</v>
      </c>
      <c r="D451" s="2">
        <v>45209</v>
      </c>
      <c r="E451" s="1" t="s">
        <v>16</v>
      </c>
      <c r="F451" s="1" t="s">
        <v>23</v>
      </c>
      <c r="G451" s="1" t="s">
        <v>30</v>
      </c>
      <c r="H451" s="1" t="s">
        <v>44</v>
      </c>
      <c r="I451" s="1" t="s">
        <v>31</v>
      </c>
      <c r="J451" s="1" t="s">
        <v>32</v>
      </c>
      <c r="K451" s="1" t="s">
        <v>28</v>
      </c>
      <c r="L451" s="1">
        <v>7</v>
      </c>
      <c r="M451" s="1">
        <v>2753</v>
      </c>
      <c r="N451" s="1">
        <v>20</v>
      </c>
      <c r="O451" s="1">
        <v>15416.8</v>
      </c>
      <c r="P451" s="1">
        <f t="shared" ref="P451:P500" si="36">L451*M451</f>
        <v>19271</v>
      </c>
      <c r="Q451" s="10">
        <f t="shared" ref="Q451:Q501" si="37">O451*N451%</f>
        <v>3083.36</v>
      </c>
      <c r="R451" s="11">
        <f t="shared" ref="R451:R501" si="38">P451-Q451</f>
        <v>16187.64</v>
      </c>
      <c r="S451" s="1" t="str">
        <f t="shared" ref="S451:S501" si="39">IF(L451&gt;=5,"High","Low")</f>
        <v>High</v>
      </c>
      <c r="T451" s="1" t="str" cm="1">
        <f t="array" ref="T451">_xlfn.IFS(L451&gt;5,"High",L451=5,"mediam",L451&lt;5,"low")</f>
        <v>High</v>
      </c>
      <c r="U451" s="1" t="str">
        <f t="shared" si="35"/>
        <v>High</v>
      </c>
      <c r="Z451" s="1">
        <v>1797</v>
      </c>
      <c r="AA451" s="5">
        <v>10450</v>
      </c>
    </row>
    <row r="452" spans="1:27" x14ac:dyDescent="0.3">
      <c r="A452" s="5">
        <v>10451</v>
      </c>
      <c r="B452" s="1">
        <v>1608</v>
      </c>
      <c r="C452" s="2">
        <v>45102</v>
      </c>
      <c r="D452" s="2">
        <v>45110</v>
      </c>
      <c r="E452" s="1" t="s">
        <v>15</v>
      </c>
      <c r="F452" s="1" t="s">
        <v>29</v>
      </c>
      <c r="G452" s="1" t="s">
        <v>24</v>
      </c>
      <c r="H452" s="1" t="s">
        <v>25</v>
      </c>
      <c r="I452" s="1" t="s">
        <v>57</v>
      </c>
      <c r="J452" s="1" t="s">
        <v>59</v>
      </c>
      <c r="K452" s="1" t="s">
        <v>28</v>
      </c>
      <c r="L452" s="1">
        <v>7</v>
      </c>
      <c r="M452" s="1">
        <v>1332.87</v>
      </c>
      <c r="N452" s="1">
        <v>0</v>
      </c>
      <c r="O452" s="1">
        <v>9330.09</v>
      </c>
      <c r="P452" s="1">
        <f t="shared" si="36"/>
        <v>9330.09</v>
      </c>
      <c r="Q452" s="10">
        <f t="shared" si="37"/>
        <v>0</v>
      </c>
      <c r="R452" s="11">
        <f t="shared" si="38"/>
        <v>9330.09</v>
      </c>
      <c r="S452" s="1" t="str">
        <f t="shared" si="39"/>
        <v>High</v>
      </c>
      <c r="T452" s="1" t="str" cm="1">
        <f t="array" ref="T452">_xlfn.IFS(L452&gt;5,"High",L452=5,"mediam",L452&lt;5,"low")</f>
        <v>High</v>
      </c>
      <c r="U452" s="1" t="str">
        <f t="shared" si="35"/>
        <v>High</v>
      </c>
      <c r="Z452" s="1">
        <v>1608</v>
      </c>
      <c r="AA452" s="5">
        <v>10451</v>
      </c>
    </row>
    <row r="453" spans="1:27" x14ac:dyDescent="0.3">
      <c r="A453" s="5">
        <v>10452</v>
      </c>
      <c r="B453" s="1">
        <v>1283</v>
      </c>
      <c r="C453" s="2">
        <v>45076</v>
      </c>
      <c r="D453" s="2">
        <v>45082</v>
      </c>
      <c r="E453" s="1" t="s">
        <v>46</v>
      </c>
      <c r="F453" s="1" t="s">
        <v>23</v>
      </c>
      <c r="G453" s="1" t="s">
        <v>24</v>
      </c>
      <c r="H453" s="1" t="s">
        <v>42</v>
      </c>
      <c r="I453" s="1" t="s">
        <v>49</v>
      </c>
      <c r="J453" s="1" t="s">
        <v>68</v>
      </c>
      <c r="K453" s="1" t="s">
        <v>28</v>
      </c>
      <c r="L453" s="1">
        <v>1</v>
      </c>
      <c r="M453" s="1">
        <v>1574.59</v>
      </c>
      <c r="N453" s="1">
        <v>5</v>
      </c>
      <c r="O453" s="1">
        <v>1495.86</v>
      </c>
      <c r="P453" s="1">
        <f t="shared" si="36"/>
        <v>1574.59</v>
      </c>
      <c r="Q453" s="10">
        <f t="shared" si="37"/>
        <v>74.792999999999992</v>
      </c>
      <c r="R453" s="11">
        <f t="shared" si="38"/>
        <v>1499.797</v>
      </c>
      <c r="S453" s="1" t="str">
        <f t="shared" si="39"/>
        <v>Low</v>
      </c>
      <c r="T453" s="1" t="str" cm="1">
        <f t="array" ref="T453">_xlfn.IFS(L453&gt;5,"High",L453=5,"mediam",L453&lt;5,"low")</f>
        <v>low</v>
      </c>
      <c r="U453" s="1" t="b">
        <f t="shared" si="35"/>
        <v>0</v>
      </c>
      <c r="Z453" s="1">
        <v>1283</v>
      </c>
      <c r="AA453" s="5">
        <v>10452</v>
      </c>
    </row>
    <row r="454" spans="1:27" x14ac:dyDescent="0.3">
      <c r="A454" s="5">
        <v>10453</v>
      </c>
      <c r="B454" s="1">
        <v>1878</v>
      </c>
      <c r="C454" s="2">
        <v>45199</v>
      </c>
      <c r="D454" s="2">
        <v>45203</v>
      </c>
      <c r="E454" s="1" t="s">
        <v>22</v>
      </c>
      <c r="F454" s="1" t="s">
        <v>16</v>
      </c>
      <c r="G454" s="1" t="s">
        <v>24</v>
      </c>
      <c r="H454" s="1" t="s">
        <v>42</v>
      </c>
      <c r="I454" s="1" t="s">
        <v>26</v>
      </c>
      <c r="J454" s="1" t="s">
        <v>27</v>
      </c>
      <c r="K454" s="1" t="s">
        <v>47</v>
      </c>
      <c r="L454" s="1">
        <v>6</v>
      </c>
      <c r="M454" s="1">
        <v>2269.3200000000002</v>
      </c>
      <c r="N454" s="1">
        <v>15</v>
      </c>
      <c r="O454" s="1">
        <v>11573.53</v>
      </c>
      <c r="P454" s="1">
        <f t="shared" si="36"/>
        <v>13615.920000000002</v>
      </c>
      <c r="Q454" s="10">
        <f t="shared" si="37"/>
        <v>1736.0295000000001</v>
      </c>
      <c r="R454" s="11">
        <f t="shared" si="38"/>
        <v>11879.890500000001</v>
      </c>
      <c r="S454" s="1" t="str">
        <f t="shared" si="39"/>
        <v>High</v>
      </c>
      <c r="T454" s="1" t="str" cm="1">
        <f t="array" ref="T454">_xlfn.IFS(L454&gt;5,"High",L454=5,"mediam",L454&lt;5,"low")</f>
        <v>High</v>
      </c>
      <c r="U454" s="1" t="str">
        <f t="shared" si="35"/>
        <v>High</v>
      </c>
      <c r="Z454" s="1">
        <v>1878</v>
      </c>
      <c r="AA454" s="5">
        <v>10453</v>
      </c>
    </row>
    <row r="455" spans="1:27" x14ac:dyDescent="0.3">
      <c r="A455" s="5">
        <v>10454</v>
      </c>
      <c r="B455" s="1">
        <v>1959</v>
      </c>
      <c r="C455" s="2">
        <v>45251</v>
      </c>
      <c r="D455" s="2">
        <v>45255</v>
      </c>
      <c r="E455" s="1" t="s">
        <v>34</v>
      </c>
      <c r="F455" s="1" t="s">
        <v>41</v>
      </c>
      <c r="G455" s="1" t="s">
        <v>17</v>
      </c>
      <c r="H455" s="1" t="s">
        <v>25</v>
      </c>
      <c r="I455" s="1" t="s">
        <v>57</v>
      </c>
      <c r="J455" s="1" t="s">
        <v>58</v>
      </c>
      <c r="K455" s="1" t="s">
        <v>28</v>
      </c>
      <c r="L455" s="1">
        <v>9</v>
      </c>
      <c r="M455" s="1">
        <v>3191.56</v>
      </c>
      <c r="N455" s="1">
        <v>20</v>
      </c>
      <c r="O455" s="1">
        <v>22979.23</v>
      </c>
      <c r="P455" s="1">
        <f t="shared" si="36"/>
        <v>28724.04</v>
      </c>
      <c r="Q455" s="10">
        <f t="shared" si="37"/>
        <v>4595.8460000000005</v>
      </c>
      <c r="R455" s="11">
        <f t="shared" si="38"/>
        <v>24128.194</v>
      </c>
      <c r="S455" s="1" t="str">
        <f t="shared" si="39"/>
        <v>High</v>
      </c>
      <c r="T455" s="1" t="str" cm="1">
        <f t="array" ref="T455">_xlfn.IFS(L455&gt;5,"High",L455=5,"mediam",L455&lt;5,"low")</f>
        <v>High</v>
      </c>
      <c r="U455" s="1" t="str">
        <f t="shared" si="35"/>
        <v>High</v>
      </c>
      <c r="Z455" s="1">
        <v>1959</v>
      </c>
      <c r="AA455" s="5">
        <v>10454</v>
      </c>
    </row>
    <row r="456" spans="1:27" x14ac:dyDescent="0.3">
      <c r="A456" s="5">
        <v>10455</v>
      </c>
      <c r="B456" s="1">
        <v>1480</v>
      </c>
      <c r="C456" s="2">
        <v>45034</v>
      </c>
      <c r="D456" s="2">
        <v>45036</v>
      </c>
      <c r="E456" s="1" t="s">
        <v>15</v>
      </c>
      <c r="F456" s="1" t="s">
        <v>29</v>
      </c>
      <c r="G456" s="1" t="s">
        <v>17</v>
      </c>
      <c r="H456" s="1" t="s">
        <v>18</v>
      </c>
      <c r="I456" s="1" t="s">
        <v>52</v>
      </c>
      <c r="J456" s="1" t="s">
        <v>64</v>
      </c>
      <c r="K456" s="1" t="s">
        <v>45</v>
      </c>
      <c r="L456" s="1">
        <v>2</v>
      </c>
      <c r="M456" s="1">
        <v>1374.23</v>
      </c>
      <c r="N456" s="1">
        <v>0</v>
      </c>
      <c r="O456" s="1">
        <v>2748.46</v>
      </c>
      <c r="P456" s="1">
        <f t="shared" si="36"/>
        <v>2748.46</v>
      </c>
      <c r="Q456" s="10">
        <f t="shared" si="37"/>
        <v>0</v>
      </c>
      <c r="R456" s="11">
        <f t="shared" si="38"/>
        <v>2748.46</v>
      </c>
      <c r="S456" s="1" t="str">
        <f t="shared" si="39"/>
        <v>Low</v>
      </c>
      <c r="T456" s="1" t="str" cm="1">
        <f t="array" ref="T456">_xlfn.IFS(L456&gt;5,"High",L456=5,"mediam",L456&lt;5,"low")</f>
        <v>low</v>
      </c>
      <c r="U456" s="1" t="b">
        <f t="shared" si="35"/>
        <v>0</v>
      </c>
      <c r="Z456" s="1">
        <v>1480</v>
      </c>
      <c r="AA456" s="5">
        <v>10455</v>
      </c>
    </row>
    <row r="457" spans="1:27" x14ac:dyDescent="0.3">
      <c r="A457" s="5">
        <v>10456</v>
      </c>
      <c r="B457" s="1">
        <v>1452</v>
      </c>
      <c r="C457" s="2">
        <v>45065</v>
      </c>
      <c r="D457" s="2">
        <v>45067</v>
      </c>
      <c r="E457" s="1" t="s">
        <v>34</v>
      </c>
      <c r="F457" s="1" t="s">
        <v>38</v>
      </c>
      <c r="G457" s="1" t="s">
        <v>24</v>
      </c>
      <c r="H457" s="1" t="s">
        <v>44</v>
      </c>
      <c r="I457" s="1" t="s">
        <v>26</v>
      </c>
      <c r="J457" s="1" t="s">
        <v>27</v>
      </c>
      <c r="K457" s="1" t="s">
        <v>21</v>
      </c>
      <c r="L457" s="1">
        <v>3</v>
      </c>
      <c r="M457" s="1">
        <v>2381.96</v>
      </c>
      <c r="N457" s="1">
        <v>10</v>
      </c>
      <c r="O457" s="1">
        <v>6431.29</v>
      </c>
      <c r="P457" s="1">
        <f t="shared" si="36"/>
        <v>7145.88</v>
      </c>
      <c r="Q457" s="10">
        <f t="shared" si="37"/>
        <v>643.12900000000002</v>
      </c>
      <c r="R457" s="11">
        <f t="shared" si="38"/>
        <v>6502.7510000000002</v>
      </c>
      <c r="S457" s="1" t="str">
        <f t="shared" si="39"/>
        <v>Low</v>
      </c>
      <c r="T457" s="1" t="str" cm="1">
        <f t="array" ref="T457">_xlfn.IFS(L457&gt;5,"High",L457=5,"mediam",L457&lt;5,"low")</f>
        <v>low</v>
      </c>
      <c r="U457" s="1" t="b">
        <f t="shared" ref="U457:U501" si="40">IF(L457&gt;5,"High",IF(L457="Mediam","Low"))</f>
        <v>0</v>
      </c>
      <c r="Z457" s="1">
        <v>1452</v>
      </c>
      <c r="AA457" s="5">
        <v>10456</v>
      </c>
    </row>
    <row r="458" spans="1:27" x14ac:dyDescent="0.3">
      <c r="A458" s="5">
        <v>10457</v>
      </c>
      <c r="B458" s="1">
        <v>1828</v>
      </c>
      <c r="C458" s="2">
        <v>45276</v>
      </c>
      <c r="D458" s="2">
        <v>45280</v>
      </c>
      <c r="E458" s="1" t="s">
        <v>46</v>
      </c>
      <c r="F458" s="1" t="s">
        <v>29</v>
      </c>
      <c r="G458" s="1" t="s">
        <v>24</v>
      </c>
      <c r="H458" s="1" t="s">
        <v>44</v>
      </c>
      <c r="I458" s="1" t="s">
        <v>26</v>
      </c>
      <c r="J458" s="1" t="s">
        <v>27</v>
      </c>
      <c r="K458" s="1" t="s">
        <v>28</v>
      </c>
      <c r="L458" s="1">
        <v>5</v>
      </c>
      <c r="M458" s="1">
        <v>1480.66</v>
      </c>
      <c r="N458" s="1">
        <v>0</v>
      </c>
      <c r="O458" s="1">
        <v>7403.3</v>
      </c>
      <c r="P458" s="1">
        <f t="shared" si="36"/>
        <v>7403.3</v>
      </c>
      <c r="Q458" s="10">
        <f t="shared" si="37"/>
        <v>0</v>
      </c>
      <c r="R458" s="11">
        <f t="shared" si="38"/>
        <v>7403.3</v>
      </c>
      <c r="S458" s="1" t="str">
        <f t="shared" si="39"/>
        <v>High</v>
      </c>
      <c r="T458" s="1" t="str" cm="1">
        <f t="array" ref="T458">_xlfn.IFS(L458&gt;5,"High",L458=5,"mediam",L458&lt;5,"low")</f>
        <v>mediam</v>
      </c>
      <c r="U458" s="1" t="b">
        <f t="shared" si="40"/>
        <v>0</v>
      </c>
      <c r="Z458" s="1">
        <v>1828</v>
      </c>
      <c r="AA458" s="5">
        <v>10457</v>
      </c>
    </row>
    <row r="459" spans="1:27" x14ac:dyDescent="0.3">
      <c r="A459" s="5">
        <v>10458</v>
      </c>
      <c r="B459" s="1">
        <v>1815</v>
      </c>
      <c r="C459" s="2">
        <v>45197</v>
      </c>
      <c r="D459" s="2">
        <v>45202</v>
      </c>
      <c r="E459" s="1" t="s">
        <v>40</v>
      </c>
      <c r="F459" s="1" t="s">
        <v>38</v>
      </c>
      <c r="G459" s="1" t="s">
        <v>17</v>
      </c>
      <c r="H459" s="1" t="s">
        <v>42</v>
      </c>
      <c r="I459" s="1" t="s">
        <v>19</v>
      </c>
      <c r="J459" s="1" t="s">
        <v>55</v>
      </c>
      <c r="K459" s="1" t="s">
        <v>21</v>
      </c>
      <c r="L459" s="1">
        <v>9</v>
      </c>
      <c r="M459" s="1">
        <v>3290.71</v>
      </c>
      <c r="N459" s="1">
        <v>10</v>
      </c>
      <c r="O459" s="1">
        <v>26654.75</v>
      </c>
      <c r="P459" s="1">
        <f t="shared" si="36"/>
        <v>29616.39</v>
      </c>
      <c r="Q459" s="10">
        <f t="shared" si="37"/>
        <v>2665.4750000000004</v>
      </c>
      <c r="R459" s="11">
        <f t="shared" si="38"/>
        <v>26950.915000000001</v>
      </c>
      <c r="S459" s="1" t="str">
        <f t="shared" si="39"/>
        <v>High</v>
      </c>
      <c r="T459" s="1" t="str" cm="1">
        <f t="array" ref="T459">_xlfn.IFS(L459&gt;5,"High",L459=5,"mediam",L459&lt;5,"low")</f>
        <v>High</v>
      </c>
      <c r="U459" s="1" t="str">
        <f t="shared" si="40"/>
        <v>High</v>
      </c>
      <c r="Z459" s="1">
        <v>1815</v>
      </c>
      <c r="AA459" s="5">
        <v>10458</v>
      </c>
    </row>
    <row r="460" spans="1:27" x14ac:dyDescent="0.3">
      <c r="A460" s="5">
        <v>10459</v>
      </c>
      <c r="B460" s="1">
        <v>1658</v>
      </c>
      <c r="C460" s="2">
        <v>45273</v>
      </c>
      <c r="D460" s="2">
        <v>45281</v>
      </c>
      <c r="E460" s="1" t="s">
        <v>40</v>
      </c>
      <c r="F460" s="1" t="s">
        <v>38</v>
      </c>
      <c r="G460" s="1" t="s">
        <v>30</v>
      </c>
      <c r="H460" s="1" t="s">
        <v>44</v>
      </c>
      <c r="I460" s="1" t="s">
        <v>49</v>
      </c>
      <c r="J460" s="1" t="s">
        <v>63</v>
      </c>
      <c r="K460" s="1" t="s">
        <v>47</v>
      </c>
      <c r="L460" s="1">
        <v>4</v>
      </c>
      <c r="M460" s="1">
        <v>1946.9</v>
      </c>
      <c r="N460" s="1">
        <v>20</v>
      </c>
      <c r="O460" s="1">
        <v>6230.08</v>
      </c>
      <c r="P460" s="1">
        <f t="shared" si="36"/>
        <v>7787.6</v>
      </c>
      <c r="Q460" s="10">
        <f t="shared" si="37"/>
        <v>1246.0160000000001</v>
      </c>
      <c r="R460" s="11">
        <f t="shared" si="38"/>
        <v>6541.5840000000007</v>
      </c>
      <c r="S460" s="1" t="str">
        <f t="shared" si="39"/>
        <v>Low</v>
      </c>
      <c r="T460" s="1" t="str" cm="1">
        <f t="array" ref="T460">_xlfn.IFS(L460&gt;5,"High",L460=5,"mediam",L460&lt;5,"low")</f>
        <v>low</v>
      </c>
      <c r="U460" s="1" t="b">
        <f t="shared" si="40"/>
        <v>0</v>
      </c>
      <c r="Z460" s="1">
        <v>1658</v>
      </c>
      <c r="AA460" s="5">
        <v>10459</v>
      </c>
    </row>
    <row r="461" spans="1:27" x14ac:dyDescent="0.3">
      <c r="A461" s="5">
        <v>10460</v>
      </c>
      <c r="B461" s="1">
        <v>1515</v>
      </c>
      <c r="C461" s="2">
        <v>45215</v>
      </c>
      <c r="D461" s="2">
        <v>45221</v>
      </c>
      <c r="E461" s="1" t="s">
        <v>22</v>
      </c>
      <c r="F461" s="1" t="s">
        <v>29</v>
      </c>
      <c r="G461" s="1" t="s">
        <v>24</v>
      </c>
      <c r="H461" s="1" t="s">
        <v>25</v>
      </c>
      <c r="I461" s="1" t="s">
        <v>49</v>
      </c>
      <c r="J461" s="1" t="s">
        <v>50</v>
      </c>
      <c r="K461" s="1" t="s">
        <v>21</v>
      </c>
      <c r="L461" s="1">
        <v>1</v>
      </c>
      <c r="M461" s="1">
        <v>445.38</v>
      </c>
      <c r="N461" s="1">
        <v>10</v>
      </c>
      <c r="O461" s="1">
        <v>400.84</v>
      </c>
      <c r="P461" s="1">
        <f t="shared" si="36"/>
        <v>445.38</v>
      </c>
      <c r="Q461" s="10">
        <f t="shared" si="37"/>
        <v>40.084000000000003</v>
      </c>
      <c r="R461" s="11">
        <f t="shared" si="38"/>
        <v>405.29599999999999</v>
      </c>
      <c r="S461" s="1" t="str">
        <f t="shared" si="39"/>
        <v>Low</v>
      </c>
      <c r="T461" s="1" t="str" cm="1">
        <f t="array" ref="T461">_xlfn.IFS(L461&gt;5,"High",L461=5,"mediam",L461&lt;5,"low")</f>
        <v>low</v>
      </c>
      <c r="U461" s="1" t="b">
        <f t="shared" si="40"/>
        <v>0</v>
      </c>
      <c r="Z461" s="1">
        <v>1515</v>
      </c>
      <c r="AA461" s="5">
        <v>10460</v>
      </c>
    </row>
    <row r="462" spans="1:27" x14ac:dyDescent="0.3">
      <c r="A462" s="5">
        <v>10461</v>
      </c>
      <c r="B462" s="1">
        <v>1546</v>
      </c>
      <c r="C462" s="2">
        <v>45138</v>
      </c>
      <c r="D462" s="2">
        <v>45142</v>
      </c>
      <c r="E462" s="1" t="s">
        <v>46</v>
      </c>
      <c r="F462" s="1" t="s">
        <v>38</v>
      </c>
      <c r="G462" s="1" t="s">
        <v>30</v>
      </c>
      <c r="H462" s="1" t="s">
        <v>18</v>
      </c>
      <c r="I462" s="1" t="s">
        <v>52</v>
      </c>
      <c r="J462" s="1" t="s">
        <v>64</v>
      </c>
      <c r="K462" s="1" t="s">
        <v>47</v>
      </c>
      <c r="L462" s="1">
        <v>4</v>
      </c>
      <c r="M462" s="1">
        <v>789.3</v>
      </c>
      <c r="N462" s="1">
        <v>15</v>
      </c>
      <c r="O462" s="1">
        <v>2683.62</v>
      </c>
      <c r="P462" s="1">
        <f t="shared" si="36"/>
        <v>3157.2</v>
      </c>
      <c r="Q462" s="10">
        <f t="shared" si="37"/>
        <v>402.54299999999995</v>
      </c>
      <c r="R462" s="11">
        <f t="shared" si="38"/>
        <v>2754.6569999999997</v>
      </c>
      <c r="S462" s="1" t="str">
        <f t="shared" si="39"/>
        <v>Low</v>
      </c>
      <c r="T462" s="1" t="str" cm="1">
        <f t="array" ref="T462">_xlfn.IFS(L462&gt;5,"High",L462=5,"mediam",L462&lt;5,"low")</f>
        <v>low</v>
      </c>
      <c r="U462" s="1" t="b">
        <f t="shared" si="40"/>
        <v>0</v>
      </c>
      <c r="Z462" s="1">
        <v>1546</v>
      </c>
      <c r="AA462" s="5">
        <v>10461</v>
      </c>
    </row>
    <row r="463" spans="1:27" x14ac:dyDescent="0.3">
      <c r="A463" s="5">
        <v>10462</v>
      </c>
      <c r="B463" s="1">
        <v>1191</v>
      </c>
      <c r="C463" s="2">
        <v>45198</v>
      </c>
      <c r="D463" s="2">
        <v>45205</v>
      </c>
      <c r="E463" s="1" t="s">
        <v>15</v>
      </c>
      <c r="F463" s="1" t="s">
        <v>38</v>
      </c>
      <c r="G463" s="1" t="s">
        <v>17</v>
      </c>
      <c r="H463" s="1" t="s">
        <v>25</v>
      </c>
      <c r="I463" s="1" t="s">
        <v>52</v>
      </c>
      <c r="J463" s="1" t="s">
        <v>64</v>
      </c>
      <c r="K463" s="1" t="s">
        <v>45</v>
      </c>
      <c r="L463" s="1">
        <v>6</v>
      </c>
      <c r="M463" s="1">
        <v>385.25</v>
      </c>
      <c r="N463" s="1">
        <v>10</v>
      </c>
      <c r="O463" s="1">
        <v>2080.35</v>
      </c>
      <c r="P463" s="1">
        <f t="shared" si="36"/>
        <v>2311.5</v>
      </c>
      <c r="Q463" s="10">
        <f t="shared" si="37"/>
        <v>208.035</v>
      </c>
      <c r="R463" s="11">
        <f t="shared" si="38"/>
        <v>2103.4650000000001</v>
      </c>
      <c r="S463" s="1" t="str">
        <f t="shared" si="39"/>
        <v>High</v>
      </c>
      <c r="T463" s="1" t="str" cm="1">
        <f t="array" ref="T463">_xlfn.IFS(L463&gt;5,"High",L463=5,"mediam",L463&lt;5,"low")</f>
        <v>High</v>
      </c>
      <c r="U463" s="1" t="str">
        <f t="shared" si="40"/>
        <v>High</v>
      </c>
      <c r="Z463" s="1">
        <v>1191</v>
      </c>
      <c r="AA463" s="5">
        <v>10462</v>
      </c>
    </row>
    <row r="464" spans="1:27" x14ac:dyDescent="0.3">
      <c r="A464" s="5">
        <v>10463</v>
      </c>
      <c r="B464" s="1">
        <v>1048</v>
      </c>
      <c r="C464" s="2">
        <v>44992</v>
      </c>
      <c r="D464" s="2">
        <v>45000</v>
      </c>
      <c r="E464" s="1" t="s">
        <v>22</v>
      </c>
      <c r="F464" s="1" t="s">
        <v>16</v>
      </c>
      <c r="G464" s="1" t="s">
        <v>24</v>
      </c>
      <c r="H464" s="1" t="s">
        <v>35</v>
      </c>
      <c r="I464" s="1" t="s">
        <v>26</v>
      </c>
      <c r="J464" s="1" t="s">
        <v>36</v>
      </c>
      <c r="K464" s="1" t="s">
        <v>47</v>
      </c>
      <c r="L464" s="1">
        <v>5</v>
      </c>
      <c r="M464" s="1">
        <v>2072.3200000000002</v>
      </c>
      <c r="N464" s="1">
        <v>15</v>
      </c>
      <c r="O464" s="1">
        <v>8807.36</v>
      </c>
      <c r="P464" s="1">
        <f t="shared" si="36"/>
        <v>10361.6</v>
      </c>
      <c r="Q464" s="10">
        <f t="shared" si="37"/>
        <v>1321.104</v>
      </c>
      <c r="R464" s="11">
        <f t="shared" si="38"/>
        <v>9040.496000000001</v>
      </c>
      <c r="S464" s="1" t="str">
        <f t="shared" si="39"/>
        <v>High</v>
      </c>
      <c r="T464" s="1" t="str" cm="1">
        <f t="array" ref="T464">_xlfn.IFS(L464&gt;5,"High",L464=5,"mediam",L464&lt;5,"low")</f>
        <v>mediam</v>
      </c>
      <c r="U464" s="1" t="b">
        <f t="shared" si="40"/>
        <v>0</v>
      </c>
      <c r="Z464" s="1">
        <v>1048</v>
      </c>
      <c r="AA464" s="5">
        <v>10463</v>
      </c>
    </row>
    <row r="465" spans="1:27" x14ac:dyDescent="0.3">
      <c r="A465" s="5">
        <v>10464</v>
      </c>
      <c r="B465" s="1">
        <v>1511</v>
      </c>
      <c r="C465" s="2">
        <v>45174</v>
      </c>
      <c r="D465" s="2">
        <v>45176</v>
      </c>
      <c r="E465" s="1" t="s">
        <v>46</v>
      </c>
      <c r="F465" s="1" t="s">
        <v>23</v>
      </c>
      <c r="G465" s="1" t="s">
        <v>30</v>
      </c>
      <c r="H465" s="1" t="s">
        <v>42</v>
      </c>
      <c r="I465" s="1" t="s">
        <v>31</v>
      </c>
      <c r="J465" s="1" t="s">
        <v>65</v>
      </c>
      <c r="K465" s="1" t="s">
        <v>47</v>
      </c>
      <c r="L465" s="1">
        <v>1</v>
      </c>
      <c r="M465" s="1">
        <v>559.4</v>
      </c>
      <c r="N465" s="1">
        <v>20</v>
      </c>
      <c r="O465" s="1">
        <v>447.52</v>
      </c>
      <c r="P465" s="1">
        <f t="shared" si="36"/>
        <v>559.4</v>
      </c>
      <c r="Q465" s="10">
        <f t="shared" si="37"/>
        <v>89.504000000000005</v>
      </c>
      <c r="R465" s="11">
        <f t="shared" si="38"/>
        <v>469.89599999999996</v>
      </c>
      <c r="S465" s="1" t="str">
        <f t="shared" si="39"/>
        <v>Low</v>
      </c>
      <c r="T465" s="1" t="str" cm="1">
        <f t="array" ref="T465">_xlfn.IFS(L465&gt;5,"High",L465=5,"mediam",L465&lt;5,"low")</f>
        <v>low</v>
      </c>
      <c r="U465" s="1" t="b">
        <f t="shared" si="40"/>
        <v>0</v>
      </c>
      <c r="Z465" s="1">
        <v>1511</v>
      </c>
      <c r="AA465" s="5">
        <v>10464</v>
      </c>
    </row>
    <row r="466" spans="1:27" x14ac:dyDescent="0.3">
      <c r="A466" s="5">
        <v>10465</v>
      </c>
      <c r="B466" s="1">
        <v>1016</v>
      </c>
      <c r="C466" s="2">
        <v>45082</v>
      </c>
      <c r="D466" s="2">
        <v>45089</v>
      </c>
      <c r="E466" s="1" t="s">
        <v>37</v>
      </c>
      <c r="F466" s="1" t="s">
        <v>23</v>
      </c>
      <c r="G466" s="1" t="s">
        <v>30</v>
      </c>
      <c r="H466" s="1" t="s">
        <v>44</v>
      </c>
      <c r="I466" s="1" t="s">
        <v>19</v>
      </c>
      <c r="J466" s="1" t="s">
        <v>43</v>
      </c>
      <c r="K466" s="1" t="s">
        <v>33</v>
      </c>
      <c r="L466" s="1">
        <v>4</v>
      </c>
      <c r="M466" s="1">
        <v>589.44000000000005</v>
      </c>
      <c r="N466" s="1">
        <v>20</v>
      </c>
      <c r="O466" s="1">
        <v>1886.21</v>
      </c>
      <c r="P466" s="1">
        <f t="shared" si="36"/>
        <v>2357.7600000000002</v>
      </c>
      <c r="Q466" s="10">
        <f t="shared" si="37"/>
        <v>377.24200000000002</v>
      </c>
      <c r="R466" s="11">
        <f t="shared" si="38"/>
        <v>1980.5180000000003</v>
      </c>
      <c r="S466" s="1" t="str">
        <f t="shared" si="39"/>
        <v>Low</v>
      </c>
      <c r="T466" s="1" t="str" cm="1">
        <f t="array" ref="T466">_xlfn.IFS(L466&gt;5,"High",L466=5,"mediam",L466&lt;5,"low")</f>
        <v>low</v>
      </c>
      <c r="U466" s="1" t="b">
        <f t="shared" si="40"/>
        <v>0</v>
      </c>
      <c r="Z466" s="1">
        <v>1016</v>
      </c>
      <c r="AA466" s="5">
        <v>10465</v>
      </c>
    </row>
    <row r="467" spans="1:27" x14ac:dyDescent="0.3">
      <c r="A467" s="5">
        <v>10466</v>
      </c>
      <c r="B467" s="1">
        <v>1171</v>
      </c>
      <c r="C467" s="2">
        <v>44973</v>
      </c>
      <c r="D467" s="2">
        <v>44975</v>
      </c>
      <c r="E467" s="1" t="s">
        <v>16</v>
      </c>
      <c r="F467" s="1" t="s">
        <v>41</v>
      </c>
      <c r="G467" s="1" t="s">
        <v>30</v>
      </c>
      <c r="H467" s="1" t="s">
        <v>35</v>
      </c>
      <c r="I467" s="1" t="s">
        <v>19</v>
      </c>
      <c r="J467" s="1" t="s">
        <v>43</v>
      </c>
      <c r="K467" s="1" t="s">
        <v>28</v>
      </c>
      <c r="L467" s="1">
        <v>6</v>
      </c>
      <c r="M467" s="1">
        <v>3773.04</v>
      </c>
      <c r="N467" s="1">
        <v>0</v>
      </c>
      <c r="O467" s="1">
        <v>22638.240000000002</v>
      </c>
      <c r="P467" s="1">
        <f t="shared" si="36"/>
        <v>22638.239999999998</v>
      </c>
      <c r="Q467" s="10">
        <f t="shared" si="37"/>
        <v>0</v>
      </c>
      <c r="R467" s="11">
        <f t="shared" si="38"/>
        <v>22638.239999999998</v>
      </c>
      <c r="S467" s="1" t="str">
        <f t="shared" si="39"/>
        <v>High</v>
      </c>
      <c r="T467" s="1" t="str" cm="1">
        <f t="array" ref="T467">_xlfn.IFS(L467&gt;5,"High",L467=5,"mediam",L467&lt;5,"low")</f>
        <v>High</v>
      </c>
      <c r="U467" s="1" t="str">
        <f t="shared" si="40"/>
        <v>High</v>
      </c>
      <c r="Z467" s="1">
        <v>1171</v>
      </c>
      <c r="AA467" s="5">
        <v>10466</v>
      </c>
    </row>
    <row r="468" spans="1:27" x14ac:dyDescent="0.3">
      <c r="A468" s="5">
        <v>10467</v>
      </c>
      <c r="B468" s="1">
        <v>1219</v>
      </c>
      <c r="C468" s="2">
        <v>45127</v>
      </c>
      <c r="D468" s="2">
        <v>45129</v>
      </c>
      <c r="E468" s="1" t="s">
        <v>22</v>
      </c>
      <c r="F468" s="1" t="s">
        <v>41</v>
      </c>
      <c r="G468" s="1" t="s">
        <v>17</v>
      </c>
      <c r="H468" s="1" t="s">
        <v>44</v>
      </c>
      <c r="I468" s="1" t="s">
        <v>26</v>
      </c>
      <c r="J468" s="1" t="s">
        <v>69</v>
      </c>
      <c r="K468" s="1" t="s">
        <v>28</v>
      </c>
      <c r="L468" s="1">
        <v>4</v>
      </c>
      <c r="M468" s="1">
        <v>3509.72</v>
      </c>
      <c r="N468" s="1">
        <v>15</v>
      </c>
      <c r="O468" s="1">
        <v>11933.05</v>
      </c>
      <c r="P468" s="1">
        <f t="shared" si="36"/>
        <v>14038.88</v>
      </c>
      <c r="Q468" s="10">
        <f t="shared" si="37"/>
        <v>1789.9574999999998</v>
      </c>
      <c r="R468" s="11">
        <f t="shared" si="38"/>
        <v>12248.922499999999</v>
      </c>
      <c r="S468" s="1" t="str">
        <f t="shared" si="39"/>
        <v>Low</v>
      </c>
      <c r="T468" s="1" t="str" cm="1">
        <f t="array" ref="T468">_xlfn.IFS(L468&gt;5,"High",L468=5,"mediam",L468&lt;5,"low")</f>
        <v>low</v>
      </c>
      <c r="U468" s="1" t="b">
        <f t="shared" si="40"/>
        <v>0</v>
      </c>
      <c r="Z468" s="1">
        <v>1219</v>
      </c>
      <c r="AA468" s="5">
        <v>10467</v>
      </c>
    </row>
    <row r="469" spans="1:27" x14ac:dyDescent="0.3">
      <c r="A469" s="5">
        <v>10468</v>
      </c>
      <c r="B469" s="1">
        <v>1157</v>
      </c>
      <c r="C469" s="2">
        <v>45074</v>
      </c>
      <c r="D469" s="2">
        <v>45082</v>
      </c>
      <c r="E469" s="1" t="s">
        <v>22</v>
      </c>
      <c r="F469" s="1" t="s">
        <v>16</v>
      </c>
      <c r="G469" s="1" t="s">
        <v>17</v>
      </c>
      <c r="H469" s="1" t="s">
        <v>18</v>
      </c>
      <c r="I469" s="1" t="s">
        <v>57</v>
      </c>
      <c r="J469" s="1" t="s">
        <v>59</v>
      </c>
      <c r="K469" s="1" t="s">
        <v>45</v>
      </c>
      <c r="L469" s="1">
        <v>9</v>
      </c>
      <c r="M469" s="1">
        <v>1890.53</v>
      </c>
      <c r="N469" s="1">
        <v>15</v>
      </c>
      <c r="O469" s="1">
        <v>14462.55</v>
      </c>
      <c r="P469" s="1">
        <f t="shared" si="36"/>
        <v>17014.77</v>
      </c>
      <c r="Q469" s="10">
        <f t="shared" si="37"/>
        <v>2169.3824999999997</v>
      </c>
      <c r="R469" s="11">
        <f t="shared" si="38"/>
        <v>14845.387500000001</v>
      </c>
      <c r="S469" s="1" t="str">
        <f t="shared" si="39"/>
        <v>High</v>
      </c>
      <c r="T469" s="1" t="str" cm="1">
        <f t="array" ref="T469">_xlfn.IFS(L469&gt;5,"High",L469=5,"mediam",L469&lt;5,"low")</f>
        <v>High</v>
      </c>
      <c r="U469" s="1" t="str">
        <f t="shared" si="40"/>
        <v>High</v>
      </c>
      <c r="Z469" s="1">
        <v>1157</v>
      </c>
      <c r="AA469" s="5">
        <v>10468</v>
      </c>
    </row>
    <row r="470" spans="1:27" x14ac:dyDescent="0.3">
      <c r="A470" s="5">
        <v>10469</v>
      </c>
      <c r="B470" s="1">
        <v>1476</v>
      </c>
      <c r="C470" s="2">
        <v>45050</v>
      </c>
      <c r="D470" s="2">
        <v>45052</v>
      </c>
      <c r="E470" s="1" t="s">
        <v>15</v>
      </c>
      <c r="F470" s="1" t="s">
        <v>41</v>
      </c>
      <c r="G470" s="1" t="s">
        <v>30</v>
      </c>
      <c r="H470" s="1" t="s">
        <v>18</v>
      </c>
      <c r="I470" s="1" t="s">
        <v>31</v>
      </c>
      <c r="J470" s="1" t="s">
        <v>48</v>
      </c>
      <c r="K470" s="1" t="s">
        <v>45</v>
      </c>
      <c r="L470" s="1">
        <v>5</v>
      </c>
      <c r="M470" s="1">
        <v>3945.35</v>
      </c>
      <c r="N470" s="1">
        <v>5</v>
      </c>
      <c r="O470" s="1">
        <v>18740.41</v>
      </c>
      <c r="P470" s="1">
        <f t="shared" si="36"/>
        <v>19726.75</v>
      </c>
      <c r="Q470" s="10">
        <f t="shared" si="37"/>
        <v>937.02050000000008</v>
      </c>
      <c r="R470" s="11">
        <f t="shared" si="38"/>
        <v>18789.729500000001</v>
      </c>
      <c r="S470" s="1" t="str">
        <f t="shared" si="39"/>
        <v>High</v>
      </c>
      <c r="T470" s="1" t="str" cm="1">
        <f t="array" ref="T470">_xlfn.IFS(L470&gt;5,"High",L470=5,"mediam",L470&lt;5,"low")</f>
        <v>mediam</v>
      </c>
      <c r="U470" s="1" t="b">
        <f t="shared" si="40"/>
        <v>0</v>
      </c>
      <c r="Z470" s="1">
        <v>1476</v>
      </c>
      <c r="AA470" s="5">
        <v>10469</v>
      </c>
    </row>
    <row r="471" spans="1:27" x14ac:dyDescent="0.3">
      <c r="A471" s="5">
        <v>10470</v>
      </c>
      <c r="B471" s="1">
        <v>1045</v>
      </c>
      <c r="C471" s="2">
        <v>44927</v>
      </c>
      <c r="D471" s="2">
        <v>44936</v>
      </c>
      <c r="E471" s="1" t="s">
        <v>34</v>
      </c>
      <c r="F471" s="1" t="s">
        <v>29</v>
      </c>
      <c r="G471" s="1" t="s">
        <v>30</v>
      </c>
      <c r="H471" s="1" t="s">
        <v>18</v>
      </c>
      <c r="I471" s="1" t="s">
        <v>26</v>
      </c>
      <c r="J471" s="1" t="s">
        <v>36</v>
      </c>
      <c r="K471" s="1" t="s">
        <v>28</v>
      </c>
      <c r="L471" s="1">
        <v>8</v>
      </c>
      <c r="M471" s="1">
        <v>150.72</v>
      </c>
      <c r="N471" s="1">
        <v>5</v>
      </c>
      <c r="O471" s="1">
        <v>1145.47</v>
      </c>
      <c r="P471" s="1">
        <f t="shared" si="36"/>
        <v>1205.76</v>
      </c>
      <c r="Q471" s="10">
        <f t="shared" si="37"/>
        <v>57.273500000000006</v>
      </c>
      <c r="R471" s="11">
        <f t="shared" si="38"/>
        <v>1148.4865</v>
      </c>
      <c r="S471" s="1" t="str">
        <f t="shared" si="39"/>
        <v>High</v>
      </c>
      <c r="T471" s="1" t="str" cm="1">
        <f t="array" ref="T471">_xlfn.IFS(L471&gt;5,"High",L471=5,"mediam",L471&lt;5,"low")</f>
        <v>High</v>
      </c>
      <c r="U471" s="1" t="str">
        <f t="shared" si="40"/>
        <v>High</v>
      </c>
      <c r="Z471" s="1">
        <v>1045</v>
      </c>
      <c r="AA471" s="5">
        <v>10470</v>
      </c>
    </row>
    <row r="472" spans="1:27" x14ac:dyDescent="0.3">
      <c r="A472" s="5">
        <v>10471</v>
      </c>
      <c r="B472" s="1">
        <v>1372</v>
      </c>
      <c r="C472" s="2">
        <v>45173</v>
      </c>
      <c r="D472" s="2">
        <v>45174</v>
      </c>
      <c r="E472" s="1" t="s">
        <v>37</v>
      </c>
      <c r="F472" s="1" t="s">
        <v>54</v>
      </c>
      <c r="G472" s="1" t="s">
        <v>17</v>
      </c>
      <c r="H472" s="1" t="s">
        <v>44</v>
      </c>
      <c r="I472" s="1" t="s">
        <v>31</v>
      </c>
      <c r="J472" s="1" t="s">
        <v>48</v>
      </c>
      <c r="K472" s="1" t="s">
        <v>33</v>
      </c>
      <c r="L472" s="1">
        <v>9</v>
      </c>
      <c r="M472" s="1">
        <v>2513.8200000000002</v>
      </c>
      <c r="N472" s="1">
        <v>5</v>
      </c>
      <c r="O472" s="1">
        <v>21493.16</v>
      </c>
      <c r="P472" s="1">
        <f t="shared" si="36"/>
        <v>22624.38</v>
      </c>
      <c r="Q472" s="10">
        <f t="shared" si="37"/>
        <v>1074.6580000000001</v>
      </c>
      <c r="R472" s="11">
        <f t="shared" si="38"/>
        <v>21549.722000000002</v>
      </c>
      <c r="S472" s="1" t="str">
        <f t="shared" si="39"/>
        <v>High</v>
      </c>
      <c r="T472" s="1" t="str" cm="1">
        <f t="array" ref="T472">_xlfn.IFS(L472&gt;5,"High",L472=5,"mediam",L472&lt;5,"low")</f>
        <v>High</v>
      </c>
      <c r="U472" s="1" t="str">
        <f t="shared" si="40"/>
        <v>High</v>
      </c>
      <c r="Z472" s="1">
        <v>1372</v>
      </c>
      <c r="AA472" s="5">
        <v>10471</v>
      </c>
    </row>
    <row r="473" spans="1:27" x14ac:dyDescent="0.3">
      <c r="A473" s="5">
        <v>10472</v>
      </c>
      <c r="B473" s="1">
        <v>1517</v>
      </c>
      <c r="C473" s="2">
        <v>45269</v>
      </c>
      <c r="D473" s="2">
        <v>45278</v>
      </c>
      <c r="E473" s="1" t="s">
        <v>15</v>
      </c>
      <c r="F473" s="1" t="s">
        <v>54</v>
      </c>
      <c r="G473" s="1" t="s">
        <v>30</v>
      </c>
      <c r="H473" s="1" t="s">
        <v>35</v>
      </c>
      <c r="I473" s="1" t="s">
        <v>31</v>
      </c>
      <c r="J473" s="1" t="s">
        <v>48</v>
      </c>
      <c r="K473" s="1" t="s">
        <v>28</v>
      </c>
      <c r="L473" s="1">
        <v>5</v>
      </c>
      <c r="M473" s="1">
        <v>2523.25</v>
      </c>
      <c r="N473" s="1">
        <v>10</v>
      </c>
      <c r="O473" s="1">
        <v>11354.63</v>
      </c>
      <c r="P473" s="1">
        <f t="shared" si="36"/>
        <v>12616.25</v>
      </c>
      <c r="Q473" s="10">
        <f t="shared" si="37"/>
        <v>1135.463</v>
      </c>
      <c r="R473" s="11">
        <f t="shared" si="38"/>
        <v>11480.787</v>
      </c>
      <c r="S473" s="1" t="str">
        <f t="shared" si="39"/>
        <v>High</v>
      </c>
      <c r="T473" s="1" t="str" cm="1">
        <f t="array" ref="T473">_xlfn.IFS(L473&gt;5,"High",L473=5,"mediam",L473&lt;5,"low")</f>
        <v>mediam</v>
      </c>
      <c r="U473" s="1" t="b">
        <f t="shared" si="40"/>
        <v>0</v>
      </c>
      <c r="Z473" s="1">
        <v>1517</v>
      </c>
      <c r="AA473" s="5">
        <v>10472</v>
      </c>
    </row>
    <row r="474" spans="1:27" x14ac:dyDescent="0.3">
      <c r="A474" s="5">
        <v>10473</v>
      </c>
      <c r="B474" s="1">
        <v>1098</v>
      </c>
      <c r="C474" s="2">
        <v>45054</v>
      </c>
      <c r="D474" s="2">
        <v>45055</v>
      </c>
      <c r="E474" s="1" t="s">
        <v>46</v>
      </c>
      <c r="F474" s="1" t="s">
        <v>54</v>
      </c>
      <c r="G474" s="1" t="s">
        <v>30</v>
      </c>
      <c r="H474" s="1" t="s">
        <v>18</v>
      </c>
      <c r="I474" s="1" t="s">
        <v>31</v>
      </c>
      <c r="J474" s="1" t="s">
        <v>48</v>
      </c>
      <c r="K474" s="1" t="s">
        <v>33</v>
      </c>
      <c r="L474" s="1">
        <v>6</v>
      </c>
      <c r="M474" s="1">
        <v>1911.16</v>
      </c>
      <c r="N474" s="1">
        <v>5</v>
      </c>
      <c r="O474" s="1">
        <v>10893.61</v>
      </c>
      <c r="P474" s="1">
        <f t="shared" si="36"/>
        <v>11466.960000000001</v>
      </c>
      <c r="Q474" s="10">
        <f t="shared" si="37"/>
        <v>544.68050000000005</v>
      </c>
      <c r="R474" s="11">
        <f t="shared" si="38"/>
        <v>10922.279500000001</v>
      </c>
      <c r="S474" s="1" t="str">
        <f t="shared" si="39"/>
        <v>High</v>
      </c>
      <c r="T474" s="1" t="str" cm="1">
        <f t="array" ref="T474">_xlfn.IFS(L474&gt;5,"High",L474=5,"mediam",L474&lt;5,"low")</f>
        <v>High</v>
      </c>
      <c r="U474" s="1" t="str">
        <f t="shared" si="40"/>
        <v>High</v>
      </c>
      <c r="Z474" s="1">
        <v>1098</v>
      </c>
      <c r="AA474" s="5">
        <v>10473</v>
      </c>
    </row>
    <row r="475" spans="1:27" x14ac:dyDescent="0.3">
      <c r="A475" s="5">
        <v>10474</v>
      </c>
      <c r="B475" s="1">
        <v>1891</v>
      </c>
      <c r="C475" s="2">
        <v>45117</v>
      </c>
      <c r="D475" s="2">
        <v>45119</v>
      </c>
      <c r="E475" s="1" t="s">
        <v>46</v>
      </c>
      <c r="F475" s="1" t="s">
        <v>16</v>
      </c>
      <c r="G475" s="1" t="s">
        <v>17</v>
      </c>
      <c r="H475" s="1" t="s">
        <v>35</v>
      </c>
      <c r="I475" s="1" t="s">
        <v>26</v>
      </c>
      <c r="J475" s="1" t="s">
        <v>27</v>
      </c>
      <c r="K475" s="1" t="s">
        <v>45</v>
      </c>
      <c r="L475" s="1">
        <v>1</v>
      </c>
      <c r="M475" s="1">
        <v>1678.25</v>
      </c>
      <c r="N475" s="1">
        <v>15</v>
      </c>
      <c r="O475" s="1">
        <v>1426.51</v>
      </c>
      <c r="P475" s="1">
        <f t="shared" si="36"/>
        <v>1678.25</v>
      </c>
      <c r="Q475" s="10">
        <f t="shared" si="37"/>
        <v>213.97649999999999</v>
      </c>
      <c r="R475" s="11">
        <f t="shared" si="38"/>
        <v>1464.2735</v>
      </c>
      <c r="S475" s="1" t="str">
        <f t="shared" si="39"/>
        <v>Low</v>
      </c>
      <c r="T475" s="1" t="str" cm="1">
        <f t="array" ref="T475">_xlfn.IFS(L475&gt;5,"High",L475=5,"mediam",L475&lt;5,"low")</f>
        <v>low</v>
      </c>
      <c r="U475" s="1" t="b">
        <f t="shared" si="40"/>
        <v>0</v>
      </c>
      <c r="Z475" s="1">
        <v>1891</v>
      </c>
      <c r="AA475" s="5">
        <v>10474</v>
      </c>
    </row>
    <row r="476" spans="1:27" x14ac:dyDescent="0.3">
      <c r="A476" s="5">
        <v>10475</v>
      </c>
      <c r="B476" s="1">
        <v>1744</v>
      </c>
      <c r="C476" s="2">
        <v>44993</v>
      </c>
      <c r="D476" s="2">
        <v>44999</v>
      </c>
      <c r="E476" s="1" t="s">
        <v>46</v>
      </c>
      <c r="F476" s="1" t="s">
        <v>16</v>
      </c>
      <c r="G476" s="1" t="s">
        <v>30</v>
      </c>
      <c r="H476" s="1" t="s">
        <v>44</v>
      </c>
      <c r="I476" s="1" t="s">
        <v>19</v>
      </c>
      <c r="J476" s="1" t="s">
        <v>55</v>
      </c>
      <c r="K476" s="1" t="s">
        <v>21</v>
      </c>
      <c r="L476" s="1">
        <v>7</v>
      </c>
      <c r="M476" s="1">
        <v>1903.23</v>
      </c>
      <c r="N476" s="1">
        <v>10</v>
      </c>
      <c r="O476" s="1">
        <v>11990.35</v>
      </c>
      <c r="P476" s="1">
        <f t="shared" si="36"/>
        <v>13322.61</v>
      </c>
      <c r="Q476" s="10">
        <f t="shared" si="37"/>
        <v>1199.0350000000001</v>
      </c>
      <c r="R476" s="11">
        <f t="shared" si="38"/>
        <v>12123.575000000001</v>
      </c>
      <c r="S476" s="1" t="str">
        <f t="shared" si="39"/>
        <v>High</v>
      </c>
      <c r="T476" s="1" t="str" cm="1">
        <f t="array" ref="T476">_xlfn.IFS(L476&gt;5,"High",L476=5,"mediam",L476&lt;5,"low")</f>
        <v>High</v>
      </c>
      <c r="U476" s="1" t="str">
        <f t="shared" si="40"/>
        <v>High</v>
      </c>
      <c r="Z476" s="1">
        <v>1744</v>
      </c>
      <c r="AA476" s="5">
        <v>10475</v>
      </c>
    </row>
    <row r="477" spans="1:27" x14ac:dyDescent="0.3">
      <c r="A477" s="5">
        <v>10476</v>
      </c>
      <c r="B477" s="1">
        <v>1036</v>
      </c>
      <c r="C477" s="2">
        <v>44930</v>
      </c>
      <c r="D477" s="2">
        <v>44936</v>
      </c>
      <c r="E477" s="1" t="s">
        <v>46</v>
      </c>
      <c r="F477" s="1" t="s">
        <v>38</v>
      </c>
      <c r="G477" s="1" t="s">
        <v>30</v>
      </c>
      <c r="H477" s="1" t="s">
        <v>35</v>
      </c>
      <c r="I477" s="1" t="s">
        <v>19</v>
      </c>
      <c r="J477" s="1" t="s">
        <v>20</v>
      </c>
      <c r="K477" s="1" t="s">
        <v>45</v>
      </c>
      <c r="L477" s="1">
        <v>4</v>
      </c>
      <c r="M477" s="1">
        <v>1747.6</v>
      </c>
      <c r="N477" s="1">
        <v>20</v>
      </c>
      <c r="O477" s="1">
        <v>5592.32</v>
      </c>
      <c r="P477" s="1">
        <f t="shared" si="36"/>
        <v>6990.4</v>
      </c>
      <c r="Q477" s="10">
        <f t="shared" si="37"/>
        <v>1118.4639999999999</v>
      </c>
      <c r="R477" s="11">
        <f t="shared" si="38"/>
        <v>5871.9359999999997</v>
      </c>
      <c r="S477" s="1" t="str">
        <f t="shared" si="39"/>
        <v>Low</v>
      </c>
      <c r="T477" s="1" t="str" cm="1">
        <f t="array" ref="T477">_xlfn.IFS(L477&gt;5,"High",L477=5,"mediam",L477&lt;5,"low")</f>
        <v>low</v>
      </c>
      <c r="U477" s="1" t="b">
        <f t="shared" si="40"/>
        <v>0</v>
      </c>
      <c r="Z477" s="1">
        <v>1036</v>
      </c>
      <c r="AA477" s="5">
        <v>10476</v>
      </c>
    </row>
    <row r="478" spans="1:27" x14ac:dyDescent="0.3">
      <c r="A478" s="5">
        <v>10477</v>
      </c>
      <c r="B478" s="1">
        <v>1279</v>
      </c>
      <c r="C478" s="2">
        <v>45229</v>
      </c>
      <c r="D478" s="2">
        <v>45230</v>
      </c>
      <c r="E478" s="1" t="s">
        <v>34</v>
      </c>
      <c r="F478" s="1" t="s">
        <v>54</v>
      </c>
      <c r="G478" s="1" t="s">
        <v>30</v>
      </c>
      <c r="H478" s="1" t="s">
        <v>44</v>
      </c>
      <c r="I478" s="1" t="s">
        <v>31</v>
      </c>
      <c r="J478" s="1" t="s">
        <v>48</v>
      </c>
      <c r="K478" s="1" t="s">
        <v>45</v>
      </c>
      <c r="L478" s="1">
        <v>2</v>
      </c>
      <c r="M478" s="1">
        <v>2962.4</v>
      </c>
      <c r="N478" s="1">
        <v>0</v>
      </c>
      <c r="O478" s="1">
        <v>5924.8</v>
      </c>
      <c r="P478" s="1">
        <f t="shared" si="36"/>
        <v>5924.8</v>
      </c>
      <c r="Q478" s="10">
        <f t="shared" si="37"/>
        <v>0</v>
      </c>
      <c r="R478" s="11">
        <f t="shared" si="38"/>
        <v>5924.8</v>
      </c>
      <c r="S478" s="1" t="str">
        <f t="shared" si="39"/>
        <v>Low</v>
      </c>
      <c r="T478" s="1" t="str" cm="1">
        <f t="array" ref="T478">_xlfn.IFS(L478&gt;5,"High",L478=5,"mediam",L478&lt;5,"low")</f>
        <v>low</v>
      </c>
      <c r="U478" s="1" t="b">
        <f t="shared" si="40"/>
        <v>0</v>
      </c>
      <c r="Z478" s="1">
        <v>1279</v>
      </c>
      <c r="AA478" s="5">
        <v>10477</v>
      </c>
    </row>
    <row r="479" spans="1:27" x14ac:dyDescent="0.3">
      <c r="A479" s="5">
        <v>10478</v>
      </c>
      <c r="B479" s="1">
        <v>1348</v>
      </c>
      <c r="C479" s="2">
        <v>45220</v>
      </c>
      <c r="D479" s="2">
        <v>45227</v>
      </c>
      <c r="E479" s="1" t="s">
        <v>37</v>
      </c>
      <c r="F479" s="1" t="s">
        <v>29</v>
      </c>
      <c r="G479" s="1" t="s">
        <v>17</v>
      </c>
      <c r="H479" s="1" t="s">
        <v>44</v>
      </c>
      <c r="I479" s="1" t="s">
        <v>57</v>
      </c>
      <c r="J479" s="1" t="s">
        <v>62</v>
      </c>
      <c r="K479" s="1" t="s">
        <v>47</v>
      </c>
      <c r="L479" s="1">
        <v>5</v>
      </c>
      <c r="M479" s="1">
        <v>671.12</v>
      </c>
      <c r="N479" s="1">
        <v>5</v>
      </c>
      <c r="O479" s="1">
        <v>3187.82</v>
      </c>
      <c r="P479" s="1">
        <f t="shared" si="36"/>
        <v>3355.6</v>
      </c>
      <c r="Q479" s="10">
        <f t="shared" si="37"/>
        <v>159.39100000000002</v>
      </c>
      <c r="R479" s="11">
        <f t="shared" si="38"/>
        <v>3196.2089999999998</v>
      </c>
      <c r="S479" s="1" t="str">
        <f t="shared" si="39"/>
        <v>High</v>
      </c>
      <c r="T479" s="1" t="str" cm="1">
        <f t="array" ref="T479">_xlfn.IFS(L479&gt;5,"High",L479=5,"mediam",L479&lt;5,"low")</f>
        <v>mediam</v>
      </c>
      <c r="U479" s="1" t="b">
        <f t="shared" si="40"/>
        <v>0</v>
      </c>
      <c r="Z479" s="1">
        <v>1348</v>
      </c>
      <c r="AA479" s="5">
        <v>10478</v>
      </c>
    </row>
    <row r="480" spans="1:27" x14ac:dyDescent="0.3">
      <c r="A480" s="5">
        <v>10479</v>
      </c>
      <c r="B480" s="1">
        <v>1496</v>
      </c>
      <c r="C480" s="2">
        <v>45069</v>
      </c>
      <c r="D480" s="2">
        <v>45077</v>
      </c>
      <c r="E480" s="1" t="s">
        <v>40</v>
      </c>
      <c r="F480" s="1" t="s">
        <v>41</v>
      </c>
      <c r="G480" s="1" t="s">
        <v>30</v>
      </c>
      <c r="H480" s="1" t="s">
        <v>42</v>
      </c>
      <c r="I480" s="1" t="s">
        <v>49</v>
      </c>
      <c r="J480" s="1" t="s">
        <v>68</v>
      </c>
      <c r="K480" s="1" t="s">
        <v>47</v>
      </c>
      <c r="L480" s="1">
        <v>3</v>
      </c>
      <c r="M480" s="1">
        <v>910.91</v>
      </c>
      <c r="N480" s="1">
        <v>20</v>
      </c>
      <c r="O480" s="1">
        <v>2186.1799999999998</v>
      </c>
      <c r="P480" s="1">
        <f t="shared" si="36"/>
        <v>2732.73</v>
      </c>
      <c r="Q480" s="10">
        <f t="shared" si="37"/>
        <v>437.23599999999999</v>
      </c>
      <c r="R480" s="11">
        <f t="shared" si="38"/>
        <v>2295.4940000000001</v>
      </c>
      <c r="S480" s="1" t="str">
        <f t="shared" si="39"/>
        <v>Low</v>
      </c>
      <c r="T480" s="1" t="str" cm="1">
        <f t="array" ref="T480">_xlfn.IFS(L480&gt;5,"High",L480=5,"mediam",L480&lt;5,"low")</f>
        <v>low</v>
      </c>
      <c r="U480" s="1" t="b">
        <f t="shared" si="40"/>
        <v>0</v>
      </c>
      <c r="Z480" s="1">
        <v>1496</v>
      </c>
      <c r="AA480" s="5">
        <v>10479</v>
      </c>
    </row>
    <row r="481" spans="1:27" x14ac:dyDescent="0.3">
      <c r="A481" s="5">
        <v>10480</v>
      </c>
      <c r="B481" s="1">
        <v>1301</v>
      </c>
      <c r="C481" s="2">
        <v>45117</v>
      </c>
      <c r="D481" s="2">
        <v>45119</v>
      </c>
      <c r="E481" s="1" t="s">
        <v>16</v>
      </c>
      <c r="F481" s="1" t="s">
        <v>29</v>
      </c>
      <c r="G481" s="1" t="s">
        <v>17</v>
      </c>
      <c r="H481" s="1" t="s">
        <v>44</v>
      </c>
      <c r="I481" s="1" t="s">
        <v>26</v>
      </c>
      <c r="J481" s="1" t="s">
        <v>36</v>
      </c>
      <c r="K481" s="1" t="s">
        <v>47</v>
      </c>
      <c r="L481" s="1">
        <v>6</v>
      </c>
      <c r="M481" s="1">
        <v>845</v>
      </c>
      <c r="N481" s="1">
        <v>15</v>
      </c>
      <c r="O481" s="1">
        <v>4309.5</v>
      </c>
      <c r="P481" s="1">
        <f t="shared" si="36"/>
        <v>5070</v>
      </c>
      <c r="Q481" s="10">
        <f t="shared" si="37"/>
        <v>646.42499999999995</v>
      </c>
      <c r="R481" s="11">
        <f t="shared" si="38"/>
        <v>4423.5749999999998</v>
      </c>
      <c r="S481" s="1" t="str">
        <f t="shared" si="39"/>
        <v>High</v>
      </c>
      <c r="T481" s="1" t="str" cm="1">
        <f t="array" ref="T481">_xlfn.IFS(L481&gt;5,"High",L481=5,"mediam",L481&lt;5,"low")</f>
        <v>High</v>
      </c>
      <c r="U481" s="1" t="str">
        <f t="shared" si="40"/>
        <v>High</v>
      </c>
      <c r="Z481" s="1">
        <v>1301</v>
      </c>
      <c r="AA481" s="5">
        <v>10480</v>
      </c>
    </row>
    <row r="482" spans="1:27" x14ac:dyDescent="0.3">
      <c r="A482" s="5">
        <v>10481</v>
      </c>
      <c r="B482" s="1">
        <v>1180</v>
      </c>
      <c r="C482" s="2">
        <v>44947</v>
      </c>
      <c r="D482" s="2">
        <v>44955</v>
      </c>
      <c r="E482" s="1" t="s">
        <v>34</v>
      </c>
      <c r="F482" s="1" t="s">
        <v>41</v>
      </c>
      <c r="G482" s="1" t="s">
        <v>17</v>
      </c>
      <c r="H482" s="1" t="s">
        <v>44</v>
      </c>
      <c r="I482" s="1" t="s">
        <v>49</v>
      </c>
      <c r="J482" s="1" t="s">
        <v>50</v>
      </c>
      <c r="K482" s="1" t="s">
        <v>47</v>
      </c>
      <c r="L482" s="1">
        <v>8</v>
      </c>
      <c r="M482" s="1">
        <v>1160.51</v>
      </c>
      <c r="N482" s="1">
        <v>0</v>
      </c>
      <c r="O482" s="1">
        <v>9284.08</v>
      </c>
      <c r="P482" s="1">
        <f t="shared" si="36"/>
        <v>9284.08</v>
      </c>
      <c r="Q482" s="10">
        <f t="shared" si="37"/>
        <v>0</v>
      </c>
      <c r="R482" s="11">
        <f t="shared" si="38"/>
        <v>9284.08</v>
      </c>
      <c r="S482" s="1" t="str">
        <f t="shared" si="39"/>
        <v>High</v>
      </c>
      <c r="T482" s="1" t="str" cm="1">
        <f t="array" ref="T482">_xlfn.IFS(L482&gt;5,"High",L482=5,"mediam",L482&lt;5,"low")</f>
        <v>High</v>
      </c>
      <c r="U482" s="1" t="str">
        <f t="shared" si="40"/>
        <v>High</v>
      </c>
      <c r="Z482" s="1">
        <v>1180</v>
      </c>
      <c r="AA482" s="5">
        <v>10481</v>
      </c>
    </row>
    <row r="483" spans="1:27" x14ac:dyDescent="0.3">
      <c r="A483" s="5">
        <v>10482</v>
      </c>
      <c r="B483" s="1">
        <v>1606</v>
      </c>
      <c r="C483" s="2">
        <v>45153</v>
      </c>
      <c r="D483" s="2">
        <v>45162</v>
      </c>
      <c r="E483" s="1" t="s">
        <v>34</v>
      </c>
      <c r="F483" s="1" t="s">
        <v>54</v>
      </c>
      <c r="G483" s="1" t="s">
        <v>24</v>
      </c>
      <c r="H483" s="1" t="s">
        <v>25</v>
      </c>
      <c r="I483" s="1" t="s">
        <v>57</v>
      </c>
      <c r="J483" s="1" t="s">
        <v>67</v>
      </c>
      <c r="K483" s="1" t="s">
        <v>33</v>
      </c>
      <c r="L483" s="1">
        <v>7</v>
      </c>
      <c r="M483" s="1">
        <v>2172.2399999999998</v>
      </c>
      <c r="N483" s="1">
        <v>20</v>
      </c>
      <c r="O483" s="1">
        <v>12164.54</v>
      </c>
      <c r="P483" s="1">
        <f t="shared" si="36"/>
        <v>15205.679999999998</v>
      </c>
      <c r="Q483" s="10">
        <f t="shared" si="37"/>
        <v>2432.9080000000004</v>
      </c>
      <c r="R483" s="11">
        <f t="shared" si="38"/>
        <v>12772.771999999997</v>
      </c>
      <c r="S483" s="1" t="str">
        <f t="shared" si="39"/>
        <v>High</v>
      </c>
      <c r="T483" s="1" t="str" cm="1">
        <f t="array" ref="T483">_xlfn.IFS(L483&gt;5,"High",L483=5,"mediam",L483&lt;5,"low")</f>
        <v>High</v>
      </c>
      <c r="U483" s="1" t="str">
        <f t="shared" si="40"/>
        <v>High</v>
      </c>
      <c r="Z483" s="1">
        <v>1606</v>
      </c>
      <c r="AA483" s="5">
        <v>10482</v>
      </c>
    </row>
    <row r="484" spans="1:27" x14ac:dyDescent="0.3">
      <c r="A484" s="5">
        <v>10483</v>
      </c>
      <c r="B484" s="1">
        <v>1098</v>
      </c>
      <c r="C484" s="2">
        <v>45239</v>
      </c>
      <c r="D484" s="2">
        <v>45245</v>
      </c>
      <c r="E484" s="1" t="s">
        <v>40</v>
      </c>
      <c r="F484" s="1" t="s">
        <v>54</v>
      </c>
      <c r="G484" s="1" t="s">
        <v>24</v>
      </c>
      <c r="H484" s="1" t="s">
        <v>18</v>
      </c>
      <c r="I484" s="1" t="s">
        <v>26</v>
      </c>
      <c r="J484" s="1" t="s">
        <v>61</v>
      </c>
      <c r="K484" s="1" t="s">
        <v>28</v>
      </c>
      <c r="L484" s="1">
        <v>3</v>
      </c>
      <c r="M484" s="1">
        <v>578.15</v>
      </c>
      <c r="N484" s="1">
        <v>0</v>
      </c>
      <c r="O484" s="1">
        <v>1734.45</v>
      </c>
      <c r="P484" s="1">
        <f t="shared" si="36"/>
        <v>1734.4499999999998</v>
      </c>
      <c r="Q484" s="10">
        <f t="shared" si="37"/>
        <v>0</v>
      </c>
      <c r="R484" s="11">
        <f t="shared" si="38"/>
        <v>1734.4499999999998</v>
      </c>
      <c r="S484" s="1" t="str">
        <f t="shared" si="39"/>
        <v>Low</v>
      </c>
      <c r="T484" s="1" t="str" cm="1">
        <f t="array" ref="T484">_xlfn.IFS(L484&gt;5,"High",L484=5,"mediam",L484&lt;5,"low")</f>
        <v>low</v>
      </c>
      <c r="U484" s="1" t="b">
        <f t="shared" si="40"/>
        <v>0</v>
      </c>
      <c r="Z484" s="1">
        <v>1098</v>
      </c>
      <c r="AA484" s="5">
        <v>10483</v>
      </c>
    </row>
    <row r="485" spans="1:27" x14ac:dyDescent="0.3">
      <c r="A485" s="5">
        <v>10484</v>
      </c>
      <c r="B485" s="1">
        <v>1699</v>
      </c>
      <c r="C485" s="2">
        <v>45043</v>
      </c>
      <c r="D485" s="2">
        <v>45048</v>
      </c>
      <c r="E485" s="1" t="s">
        <v>40</v>
      </c>
      <c r="F485" s="1" t="s">
        <v>54</v>
      </c>
      <c r="G485" s="1" t="s">
        <v>30</v>
      </c>
      <c r="H485" s="1" t="s">
        <v>42</v>
      </c>
      <c r="I485" s="1" t="s">
        <v>31</v>
      </c>
      <c r="J485" s="1" t="s">
        <v>65</v>
      </c>
      <c r="K485" s="1" t="s">
        <v>21</v>
      </c>
      <c r="L485" s="1">
        <v>8</v>
      </c>
      <c r="M485" s="1">
        <v>3492.45</v>
      </c>
      <c r="N485" s="1">
        <v>5</v>
      </c>
      <c r="O485" s="1">
        <v>26542.62</v>
      </c>
      <c r="P485" s="1">
        <f t="shared" si="36"/>
        <v>27939.599999999999</v>
      </c>
      <c r="Q485" s="10">
        <f t="shared" si="37"/>
        <v>1327.1310000000001</v>
      </c>
      <c r="R485" s="11">
        <f t="shared" si="38"/>
        <v>26612.468999999997</v>
      </c>
      <c r="S485" s="1" t="str">
        <f t="shared" si="39"/>
        <v>High</v>
      </c>
      <c r="T485" s="1" t="str" cm="1">
        <f t="array" ref="T485">_xlfn.IFS(L485&gt;5,"High",L485=5,"mediam",L485&lt;5,"low")</f>
        <v>High</v>
      </c>
      <c r="U485" s="1" t="str">
        <f t="shared" si="40"/>
        <v>High</v>
      </c>
      <c r="Z485" s="1">
        <v>1699</v>
      </c>
      <c r="AA485" s="5">
        <v>10484</v>
      </c>
    </row>
    <row r="486" spans="1:27" x14ac:dyDescent="0.3">
      <c r="A486" s="5">
        <v>10485</v>
      </c>
      <c r="B486" s="1">
        <v>1992</v>
      </c>
      <c r="C486" s="2">
        <v>45228</v>
      </c>
      <c r="D486" s="2">
        <v>45237</v>
      </c>
      <c r="E486" s="1" t="s">
        <v>16</v>
      </c>
      <c r="F486" s="1" t="s">
        <v>16</v>
      </c>
      <c r="G486" s="1" t="s">
        <v>17</v>
      </c>
      <c r="H486" s="1" t="s">
        <v>42</v>
      </c>
      <c r="I486" s="1" t="s">
        <v>19</v>
      </c>
      <c r="J486" s="1" t="s">
        <v>43</v>
      </c>
      <c r="K486" s="1" t="s">
        <v>45</v>
      </c>
      <c r="L486" s="1">
        <v>2</v>
      </c>
      <c r="M486" s="1">
        <v>1294.8399999999999</v>
      </c>
      <c r="N486" s="1">
        <v>15</v>
      </c>
      <c r="O486" s="1">
        <v>2201.23</v>
      </c>
      <c r="P486" s="1">
        <f t="shared" si="36"/>
        <v>2589.6799999999998</v>
      </c>
      <c r="Q486" s="10">
        <f t="shared" si="37"/>
        <v>330.18450000000001</v>
      </c>
      <c r="R486" s="11">
        <f t="shared" si="38"/>
        <v>2259.4955</v>
      </c>
      <c r="S486" s="1" t="str">
        <f t="shared" si="39"/>
        <v>Low</v>
      </c>
      <c r="T486" s="1" t="str" cm="1">
        <f t="array" ref="T486">_xlfn.IFS(L486&gt;5,"High",L486=5,"mediam",L486&lt;5,"low")</f>
        <v>low</v>
      </c>
      <c r="U486" s="1" t="b">
        <f t="shared" si="40"/>
        <v>0</v>
      </c>
      <c r="Z486" s="1">
        <v>1992</v>
      </c>
      <c r="AA486" s="5">
        <v>10485</v>
      </c>
    </row>
    <row r="487" spans="1:27" x14ac:dyDescent="0.3">
      <c r="A487" s="5">
        <v>10486</v>
      </c>
      <c r="B487" s="1">
        <v>1115</v>
      </c>
      <c r="C487" s="2">
        <v>45068</v>
      </c>
      <c r="D487" s="2">
        <v>45077</v>
      </c>
      <c r="E487" s="1" t="s">
        <v>16</v>
      </c>
      <c r="F487" s="1" t="s">
        <v>41</v>
      </c>
      <c r="G487" s="1" t="s">
        <v>24</v>
      </c>
      <c r="H487" s="1" t="s">
        <v>42</v>
      </c>
      <c r="I487" s="1" t="s">
        <v>49</v>
      </c>
      <c r="J487" s="1" t="s">
        <v>63</v>
      </c>
      <c r="K487" s="1" t="s">
        <v>33</v>
      </c>
      <c r="L487" s="1">
        <v>9</v>
      </c>
      <c r="M487" s="1">
        <v>775.77</v>
      </c>
      <c r="N487" s="1">
        <v>0</v>
      </c>
      <c r="O487" s="1">
        <v>6981.93</v>
      </c>
      <c r="P487" s="1">
        <f t="shared" si="36"/>
        <v>6981.93</v>
      </c>
      <c r="Q487" s="10">
        <f t="shared" si="37"/>
        <v>0</v>
      </c>
      <c r="R487" s="11">
        <f t="shared" si="38"/>
        <v>6981.93</v>
      </c>
      <c r="S487" s="1" t="str">
        <f t="shared" si="39"/>
        <v>High</v>
      </c>
      <c r="T487" s="1" t="str" cm="1">
        <f t="array" ref="T487">_xlfn.IFS(L487&gt;5,"High",L487=5,"mediam",L487&lt;5,"low")</f>
        <v>High</v>
      </c>
      <c r="U487" s="1" t="str">
        <f t="shared" si="40"/>
        <v>High</v>
      </c>
      <c r="Z487" s="1">
        <v>1115</v>
      </c>
      <c r="AA487" s="5">
        <v>10486</v>
      </c>
    </row>
    <row r="488" spans="1:27" x14ac:dyDescent="0.3">
      <c r="A488" s="5">
        <v>10487</v>
      </c>
      <c r="B488" s="1">
        <v>1190</v>
      </c>
      <c r="C488" s="2">
        <v>44965</v>
      </c>
      <c r="D488" s="2">
        <v>44966</v>
      </c>
      <c r="E488" s="1" t="s">
        <v>40</v>
      </c>
      <c r="F488" s="1" t="s">
        <v>16</v>
      </c>
      <c r="G488" s="1" t="s">
        <v>30</v>
      </c>
      <c r="H488" s="1" t="s">
        <v>25</v>
      </c>
      <c r="I488" s="1" t="s">
        <v>52</v>
      </c>
      <c r="J488" s="1" t="s">
        <v>53</v>
      </c>
      <c r="K488" s="1" t="s">
        <v>21</v>
      </c>
      <c r="L488" s="1">
        <v>4</v>
      </c>
      <c r="M488" s="1">
        <v>2751.14</v>
      </c>
      <c r="N488" s="1">
        <v>20</v>
      </c>
      <c r="O488" s="1">
        <v>8803.65</v>
      </c>
      <c r="P488" s="1">
        <f t="shared" si="36"/>
        <v>11004.56</v>
      </c>
      <c r="Q488" s="10">
        <f t="shared" si="37"/>
        <v>1760.73</v>
      </c>
      <c r="R488" s="11">
        <f t="shared" si="38"/>
        <v>9243.83</v>
      </c>
      <c r="S488" s="1" t="str">
        <f t="shared" si="39"/>
        <v>Low</v>
      </c>
      <c r="T488" s="1" t="str" cm="1">
        <f t="array" ref="T488">_xlfn.IFS(L488&gt;5,"High",L488=5,"mediam",L488&lt;5,"low")</f>
        <v>low</v>
      </c>
      <c r="U488" s="1" t="b">
        <f t="shared" si="40"/>
        <v>0</v>
      </c>
      <c r="Z488" s="1">
        <v>1190</v>
      </c>
      <c r="AA488" s="5">
        <v>10487</v>
      </c>
    </row>
    <row r="489" spans="1:27" x14ac:dyDescent="0.3">
      <c r="A489" s="5">
        <v>10488</v>
      </c>
      <c r="B489" s="1">
        <v>1252</v>
      </c>
      <c r="C489" s="2">
        <v>45281</v>
      </c>
      <c r="D489" s="2">
        <v>45284</v>
      </c>
      <c r="E489" s="1" t="s">
        <v>46</v>
      </c>
      <c r="F489" s="1" t="s">
        <v>16</v>
      </c>
      <c r="G489" s="1" t="s">
        <v>24</v>
      </c>
      <c r="H489" s="1" t="s">
        <v>44</v>
      </c>
      <c r="I489" s="1" t="s">
        <v>52</v>
      </c>
      <c r="J489" s="1" t="s">
        <v>60</v>
      </c>
      <c r="K489" s="1" t="s">
        <v>33</v>
      </c>
      <c r="L489" s="1">
        <v>1</v>
      </c>
      <c r="M489" s="1">
        <v>296.63</v>
      </c>
      <c r="N489" s="1">
        <v>5</v>
      </c>
      <c r="O489" s="1">
        <v>281.8</v>
      </c>
      <c r="P489" s="1">
        <f t="shared" si="36"/>
        <v>296.63</v>
      </c>
      <c r="Q489" s="10">
        <f t="shared" si="37"/>
        <v>14.090000000000002</v>
      </c>
      <c r="R489" s="11">
        <f t="shared" si="38"/>
        <v>282.54000000000002</v>
      </c>
      <c r="S489" s="1" t="str">
        <f t="shared" si="39"/>
        <v>Low</v>
      </c>
      <c r="T489" s="1" t="str" cm="1">
        <f t="array" ref="T489">_xlfn.IFS(L489&gt;5,"High",L489=5,"mediam",L489&lt;5,"low")</f>
        <v>low</v>
      </c>
      <c r="U489" s="1" t="b">
        <f t="shared" si="40"/>
        <v>0</v>
      </c>
      <c r="Z489" s="1">
        <v>1252</v>
      </c>
      <c r="AA489" s="5">
        <v>10488</v>
      </c>
    </row>
    <row r="490" spans="1:27" x14ac:dyDescent="0.3">
      <c r="A490" s="5">
        <v>10489</v>
      </c>
      <c r="B490" s="1">
        <v>1980</v>
      </c>
      <c r="C490" s="2">
        <v>45178</v>
      </c>
      <c r="D490" s="2">
        <v>45187</v>
      </c>
      <c r="E490" s="1" t="s">
        <v>34</v>
      </c>
      <c r="F490" s="1" t="s">
        <v>23</v>
      </c>
      <c r="G490" s="1" t="s">
        <v>24</v>
      </c>
      <c r="H490" s="1" t="s">
        <v>18</v>
      </c>
      <c r="I490" s="1" t="s">
        <v>57</v>
      </c>
      <c r="J490" s="1" t="s">
        <v>62</v>
      </c>
      <c r="K490" s="1" t="s">
        <v>33</v>
      </c>
      <c r="L490" s="1">
        <v>8</v>
      </c>
      <c r="M490" s="1">
        <v>2536.88</v>
      </c>
      <c r="N490" s="1">
        <v>5</v>
      </c>
      <c r="O490" s="1">
        <v>19280.29</v>
      </c>
      <c r="P490" s="1">
        <f t="shared" si="36"/>
        <v>20295.04</v>
      </c>
      <c r="Q490" s="10">
        <f t="shared" si="37"/>
        <v>964.01450000000011</v>
      </c>
      <c r="R490" s="11">
        <f t="shared" si="38"/>
        <v>19331.0255</v>
      </c>
      <c r="S490" s="1" t="str">
        <f t="shared" si="39"/>
        <v>High</v>
      </c>
      <c r="T490" s="1" t="str" cm="1">
        <f t="array" ref="T490">_xlfn.IFS(L490&gt;5,"High",L490=5,"mediam",L490&lt;5,"low")</f>
        <v>High</v>
      </c>
      <c r="U490" s="1" t="str">
        <f t="shared" si="40"/>
        <v>High</v>
      </c>
      <c r="Z490" s="1">
        <v>1980</v>
      </c>
      <c r="AA490" s="5">
        <v>10489</v>
      </c>
    </row>
    <row r="491" spans="1:27" x14ac:dyDescent="0.3">
      <c r="A491" s="5">
        <v>10490</v>
      </c>
      <c r="B491" s="1">
        <v>1927</v>
      </c>
      <c r="C491" s="2">
        <v>45259</v>
      </c>
      <c r="D491" s="2">
        <v>45261</v>
      </c>
      <c r="E491" s="1" t="s">
        <v>15</v>
      </c>
      <c r="F491" s="1" t="s">
        <v>29</v>
      </c>
      <c r="G491" s="1" t="s">
        <v>17</v>
      </c>
      <c r="H491" s="1" t="s">
        <v>35</v>
      </c>
      <c r="I491" s="1" t="s">
        <v>31</v>
      </c>
      <c r="J491" s="1" t="s">
        <v>32</v>
      </c>
      <c r="K491" s="1" t="s">
        <v>45</v>
      </c>
      <c r="L491" s="1">
        <v>7</v>
      </c>
      <c r="M491" s="1">
        <v>2838.06</v>
      </c>
      <c r="N491" s="1">
        <v>20</v>
      </c>
      <c r="O491" s="1">
        <v>15893.14</v>
      </c>
      <c r="P491" s="1">
        <f t="shared" si="36"/>
        <v>19866.419999999998</v>
      </c>
      <c r="Q491" s="10">
        <f t="shared" si="37"/>
        <v>3178.6280000000002</v>
      </c>
      <c r="R491" s="11">
        <f t="shared" si="38"/>
        <v>16687.791999999998</v>
      </c>
      <c r="S491" s="1" t="str">
        <f t="shared" si="39"/>
        <v>High</v>
      </c>
      <c r="T491" s="1" t="str" cm="1">
        <f t="array" ref="T491">_xlfn.IFS(L491&gt;5,"High",L491=5,"mediam",L491&lt;5,"low")</f>
        <v>High</v>
      </c>
      <c r="U491" s="1" t="str">
        <f t="shared" si="40"/>
        <v>High</v>
      </c>
      <c r="Z491" s="1">
        <v>1927</v>
      </c>
      <c r="AA491" s="5">
        <v>10490</v>
      </c>
    </row>
    <row r="492" spans="1:27" x14ac:dyDescent="0.3">
      <c r="A492" s="5">
        <v>10491</v>
      </c>
      <c r="B492" s="1">
        <v>1982</v>
      </c>
      <c r="C492" s="2">
        <v>45133</v>
      </c>
      <c r="D492" s="2">
        <v>45137</v>
      </c>
      <c r="E492" s="1" t="s">
        <v>16</v>
      </c>
      <c r="F492" s="1" t="s">
        <v>29</v>
      </c>
      <c r="G492" s="1" t="s">
        <v>17</v>
      </c>
      <c r="H492" s="1" t="s">
        <v>44</v>
      </c>
      <c r="I492" s="1" t="s">
        <v>49</v>
      </c>
      <c r="J492" s="1" t="s">
        <v>63</v>
      </c>
      <c r="K492" s="1" t="s">
        <v>28</v>
      </c>
      <c r="L492" s="1">
        <v>5</v>
      </c>
      <c r="M492" s="1">
        <v>977.43</v>
      </c>
      <c r="N492" s="1">
        <v>20</v>
      </c>
      <c r="O492" s="1">
        <v>3909.72</v>
      </c>
      <c r="P492" s="1">
        <f t="shared" si="36"/>
        <v>4887.1499999999996</v>
      </c>
      <c r="Q492" s="10">
        <f t="shared" si="37"/>
        <v>781.94399999999996</v>
      </c>
      <c r="R492" s="11">
        <f t="shared" si="38"/>
        <v>4105.2060000000001</v>
      </c>
      <c r="S492" s="1" t="str">
        <f t="shared" si="39"/>
        <v>High</v>
      </c>
      <c r="T492" s="1" t="str" cm="1">
        <f t="array" ref="T492">_xlfn.IFS(L492&gt;5,"High",L492=5,"mediam",L492&lt;5,"low")</f>
        <v>mediam</v>
      </c>
      <c r="U492" s="1" t="b">
        <f t="shared" si="40"/>
        <v>0</v>
      </c>
      <c r="Z492" s="1">
        <v>1982</v>
      </c>
      <c r="AA492" s="5">
        <v>10491</v>
      </c>
    </row>
    <row r="493" spans="1:27" x14ac:dyDescent="0.3">
      <c r="A493" s="5">
        <v>10492</v>
      </c>
      <c r="B493" s="1">
        <v>1160</v>
      </c>
      <c r="C493" s="2">
        <v>45136</v>
      </c>
      <c r="D493" s="2">
        <v>45140</v>
      </c>
      <c r="E493" s="1" t="s">
        <v>16</v>
      </c>
      <c r="F493" s="1" t="s">
        <v>38</v>
      </c>
      <c r="G493" s="1" t="s">
        <v>24</v>
      </c>
      <c r="H493" s="1" t="s">
        <v>25</v>
      </c>
      <c r="I493" s="1" t="s">
        <v>31</v>
      </c>
      <c r="J493" s="1" t="s">
        <v>32</v>
      </c>
      <c r="K493" s="1" t="s">
        <v>47</v>
      </c>
      <c r="L493" s="1">
        <v>5</v>
      </c>
      <c r="M493" s="1">
        <v>311.56</v>
      </c>
      <c r="N493" s="1">
        <v>0</v>
      </c>
      <c r="O493" s="1">
        <v>1557.8</v>
      </c>
      <c r="P493" s="1">
        <f t="shared" si="36"/>
        <v>1557.8</v>
      </c>
      <c r="Q493" s="10">
        <f t="shared" si="37"/>
        <v>0</v>
      </c>
      <c r="R493" s="11">
        <f t="shared" si="38"/>
        <v>1557.8</v>
      </c>
      <c r="S493" s="1" t="str">
        <f t="shared" si="39"/>
        <v>High</v>
      </c>
      <c r="T493" s="1" t="str" cm="1">
        <f t="array" ref="T493">_xlfn.IFS(L493&gt;5,"High",L493=5,"mediam",L493&lt;5,"low")</f>
        <v>mediam</v>
      </c>
      <c r="U493" s="1" t="b">
        <f t="shared" si="40"/>
        <v>0</v>
      </c>
      <c r="Z493" s="1">
        <v>1160</v>
      </c>
      <c r="AA493" s="5">
        <v>10492</v>
      </c>
    </row>
    <row r="494" spans="1:27" x14ac:dyDescent="0.3">
      <c r="A494" s="5">
        <v>10493</v>
      </c>
      <c r="B494" s="1">
        <v>1255</v>
      </c>
      <c r="C494" s="2">
        <v>45041</v>
      </c>
      <c r="D494" s="2">
        <v>45043</v>
      </c>
      <c r="E494" s="1" t="s">
        <v>40</v>
      </c>
      <c r="F494" s="1" t="s">
        <v>16</v>
      </c>
      <c r="G494" s="1" t="s">
        <v>24</v>
      </c>
      <c r="H494" s="1" t="s">
        <v>44</v>
      </c>
      <c r="I494" s="1" t="s">
        <v>49</v>
      </c>
      <c r="J494" s="1" t="s">
        <v>68</v>
      </c>
      <c r="K494" s="1" t="s">
        <v>28</v>
      </c>
      <c r="L494" s="1">
        <v>7</v>
      </c>
      <c r="M494" s="1">
        <v>1550.03</v>
      </c>
      <c r="N494" s="1">
        <v>10</v>
      </c>
      <c r="O494" s="1">
        <v>9765.19</v>
      </c>
      <c r="P494" s="1">
        <f t="shared" si="36"/>
        <v>10850.21</v>
      </c>
      <c r="Q494" s="10">
        <f t="shared" si="37"/>
        <v>976.51900000000012</v>
      </c>
      <c r="R494" s="11">
        <f t="shared" si="38"/>
        <v>9873.6909999999989</v>
      </c>
      <c r="S494" s="1" t="str">
        <f t="shared" si="39"/>
        <v>High</v>
      </c>
      <c r="T494" s="1" t="str" cm="1">
        <f t="array" ref="T494">_xlfn.IFS(L494&gt;5,"High",L494=5,"mediam",L494&lt;5,"low")</f>
        <v>High</v>
      </c>
      <c r="U494" s="1" t="str">
        <f t="shared" si="40"/>
        <v>High</v>
      </c>
      <c r="Z494" s="1">
        <v>1255</v>
      </c>
      <c r="AA494" s="5">
        <v>10493</v>
      </c>
    </row>
    <row r="495" spans="1:27" x14ac:dyDescent="0.3">
      <c r="A495" s="5">
        <v>10494</v>
      </c>
      <c r="B495" s="1">
        <v>1322</v>
      </c>
      <c r="C495" s="2">
        <v>45151</v>
      </c>
      <c r="D495" s="2">
        <v>45154</v>
      </c>
      <c r="E495" s="1" t="s">
        <v>37</v>
      </c>
      <c r="F495" s="1" t="s">
        <v>41</v>
      </c>
      <c r="G495" s="1" t="s">
        <v>17</v>
      </c>
      <c r="H495" s="1" t="s">
        <v>44</v>
      </c>
      <c r="I495" s="1" t="s">
        <v>57</v>
      </c>
      <c r="J495" s="1" t="s">
        <v>67</v>
      </c>
      <c r="K495" s="1" t="s">
        <v>45</v>
      </c>
      <c r="L495" s="1">
        <v>5</v>
      </c>
      <c r="M495" s="1">
        <v>529.59</v>
      </c>
      <c r="N495" s="1">
        <v>5</v>
      </c>
      <c r="O495" s="1">
        <v>2515.5500000000002</v>
      </c>
      <c r="P495" s="1">
        <f t="shared" si="36"/>
        <v>2647.9500000000003</v>
      </c>
      <c r="Q495" s="10">
        <f t="shared" si="37"/>
        <v>125.77750000000002</v>
      </c>
      <c r="R495" s="11">
        <f t="shared" si="38"/>
        <v>2522.1725000000001</v>
      </c>
      <c r="S495" s="1" t="str">
        <f t="shared" si="39"/>
        <v>High</v>
      </c>
      <c r="T495" s="1" t="str" cm="1">
        <f t="array" ref="T495">_xlfn.IFS(L495&gt;5,"High",L495=5,"mediam",L495&lt;5,"low")</f>
        <v>mediam</v>
      </c>
      <c r="U495" s="1" t="b">
        <f t="shared" si="40"/>
        <v>0</v>
      </c>
      <c r="Z495" s="1">
        <v>1322</v>
      </c>
      <c r="AA495" s="5">
        <v>10494</v>
      </c>
    </row>
    <row r="496" spans="1:27" x14ac:dyDescent="0.3">
      <c r="A496" s="5">
        <v>10495</v>
      </c>
      <c r="B496" s="1">
        <v>1127</v>
      </c>
      <c r="C496" s="2">
        <v>45060</v>
      </c>
      <c r="D496" s="2">
        <v>45063</v>
      </c>
      <c r="E496" s="1" t="s">
        <v>15</v>
      </c>
      <c r="F496" s="1" t="s">
        <v>23</v>
      </c>
      <c r="G496" s="1" t="s">
        <v>30</v>
      </c>
      <c r="H496" s="1" t="s">
        <v>25</v>
      </c>
      <c r="I496" s="1" t="s">
        <v>57</v>
      </c>
      <c r="J496" s="1" t="s">
        <v>59</v>
      </c>
      <c r="K496" s="1" t="s">
        <v>45</v>
      </c>
      <c r="L496" s="1">
        <v>8</v>
      </c>
      <c r="M496" s="1">
        <v>598.44000000000005</v>
      </c>
      <c r="N496" s="1">
        <v>0</v>
      </c>
      <c r="O496" s="1">
        <v>4787.5200000000004</v>
      </c>
      <c r="P496" s="1">
        <f t="shared" si="36"/>
        <v>4787.5200000000004</v>
      </c>
      <c r="Q496" s="10">
        <f t="shared" si="37"/>
        <v>0</v>
      </c>
      <c r="R496" s="11">
        <f t="shared" si="38"/>
        <v>4787.5200000000004</v>
      </c>
      <c r="S496" s="1" t="str">
        <f t="shared" si="39"/>
        <v>High</v>
      </c>
      <c r="T496" s="1" t="str" cm="1">
        <f t="array" ref="T496">_xlfn.IFS(L496&gt;5,"High",L496=5,"mediam",L496&lt;5,"low")</f>
        <v>High</v>
      </c>
      <c r="U496" s="1" t="str">
        <f t="shared" si="40"/>
        <v>High</v>
      </c>
      <c r="Z496" s="1">
        <v>1127</v>
      </c>
      <c r="AA496" s="5">
        <v>10495</v>
      </c>
    </row>
    <row r="497" spans="1:27" x14ac:dyDescent="0.3">
      <c r="A497" s="5">
        <v>10496</v>
      </c>
      <c r="B497" s="1">
        <v>1017</v>
      </c>
      <c r="C497" s="2">
        <v>45177</v>
      </c>
      <c r="D497" s="2">
        <v>45178</v>
      </c>
      <c r="E497" s="1" t="s">
        <v>15</v>
      </c>
      <c r="F497" s="1" t="s">
        <v>23</v>
      </c>
      <c r="G497" s="1" t="s">
        <v>17</v>
      </c>
      <c r="H497" s="1" t="s">
        <v>42</v>
      </c>
      <c r="I497" s="1" t="s">
        <v>52</v>
      </c>
      <c r="J497" s="1" t="s">
        <v>60</v>
      </c>
      <c r="K497" s="1" t="s">
        <v>45</v>
      </c>
      <c r="L497" s="1">
        <v>6</v>
      </c>
      <c r="M497" s="1">
        <v>1128.9100000000001</v>
      </c>
      <c r="N497" s="1">
        <v>20</v>
      </c>
      <c r="O497" s="1">
        <v>5418.77</v>
      </c>
      <c r="P497" s="1">
        <f t="shared" si="36"/>
        <v>6773.4600000000009</v>
      </c>
      <c r="Q497" s="10">
        <f t="shared" si="37"/>
        <v>1083.7540000000001</v>
      </c>
      <c r="R497" s="11">
        <f t="shared" si="38"/>
        <v>5689.706000000001</v>
      </c>
      <c r="S497" s="1" t="str">
        <f t="shared" si="39"/>
        <v>High</v>
      </c>
      <c r="T497" s="1" t="str" cm="1">
        <f t="array" ref="T497">_xlfn.IFS(L497&gt;5,"High",L497=5,"mediam",L497&lt;5,"low")</f>
        <v>High</v>
      </c>
      <c r="U497" s="1" t="str">
        <f t="shared" si="40"/>
        <v>High</v>
      </c>
      <c r="Z497" s="1">
        <v>1017</v>
      </c>
      <c r="AA497" s="5">
        <v>10496</v>
      </c>
    </row>
    <row r="498" spans="1:27" x14ac:dyDescent="0.3">
      <c r="A498" s="5">
        <v>10497</v>
      </c>
      <c r="B498" s="1">
        <v>1792</v>
      </c>
      <c r="C498" s="2">
        <v>45145</v>
      </c>
      <c r="D498" s="2">
        <v>45151</v>
      </c>
      <c r="E498" s="1" t="s">
        <v>16</v>
      </c>
      <c r="F498" s="1" t="s">
        <v>29</v>
      </c>
      <c r="G498" s="1" t="s">
        <v>24</v>
      </c>
      <c r="H498" s="1" t="s">
        <v>42</v>
      </c>
      <c r="I498" s="1" t="s">
        <v>31</v>
      </c>
      <c r="J498" s="1" t="s">
        <v>39</v>
      </c>
      <c r="K498" s="1" t="s">
        <v>21</v>
      </c>
      <c r="L498" s="1">
        <v>5</v>
      </c>
      <c r="M498" s="1">
        <v>1287.55</v>
      </c>
      <c r="N498" s="1">
        <v>0</v>
      </c>
      <c r="O498" s="1">
        <v>6437.75</v>
      </c>
      <c r="P498" s="1">
        <f t="shared" si="36"/>
        <v>6437.75</v>
      </c>
      <c r="Q498" s="10">
        <f t="shared" si="37"/>
        <v>0</v>
      </c>
      <c r="R498" s="11">
        <f t="shared" si="38"/>
        <v>6437.75</v>
      </c>
      <c r="S498" s="1" t="str">
        <f t="shared" si="39"/>
        <v>High</v>
      </c>
      <c r="T498" s="1" t="str" cm="1">
        <f t="array" ref="T498">_xlfn.IFS(L498&gt;5,"High",L498=5,"mediam",L498&lt;5,"low")</f>
        <v>mediam</v>
      </c>
      <c r="U498" s="1" t="b">
        <f t="shared" si="40"/>
        <v>0</v>
      </c>
      <c r="Z498" s="1">
        <v>1792</v>
      </c>
      <c r="AA498" s="5">
        <v>10497</v>
      </c>
    </row>
    <row r="499" spans="1:27" x14ac:dyDescent="0.3">
      <c r="A499" s="5">
        <v>10498</v>
      </c>
      <c r="B499" s="1">
        <v>1734</v>
      </c>
      <c r="C499" s="2">
        <v>45017</v>
      </c>
      <c r="D499" s="2">
        <v>45025</v>
      </c>
      <c r="E499" s="1" t="s">
        <v>46</v>
      </c>
      <c r="F499" s="1" t="s">
        <v>16</v>
      </c>
      <c r="G499" s="1" t="s">
        <v>30</v>
      </c>
      <c r="H499" s="1" t="s">
        <v>18</v>
      </c>
      <c r="I499" s="1" t="s">
        <v>26</v>
      </c>
      <c r="J499" s="1" t="s">
        <v>36</v>
      </c>
      <c r="K499" s="1" t="s">
        <v>28</v>
      </c>
      <c r="L499" s="1">
        <v>9</v>
      </c>
      <c r="M499" s="1">
        <v>2190.39</v>
      </c>
      <c r="N499" s="1">
        <v>20</v>
      </c>
      <c r="O499" s="1">
        <v>15770.81</v>
      </c>
      <c r="P499" s="1">
        <f t="shared" si="36"/>
        <v>19713.509999999998</v>
      </c>
      <c r="Q499" s="10">
        <f t="shared" si="37"/>
        <v>3154.1620000000003</v>
      </c>
      <c r="R499" s="11">
        <f t="shared" si="38"/>
        <v>16559.347999999998</v>
      </c>
      <c r="S499" s="1" t="str">
        <f t="shared" si="39"/>
        <v>High</v>
      </c>
      <c r="T499" s="1" t="str" cm="1">
        <f t="array" ref="T499">_xlfn.IFS(L499&gt;5,"High",L499=5,"mediam",L499&lt;5,"low")</f>
        <v>High</v>
      </c>
      <c r="U499" s="1" t="str">
        <f t="shared" si="40"/>
        <v>High</v>
      </c>
      <c r="Z499" s="1">
        <v>1734</v>
      </c>
      <c r="AA499" s="5">
        <v>10498</v>
      </c>
    </row>
    <row r="500" spans="1:27" x14ac:dyDescent="0.3">
      <c r="A500" s="5">
        <v>10499</v>
      </c>
      <c r="B500" s="1">
        <v>1565</v>
      </c>
      <c r="C500" s="2">
        <v>45280</v>
      </c>
      <c r="D500" s="2">
        <v>45283</v>
      </c>
      <c r="E500" s="1" t="s">
        <v>37</v>
      </c>
      <c r="F500" s="1" t="s">
        <v>38</v>
      </c>
      <c r="G500" s="1" t="s">
        <v>24</v>
      </c>
      <c r="H500" s="1" t="s">
        <v>18</v>
      </c>
      <c r="I500" s="1" t="s">
        <v>52</v>
      </c>
      <c r="J500" s="1" t="s">
        <v>60</v>
      </c>
      <c r="K500" s="1" t="s">
        <v>28</v>
      </c>
      <c r="L500" s="1">
        <v>2</v>
      </c>
      <c r="M500" s="1">
        <v>2761.81</v>
      </c>
      <c r="N500" s="1">
        <v>15</v>
      </c>
      <c r="O500" s="1">
        <v>4695.08</v>
      </c>
      <c r="P500" s="1">
        <f t="shared" si="36"/>
        <v>5523.62</v>
      </c>
      <c r="Q500" s="10">
        <f t="shared" si="37"/>
        <v>704.26199999999994</v>
      </c>
      <c r="R500" s="11">
        <f t="shared" si="38"/>
        <v>4819.3580000000002</v>
      </c>
      <c r="S500" s="1" t="str">
        <f t="shared" si="39"/>
        <v>Low</v>
      </c>
      <c r="T500" s="1" t="str" cm="1">
        <f t="array" ref="T500">_xlfn.IFS(L500&gt;5,"High",L500=5,"mediam",L500&lt;5,"low")</f>
        <v>low</v>
      </c>
      <c r="U500" s="1" t="b">
        <f t="shared" si="40"/>
        <v>0</v>
      </c>
      <c r="Z500" s="1">
        <v>1565</v>
      </c>
      <c r="AA500" s="5">
        <v>10499</v>
      </c>
    </row>
    <row r="501" spans="1:27" x14ac:dyDescent="0.3">
      <c r="A501" s="5">
        <v>10500</v>
      </c>
      <c r="B501" s="1">
        <v>1569</v>
      </c>
      <c r="C501" s="2">
        <v>44972</v>
      </c>
      <c r="D501" s="2">
        <v>44977</v>
      </c>
      <c r="E501" s="1" t="s">
        <v>15</v>
      </c>
      <c r="F501" s="1" t="s">
        <v>16</v>
      </c>
      <c r="G501" s="1" t="s">
        <v>30</v>
      </c>
      <c r="H501" s="1" t="s">
        <v>42</v>
      </c>
      <c r="I501" s="1" t="s">
        <v>31</v>
      </c>
      <c r="J501" s="1" t="s">
        <v>65</v>
      </c>
      <c r="K501" s="1" t="s">
        <v>33</v>
      </c>
      <c r="L501" s="1">
        <v>1</v>
      </c>
      <c r="M501" s="1">
        <v>2432.17</v>
      </c>
      <c r="N501" s="1">
        <v>20</v>
      </c>
      <c r="O501" s="1">
        <v>1945.74</v>
      </c>
      <c r="P501" s="1">
        <f>L501*M501</f>
        <v>2432.17</v>
      </c>
      <c r="Q501" s="10">
        <f t="shared" si="37"/>
        <v>389.14800000000002</v>
      </c>
      <c r="R501" s="11">
        <f t="shared" si="38"/>
        <v>2043.0219999999999</v>
      </c>
      <c r="S501" s="1" t="str">
        <f t="shared" si="39"/>
        <v>Low</v>
      </c>
      <c r="T501" s="1" t="str" cm="1">
        <f t="array" ref="T501">_xlfn.IFS(L501&gt;5,"High",L501=5,"mediam",L501&lt;5,"low")</f>
        <v>low</v>
      </c>
      <c r="U501" s="1" t="b">
        <f t="shared" si="40"/>
        <v>0</v>
      </c>
      <c r="Z501" s="1">
        <v>1569</v>
      </c>
      <c r="AA501" s="5">
        <v>10500</v>
      </c>
    </row>
  </sheetData>
  <dataValidations count="2">
    <dataValidation type="list" allowBlank="1" showInputMessage="1" showErrorMessage="1" sqref="W3 AC3" xr:uid="{0E51A777-8168-44BE-991F-27A1A5CBA15F}">
      <formula1>$AA$2:$AA$501</formula1>
    </dataValidation>
    <dataValidation type="list" allowBlank="1" showInputMessage="1" showErrorMessage="1" sqref="Z2:Z501 W6" xr:uid="{B1EDC4C9-A90B-49DC-8F3D-5D2A7D5DE5E9}">
      <formula1>$Z$2:$Z$501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52F31-F880-4F2D-AB16-6649F970C35F}">
  <dimension ref="A1:SG25"/>
  <sheetViews>
    <sheetView tabSelected="1" zoomScale="87" workbookViewId="0">
      <selection activeCell="E26" sqref="E26"/>
    </sheetView>
  </sheetViews>
  <sheetFormatPr defaultRowHeight="14.4" x14ac:dyDescent="0.3"/>
  <cols>
    <col min="2" max="2" width="12.6640625" customWidth="1"/>
    <col min="3" max="3" width="11.88671875" customWidth="1"/>
    <col min="4" max="4" width="10.33203125" customWidth="1"/>
    <col min="5" max="5" width="13.21875" customWidth="1"/>
    <col min="6" max="11" width="10.33203125" bestFit="1" customWidth="1"/>
  </cols>
  <sheetData>
    <row r="1" spans="1:501" x14ac:dyDescent="0.3">
      <c r="A1" s="4" t="s">
        <v>0</v>
      </c>
      <c r="B1" s="5">
        <v>10001</v>
      </c>
      <c r="C1" s="5">
        <v>10002</v>
      </c>
      <c r="D1" s="5">
        <v>10003</v>
      </c>
      <c r="E1" s="5">
        <v>10004</v>
      </c>
      <c r="F1" s="5">
        <v>10005</v>
      </c>
      <c r="G1" s="5">
        <v>10006</v>
      </c>
      <c r="H1" s="5">
        <v>10007</v>
      </c>
      <c r="I1" s="5">
        <v>10008</v>
      </c>
      <c r="J1" s="5">
        <v>10009</v>
      </c>
      <c r="K1" s="5">
        <v>10010</v>
      </c>
      <c r="L1" s="5">
        <v>10011</v>
      </c>
      <c r="M1" s="5">
        <v>10012</v>
      </c>
      <c r="N1" s="5">
        <v>10013</v>
      </c>
      <c r="O1" s="5">
        <v>10014</v>
      </c>
      <c r="P1" s="5">
        <v>10015</v>
      </c>
      <c r="Q1" s="5">
        <v>10016</v>
      </c>
      <c r="R1" s="5">
        <v>10017</v>
      </c>
      <c r="S1" s="5">
        <v>10018</v>
      </c>
      <c r="T1" s="5">
        <v>10019</v>
      </c>
      <c r="U1" s="5">
        <v>10020</v>
      </c>
      <c r="V1" s="5">
        <v>10021</v>
      </c>
      <c r="W1" s="5">
        <v>10022</v>
      </c>
      <c r="X1" s="5">
        <v>10023</v>
      </c>
      <c r="Y1" s="5">
        <v>10024</v>
      </c>
      <c r="Z1" s="5">
        <v>10025</v>
      </c>
      <c r="AA1" s="5">
        <v>10026</v>
      </c>
      <c r="AB1" s="5">
        <v>10027</v>
      </c>
      <c r="AC1" s="5">
        <v>10028</v>
      </c>
      <c r="AD1" s="5">
        <v>10029</v>
      </c>
      <c r="AE1" s="5">
        <v>10030</v>
      </c>
      <c r="AF1" s="5">
        <v>10031</v>
      </c>
      <c r="AG1" s="5">
        <v>10032</v>
      </c>
      <c r="AH1" s="5">
        <v>10033</v>
      </c>
      <c r="AI1" s="5">
        <v>10034</v>
      </c>
      <c r="AJ1" s="5">
        <v>10035</v>
      </c>
      <c r="AK1" s="5">
        <v>10036</v>
      </c>
      <c r="AL1" s="5">
        <v>10037</v>
      </c>
      <c r="AM1" s="5">
        <v>10038</v>
      </c>
      <c r="AN1" s="5">
        <v>10039</v>
      </c>
      <c r="AO1" s="5">
        <v>10040</v>
      </c>
      <c r="AP1" s="5">
        <v>10041</v>
      </c>
      <c r="AQ1" s="5">
        <v>10042</v>
      </c>
      <c r="AR1" s="5">
        <v>10043</v>
      </c>
      <c r="AS1" s="5">
        <v>10044</v>
      </c>
      <c r="AT1" s="5">
        <v>10045</v>
      </c>
      <c r="AU1" s="5">
        <v>10046</v>
      </c>
      <c r="AV1" s="5">
        <v>10047</v>
      </c>
      <c r="AW1" s="5">
        <v>10048</v>
      </c>
      <c r="AX1" s="5">
        <v>10049</v>
      </c>
      <c r="AY1" s="5">
        <v>10050</v>
      </c>
      <c r="AZ1" s="5">
        <v>10051</v>
      </c>
      <c r="BA1" s="5">
        <v>10052</v>
      </c>
      <c r="BB1" s="5">
        <v>10053</v>
      </c>
      <c r="BC1" s="5">
        <v>10054</v>
      </c>
      <c r="BD1" s="5">
        <v>10055</v>
      </c>
      <c r="BE1" s="5">
        <v>10056</v>
      </c>
      <c r="BF1" s="5">
        <v>10057</v>
      </c>
      <c r="BG1" s="5">
        <v>10058</v>
      </c>
      <c r="BH1" s="5">
        <v>10059</v>
      </c>
      <c r="BI1" s="5">
        <v>10060</v>
      </c>
      <c r="BJ1" s="5">
        <v>10061</v>
      </c>
      <c r="BK1" s="5">
        <v>10062</v>
      </c>
      <c r="BL1" s="5">
        <v>10063</v>
      </c>
      <c r="BM1" s="5">
        <v>10064</v>
      </c>
      <c r="BN1" s="5">
        <v>10065</v>
      </c>
      <c r="BO1" s="5">
        <v>10066</v>
      </c>
      <c r="BP1" s="5">
        <v>10067</v>
      </c>
      <c r="BQ1" s="5">
        <v>10068</v>
      </c>
      <c r="BR1" s="5">
        <v>10069</v>
      </c>
      <c r="BS1" s="5">
        <v>10070</v>
      </c>
      <c r="BT1" s="5">
        <v>10071</v>
      </c>
      <c r="BU1" s="5">
        <v>10072</v>
      </c>
      <c r="BV1" s="5">
        <v>10073</v>
      </c>
      <c r="BW1" s="5">
        <v>10074</v>
      </c>
      <c r="BX1" s="5">
        <v>10075</v>
      </c>
      <c r="BY1" s="5">
        <v>10076</v>
      </c>
      <c r="BZ1" s="5">
        <v>10077</v>
      </c>
      <c r="CA1" s="5">
        <v>10078</v>
      </c>
      <c r="CB1" s="5">
        <v>10079</v>
      </c>
      <c r="CC1" s="5">
        <v>10080</v>
      </c>
      <c r="CD1" s="5">
        <v>10081</v>
      </c>
      <c r="CE1" s="5">
        <v>10082</v>
      </c>
      <c r="CF1" s="5">
        <v>10083</v>
      </c>
      <c r="CG1" s="5">
        <v>10084</v>
      </c>
      <c r="CH1" s="5">
        <v>10085</v>
      </c>
      <c r="CI1" s="5">
        <v>10086</v>
      </c>
      <c r="CJ1" s="5">
        <v>10087</v>
      </c>
      <c r="CK1" s="5">
        <v>10088</v>
      </c>
      <c r="CL1" s="5">
        <v>10089</v>
      </c>
      <c r="CM1" s="5">
        <v>10090</v>
      </c>
      <c r="CN1" s="5">
        <v>10091</v>
      </c>
      <c r="CO1" s="5">
        <v>10092</v>
      </c>
      <c r="CP1" s="5">
        <v>10093</v>
      </c>
      <c r="CQ1" s="5">
        <v>10094</v>
      </c>
      <c r="CR1" s="5">
        <v>10095</v>
      </c>
      <c r="CS1" s="5">
        <v>10096</v>
      </c>
      <c r="CT1" s="5">
        <v>10097</v>
      </c>
      <c r="CU1" s="5">
        <v>10098</v>
      </c>
      <c r="CV1" s="5">
        <v>10099</v>
      </c>
      <c r="CW1" s="5">
        <v>10100</v>
      </c>
      <c r="CX1" s="5">
        <v>10101</v>
      </c>
      <c r="CY1" s="5">
        <v>10102</v>
      </c>
      <c r="CZ1" s="5">
        <v>10103</v>
      </c>
      <c r="DA1" s="5">
        <v>10104</v>
      </c>
      <c r="DB1" s="5">
        <v>10105</v>
      </c>
      <c r="DC1" s="5">
        <v>10106</v>
      </c>
      <c r="DD1" s="5">
        <v>10107</v>
      </c>
      <c r="DE1" s="5">
        <v>10108</v>
      </c>
      <c r="DF1" s="5">
        <v>10109</v>
      </c>
      <c r="DG1" s="5">
        <v>10110</v>
      </c>
      <c r="DH1" s="5">
        <v>10111</v>
      </c>
      <c r="DI1" s="5">
        <v>10112</v>
      </c>
      <c r="DJ1" s="5">
        <v>10113</v>
      </c>
      <c r="DK1" s="5">
        <v>10114</v>
      </c>
      <c r="DL1" s="5">
        <v>10115</v>
      </c>
      <c r="DM1" s="5">
        <v>10116</v>
      </c>
      <c r="DN1" s="5">
        <v>10117</v>
      </c>
      <c r="DO1" s="5">
        <v>10118</v>
      </c>
      <c r="DP1" s="5">
        <v>10119</v>
      </c>
      <c r="DQ1" s="5">
        <v>10120</v>
      </c>
      <c r="DR1" s="5">
        <v>10121</v>
      </c>
      <c r="DS1" s="5">
        <v>10122</v>
      </c>
      <c r="DT1" s="5">
        <v>10123</v>
      </c>
      <c r="DU1" s="5">
        <v>10124</v>
      </c>
      <c r="DV1" s="5">
        <v>10125</v>
      </c>
      <c r="DW1" s="5">
        <v>10126</v>
      </c>
      <c r="DX1" s="5">
        <v>10127</v>
      </c>
      <c r="DY1" s="5">
        <v>10128</v>
      </c>
      <c r="DZ1" s="5">
        <v>10129</v>
      </c>
      <c r="EA1" s="5">
        <v>10130</v>
      </c>
      <c r="EB1" s="5">
        <v>10131</v>
      </c>
      <c r="EC1" s="5">
        <v>10132</v>
      </c>
      <c r="ED1" s="5">
        <v>10133</v>
      </c>
      <c r="EE1" s="5">
        <v>10134</v>
      </c>
      <c r="EF1" s="5">
        <v>10135</v>
      </c>
      <c r="EG1" s="5">
        <v>10136</v>
      </c>
      <c r="EH1" s="5">
        <v>10137</v>
      </c>
      <c r="EI1" s="5">
        <v>10138</v>
      </c>
      <c r="EJ1" s="5">
        <v>10139</v>
      </c>
      <c r="EK1" s="5">
        <v>10140</v>
      </c>
      <c r="EL1" s="5">
        <v>10141</v>
      </c>
      <c r="EM1" s="5">
        <v>10142</v>
      </c>
      <c r="EN1" s="5">
        <v>10143</v>
      </c>
      <c r="EO1" s="5">
        <v>10144</v>
      </c>
      <c r="EP1" s="5">
        <v>10145</v>
      </c>
      <c r="EQ1" s="5">
        <v>10146</v>
      </c>
      <c r="ER1" s="5">
        <v>10147</v>
      </c>
      <c r="ES1" s="5">
        <v>10148</v>
      </c>
      <c r="ET1" s="5">
        <v>10149</v>
      </c>
      <c r="EU1" s="5">
        <v>10150</v>
      </c>
      <c r="EV1" s="5">
        <v>10151</v>
      </c>
      <c r="EW1" s="5">
        <v>10152</v>
      </c>
      <c r="EX1" s="5">
        <v>10153</v>
      </c>
      <c r="EY1" s="5">
        <v>10154</v>
      </c>
      <c r="EZ1" s="5">
        <v>10155</v>
      </c>
      <c r="FA1" s="5">
        <v>10156</v>
      </c>
      <c r="FB1" s="5">
        <v>10157</v>
      </c>
      <c r="FC1" s="5">
        <v>10158</v>
      </c>
      <c r="FD1" s="5">
        <v>10159</v>
      </c>
      <c r="FE1" s="5">
        <v>10160</v>
      </c>
      <c r="FF1" s="5">
        <v>10161</v>
      </c>
      <c r="FG1" s="5">
        <v>10162</v>
      </c>
      <c r="FH1" s="5">
        <v>10163</v>
      </c>
      <c r="FI1" s="5">
        <v>10164</v>
      </c>
      <c r="FJ1" s="5">
        <v>10165</v>
      </c>
      <c r="FK1" s="5">
        <v>10166</v>
      </c>
      <c r="FL1" s="5">
        <v>10167</v>
      </c>
      <c r="FM1" s="5">
        <v>10168</v>
      </c>
      <c r="FN1" s="5">
        <v>10169</v>
      </c>
      <c r="FO1" s="5">
        <v>10170</v>
      </c>
      <c r="FP1" s="5">
        <v>10171</v>
      </c>
      <c r="FQ1" s="5">
        <v>10172</v>
      </c>
      <c r="FR1" s="5">
        <v>10173</v>
      </c>
      <c r="FS1" s="5">
        <v>10174</v>
      </c>
      <c r="FT1" s="5">
        <v>10175</v>
      </c>
      <c r="FU1" s="5">
        <v>10176</v>
      </c>
      <c r="FV1" s="5">
        <v>10177</v>
      </c>
      <c r="FW1" s="5">
        <v>10178</v>
      </c>
      <c r="FX1" s="5">
        <v>10179</v>
      </c>
      <c r="FY1" s="5">
        <v>10180</v>
      </c>
      <c r="FZ1" s="5">
        <v>10181</v>
      </c>
      <c r="GA1" s="5">
        <v>10182</v>
      </c>
      <c r="GB1" s="5">
        <v>10183</v>
      </c>
      <c r="GC1" s="5">
        <v>10184</v>
      </c>
      <c r="GD1" s="5">
        <v>10185</v>
      </c>
      <c r="GE1" s="5">
        <v>10186</v>
      </c>
      <c r="GF1" s="5">
        <v>10187</v>
      </c>
      <c r="GG1" s="5">
        <v>10188</v>
      </c>
      <c r="GH1" s="5">
        <v>10189</v>
      </c>
      <c r="GI1" s="5">
        <v>10190</v>
      </c>
      <c r="GJ1" s="5">
        <v>10191</v>
      </c>
      <c r="GK1" s="5">
        <v>10192</v>
      </c>
      <c r="GL1" s="5">
        <v>10193</v>
      </c>
      <c r="GM1" s="5">
        <v>10194</v>
      </c>
      <c r="GN1" s="5">
        <v>10195</v>
      </c>
      <c r="GO1" s="5">
        <v>10196</v>
      </c>
      <c r="GP1" s="5">
        <v>10197</v>
      </c>
      <c r="GQ1" s="5">
        <v>10198</v>
      </c>
      <c r="GR1" s="5">
        <v>10199</v>
      </c>
      <c r="GS1" s="5">
        <v>10200</v>
      </c>
      <c r="GT1" s="5">
        <v>10201</v>
      </c>
      <c r="GU1" s="5">
        <v>10202</v>
      </c>
      <c r="GV1" s="5">
        <v>10203</v>
      </c>
      <c r="GW1" s="5">
        <v>10204</v>
      </c>
      <c r="GX1" s="5">
        <v>10205</v>
      </c>
      <c r="GY1" s="5">
        <v>10206</v>
      </c>
      <c r="GZ1" s="5">
        <v>10207</v>
      </c>
      <c r="HA1" s="5">
        <v>10208</v>
      </c>
      <c r="HB1" s="5">
        <v>10209</v>
      </c>
      <c r="HC1" s="5">
        <v>10210</v>
      </c>
      <c r="HD1" s="5">
        <v>10211</v>
      </c>
      <c r="HE1" s="5">
        <v>10212</v>
      </c>
      <c r="HF1" s="5">
        <v>10213</v>
      </c>
      <c r="HG1" s="5">
        <v>10214</v>
      </c>
      <c r="HH1" s="5">
        <v>10215</v>
      </c>
      <c r="HI1" s="5">
        <v>10216</v>
      </c>
      <c r="HJ1" s="5">
        <v>10217</v>
      </c>
      <c r="HK1" s="5">
        <v>10218</v>
      </c>
      <c r="HL1" s="5">
        <v>10219</v>
      </c>
      <c r="HM1" s="5">
        <v>10220</v>
      </c>
      <c r="HN1" s="5">
        <v>10221</v>
      </c>
      <c r="HO1" s="5">
        <v>10222</v>
      </c>
      <c r="HP1" s="5">
        <v>10223</v>
      </c>
      <c r="HQ1" s="5">
        <v>10224</v>
      </c>
      <c r="HR1" s="5">
        <v>10225</v>
      </c>
      <c r="HS1" s="5">
        <v>10226</v>
      </c>
      <c r="HT1" s="5">
        <v>10227</v>
      </c>
      <c r="HU1" s="5">
        <v>10228</v>
      </c>
      <c r="HV1" s="5">
        <v>10229</v>
      </c>
      <c r="HW1" s="5">
        <v>10230</v>
      </c>
      <c r="HX1" s="5">
        <v>10231</v>
      </c>
      <c r="HY1" s="5">
        <v>10232</v>
      </c>
      <c r="HZ1" s="5">
        <v>10233</v>
      </c>
      <c r="IA1" s="5">
        <v>10234</v>
      </c>
      <c r="IB1" s="5">
        <v>10235</v>
      </c>
      <c r="IC1" s="5">
        <v>10236</v>
      </c>
      <c r="ID1" s="5">
        <v>10237</v>
      </c>
      <c r="IE1" s="5">
        <v>10238</v>
      </c>
      <c r="IF1" s="5">
        <v>10239</v>
      </c>
      <c r="IG1" s="5">
        <v>10240</v>
      </c>
      <c r="IH1" s="5">
        <v>10241</v>
      </c>
      <c r="II1" s="5">
        <v>10242</v>
      </c>
      <c r="IJ1" s="5">
        <v>10243</v>
      </c>
      <c r="IK1" s="5">
        <v>10244</v>
      </c>
      <c r="IL1" s="5">
        <v>10245</v>
      </c>
      <c r="IM1" s="5">
        <v>10246</v>
      </c>
      <c r="IN1" s="5">
        <v>10247</v>
      </c>
      <c r="IO1" s="5">
        <v>10248</v>
      </c>
      <c r="IP1" s="5">
        <v>10249</v>
      </c>
      <c r="IQ1" s="5">
        <v>10250</v>
      </c>
      <c r="IR1" s="5">
        <v>10251</v>
      </c>
      <c r="IS1" s="5">
        <v>10252</v>
      </c>
      <c r="IT1" s="5">
        <v>10253</v>
      </c>
      <c r="IU1" s="5">
        <v>10254</v>
      </c>
      <c r="IV1" s="5">
        <v>10255</v>
      </c>
      <c r="IW1" s="5">
        <v>10256</v>
      </c>
      <c r="IX1" s="5">
        <v>10257</v>
      </c>
      <c r="IY1" s="5">
        <v>10258</v>
      </c>
      <c r="IZ1" s="5">
        <v>10259</v>
      </c>
      <c r="JA1" s="5">
        <v>10260</v>
      </c>
      <c r="JB1" s="5">
        <v>10261</v>
      </c>
      <c r="JC1" s="5">
        <v>10262</v>
      </c>
      <c r="JD1" s="5">
        <v>10263</v>
      </c>
      <c r="JE1" s="5">
        <v>10264</v>
      </c>
      <c r="JF1" s="5">
        <v>10265</v>
      </c>
      <c r="JG1" s="5">
        <v>10266</v>
      </c>
      <c r="JH1" s="5">
        <v>10267</v>
      </c>
      <c r="JI1" s="5">
        <v>10268</v>
      </c>
      <c r="JJ1" s="5">
        <v>10269</v>
      </c>
      <c r="JK1" s="5">
        <v>10270</v>
      </c>
      <c r="JL1" s="5">
        <v>10271</v>
      </c>
      <c r="JM1" s="5">
        <v>10272</v>
      </c>
      <c r="JN1" s="5">
        <v>10273</v>
      </c>
      <c r="JO1" s="5">
        <v>10274</v>
      </c>
      <c r="JP1" s="5">
        <v>10275</v>
      </c>
      <c r="JQ1" s="5">
        <v>10276</v>
      </c>
      <c r="JR1" s="5">
        <v>10277</v>
      </c>
      <c r="JS1" s="5">
        <v>10278</v>
      </c>
      <c r="JT1" s="5">
        <v>10279</v>
      </c>
      <c r="JU1" s="5">
        <v>10280</v>
      </c>
      <c r="JV1" s="5">
        <v>10281</v>
      </c>
      <c r="JW1" s="5">
        <v>10282</v>
      </c>
      <c r="JX1" s="5">
        <v>10283</v>
      </c>
      <c r="JY1" s="5">
        <v>10284</v>
      </c>
      <c r="JZ1" s="5">
        <v>10285</v>
      </c>
      <c r="KA1" s="5">
        <v>10286</v>
      </c>
      <c r="KB1" s="5">
        <v>10287</v>
      </c>
      <c r="KC1" s="5">
        <v>10288</v>
      </c>
      <c r="KD1" s="5">
        <v>10289</v>
      </c>
      <c r="KE1" s="5">
        <v>10290</v>
      </c>
      <c r="KF1" s="5">
        <v>10291</v>
      </c>
      <c r="KG1" s="5">
        <v>10292</v>
      </c>
      <c r="KH1" s="5">
        <v>10293</v>
      </c>
      <c r="KI1" s="5">
        <v>10294</v>
      </c>
      <c r="KJ1" s="5">
        <v>10295</v>
      </c>
      <c r="KK1" s="5">
        <v>10296</v>
      </c>
      <c r="KL1" s="5">
        <v>10297</v>
      </c>
      <c r="KM1" s="5">
        <v>10298</v>
      </c>
      <c r="KN1" s="5">
        <v>10299</v>
      </c>
      <c r="KO1" s="5">
        <v>10300</v>
      </c>
      <c r="KP1" s="5">
        <v>10301</v>
      </c>
      <c r="KQ1" s="5">
        <v>10302</v>
      </c>
      <c r="KR1" s="5">
        <v>10303</v>
      </c>
      <c r="KS1" s="5">
        <v>10304</v>
      </c>
      <c r="KT1" s="5">
        <v>10305</v>
      </c>
      <c r="KU1" s="5">
        <v>10306</v>
      </c>
      <c r="KV1" s="5">
        <v>10307</v>
      </c>
      <c r="KW1" s="5">
        <v>10308</v>
      </c>
      <c r="KX1" s="5">
        <v>10309</v>
      </c>
      <c r="KY1" s="5">
        <v>10310</v>
      </c>
      <c r="KZ1" s="5">
        <v>10311</v>
      </c>
      <c r="LA1" s="5">
        <v>10312</v>
      </c>
      <c r="LB1" s="5">
        <v>10313</v>
      </c>
      <c r="LC1" s="5">
        <v>10314</v>
      </c>
      <c r="LD1" s="5">
        <v>10315</v>
      </c>
      <c r="LE1" s="5">
        <v>10316</v>
      </c>
      <c r="LF1" s="5">
        <v>10317</v>
      </c>
      <c r="LG1" s="5">
        <v>10318</v>
      </c>
      <c r="LH1" s="5">
        <v>10319</v>
      </c>
      <c r="LI1" s="5">
        <v>10320</v>
      </c>
      <c r="LJ1" s="5">
        <v>10321</v>
      </c>
      <c r="LK1" s="5">
        <v>10322</v>
      </c>
      <c r="LL1" s="5">
        <v>10323</v>
      </c>
      <c r="LM1" s="5">
        <v>10324</v>
      </c>
      <c r="LN1" s="5">
        <v>10325</v>
      </c>
      <c r="LO1" s="5">
        <v>10326</v>
      </c>
      <c r="LP1" s="5">
        <v>10327</v>
      </c>
      <c r="LQ1" s="5">
        <v>10328</v>
      </c>
      <c r="LR1" s="5">
        <v>10329</v>
      </c>
      <c r="LS1" s="5">
        <v>10330</v>
      </c>
      <c r="LT1" s="5">
        <v>10331</v>
      </c>
      <c r="LU1" s="5">
        <v>10332</v>
      </c>
      <c r="LV1" s="5">
        <v>10333</v>
      </c>
      <c r="LW1" s="5">
        <v>10334</v>
      </c>
      <c r="LX1" s="5">
        <v>10335</v>
      </c>
      <c r="LY1" s="5">
        <v>10336</v>
      </c>
      <c r="LZ1" s="5">
        <v>10337</v>
      </c>
      <c r="MA1" s="5">
        <v>10338</v>
      </c>
      <c r="MB1" s="5">
        <v>10339</v>
      </c>
      <c r="MC1" s="5">
        <v>10340</v>
      </c>
      <c r="MD1" s="5">
        <v>10341</v>
      </c>
      <c r="ME1" s="5">
        <v>10342</v>
      </c>
      <c r="MF1" s="5">
        <v>10343</v>
      </c>
      <c r="MG1" s="5">
        <v>10344</v>
      </c>
      <c r="MH1" s="5">
        <v>10345</v>
      </c>
      <c r="MI1" s="5">
        <v>10346</v>
      </c>
      <c r="MJ1" s="5">
        <v>10347</v>
      </c>
      <c r="MK1" s="5">
        <v>10348</v>
      </c>
      <c r="ML1" s="5">
        <v>10349</v>
      </c>
      <c r="MM1" s="5">
        <v>10350</v>
      </c>
      <c r="MN1" s="5">
        <v>10351</v>
      </c>
      <c r="MO1" s="5">
        <v>10352</v>
      </c>
      <c r="MP1" s="5">
        <v>10353</v>
      </c>
      <c r="MQ1" s="5">
        <v>10354</v>
      </c>
      <c r="MR1" s="5">
        <v>10355</v>
      </c>
      <c r="MS1" s="5">
        <v>10356</v>
      </c>
      <c r="MT1" s="5">
        <v>10357</v>
      </c>
      <c r="MU1" s="5">
        <v>10358</v>
      </c>
      <c r="MV1" s="5">
        <v>10359</v>
      </c>
      <c r="MW1" s="5">
        <v>10360</v>
      </c>
      <c r="MX1" s="5">
        <v>10361</v>
      </c>
      <c r="MY1" s="5">
        <v>10362</v>
      </c>
      <c r="MZ1" s="5">
        <v>10363</v>
      </c>
      <c r="NA1" s="5">
        <v>10364</v>
      </c>
      <c r="NB1" s="5">
        <v>10365</v>
      </c>
      <c r="NC1" s="5">
        <v>10366</v>
      </c>
      <c r="ND1" s="5">
        <v>10367</v>
      </c>
      <c r="NE1" s="5">
        <v>10368</v>
      </c>
      <c r="NF1" s="5">
        <v>10369</v>
      </c>
      <c r="NG1" s="5">
        <v>10370</v>
      </c>
      <c r="NH1" s="5">
        <v>10371</v>
      </c>
      <c r="NI1" s="5">
        <v>10372</v>
      </c>
      <c r="NJ1" s="5">
        <v>10373</v>
      </c>
      <c r="NK1" s="5">
        <v>10374</v>
      </c>
      <c r="NL1" s="5">
        <v>10375</v>
      </c>
      <c r="NM1" s="5">
        <v>10376</v>
      </c>
      <c r="NN1" s="5">
        <v>10377</v>
      </c>
      <c r="NO1" s="5">
        <v>10378</v>
      </c>
      <c r="NP1" s="5">
        <v>10379</v>
      </c>
      <c r="NQ1" s="5">
        <v>10380</v>
      </c>
      <c r="NR1" s="5">
        <v>10381</v>
      </c>
      <c r="NS1" s="5">
        <v>10382</v>
      </c>
      <c r="NT1" s="5">
        <v>10383</v>
      </c>
      <c r="NU1" s="5">
        <v>10384</v>
      </c>
      <c r="NV1" s="5">
        <v>10385</v>
      </c>
      <c r="NW1" s="5">
        <v>10386</v>
      </c>
      <c r="NX1" s="5">
        <v>10387</v>
      </c>
      <c r="NY1" s="5">
        <v>10388</v>
      </c>
      <c r="NZ1" s="5">
        <v>10389</v>
      </c>
      <c r="OA1" s="5">
        <v>10390</v>
      </c>
      <c r="OB1" s="5">
        <v>10391</v>
      </c>
      <c r="OC1" s="5">
        <v>10392</v>
      </c>
      <c r="OD1" s="5">
        <v>10393</v>
      </c>
      <c r="OE1" s="5">
        <v>10394</v>
      </c>
      <c r="OF1" s="5">
        <v>10395</v>
      </c>
      <c r="OG1" s="5">
        <v>10396</v>
      </c>
      <c r="OH1" s="5">
        <v>10397</v>
      </c>
      <c r="OI1" s="5">
        <v>10398</v>
      </c>
      <c r="OJ1" s="5">
        <v>10399</v>
      </c>
      <c r="OK1" s="5">
        <v>10400</v>
      </c>
      <c r="OL1" s="5">
        <v>10401</v>
      </c>
      <c r="OM1" s="5">
        <v>10402</v>
      </c>
      <c r="ON1" s="5">
        <v>10403</v>
      </c>
      <c r="OO1" s="5">
        <v>10404</v>
      </c>
      <c r="OP1" s="5">
        <v>10405</v>
      </c>
      <c r="OQ1" s="5">
        <v>10406</v>
      </c>
      <c r="OR1" s="5">
        <v>10407</v>
      </c>
      <c r="OS1" s="5">
        <v>10408</v>
      </c>
      <c r="OT1" s="5">
        <v>10409</v>
      </c>
      <c r="OU1" s="5">
        <v>10410</v>
      </c>
      <c r="OV1" s="5">
        <v>10411</v>
      </c>
      <c r="OW1" s="5">
        <v>10412</v>
      </c>
      <c r="OX1" s="5">
        <v>10413</v>
      </c>
      <c r="OY1" s="5">
        <v>10414</v>
      </c>
      <c r="OZ1" s="5">
        <v>10415</v>
      </c>
      <c r="PA1" s="5">
        <v>10416</v>
      </c>
      <c r="PB1" s="5">
        <v>10417</v>
      </c>
      <c r="PC1" s="5">
        <v>10418</v>
      </c>
      <c r="PD1" s="5">
        <v>10419</v>
      </c>
      <c r="PE1" s="5">
        <v>10420</v>
      </c>
      <c r="PF1" s="5">
        <v>10421</v>
      </c>
      <c r="PG1" s="5">
        <v>10422</v>
      </c>
      <c r="PH1" s="5">
        <v>10423</v>
      </c>
      <c r="PI1" s="5">
        <v>10424</v>
      </c>
      <c r="PJ1" s="5">
        <v>10425</v>
      </c>
      <c r="PK1" s="5">
        <v>10426</v>
      </c>
      <c r="PL1" s="5">
        <v>10427</v>
      </c>
      <c r="PM1" s="5">
        <v>10428</v>
      </c>
      <c r="PN1" s="5">
        <v>10429</v>
      </c>
      <c r="PO1" s="5">
        <v>10430</v>
      </c>
      <c r="PP1" s="5">
        <v>10431</v>
      </c>
      <c r="PQ1" s="5">
        <v>10432</v>
      </c>
      <c r="PR1" s="5">
        <v>10433</v>
      </c>
      <c r="PS1" s="5">
        <v>10434</v>
      </c>
      <c r="PT1" s="5">
        <v>10435</v>
      </c>
      <c r="PU1" s="5">
        <v>10436</v>
      </c>
      <c r="PV1" s="5">
        <v>10437</v>
      </c>
      <c r="PW1" s="5">
        <v>10438</v>
      </c>
      <c r="PX1" s="5">
        <v>10439</v>
      </c>
      <c r="PY1" s="5">
        <v>10440</v>
      </c>
      <c r="PZ1" s="5">
        <v>10441</v>
      </c>
      <c r="QA1" s="5">
        <v>10442</v>
      </c>
      <c r="QB1" s="5">
        <v>10443</v>
      </c>
      <c r="QC1" s="5">
        <v>10444</v>
      </c>
      <c r="QD1" s="5">
        <v>10445</v>
      </c>
      <c r="QE1" s="5">
        <v>10446</v>
      </c>
      <c r="QF1" s="5">
        <v>10447</v>
      </c>
      <c r="QG1" s="5">
        <v>10448</v>
      </c>
      <c r="QH1" s="5">
        <v>10449</v>
      </c>
      <c r="QI1" s="5">
        <v>10450</v>
      </c>
      <c r="QJ1" s="5">
        <v>10451</v>
      </c>
      <c r="QK1" s="5">
        <v>10452</v>
      </c>
      <c r="QL1" s="5">
        <v>10453</v>
      </c>
      <c r="QM1" s="5">
        <v>10454</v>
      </c>
      <c r="QN1" s="5">
        <v>10455</v>
      </c>
      <c r="QO1" s="5">
        <v>10456</v>
      </c>
      <c r="QP1" s="5">
        <v>10457</v>
      </c>
      <c r="QQ1" s="5">
        <v>10458</v>
      </c>
      <c r="QR1" s="5">
        <v>10459</v>
      </c>
      <c r="QS1" s="5">
        <v>10460</v>
      </c>
      <c r="QT1" s="5">
        <v>10461</v>
      </c>
      <c r="QU1" s="5">
        <v>10462</v>
      </c>
      <c r="QV1" s="5">
        <v>10463</v>
      </c>
      <c r="QW1" s="5">
        <v>10464</v>
      </c>
      <c r="QX1" s="5">
        <v>10465</v>
      </c>
      <c r="QY1" s="5">
        <v>10466</v>
      </c>
      <c r="QZ1" s="5">
        <v>10467</v>
      </c>
      <c r="RA1" s="5">
        <v>10468</v>
      </c>
      <c r="RB1" s="5">
        <v>10469</v>
      </c>
      <c r="RC1" s="5">
        <v>10470</v>
      </c>
      <c r="RD1" s="5">
        <v>10471</v>
      </c>
      <c r="RE1" s="5">
        <v>10472</v>
      </c>
      <c r="RF1" s="5">
        <v>10473</v>
      </c>
      <c r="RG1" s="5">
        <v>10474</v>
      </c>
      <c r="RH1" s="5">
        <v>10475</v>
      </c>
      <c r="RI1" s="5">
        <v>10476</v>
      </c>
      <c r="RJ1" s="5">
        <v>10477</v>
      </c>
      <c r="RK1" s="5">
        <v>10478</v>
      </c>
      <c r="RL1" s="5">
        <v>10479</v>
      </c>
      <c r="RM1" s="5">
        <v>10480</v>
      </c>
      <c r="RN1" s="5">
        <v>10481</v>
      </c>
      <c r="RO1" s="5">
        <v>10482</v>
      </c>
      <c r="RP1" s="5">
        <v>10483</v>
      </c>
      <c r="RQ1" s="5">
        <v>10484</v>
      </c>
      <c r="RR1" s="5">
        <v>10485</v>
      </c>
      <c r="RS1" s="5">
        <v>10486</v>
      </c>
      <c r="RT1" s="5">
        <v>10487</v>
      </c>
      <c r="RU1" s="5">
        <v>10488</v>
      </c>
      <c r="RV1" s="5">
        <v>10489</v>
      </c>
      <c r="RW1" s="5">
        <v>10490</v>
      </c>
      <c r="RX1" s="5">
        <v>10491</v>
      </c>
      <c r="RY1" s="5">
        <v>10492</v>
      </c>
      <c r="RZ1" s="5">
        <v>10493</v>
      </c>
      <c r="SA1" s="5">
        <v>10494</v>
      </c>
      <c r="SB1" s="5">
        <v>10495</v>
      </c>
      <c r="SC1" s="5">
        <v>10496</v>
      </c>
      <c r="SD1" s="5">
        <v>10497</v>
      </c>
      <c r="SE1" s="5">
        <v>10498</v>
      </c>
      <c r="SF1" s="5">
        <v>10499</v>
      </c>
      <c r="SG1" s="5">
        <v>10500</v>
      </c>
    </row>
    <row r="2" spans="1:501" x14ac:dyDescent="0.3">
      <c r="A2" s="3" t="s">
        <v>1</v>
      </c>
      <c r="B2" s="1">
        <v>1102</v>
      </c>
      <c r="C2" s="1">
        <v>1435</v>
      </c>
      <c r="D2" s="1">
        <v>1860</v>
      </c>
      <c r="E2" s="1">
        <v>1270</v>
      </c>
      <c r="F2" s="1">
        <v>1106</v>
      </c>
      <c r="G2" s="1">
        <v>1071</v>
      </c>
      <c r="H2" s="1">
        <v>1700</v>
      </c>
      <c r="I2" s="1">
        <v>1020</v>
      </c>
      <c r="J2" s="1">
        <v>1614</v>
      </c>
      <c r="K2" s="1">
        <v>1121</v>
      </c>
      <c r="L2" s="1">
        <v>1466</v>
      </c>
      <c r="M2" s="1">
        <v>1214</v>
      </c>
      <c r="N2" s="1">
        <v>1330</v>
      </c>
      <c r="O2" s="1">
        <v>1458</v>
      </c>
      <c r="P2" s="1">
        <v>1087</v>
      </c>
      <c r="Q2" s="1">
        <v>1372</v>
      </c>
      <c r="R2" s="1">
        <v>1099</v>
      </c>
      <c r="S2" s="1">
        <v>1871</v>
      </c>
      <c r="T2" s="1">
        <v>1663</v>
      </c>
      <c r="U2" s="1">
        <v>1130</v>
      </c>
      <c r="V2" s="1">
        <v>1661</v>
      </c>
      <c r="W2" s="1">
        <v>1308</v>
      </c>
      <c r="X2" s="1">
        <v>1769</v>
      </c>
      <c r="Y2" s="1">
        <v>1343</v>
      </c>
      <c r="Z2" s="1">
        <v>1491</v>
      </c>
      <c r="AA2" s="1">
        <v>1413</v>
      </c>
      <c r="AB2" s="1">
        <v>1805</v>
      </c>
      <c r="AC2" s="1">
        <v>1385</v>
      </c>
      <c r="AD2" s="1">
        <v>1191</v>
      </c>
      <c r="AE2" s="1">
        <v>1955</v>
      </c>
      <c r="AF2" s="1">
        <v>1276</v>
      </c>
      <c r="AG2" s="1">
        <v>1160</v>
      </c>
      <c r="AH2" s="1">
        <v>1459</v>
      </c>
      <c r="AI2" s="1">
        <v>1313</v>
      </c>
      <c r="AJ2" s="1">
        <v>1021</v>
      </c>
      <c r="AK2" s="1">
        <v>1252</v>
      </c>
      <c r="AL2" s="1">
        <v>1747</v>
      </c>
      <c r="AM2" s="1">
        <v>1856</v>
      </c>
      <c r="AN2" s="1">
        <v>1560</v>
      </c>
      <c r="AO2" s="1">
        <v>1474</v>
      </c>
      <c r="AP2" s="1">
        <v>1058</v>
      </c>
      <c r="AQ2" s="1">
        <v>1510</v>
      </c>
      <c r="AR2" s="1">
        <v>1681</v>
      </c>
      <c r="AS2" s="1">
        <v>1475</v>
      </c>
      <c r="AT2" s="1">
        <v>1699</v>
      </c>
      <c r="AU2" s="1">
        <v>1975</v>
      </c>
      <c r="AV2" s="1">
        <v>1782</v>
      </c>
      <c r="AW2" s="1">
        <v>1189</v>
      </c>
      <c r="AX2" s="1">
        <v>1957</v>
      </c>
      <c r="AY2" s="1">
        <v>1686</v>
      </c>
      <c r="AZ2" s="1">
        <v>1957</v>
      </c>
      <c r="BA2" s="1">
        <v>1562</v>
      </c>
      <c r="BB2" s="1">
        <v>1875</v>
      </c>
      <c r="BC2" s="1">
        <v>1566</v>
      </c>
      <c r="BD2" s="1">
        <v>1243</v>
      </c>
      <c r="BE2" s="1">
        <v>1831</v>
      </c>
      <c r="BF2" s="1">
        <v>1504</v>
      </c>
      <c r="BG2" s="1">
        <v>1130</v>
      </c>
      <c r="BH2" s="1">
        <v>1484</v>
      </c>
      <c r="BI2" s="1">
        <v>1818</v>
      </c>
      <c r="BJ2" s="1">
        <v>1646</v>
      </c>
      <c r="BK2" s="1">
        <v>1020</v>
      </c>
      <c r="BL2" s="1">
        <v>1840</v>
      </c>
      <c r="BM2" s="1">
        <v>1166</v>
      </c>
      <c r="BN2" s="1">
        <v>1273</v>
      </c>
      <c r="BO2" s="1">
        <v>1387</v>
      </c>
      <c r="BP2" s="1">
        <v>1600</v>
      </c>
      <c r="BQ2" s="1">
        <v>1315</v>
      </c>
      <c r="BR2" s="1">
        <v>1013</v>
      </c>
      <c r="BS2" s="1">
        <v>1241</v>
      </c>
      <c r="BT2" s="1">
        <v>1776</v>
      </c>
      <c r="BU2" s="1">
        <v>1345</v>
      </c>
      <c r="BV2" s="1">
        <v>1564</v>
      </c>
      <c r="BW2" s="1">
        <v>1897</v>
      </c>
      <c r="BX2" s="1">
        <v>1339</v>
      </c>
      <c r="BY2" s="1">
        <v>1091</v>
      </c>
      <c r="BZ2" s="1">
        <v>1366</v>
      </c>
      <c r="CA2" s="1">
        <v>1955</v>
      </c>
      <c r="CB2" s="1">
        <v>1454</v>
      </c>
      <c r="CC2" s="1">
        <v>1427</v>
      </c>
      <c r="CD2" s="1">
        <v>1508</v>
      </c>
      <c r="CE2" s="1">
        <v>1775</v>
      </c>
      <c r="CF2" s="1">
        <v>1942</v>
      </c>
      <c r="CG2" s="1">
        <v>1034</v>
      </c>
      <c r="CH2" s="1">
        <v>1205</v>
      </c>
      <c r="CI2" s="1">
        <v>1080</v>
      </c>
      <c r="CJ2" s="1">
        <v>1931</v>
      </c>
      <c r="CK2" s="1">
        <v>1561</v>
      </c>
      <c r="CL2" s="1">
        <v>1871</v>
      </c>
      <c r="CM2" s="1">
        <v>1387</v>
      </c>
      <c r="CN2" s="1">
        <v>1001</v>
      </c>
      <c r="CO2" s="1">
        <v>1389</v>
      </c>
      <c r="CP2" s="1">
        <v>1565</v>
      </c>
      <c r="CQ2" s="1">
        <v>1105</v>
      </c>
      <c r="CR2" s="1">
        <v>1771</v>
      </c>
      <c r="CS2" s="1">
        <v>1821</v>
      </c>
      <c r="CT2" s="1">
        <v>1476</v>
      </c>
      <c r="CU2" s="1">
        <v>1702</v>
      </c>
      <c r="CV2" s="1">
        <v>1401</v>
      </c>
      <c r="CW2" s="1">
        <v>1729</v>
      </c>
      <c r="CX2" s="1">
        <v>1555</v>
      </c>
      <c r="CY2" s="1">
        <v>1161</v>
      </c>
      <c r="CZ2" s="1">
        <v>1201</v>
      </c>
      <c r="DA2" s="1">
        <v>1957</v>
      </c>
      <c r="DB2" s="1">
        <v>1995</v>
      </c>
      <c r="DC2" s="1">
        <v>1269</v>
      </c>
      <c r="DD2" s="1">
        <v>1862</v>
      </c>
      <c r="DE2" s="1">
        <v>1815</v>
      </c>
      <c r="DF2" s="1">
        <v>1270</v>
      </c>
      <c r="DG2" s="1">
        <v>1455</v>
      </c>
      <c r="DH2" s="1">
        <v>1461</v>
      </c>
      <c r="DI2" s="1">
        <v>1726</v>
      </c>
      <c r="DJ2" s="1">
        <v>1251</v>
      </c>
      <c r="DK2" s="1">
        <v>1701</v>
      </c>
      <c r="DL2" s="1">
        <v>1295</v>
      </c>
      <c r="DM2" s="1">
        <v>1724</v>
      </c>
      <c r="DN2" s="1">
        <v>1719</v>
      </c>
      <c r="DO2" s="1">
        <v>1748</v>
      </c>
      <c r="DP2" s="1">
        <v>1337</v>
      </c>
      <c r="DQ2" s="1">
        <v>1878</v>
      </c>
      <c r="DR2" s="1">
        <v>1052</v>
      </c>
      <c r="DS2" s="1">
        <v>1791</v>
      </c>
      <c r="DT2" s="1">
        <v>1921</v>
      </c>
      <c r="DU2" s="1">
        <v>1216</v>
      </c>
      <c r="DV2" s="1">
        <v>1763</v>
      </c>
      <c r="DW2" s="1">
        <v>1187</v>
      </c>
      <c r="DX2" s="1">
        <v>1379</v>
      </c>
      <c r="DY2" s="1">
        <v>1492</v>
      </c>
      <c r="DZ2" s="1">
        <v>1040</v>
      </c>
      <c r="EA2" s="1">
        <v>1156</v>
      </c>
      <c r="EB2" s="1">
        <v>1014</v>
      </c>
      <c r="EC2" s="1">
        <v>1812</v>
      </c>
      <c r="ED2" s="1">
        <v>1064</v>
      </c>
      <c r="EE2" s="1">
        <v>1856</v>
      </c>
      <c r="EF2" s="1">
        <v>1838</v>
      </c>
      <c r="EG2" s="1">
        <v>1520</v>
      </c>
      <c r="EH2" s="1">
        <v>1343</v>
      </c>
      <c r="EI2" s="1">
        <v>1128</v>
      </c>
      <c r="EJ2" s="1">
        <v>1647</v>
      </c>
      <c r="EK2" s="1">
        <v>1471</v>
      </c>
      <c r="EL2" s="1">
        <v>1062</v>
      </c>
      <c r="EM2" s="1">
        <v>1138</v>
      </c>
      <c r="EN2" s="1">
        <v>1498</v>
      </c>
      <c r="EO2" s="1">
        <v>1592</v>
      </c>
      <c r="EP2" s="1">
        <v>1391</v>
      </c>
      <c r="EQ2" s="1">
        <v>1674</v>
      </c>
      <c r="ER2" s="1">
        <v>1418</v>
      </c>
      <c r="ES2" s="1">
        <v>1288</v>
      </c>
      <c r="ET2" s="1">
        <v>1378</v>
      </c>
      <c r="EU2" s="1">
        <v>1772</v>
      </c>
      <c r="EV2" s="1">
        <v>1489</v>
      </c>
      <c r="EW2" s="1">
        <v>1230</v>
      </c>
      <c r="EX2" s="1">
        <v>1040</v>
      </c>
      <c r="EY2" s="1">
        <v>1027</v>
      </c>
      <c r="EZ2" s="1">
        <v>1134</v>
      </c>
      <c r="FA2" s="1">
        <v>1200</v>
      </c>
      <c r="FB2" s="1">
        <v>1839</v>
      </c>
      <c r="FC2" s="1">
        <v>1779</v>
      </c>
      <c r="FD2" s="1">
        <v>1929</v>
      </c>
      <c r="FE2" s="1">
        <v>1032</v>
      </c>
      <c r="FF2" s="1">
        <v>1047</v>
      </c>
      <c r="FG2" s="1">
        <v>1502</v>
      </c>
      <c r="FH2" s="1">
        <v>1406</v>
      </c>
      <c r="FI2" s="1">
        <v>1573</v>
      </c>
      <c r="FJ2" s="1">
        <v>1727</v>
      </c>
      <c r="FK2" s="1">
        <v>1804</v>
      </c>
      <c r="FL2" s="1">
        <v>1098</v>
      </c>
      <c r="FM2" s="1">
        <v>1683</v>
      </c>
      <c r="FN2" s="1">
        <v>1871</v>
      </c>
      <c r="FO2" s="1">
        <v>1725</v>
      </c>
      <c r="FP2" s="1">
        <v>1986</v>
      </c>
      <c r="FQ2" s="1">
        <v>1546</v>
      </c>
      <c r="FR2" s="1">
        <v>1960</v>
      </c>
      <c r="FS2" s="1">
        <v>1738</v>
      </c>
      <c r="FT2" s="1">
        <v>1612</v>
      </c>
      <c r="FU2" s="1">
        <v>1942</v>
      </c>
      <c r="FV2" s="1">
        <v>1461</v>
      </c>
      <c r="FW2" s="1">
        <v>1642</v>
      </c>
      <c r="FX2" s="1">
        <v>1768</v>
      </c>
      <c r="FY2" s="1">
        <v>1004</v>
      </c>
      <c r="FZ2" s="1">
        <v>1217</v>
      </c>
      <c r="GA2" s="1">
        <v>1502</v>
      </c>
      <c r="GB2" s="1">
        <v>1766</v>
      </c>
      <c r="GC2" s="1">
        <v>1397</v>
      </c>
      <c r="GD2" s="1">
        <v>1870</v>
      </c>
      <c r="GE2" s="1">
        <v>1794</v>
      </c>
      <c r="GF2" s="1">
        <v>1392</v>
      </c>
      <c r="GG2" s="1">
        <v>1206</v>
      </c>
      <c r="GH2" s="1">
        <v>1014</v>
      </c>
      <c r="GI2" s="1">
        <v>1857</v>
      </c>
      <c r="GJ2" s="1">
        <v>1553</v>
      </c>
      <c r="GK2" s="1">
        <v>1891</v>
      </c>
      <c r="GL2" s="1">
        <v>1460</v>
      </c>
      <c r="GM2" s="1">
        <v>1690</v>
      </c>
      <c r="GN2" s="1">
        <v>1574</v>
      </c>
      <c r="GO2" s="1">
        <v>1863</v>
      </c>
      <c r="GP2" s="1">
        <v>1742</v>
      </c>
      <c r="GQ2" s="1">
        <v>1240</v>
      </c>
      <c r="GR2" s="1">
        <v>1563</v>
      </c>
      <c r="GS2" s="1">
        <v>1095</v>
      </c>
      <c r="GT2" s="1">
        <v>1899</v>
      </c>
      <c r="GU2" s="1">
        <v>1733</v>
      </c>
      <c r="GV2" s="1">
        <v>1484</v>
      </c>
      <c r="GW2" s="1">
        <v>1406</v>
      </c>
      <c r="GX2" s="1">
        <v>1230</v>
      </c>
      <c r="GY2" s="1">
        <v>1748</v>
      </c>
      <c r="GZ2" s="1">
        <v>1654</v>
      </c>
      <c r="HA2" s="1">
        <v>1170</v>
      </c>
      <c r="HB2" s="1">
        <v>1540</v>
      </c>
      <c r="HC2" s="1">
        <v>1035</v>
      </c>
      <c r="HD2" s="1">
        <v>1524</v>
      </c>
      <c r="HE2" s="1">
        <v>1159</v>
      </c>
      <c r="HF2" s="1">
        <v>1838</v>
      </c>
      <c r="HG2" s="1">
        <v>1698</v>
      </c>
      <c r="HH2" s="1">
        <v>1242</v>
      </c>
      <c r="HI2" s="1">
        <v>1085</v>
      </c>
      <c r="HJ2" s="1">
        <v>1795</v>
      </c>
      <c r="HK2" s="1">
        <v>1577</v>
      </c>
      <c r="HL2" s="1">
        <v>1681</v>
      </c>
      <c r="HM2" s="1">
        <v>1556</v>
      </c>
      <c r="HN2" s="1">
        <v>1573</v>
      </c>
      <c r="HO2" s="1">
        <v>1952</v>
      </c>
      <c r="HP2" s="1">
        <v>1645</v>
      </c>
      <c r="HQ2" s="1">
        <v>1795</v>
      </c>
      <c r="HR2" s="1">
        <v>1027</v>
      </c>
      <c r="HS2" s="1">
        <v>1619</v>
      </c>
      <c r="HT2" s="1">
        <v>1555</v>
      </c>
      <c r="HU2" s="1">
        <v>1339</v>
      </c>
      <c r="HV2" s="1">
        <v>1797</v>
      </c>
      <c r="HW2" s="1">
        <v>1957</v>
      </c>
      <c r="HX2" s="1">
        <v>1330</v>
      </c>
      <c r="HY2" s="1">
        <v>1639</v>
      </c>
      <c r="HZ2" s="1">
        <v>1505</v>
      </c>
      <c r="IA2" s="1">
        <v>1347</v>
      </c>
      <c r="IB2" s="1">
        <v>1472</v>
      </c>
      <c r="IC2" s="1">
        <v>1230</v>
      </c>
      <c r="ID2" s="1">
        <v>1189</v>
      </c>
      <c r="IE2" s="1">
        <v>1224</v>
      </c>
      <c r="IF2" s="1">
        <v>1384</v>
      </c>
      <c r="IG2" s="1">
        <v>1376</v>
      </c>
      <c r="IH2" s="1">
        <v>1282</v>
      </c>
      <c r="II2" s="1">
        <v>1957</v>
      </c>
      <c r="IJ2" s="1">
        <v>1632</v>
      </c>
      <c r="IK2" s="1">
        <v>1627</v>
      </c>
      <c r="IL2" s="1">
        <v>1972</v>
      </c>
      <c r="IM2" s="1">
        <v>1744</v>
      </c>
      <c r="IN2" s="1">
        <v>1258</v>
      </c>
      <c r="IO2" s="1">
        <v>1358</v>
      </c>
      <c r="IP2" s="1">
        <v>1709</v>
      </c>
      <c r="IQ2" s="1">
        <v>1455</v>
      </c>
      <c r="IR2" s="1">
        <v>1410</v>
      </c>
      <c r="IS2" s="1">
        <v>1648</v>
      </c>
      <c r="IT2" s="1">
        <v>1317</v>
      </c>
      <c r="IU2" s="1">
        <v>1676</v>
      </c>
      <c r="IV2" s="1">
        <v>1224</v>
      </c>
      <c r="IW2" s="1">
        <v>1818</v>
      </c>
      <c r="IX2" s="1">
        <v>1233</v>
      </c>
      <c r="IY2" s="1">
        <v>1683</v>
      </c>
      <c r="IZ2" s="1">
        <v>1663</v>
      </c>
      <c r="JA2" s="1">
        <v>1974</v>
      </c>
      <c r="JB2" s="1">
        <v>1826</v>
      </c>
      <c r="JC2" s="1">
        <v>1373</v>
      </c>
      <c r="JD2" s="1">
        <v>1671</v>
      </c>
      <c r="JE2" s="1">
        <v>1607</v>
      </c>
      <c r="JF2" s="1">
        <v>1471</v>
      </c>
      <c r="JG2" s="1">
        <v>1232</v>
      </c>
      <c r="JH2" s="1">
        <v>1691</v>
      </c>
      <c r="JI2" s="1">
        <v>1112</v>
      </c>
      <c r="JJ2" s="1">
        <v>1829</v>
      </c>
      <c r="JK2" s="1">
        <v>1496</v>
      </c>
      <c r="JL2" s="1">
        <v>1441</v>
      </c>
      <c r="JM2" s="1">
        <v>1563</v>
      </c>
      <c r="JN2" s="1">
        <v>1267</v>
      </c>
      <c r="JO2" s="1">
        <v>1509</v>
      </c>
      <c r="JP2" s="1">
        <v>1806</v>
      </c>
      <c r="JQ2" s="1">
        <v>1385</v>
      </c>
      <c r="JR2" s="1">
        <v>1386</v>
      </c>
      <c r="JS2" s="1">
        <v>1112</v>
      </c>
      <c r="JT2" s="1">
        <v>1612</v>
      </c>
      <c r="JU2" s="1">
        <v>1624</v>
      </c>
      <c r="JV2" s="1">
        <v>1951</v>
      </c>
      <c r="JW2" s="1">
        <v>1080</v>
      </c>
      <c r="JX2" s="1">
        <v>1698</v>
      </c>
      <c r="JY2" s="1">
        <v>1112</v>
      </c>
      <c r="JZ2" s="1">
        <v>1001</v>
      </c>
      <c r="KA2" s="1">
        <v>1641</v>
      </c>
      <c r="KB2" s="1">
        <v>1219</v>
      </c>
      <c r="KC2" s="1">
        <v>1565</v>
      </c>
      <c r="KD2" s="1">
        <v>1854</v>
      </c>
      <c r="KE2" s="1">
        <v>1996</v>
      </c>
      <c r="KF2" s="1">
        <v>1735</v>
      </c>
      <c r="KG2" s="1">
        <v>1224</v>
      </c>
      <c r="KH2" s="1">
        <v>1384</v>
      </c>
      <c r="KI2" s="1">
        <v>1402</v>
      </c>
      <c r="KJ2" s="1">
        <v>1637</v>
      </c>
      <c r="KK2" s="1">
        <v>1129</v>
      </c>
      <c r="KL2" s="1">
        <v>1052</v>
      </c>
      <c r="KM2" s="1">
        <v>1683</v>
      </c>
      <c r="KN2" s="1">
        <v>1729</v>
      </c>
      <c r="KO2" s="1">
        <v>1671</v>
      </c>
      <c r="KP2" s="1">
        <v>1709</v>
      </c>
      <c r="KQ2" s="1">
        <v>1415</v>
      </c>
      <c r="KR2" s="1">
        <v>1246</v>
      </c>
      <c r="KS2" s="1">
        <v>1835</v>
      </c>
      <c r="KT2" s="1">
        <v>1438</v>
      </c>
      <c r="KU2" s="1">
        <v>1202</v>
      </c>
      <c r="KV2" s="1">
        <v>1183</v>
      </c>
      <c r="KW2" s="1">
        <v>1122</v>
      </c>
      <c r="KX2" s="1">
        <v>1400</v>
      </c>
      <c r="KY2" s="1">
        <v>1766</v>
      </c>
      <c r="KZ2" s="1">
        <v>1293</v>
      </c>
      <c r="LA2" s="1">
        <v>1279</v>
      </c>
      <c r="LB2" s="1">
        <v>1836</v>
      </c>
      <c r="LC2" s="1">
        <v>1883</v>
      </c>
      <c r="LD2" s="1">
        <v>1609</v>
      </c>
      <c r="LE2" s="1">
        <v>1197</v>
      </c>
      <c r="LF2" s="1">
        <v>1981</v>
      </c>
      <c r="LG2" s="1">
        <v>1906</v>
      </c>
      <c r="LH2" s="1">
        <v>1510</v>
      </c>
      <c r="LI2" s="1">
        <v>1751</v>
      </c>
      <c r="LJ2" s="1">
        <v>1143</v>
      </c>
      <c r="LK2" s="1">
        <v>1608</v>
      </c>
      <c r="LL2" s="1">
        <v>1200</v>
      </c>
      <c r="LM2" s="1">
        <v>1123</v>
      </c>
      <c r="LN2" s="1">
        <v>1186</v>
      </c>
      <c r="LO2" s="1">
        <v>1325</v>
      </c>
      <c r="LP2" s="1">
        <v>1463</v>
      </c>
      <c r="LQ2" s="1">
        <v>1348</v>
      </c>
      <c r="LR2" s="1">
        <v>1770</v>
      </c>
      <c r="LS2" s="1">
        <v>1659</v>
      </c>
      <c r="LT2" s="1">
        <v>1763</v>
      </c>
      <c r="LU2" s="1">
        <v>1954</v>
      </c>
      <c r="LV2" s="1">
        <v>1931</v>
      </c>
      <c r="LW2" s="1">
        <v>1402</v>
      </c>
      <c r="LX2" s="1">
        <v>1345</v>
      </c>
      <c r="LY2" s="1">
        <v>1962</v>
      </c>
      <c r="LZ2" s="1">
        <v>1510</v>
      </c>
      <c r="MA2" s="1">
        <v>1146</v>
      </c>
      <c r="MB2" s="1">
        <v>1147</v>
      </c>
      <c r="MC2" s="1">
        <v>1863</v>
      </c>
      <c r="MD2" s="1">
        <v>1710</v>
      </c>
      <c r="ME2" s="1">
        <v>1819</v>
      </c>
      <c r="MF2" s="1">
        <v>1488</v>
      </c>
      <c r="MG2" s="1">
        <v>1928</v>
      </c>
      <c r="MH2" s="1">
        <v>1935</v>
      </c>
      <c r="MI2" s="1">
        <v>1639</v>
      </c>
      <c r="MJ2" s="1">
        <v>1550</v>
      </c>
      <c r="MK2" s="1">
        <v>1337</v>
      </c>
      <c r="ML2" s="1">
        <v>1871</v>
      </c>
      <c r="MM2" s="1">
        <v>1640</v>
      </c>
      <c r="MN2" s="1">
        <v>1778</v>
      </c>
      <c r="MO2" s="1">
        <v>1987</v>
      </c>
      <c r="MP2" s="1">
        <v>1952</v>
      </c>
      <c r="MQ2" s="1">
        <v>1472</v>
      </c>
      <c r="MR2" s="1">
        <v>1945</v>
      </c>
      <c r="MS2" s="1">
        <v>1150</v>
      </c>
      <c r="MT2" s="1">
        <v>1414</v>
      </c>
      <c r="MU2" s="1">
        <v>1989</v>
      </c>
      <c r="MV2" s="1">
        <v>1297</v>
      </c>
      <c r="MW2" s="1">
        <v>1610</v>
      </c>
      <c r="MX2" s="1">
        <v>1262</v>
      </c>
      <c r="MY2" s="1">
        <v>1763</v>
      </c>
      <c r="MZ2" s="1">
        <v>1143</v>
      </c>
      <c r="NA2" s="1">
        <v>1345</v>
      </c>
      <c r="NB2" s="1">
        <v>1623</v>
      </c>
      <c r="NC2" s="1">
        <v>1571</v>
      </c>
      <c r="ND2" s="1">
        <v>1880</v>
      </c>
      <c r="NE2" s="1">
        <v>1001</v>
      </c>
      <c r="NF2" s="1">
        <v>1896</v>
      </c>
      <c r="NG2" s="1">
        <v>1303</v>
      </c>
      <c r="NH2" s="1">
        <v>1253</v>
      </c>
      <c r="NI2" s="1">
        <v>1651</v>
      </c>
      <c r="NJ2" s="1">
        <v>1452</v>
      </c>
      <c r="NK2" s="1">
        <v>1036</v>
      </c>
      <c r="NL2" s="1">
        <v>1159</v>
      </c>
      <c r="NM2" s="1">
        <v>1008</v>
      </c>
      <c r="NN2" s="1">
        <v>1232</v>
      </c>
      <c r="NO2" s="1">
        <v>1098</v>
      </c>
      <c r="NP2" s="1">
        <v>1658</v>
      </c>
      <c r="NQ2" s="1">
        <v>1815</v>
      </c>
      <c r="NR2" s="1">
        <v>1207</v>
      </c>
      <c r="NS2" s="1">
        <v>1130</v>
      </c>
      <c r="NT2" s="1">
        <v>1403</v>
      </c>
      <c r="NU2" s="1">
        <v>1151</v>
      </c>
      <c r="NV2" s="1">
        <v>1053</v>
      </c>
      <c r="NW2" s="1">
        <v>1119</v>
      </c>
      <c r="NX2" s="1">
        <v>1672</v>
      </c>
      <c r="NY2" s="1">
        <v>1919</v>
      </c>
      <c r="NZ2" s="1">
        <v>1627</v>
      </c>
      <c r="OA2" s="1">
        <v>1586</v>
      </c>
      <c r="OB2" s="1">
        <v>1624</v>
      </c>
      <c r="OC2" s="1">
        <v>1967</v>
      </c>
      <c r="OD2" s="1">
        <v>1419</v>
      </c>
      <c r="OE2" s="1">
        <v>1421</v>
      </c>
      <c r="OF2" s="1">
        <v>1103</v>
      </c>
      <c r="OG2" s="1">
        <v>1851</v>
      </c>
      <c r="OH2" s="1">
        <v>1253</v>
      </c>
      <c r="OI2" s="1">
        <v>1226</v>
      </c>
      <c r="OJ2" s="1">
        <v>1111</v>
      </c>
      <c r="OK2" s="1">
        <v>1509</v>
      </c>
      <c r="OL2" s="1">
        <v>1472</v>
      </c>
      <c r="OM2" s="1">
        <v>1098</v>
      </c>
      <c r="ON2" s="1">
        <v>1152</v>
      </c>
      <c r="OO2" s="1">
        <v>1860</v>
      </c>
      <c r="OP2" s="1">
        <v>1913</v>
      </c>
      <c r="OQ2" s="1">
        <v>1895</v>
      </c>
      <c r="OR2" s="1">
        <v>1877</v>
      </c>
      <c r="OS2" s="1">
        <v>1337</v>
      </c>
      <c r="OT2" s="1">
        <v>1705</v>
      </c>
      <c r="OU2" s="1">
        <v>1821</v>
      </c>
      <c r="OV2" s="1">
        <v>1162</v>
      </c>
      <c r="OW2" s="1">
        <v>1719</v>
      </c>
      <c r="OX2" s="1">
        <v>1956</v>
      </c>
      <c r="OY2" s="1">
        <v>1680</v>
      </c>
      <c r="OZ2" s="1">
        <v>1995</v>
      </c>
      <c r="PA2" s="1">
        <v>1160</v>
      </c>
      <c r="PB2" s="1">
        <v>1579</v>
      </c>
      <c r="PC2" s="1">
        <v>1800</v>
      </c>
      <c r="PD2" s="1">
        <v>1397</v>
      </c>
      <c r="PE2" s="1">
        <v>1276</v>
      </c>
      <c r="PF2" s="1">
        <v>1815</v>
      </c>
      <c r="PG2" s="1">
        <v>1915</v>
      </c>
      <c r="PH2" s="1">
        <v>1503</v>
      </c>
      <c r="PI2" s="1">
        <v>1895</v>
      </c>
      <c r="PJ2" s="1">
        <v>1391</v>
      </c>
      <c r="PK2" s="1">
        <v>1134</v>
      </c>
      <c r="PL2" s="1">
        <v>1194</v>
      </c>
      <c r="PM2" s="1">
        <v>1400</v>
      </c>
      <c r="PN2" s="1">
        <v>1639</v>
      </c>
      <c r="PO2" s="1">
        <v>1032</v>
      </c>
      <c r="PP2" s="1">
        <v>1687</v>
      </c>
      <c r="PQ2" s="1">
        <v>1459</v>
      </c>
      <c r="PR2" s="1">
        <v>1954</v>
      </c>
      <c r="PS2" s="1">
        <v>1882</v>
      </c>
      <c r="PT2" s="1">
        <v>1469</v>
      </c>
      <c r="PU2" s="1">
        <v>1374</v>
      </c>
      <c r="PV2" s="1">
        <v>1021</v>
      </c>
      <c r="PW2" s="1">
        <v>1749</v>
      </c>
      <c r="PX2" s="1">
        <v>1669</v>
      </c>
      <c r="PY2" s="1">
        <v>1037</v>
      </c>
      <c r="PZ2" s="1">
        <v>1229</v>
      </c>
      <c r="QA2" s="1">
        <v>1364</v>
      </c>
      <c r="QB2" s="1">
        <v>1562</v>
      </c>
      <c r="QC2" s="1">
        <v>1437</v>
      </c>
      <c r="QD2" s="1">
        <v>1775</v>
      </c>
      <c r="QE2" s="1">
        <v>1282</v>
      </c>
      <c r="QF2" s="1">
        <v>1026</v>
      </c>
      <c r="QG2" s="1">
        <v>1225</v>
      </c>
      <c r="QH2" s="1">
        <v>1276</v>
      </c>
      <c r="QI2" s="1">
        <v>1797</v>
      </c>
      <c r="QJ2" s="1">
        <v>1608</v>
      </c>
      <c r="QK2" s="1">
        <v>1283</v>
      </c>
      <c r="QL2" s="1">
        <v>1878</v>
      </c>
      <c r="QM2" s="1">
        <v>1959</v>
      </c>
      <c r="QN2" s="1">
        <v>1480</v>
      </c>
      <c r="QO2" s="1">
        <v>1452</v>
      </c>
      <c r="QP2" s="1">
        <v>1828</v>
      </c>
      <c r="QQ2" s="1">
        <v>1815</v>
      </c>
      <c r="QR2" s="1">
        <v>1658</v>
      </c>
      <c r="QS2" s="1">
        <v>1515</v>
      </c>
      <c r="QT2" s="1">
        <v>1546</v>
      </c>
      <c r="QU2" s="1">
        <v>1191</v>
      </c>
      <c r="QV2" s="1">
        <v>1048</v>
      </c>
      <c r="QW2" s="1">
        <v>1511</v>
      </c>
      <c r="QX2" s="1">
        <v>1016</v>
      </c>
      <c r="QY2" s="1">
        <v>1171</v>
      </c>
      <c r="QZ2" s="1">
        <v>1219</v>
      </c>
      <c r="RA2" s="1">
        <v>1157</v>
      </c>
      <c r="RB2" s="1">
        <v>1476</v>
      </c>
      <c r="RC2" s="1">
        <v>1045</v>
      </c>
      <c r="RD2" s="1">
        <v>1372</v>
      </c>
      <c r="RE2" s="1">
        <v>1517</v>
      </c>
      <c r="RF2" s="1">
        <v>1098</v>
      </c>
      <c r="RG2" s="1">
        <v>1891</v>
      </c>
      <c r="RH2" s="1">
        <v>1744</v>
      </c>
      <c r="RI2" s="1">
        <v>1036</v>
      </c>
      <c r="RJ2" s="1">
        <v>1279</v>
      </c>
      <c r="RK2" s="1">
        <v>1348</v>
      </c>
      <c r="RL2" s="1">
        <v>1496</v>
      </c>
      <c r="RM2" s="1">
        <v>1301</v>
      </c>
      <c r="RN2" s="1">
        <v>1180</v>
      </c>
      <c r="RO2" s="1">
        <v>1606</v>
      </c>
      <c r="RP2" s="1">
        <v>1098</v>
      </c>
      <c r="RQ2" s="1">
        <v>1699</v>
      </c>
      <c r="RR2" s="1">
        <v>1992</v>
      </c>
      <c r="RS2" s="1">
        <v>1115</v>
      </c>
      <c r="RT2" s="1">
        <v>1190</v>
      </c>
      <c r="RU2" s="1">
        <v>1252</v>
      </c>
      <c r="RV2" s="1">
        <v>1980</v>
      </c>
      <c r="RW2" s="1">
        <v>1927</v>
      </c>
      <c r="RX2" s="1">
        <v>1982</v>
      </c>
      <c r="RY2" s="1">
        <v>1160</v>
      </c>
      <c r="RZ2" s="1">
        <v>1255</v>
      </c>
      <c r="SA2" s="1">
        <v>1322</v>
      </c>
      <c r="SB2" s="1">
        <v>1127</v>
      </c>
      <c r="SC2" s="1">
        <v>1017</v>
      </c>
      <c r="SD2" s="1">
        <v>1792</v>
      </c>
      <c r="SE2" s="1">
        <v>1734</v>
      </c>
      <c r="SF2" s="1">
        <v>1565</v>
      </c>
      <c r="SG2" s="1">
        <v>1569</v>
      </c>
    </row>
    <row r="3" spans="1:501" x14ac:dyDescent="0.3">
      <c r="A3" s="3" t="s">
        <v>2</v>
      </c>
      <c r="B3" s="2">
        <v>45197</v>
      </c>
      <c r="C3" s="2">
        <v>45199</v>
      </c>
      <c r="D3" s="2">
        <v>45109</v>
      </c>
      <c r="E3" s="2">
        <v>45079</v>
      </c>
      <c r="F3" s="2">
        <v>45241</v>
      </c>
      <c r="G3" s="2">
        <v>45260</v>
      </c>
      <c r="H3" s="2">
        <v>45050</v>
      </c>
      <c r="I3" s="2">
        <v>45040</v>
      </c>
      <c r="J3" s="2">
        <v>45204</v>
      </c>
      <c r="K3" s="2">
        <v>45139</v>
      </c>
      <c r="L3" s="2">
        <v>45098</v>
      </c>
      <c r="M3" s="2">
        <v>45214</v>
      </c>
      <c r="N3" s="2">
        <v>45100</v>
      </c>
      <c r="O3" s="2">
        <v>45039</v>
      </c>
      <c r="P3" s="2">
        <v>45048</v>
      </c>
      <c r="Q3" s="2">
        <v>44958</v>
      </c>
      <c r="R3" s="2">
        <v>45148</v>
      </c>
      <c r="S3" s="2">
        <v>45045</v>
      </c>
      <c r="T3" s="2">
        <v>44965</v>
      </c>
      <c r="U3" s="2">
        <v>45194</v>
      </c>
      <c r="V3" s="2">
        <v>45159</v>
      </c>
      <c r="W3" s="2">
        <v>44944</v>
      </c>
      <c r="X3" s="2">
        <v>45075</v>
      </c>
      <c r="Y3" s="2">
        <v>45075</v>
      </c>
      <c r="Z3" s="2">
        <v>45052</v>
      </c>
      <c r="AA3" s="2">
        <v>45228</v>
      </c>
      <c r="AB3" s="2">
        <v>45286</v>
      </c>
      <c r="AC3" s="2">
        <v>45164</v>
      </c>
      <c r="AD3" s="2">
        <v>45061</v>
      </c>
      <c r="AE3" s="2">
        <v>45077</v>
      </c>
      <c r="AF3" s="2">
        <v>45162</v>
      </c>
      <c r="AG3" s="2">
        <v>45150</v>
      </c>
      <c r="AH3" s="2">
        <v>45129</v>
      </c>
      <c r="AI3" s="2">
        <v>45182</v>
      </c>
      <c r="AJ3" s="2">
        <v>45012</v>
      </c>
      <c r="AK3" s="2">
        <v>45076</v>
      </c>
      <c r="AL3" s="2">
        <v>45161</v>
      </c>
      <c r="AM3" s="2">
        <v>45271</v>
      </c>
      <c r="AN3" s="2">
        <v>44948</v>
      </c>
      <c r="AO3" s="2">
        <v>45274</v>
      </c>
      <c r="AP3" s="2">
        <v>45211</v>
      </c>
      <c r="AQ3" s="2">
        <v>45195</v>
      </c>
      <c r="AR3" s="2">
        <v>45184</v>
      </c>
      <c r="AS3" s="2">
        <v>44955</v>
      </c>
      <c r="AT3" s="2">
        <v>45139</v>
      </c>
      <c r="AU3" s="2">
        <v>45209</v>
      </c>
      <c r="AV3" s="2">
        <v>44976</v>
      </c>
      <c r="AW3" s="2">
        <v>45021</v>
      </c>
      <c r="AX3" s="2">
        <v>45014</v>
      </c>
      <c r="AY3" s="2">
        <v>44970</v>
      </c>
      <c r="AZ3" s="2">
        <v>45204</v>
      </c>
      <c r="BA3" s="2">
        <v>45097</v>
      </c>
      <c r="BB3" s="2">
        <v>45115</v>
      </c>
      <c r="BC3" s="2">
        <v>45279</v>
      </c>
      <c r="BD3" s="2">
        <v>45110</v>
      </c>
      <c r="BE3" s="2">
        <v>44929</v>
      </c>
      <c r="BF3" s="2">
        <v>45117</v>
      </c>
      <c r="BG3" s="2">
        <v>45044</v>
      </c>
      <c r="BH3" s="2">
        <v>44945</v>
      </c>
      <c r="BI3" s="2">
        <v>44949</v>
      </c>
      <c r="BJ3" s="2">
        <v>44956</v>
      </c>
      <c r="BK3" s="2">
        <v>45221</v>
      </c>
      <c r="BL3" s="2">
        <v>45034</v>
      </c>
      <c r="BM3" s="2">
        <v>45207</v>
      </c>
      <c r="BN3" s="2">
        <v>45054</v>
      </c>
      <c r="BO3" s="2">
        <v>45155</v>
      </c>
      <c r="BP3" s="2">
        <v>45037</v>
      </c>
      <c r="BQ3" s="2">
        <v>45062</v>
      </c>
      <c r="BR3" s="2">
        <v>45288</v>
      </c>
      <c r="BS3" s="2">
        <v>45112</v>
      </c>
      <c r="BT3" s="2">
        <v>45070</v>
      </c>
      <c r="BU3" s="2">
        <v>44998</v>
      </c>
      <c r="BV3" s="2">
        <v>45055</v>
      </c>
      <c r="BW3" s="2">
        <v>45290</v>
      </c>
      <c r="BX3" s="2">
        <v>45187</v>
      </c>
      <c r="BY3" s="2">
        <v>44929</v>
      </c>
      <c r="BZ3" s="2">
        <v>45030</v>
      </c>
      <c r="CA3" s="2">
        <v>45150</v>
      </c>
      <c r="CB3" s="2">
        <v>45246</v>
      </c>
      <c r="CC3" s="2">
        <v>45288</v>
      </c>
      <c r="CD3" s="2">
        <v>45280</v>
      </c>
      <c r="CE3" s="2">
        <v>44936</v>
      </c>
      <c r="CF3" s="2">
        <v>45228</v>
      </c>
      <c r="CG3" s="2">
        <v>45157</v>
      </c>
      <c r="CH3" s="2">
        <v>45145</v>
      </c>
      <c r="CI3" s="2">
        <v>44992</v>
      </c>
      <c r="CJ3" s="2">
        <v>45038</v>
      </c>
      <c r="CK3" s="2">
        <v>44939</v>
      </c>
      <c r="CL3" s="2">
        <v>45012</v>
      </c>
      <c r="CM3" s="2">
        <v>45160</v>
      </c>
      <c r="CN3" s="2">
        <v>45016</v>
      </c>
      <c r="CO3" s="2">
        <v>45240</v>
      </c>
      <c r="CP3" s="2">
        <v>44980</v>
      </c>
      <c r="CQ3" s="2">
        <v>44938</v>
      </c>
      <c r="CR3" s="2">
        <v>45135</v>
      </c>
      <c r="CS3" s="2">
        <v>44940</v>
      </c>
      <c r="CT3" s="2">
        <v>45047</v>
      </c>
      <c r="CU3" s="2">
        <v>44946</v>
      </c>
      <c r="CV3" s="2">
        <v>45001</v>
      </c>
      <c r="CW3" s="2">
        <v>45169</v>
      </c>
      <c r="CX3" s="2">
        <v>45149</v>
      </c>
      <c r="CY3" s="2">
        <v>44996</v>
      </c>
      <c r="CZ3" s="2">
        <v>45238</v>
      </c>
      <c r="DA3" s="2">
        <v>45137</v>
      </c>
      <c r="DB3" s="2">
        <v>45027</v>
      </c>
      <c r="DC3" s="2">
        <v>45112</v>
      </c>
      <c r="DD3" s="2">
        <v>45058</v>
      </c>
      <c r="DE3" s="2">
        <v>45037</v>
      </c>
      <c r="DF3" s="2">
        <v>45058</v>
      </c>
      <c r="DG3" s="2">
        <v>44946</v>
      </c>
      <c r="DH3" s="2">
        <v>44950</v>
      </c>
      <c r="DI3" s="2">
        <v>45153</v>
      </c>
      <c r="DJ3" s="2">
        <v>45080</v>
      </c>
      <c r="DK3" s="2">
        <v>45219</v>
      </c>
      <c r="DL3" s="2">
        <v>45156</v>
      </c>
      <c r="DM3" s="2">
        <v>45236</v>
      </c>
      <c r="DN3" s="2">
        <v>45285</v>
      </c>
      <c r="DO3" s="2">
        <v>45128</v>
      </c>
      <c r="DP3" s="2">
        <v>44964</v>
      </c>
      <c r="DQ3" s="2">
        <v>45186</v>
      </c>
      <c r="DR3" s="2">
        <v>45114</v>
      </c>
      <c r="DS3" s="2">
        <v>44983</v>
      </c>
      <c r="DT3" s="2">
        <v>44946</v>
      </c>
      <c r="DU3" s="2">
        <v>45199</v>
      </c>
      <c r="DV3" s="2">
        <v>45045</v>
      </c>
      <c r="DW3" s="2">
        <v>44997</v>
      </c>
      <c r="DX3" s="2">
        <v>44930</v>
      </c>
      <c r="DY3" s="2">
        <v>45147</v>
      </c>
      <c r="DZ3" s="2">
        <v>44940</v>
      </c>
      <c r="EA3" s="2">
        <v>44929</v>
      </c>
      <c r="EB3" s="2">
        <v>45142</v>
      </c>
      <c r="EC3" s="2">
        <v>45155</v>
      </c>
      <c r="ED3" s="2">
        <v>45262</v>
      </c>
      <c r="EE3" s="2">
        <v>45112</v>
      </c>
      <c r="EF3" s="2">
        <v>44981</v>
      </c>
      <c r="EG3" s="2">
        <v>45180</v>
      </c>
      <c r="EH3" s="2">
        <v>44950</v>
      </c>
      <c r="EI3" s="2">
        <v>45088</v>
      </c>
      <c r="EJ3" s="2">
        <v>45084</v>
      </c>
      <c r="EK3" s="2">
        <v>45008</v>
      </c>
      <c r="EL3" s="2">
        <v>45085</v>
      </c>
      <c r="EM3" s="2">
        <v>45114</v>
      </c>
      <c r="EN3" s="2">
        <v>44986</v>
      </c>
      <c r="EO3" s="2">
        <v>45231</v>
      </c>
      <c r="EP3" s="2">
        <v>45245</v>
      </c>
      <c r="EQ3" s="2">
        <v>45137</v>
      </c>
      <c r="ER3" s="2">
        <v>45078</v>
      </c>
      <c r="ES3" s="2">
        <v>45035</v>
      </c>
      <c r="ET3" s="2">
        <v>45002</v>
      </c>
      <c r="EU3" s="2">
        <v>44956</v>
      </c>
      <c r="EV3" s="2">
        <v>45240</v>
      </c>
      <c r="EW3" s="2">
        <v>45043</v>
      </c>
      <c r="EX3" s="2">
        <v>45282</v>
      </c>
      <c r="EY3" s="2">
        <v>45118</v>
      </c>
      <c r="EZ3" s="2">
        <v>44945</v>
      </c>
      <c r="FA3" s="2">
        <v>45099</v>
      </c>
      <c r="FB3" s="2">
        <v>45154</v>
      </c>
      <c r="FC3" s="2">
        <v>45276</v>
      </c>
      <c r="FD3" s="2">
        <v>45109</v>
      </c>
      <c r="FE3" s="2">
        <v>45039</v>
      </c>
      <c r="FF3" s="2">
        <v>45109</v>
      </c>
      <c r="FG3" s="2">
        <v>45072</v>
      </c>
      <c r="FH3" s="2">
        <v>45245</v>
      </c>
      <c r="FI3" s="2">
        <v>45042</v>
      </c>
      <c r="FJ3" s="2">
        <v>45039</v>
      </c>
      <c r="FK3" s="2">
        <v>45177</v>
      </c>
      <c r="FL3" s="2">
        <v>45177</v>
      </c>
      <c r="FM3" s="2">
        <v>45229</v>
      </c>
      <c r="FN3" s="2">
        <v>45239</v>
      </c>
      <c r="FO3" s="2">
        <v>45044</v>
      </c>
      <c r="FP3" s="2">
        <v>45227</v>
      </c>
      <c r="FQ3" s="2">
        <v>45087</v>
      </c>
      <c r="FR3" s="2">
        <v>45124</v>
      </c>
      <c r="FS3" s="2">
        <v>45186</v>
      </c>
      <c r="FT3" s="2">
        <v>45074</v>
      </c>
      <c r="FU3" s="2">
        <v>45166</v>
      </c>
      <c r="FV3" s="2">
        <v>44973</v>
      </c>
      <c r="FW3" s="2">
        <v>45124</v>
      </c>
      <c r="FX3" s="2">
        <v>44973</v>
      </c>
      <c r="FY3" s="2">
        <v>45004</v>
      </c>
      <c r="FZ3" s="2">
        <v>45050</v>
      </c>
      <c r="GA3" s="2">
        <v>45001</v>
      </c>
      <c r="GB3" s="2">
        <v>45285</v>
      </c>
      <c r="GC3" s="2">
        <v>45063</v>
      </c>
      <c r="GD3" s="2">
        <v>45016</v>
      </c>
      <c r="GE3" s="2">
        <v>45251</v>
      </c>
      <c r="GF3" s="2">
        <v>44987</v>
      </c>
      <c r="GG3" s="2">
        <v>45064</v>
      </c>
      <c r="GH3" s="2">
        <v>44976</v>
      </c>
      <c r="GI3" s="2">
        <v>45185</v>
      </c>
      <c r="GJ3" s="2">
        <v>45033</v>
      </c>
      <c r="GK3" s="2">
        <v>45039</v>
      </c>
      <c r="GL3" s="2">
        <v>45276</v>
      </c>
      <c r="GM3" s="2">
        <v>45180</v>
      </c>
      <c r="GN3" s="2">
        <v>45044</v>
      </c>
      <c r="GO3" s="2">
        <v>45124</v>
      </c>
      <c r="GP3" s="2">
        <v>45263</v>
      </c>
      <c r="GQ3" s="2">
        <v>45291</v>
      </c>
      <c r="GR3" s="2">
        <v>44977</v>
      </c>
      <c r="GS3" s="2">
        <v>45171</v>
      </c>
      <c r="GT3" s="2">
        <v>44961</v>
      </c>
      <c r="GU3" s="2">
        <v>45228</v>
      </c>
      <c r="GV3" s="2">
        <v>44995</v>
      </c>
      <c r="GW3" s="2">
        <v>45275</v>
      </c>
      <c r="GX3" s="2">
        <v>45246</v>
      </c>
      <c r="GY3" s="2">
        <v>44975</v>
      </c>
      <c r="GZ3" s="2">
        <v>45000</v>
      </c>
      <c r="HA3" s="2">
        <v>45118</v>
      </c>
      <c r="HB3" s="2">
        <v>45187</v>
      </c>
      <c r="HC3" s="2">
        <v>45282</v>
      </c>
      <c r="HD3" s="2">
        <v>44996</v>
      </c>
      <c r="HE3" s="2">
        <v>45016</v>
      </c>
      <c r="HF3" s="2">
        <v>45186</v>
      </c>
      <c r="HG3" s="2">
        <v>45052</v>
      </c>
      <c r="HH3" s="2">
        <v>45157</v>
      </c>
      <c r="HI3" s="2">
        <v>45221</v>
      </c>
      <c r="HJ3" s="2">
        <v>45055</v>
      </c>
      <c r="HK3" s="2">
        <v>45206</v>
      </c>
      <c r="HL3" s="2">
        <v>45239</v>
      </c>
      <c r="HM3" s="2">
        <v>45026</v>
      </c>
      <c r="HN3" s="2">
        <v>45252</v>
      </c>
      <c r="HO3" s="2">
        <v>45223</v>
      </c>
      <c r="HP3" s="2">
        <v>45108</v>
      </c>
      <c r="HQ3" s="2">
        <v>45100</v>
      </c>
      <c r="HR3" s="2">
        <v>45242</v>
      </c>
      <c r="HS3" s="2">
        <v>45290</v>
      </c>
      <c r="HT3" s="2">
        <v>45114</v>
      </c>
      <c r="HU3" s="2">
        <v>44983</v>
      </c>
      <c r="HV3" s="2">
        <v>44957</v>
      </c>
      <c r="HW3" s="2">
        <v>45010</v>
      </c>
      <c r="HX3" s="2">
        <v>45078</v>
      </c>
      <c r="HY3" s="2">
        <v>44962</v>
      </c>
      <c r="HZ3" s="2">
        <v>45139</v>
      </c>
      <c r="IA3" s="2">
        <v>45290</v>
      </c>
      <c r="IB3" s="2">
        <v>45032</v>
      </c>
      <c r="IC3" s="2">
        <v>45268</v>
      </c>
      <c r="ID3" s="2">
        <v>45146</v>
      </c>
      <c r="IE3" s="2">
        <v>45089</v>
      </c>
      <c r="IF3" s="2">
        <v>45146</v>
      </c>
      <c r="IG3" s="2">
        <v>45196</v>
      </c>
      <c r="IH3" s="2">
        <v>45046</v>
      </c>
      <c r="II3" s="2">
        <v>45262</v>
      </c>
      <c r="IJ3" s="2">
        <v>45108</v>
      </c>
      <c r="IK3" s="2">
        <v>45032</v>
      </c>
      <c r="IL3" s="2">
        <v>45143</v>
      </c>
      <c r="IM3" s="2">
        <v>45131</v>
      </c>
      <c r="IN3" s="2">
        <v>44996</v>
      </c>
      <c r="IO3" s="2">
        <v>44970</v>
      </c>
      <c r="IP3" s="2">
        <v>45255</v>
      </c>
      <c r="IQ3" s="2">
        <v>45227</v>
      </c>
      <c r="IR3" s="2">
        <v>45154</v>
      </c>
      <c r="IS3" s="2">
        <v>45110</v>
      </c>
      <c r="IT3" s="2">
        <v>45033</v>
      </c>
      <c r="IU3" s="2">
        <v>45010</v>
      </c>
      <c r="IV3" s="2">
        <v>45264</v>
      </c>
      <c r="IW3" s="2">
        <v>45176</v>
      </c>
      <c r="IX3" s="2">
        <v>45289</v>
      </c>
      <c r="IY3" s="2">
        <v>44947</v>
      </c>
      <c r="IZ3" s="2">
        <v>45122</v>
      </c>
      <c r="JA3" s="2">
        <v>45104</v>
      </c>
      <c r="JB3" s="2">
        <v>44933</v>
      </c>
      <c r="JC3" s="2">
        <v>44996</v>
      </c>
      <c r="JD3" s="2">
        <v>45053</v>
      </c>
      <c r="JE3" s="2">
        <v>45086</v>
      </c>
      <c r="JF3" s="2">
        <v>45174</v>
      </c>
      <c r="JG3" s="2">
        <v>45129</v>
      </c>
      <c r="JH3" s="2">
        <v>45074</v>
      </c>
      <c r="JI3" s="2">
        <v>45069</v>
      </c>
      <c r="JJ3" s="2">
        <v>45125</v>
      </c>
      <c r="JK3" s="2">
        <v>45080</v>
      </c>
      <c r="JL3" s="2">
        <v>45068</v>
      </c>
      <c r="JM3" s="2">
        <v>45239</v>
      </c>
      <c r="JN3" s="2">
        <v>45091</v>
      </c>
      <c r="JO3" s="2">
        <v>45240</v>
      </c>
      <c r="JP3" s="2">
        <v>44947</v>
      </c>
      <c r="JQ3" s="2">
        <v>45008</v>
      </c>
      <c r="JR3" s="2">
        <v>44995</v>
      </c>
      <c r="JS3" s="2">
        <v>45057</v>
      </c>
      <c r="JT3" s="2">
        <v>45013</v>
      </c>
      <c r="JU3" s="2">
        <v>45144</v>
      </c>
      <c r="JV3" s="2">
        <v>45231</v>
      </c>
      <c r="JW3" s="2">
        <v>45271</v>
      </c>
      <c r="JX3" s="2">
        <v>45267</v>
      </c>
      <c r="JY3" s="2">
        <v>45087</v>
      </c>
      <c r="JZ3" s="2">
        <v>45104</v>
      </c>
      <c r="KA3" s="2">
        <v>45043</v>
      </c>
      <c r="KB3" s="2">
        <v>45122</v>
      </c>
      <c r="KC3" s="2">
        <v>45253</v>
      </c>
      <c r="KD3" s="2">
        <v>45012</v>
      </c>
      <c r="KE3" s="2">
        <v>45215</v>
      </c>
      <c r="KF3" s="2">
        <v>45007</v>
      </c>
      <c r="KG3" s="2">
        <v>45078</v>
      </c>
      <c r="KH3" s="2">
        <v>44987</v>
      </c>
      <c r="KI3" s="2">
        <v>44987</v>
      </c>
      <c r="KJ3" s="2">
        <v>45280</v>
      </c>
      <c r="KK3" s="2">
        <v>44954</v>
      </c>
      <c r="KL3" s="2">
        <v>44969</v>
      </c>
      <c r="KM3" s="2">
        <v>45095</v>
      </c>
      <c r="KN3" s="2">
        <v>45012</v>
      </c>
      <c r="KO3" s="2">
        <v>45103</v>
      </c>
      <c r="KP3" s="2">
        <v>44943</v>
      </c>
      <c r="KQ3" s="2">
        <v>45024</v>
      </c>
      <c r="KR3" s="2">
        <v>45124</v>
      </c>
      <c r="KS3" s="2">
        <v>45024</v>
      </c>
      <c r="KT3" s="2">
        <v>44991</v>
      </c>
      <c r="KU3" s="2">
        <v>45256</v>
      </c>
      <c r="KV3" s="2">
        <v>45267</v>
      </c>
      <c r="KW3" s="2">
        <v>44931</v>
      </c>
      <c r="KX3" s="2">
        <v>44928</v>
      </c>
      <c r="KY3" s="2">
        <v>44948</v>
      </c>
      <c r="KZ3" s="2">
        <v>45038</v>
      </c>
      <c r="LA3" s="2">
        <v>44983</v>
      </c>
      <c r="LB3" s="2">
        <v>44992</v>
      </c>
      <c r="LC3" s="2">
        <v>45256</v>
      </c>
      <c r="LD3" s="2">
        <v>45024</v>
      </c>
      <c r="LE3" s="2">
        <v>45070</v>
      </c>
      <c r="LF3" s="2">
        <v>45051</v>
      </c>
      <c r="LG3" s="2">
        <v>45093</v>
      </c>
      <c r="LH3" s="2">
        <v>45012</v>
      </c>
      <c r="LI3" s="2">
        <v>45002</v>
      </c>
      <c r="LJ3" s="2">
        <v>45270</v>
      </c>
      <c r="LK3" s="2">
        <v>45220</v>
      </c>
      <c r="LL3" s="2">
        <v>44985</v>
      </c>
      <c r="LM3" s="2">
        <v>45064</v>
      </c>
      <c r="LN3" s="2">
        <v>45025</v>
      </c>
      <c r="LO3" s="2">
        <v>45118</v>
      </c>
      <c r="LP3" s="2">
        <v>45169</v>
      </c>
      <c r="LQ3" s="2">
        <v>45245</v>
      </c>
      <c r="LR3" s="2">
        <v>44975</v>
      </c>
      <c r="LS3" s="2">
        <v>44958</v>
      </c>
      <c r="LT3" s="2">
        <v>45203</v>
      </c>
      <c r="LU3" s="2">
        <v>44946</v>
      </c>
      <c r="LV3" s="2">
        <v>45080</v>
      </c>
      <c r="LW3" s="2">
        <v>44994</v>
      </c>
      <c r="LX3" s="2">
        <v>45140</v>
      </c>
      <c r="LY3" s="2">
        <v>45069</v>
      </c>
      <c r="LZ3" s="2">
        <v>45158</v>
      </c>
      <c r="MA3" s="2">
        <v>45139</v>
      </c>
      <c r="MB3" s="2">
        <v>45005</v>
      </c>
      <c r="MC3" s="2">
        <v>45140</v>
      </c>
      <c r="MD3" s="2">
        <v>45042</v>
      </c>
      <c r="ME3" s="2">
        <v>45018</v>
      </c>
      <c r="MF3" s="2">
        <v>45196</v>
      </c>
      <c r="MG3" s="2">
        <v>45094</v>
      </c>
      <c r="MH3" s="2">
        <v>44984</v>
      </c>
      <c r="MI3" s="2">
        <v>45210</v>
      </c>
      <c r="MJ3" s="2">
        <v>44952</v>
      </c>
      <c r="MK3" s="2">
        <v>44992</v>
      </c>
      <c r="ML3" s="2">
        <v>45174</v>
      </c>
      <c r="MM3" s="2">
        <v>45180</v>
      </c>
      <c r="MN3" s="2">
        <v>44970</v>
      </c>
      <c r="MO3" s="2">
        <v>45023</v>
      </c>
      <c r="MP3" s="2">
        <v>44968</v>
      </c>
      <c r="MQ3" s="2">
        <v>45153</v>
      </c>
      <c r="MR3" s="2">
        <v>45188</v>
      </c>
      <c r="MS3" s="2">
        <v>45093</v>
      </c>
      <c r="MT3" s="2">
        <v>45205</v>
      </c>
      <c r="MU3" s="2">
        <v>45015</v>
      </c>
      <c r="MV3" s="2">
        <v>45104</v>
      </c>
      <c r="MW3" s="2">
        <v>45123</v>
      </c>
      <c r="MX3" s="2">
        <v>45233</v>
      </c>
      <c r="MY3" s="2">
        <v>45193</v>
      </c>
      <c r="MZ3" s="2">
        <v>45194</v>
      </c>
      <c r="NA3" s="2">
        <v>45000</v>
      </c>
      <c r="NB3" s="2">
        <v>44934</v>
      </c>
      <c r="NC3" s="2">
        <v>45223</v>
      </c>
      <c r="ND3" s="2">
        <v>45090</v>
      </c>
      <c r="NE3" s="2">
        <v>45011</v>
      </c>
      <c r="NF3" s="2">
        <v>44998</v>
      </c>
      <c r="NG3" s="2">
        <v>44981</v>
      </c>
      <c r="NH3" s="2">
        <v>44973</v>
      </c>
      <c r="NI3" s="2">
        <v>45164</v>
      </c>
      <c r="NJ3" s="2">
        <v>45030</v>
      </c>
      <c r="NK3" s="2">
        <v>45136</v>
      </c>
      <c r="NL3" s="2">
        <v>44968</v>
      </c>
      <c r="NM3" s="2">
        <v>45242</v>
      </c>
      <c r="NN3" s="2">
        <v>45194</v>
      </c>
      <c r="NO3" s="2">
        <v>45189</v>
      </c>
      <c r="NP3" s="2">
        <v>45262</v>
      </c>
      <c r="NQ3" s="2">
        <v>45291</v>
      </c>
      <c r="NR3" s="2">
        <v>45185</v>
      </c>
      <c r="NS3" s="2">
        <v>45209</v>
      </c>
      <c r="NT3" s="2">
        <v>45040</v>
      </c>
      <c r="NU3" s="2">
        <v>45289</v>
      </c>
      <c r="NV3" s="2">
        <v>44966</v>
      </c>
      <c r="NW3" s="2">
        <v>45146</v>
      </c>
      <c r="NX3" s="2">
        <v>45055</v>
      </c>
      <c r="NY3" s="2">
        <v>44934</v>
      </c>
      <c r="NZ3" s="2">
        <v>45027</v>
      </c>
      <c r="OA3" s="2">
        <v>45102</v>
      </c>
      <c r="OB3" s="2">
        <v>45033</v>
      </c>
      <c r="OC3" s="2">
        <v>45027</v>
      </c>
      <c r="OD3" s="2">
        <v>45186</v>
      </c>
      <c r="OE3" s="2">
        <v>45172</v>
      </c>
      <c r="OF3" s="2">
        <v>45201</v>
      </c>
      <c r="OG3" s="2">
        <v>44958</v>
      </c>
      <c r="OH3" s="2">
        <v>45063</v>
      </c>
      <c r="OI3" s="2">
        <v>44938</v>
      </c>
      <c r="OJ3" s="2">
        <v>45228</v>
      </c>
      <c r="OK3" s="2">
        <v>44942</v>
      </c>
      <c r="OL3" s="2">
        <v>45055</v>
      </c>
      <c r="OM3" s="2">
        <v>44989</v>
      </c>
      <c r="ON3" s="2">
        <v>45035</v>
      </c>
      <c r="OO3" s="2">
        <v>44947</v>
      </c>
      <c r="OP3" s="2">
        <v>45084</v>
      </c>
      <c r="OQ3" s="2">
        <v>45195</v>
      </c>
      <c r="OR3" s="2">
        <v>45088</v>
      </c>
      <c r="OS3" s="2">
        <v>45186</v>
      </c>
      <c r="OT3" s="2">
        <v>45028</v>
      </c>
      <c r="OU3" s="2">
        <v>45149</v>
      </c>
      <c r="OV3" s="2">
        <v>44985</v>
      </c>
      <c r="OW3" s="2">
        <v>45173</v>
      </c>
      <c r="OX3" s="2">
        <v>45054</v>
      </c>
      <c r="OY3" s="2">
        <v>45209</v>
      </c>
      <c r="OZ3" s="2">
        <v>45251</v>
      </c>
      <c r="PA3" s="2">
        <v>44951</v>
      </c>
      <c r="PB3" s="2">
        <v>45057</v>
      </c>
      <c r="PC3" s="2">
        <v>45279</v>
      </c>
      <c r="PD3" s="2">
        <v>45122</v>
      </c>
      <c r="PE3" s="2">
        <v>45207</v>
      </c>
      <c r="PF3" s="2">
        <v>45080</v>
      </c>
      <c r="PG3" s="2">
        <v>45059</v>
      </c>
      <c r="PH3" s="2">
        <v>45153</v>
      </c>
      <c r="PI3" s="2">
        <v>45115</v>
      </c>
      <c r="PJ3" s="2">
        <v>45191</v>
      </c>
      <c r="PK3" s="2">
        <v>45060</v>
      </c>
      <c r="PL3" s="2">
        <v>45137</v>
      </c>
      <c r="PM3" s="2">
        <v>44986</v>
      </c>
      <c r="PN3" s="2">
        <v>45290</v>
      </c>
      <c r="PO3" s="2">
        <v>45290</v>
      </c>
      <c r="PP3" s="2">
        <v>45139</v>
      </c>
      <c r="PQ3" s="2">
        <v>45142</v>
      </c>
      <c r="PR3" s="2">
        <v>45152</v>
      </c>
      <c r="PS3" s="2">
        <v>45057</v>
      </c>
      <c r="PT3" s="2">
        <v>45002</v>
      </c>
      <c r="PU3" s="2">
        <v>45212</v>
      </c>
      <c r="PV3" s="2">
        <v>45203</v>
      </c>
      <c r="PW3" s="2">
        <v>45082</v>
      </c>
      <c r="PX3" s="2">
        <v>45174</v>
      </c>
      <c r="PY3" s="2">
        <v>45144</v>
      </c>
      <c r="PZ3" s="2">
        <v>45116</v>
      </c>
      <c r="QA3" s="2">
        <v>45089</v>
      </c>
      <c r="QB3" s="2">
        <v>45106</v>
      </c>
      <c r="QC3" s="2">
        <v>44960</v>
      </c>
      <c r="QD3" s="2">
        <v>44967</v>
      </c>
      <c r="QE3" s="2">
        <v>45233</v>
      </c>
      <c r="QF3" s="2">
        <v>45264</v>
      </c>
      <c r="QG3" s="2">
        <v>45240</v>
      </c>
      <c r="QH3" s="2">
        <v>45001</v>
      </c>
      <c r="QI3" s="2">
        <v>45205</v>
      </c>
      <c r="QJ3" s="2">
        <v>45102</v>
      </c>
      <c r="QK3" s="2">
        <v>45076</v>
      </c>
      <c r="QL3" s="2">
        <v>45199</v>
      </c>
      <c r="QM3" s="2">
        <v>45251</v>
      </c>
      <c r="QN3" s="2">
        <v>45034</v>
      </c>
      <c r="QO3" s="2">
        <v>45065</v>
      </c>
      <c r="QP3" s="2">
        <v>45276</v>
      </c>
      <c r="QQ3" s="2">
        <v>45197</v>
      </c>
      <c r="QR3" s="2">
        <v>45273</v>
      </c>
      <c r="QS3" s="2">
        <v>45215</v>
      </c>
      <c r="QT3" s="2">
        <v>45138</v>
      </c>
      <c r="QU3" s="2">
        <v>45198</v>
      </c>
      <c r="QV3" s="2">
        <v>44992</v>
      </c>
      <c r="QW3" s="2">
        <v>45174</v>
      </c>
      <c r="QX3" s="2">
        <v>45082</v>
      </c>
      <c r="QY3" s="2">
        <v>44973</v>
      </c>
      <c r="QZ3" s="2">
        <v>45127</v>
      </c>
      <c r="RA3" s="2">
        <v>45074</v>
      </c>
      <c r="RB3" s="2">
        <v>45050</v>
      </c>
      <c r="RC3" s="2">
        <v>44927</v>
      </c>
      <c r="RD3" s="2">
        <v>45173</v>
      </c>
      <c r="RE3" s="2">
        <v>45269</v>
      </c>
      <c r="RF3" s="2">
        <v>45054</v>
      </c>
      <c r="RG3" s="2">
        <v>45117</v>
      </c>
      <c r="RH3" s="2">
        <v>44993</v>
      </c>
      <c r="RI3" s="2">
        <v>44930</v>
      </c>
      <c r="RJ3" s="2">
        <v>45229</v>
      </c>
      <c r="RK3" s="2">
        <v>45220</v>
      </c>
      <c r="RL3" s="2">
        <v>45069</v>
      </c>
      <c r="RM3" s="2">
        <v>45117</v>
      </c>
      <c r="RN3" s="2">
        <v>44947</v>
      </c>
      <c r="RO3" s="2">
        <v>45153</v>
      </c>
      <c r="RP3" s="2">
        <v>45239</v>
      </c>
      <c r="RQ3" s="2">
        <v>45043</v>
      </c>
      <c r="RR3" s="2">
        <v>45228</v>
      </c>
      <c r="RS3" s="2">
        <v>45068</v>
      </c>
      <c r="RT3" s="2">
        <v>44965</v>
      </c>
      <c r="RU3" s="2">
        <v>45281</v>
      </c>
      <c r="RV3" s="2">
        <v>45178</v>
      </c>
      <c r="RW3" s="2">
        <v>45259</v>
      </c>
      <c r="RX3" s="2">
        <v>45133</v>
      </c>
      <c r="RY3" s="2">
        <v>45136</v>
      </c>
      <c r="RZ3" s="2">
        <v>45041</v>
      </c>
      <c r="SA3" s="2">
        <v>45151</v>
      </c>
      <c r="SB3" s="2">
        <v>45060</v>
      </c>
      <c r="SC3" s="2">
        <v>45177</v>
      </c>
      <c r="SD3" s="2">
        <v>45145</v>
      </c>
      <c r="SE3" s="2">
        <v>45017</v>
      </c>
      <c r="SF3" s="2">
        <v>45280</v>
      </c>
      <c r="SG3" s="2">
        <v>44972</v>
      </c>
    </row>
    <row r="4" spans="1:501" x14ac:dyDescent="0.3">
      <c r="A4" s="3" t="s">
        <v>3</v>
      </c>
      <c r="B4" s="2">
        <v>45203</v>
      </c>
      <c r="C4" s="2">
        <v>45203</v>
      </c>
      <c r="D4" s="2">
        <v>45114</v>
      </c>
      <c r="E4" s="2">
        <v>45087</v>
      </c>
      <c r="F4" s="2">
        <v>45244</v>
      </c>
      <c r="G4" s="2">
        <v>45263</v>
      </c>
      <c r="H4" s="2">
        <v>45054</v>
      </c>
      <c r="I4" s="2">
        <v>45041</v>
      </c>
      <c r="J4" s="2">
        <v>45213</v>
      </c>
      <c r="K4" s="2">
        <v>45147</v>
      </c>
      <c r="L4" s="2">
        <v>45106</v>
      </c>
      <c r="M4" s="2">
        <v>45220</v>
      </c>
      <c r="N4" s="2">
        <v>45107</v>
      </c>
      <c r="O4" s="2">
        <v>45045</v>
      </c>
      <c r="P4" s="2">
        <v>45057</v>
      </c>
      <c r="Q4" s="2">
        <v>44961</v>
      </c>
      <c r="R4" s="2">
        <v>45151</v>
      </c>
      <c r="S4" s="2">
        <v>45048</v>
      </c>
      <c r="T4" s="2">
        <v>44968</v>
      </c>
      <c r="U4" s="2">
        <v>45203</v>
      </c>
      <c r="V4" s="2">
        <v>45163</v>
      </c>
      <c r="W4" s="2">
        <v>44951</v>
      </c>
      <c r="X4" s="2">
        <v>45084</v>
      </c>
      <c r="Y4" s="2">
        <v>45082</v>
      </c>
      <c r="Z4" s="2">
        <v>45061</v>
      </c>
      <c r="AA4" s="2">
        <v>45231</v>
      </c>
      <c r="AB4" s="2">
        <v>45290</v>
      </c>
      <c r="AC4" s="2">
        <v>45172</v>
      </c>
      <c r="AD4" s="2">
        <v>45067</v>
      </c>
      <c r="AE4" s="2">
        <v>45082</v>
      </c>
      <c r="AF4" s="2">
        <v>45166</v>
      </c>
      <c r="AG4" s="2">
        <v>45158</v>
      </c>
      <c r="AH4" s="2">
        <v>45130</v>
      </c>
      <c r="AI4" s="2">
        <v>45191</v>
      </c>
      <c r="AJ4" s="2">
        <v>45013</v>
      </c>
      <c r="AK4" s="2">
        <v>45084</v>
      </c>
      <c r="AL4" s="2">
        <v>45165</v>
      </c>
      <c r="AM4" s="2">
        <v>45280</v>
      </c>
      <c r="AN4" s="2">
        <v>44953</v>
      </c>
      <c r="AO4" s="2">
        <v>45277</v>
      </c>
      <c r="AP4" s="2">
        <v>45220</v>
      </c>
      <c r="AQ4" s="2">
        <v>45204</v>
      </c>
      <c r="AR4" s="2">
        <v>45188</v>
      </c>
      <c r="AS4" s="2">
        <v>44959</v>
      </c>
      <c r="AT4" s="2">
        <v>45147</v>
      </c>
      <c r="AU4" s="2">
        <v>45211</v>
      </c>
      <c r="AV4" s="2">
        <v>44985</v>
      </c>
      <c r="AW4" s="2">
        <v>45027</v>
      </c>
      <c r="AX4" s="2">
        <v>45023</v>
      </c>
      <c r="AY4" s="2">
        <v>44978</v>
      </c>
      <c r="AZ4" s="2">
        <v>45211</v>
      </c>
      <c r="BA4" s="2">
        <v>45098</v>
      </c>
      <c r="BB4" s="2">
        <v>45118</v>
      </c>
      <c r="BC4" s="2">
        <v>45281</v>
      </c>
      <c r="BD4" s="2">
        <v>45115</v>
      </c>
      <c r="BE4" s="2">
        <v>44934</v>
      </c>
      <c r="BF4" s="2">
        <v>45122</v>
      </c>
      <c r="BG4" s="2">
        <v>45048</v>
      </c>
      <c r="BH4" s="2">
        <v>44950</v>
      </c>
      <c r="BI4" s="2">
        <v>44952</v>
      </c>
      <c r="BJ4" s="2">
        <v>44957</v>
      </c>
      <c r="BK4" s="2">
        <v>45226</v>
      </c>
      <c r="BL4" s="2">
        <v>45043</v>
      </c>
      <c r="BM4" s="2">
        <v>45216</v>
      </c>
      <c r="BN4" s="2">
        <v>45058</v>
      </c>
      <c r="BO4" s="2">
        <v>45158</v>
      </c>
      <c r="BP4" s="2">
        <v>45038</v>
      </c>
      <c r="BQ4" s="2">
        <v>45064</v>
      </c>
      <c r="BR4" s="2">
        <v>45296</v>
      </c>
      <c r="BS4" s="2">
        <v>45113</v>
      </c>
      <c r="BT4" s="2">
        <v>45078</v>
      </c>
      <c r="BU4" s="2">
        <v>45005</v>
      </c>
      <c r="BV4" s="2">
        <v>45063</v>
      </c>
      <c r="BW4" s="2">
        <v>45296</v>
      </c>
      <c r="BX4" s="2">
        <v>45196</v>
      </c>
      <c r="BY4" s="2">
        <v>44932</v>
      </c>
      <c r="BZ4" s="2">
        <v>45034</v>
      </c>
      <c r="CA4" s="2">
        <v>45156</v>
      </c>
      <c r="CB4" s="2">
        <v>45254</v>
      </c>
      <c r="CC4" s="2">
        <v>45293</v>
      </c>
      <c r="CD4" s="2">
        <v>45283</v>
      </c>
      <c r="CE4" s="2">
        <v>44942</v>
      </c>
      <c r="CF4" s="2">
        <v>45232</v>
      </c>
      <c r="CG4" s="2">
        <v>45166</v>
      </c>
      <c r="CH4" s="2">
        <v>45148</v>
      </c>
      <c r="CI4" s="2">
        <v>44996</v>
      </c>
      <c r="CJ4" s="2">
        <v>45045</v>
      </c>
      <c r="CK4" s="2">
        <v>44946</v>
      </c>
      <c r="CL4" s="2">
        <v>45016</v>
      </c>
      <c r="CM4" s="2">
        <v>45166</v>
      </c>
      <c r="CN4" s="2">
        <v>45019</v>
      </c>
      <c r="CO4" s="2">
        <v>45246</v>
      </c>
      <c r="CP4" s="2">
        <v>44982</v>
      </c>
      <c r="CQ4" s="2">
        <v>44946</v>
      </c>
      <c r="CR4" s="2">
        <v>45137</v>
      </c>
      <c r="CS4" s="2">
        <v>44947</v>
      </c>
      <c r="CT4" s="2">
        <v>45056</v>
      </c>
      <c r="CU4" s="2">
        <v>44947</v>
      </c>
      <c r="CV4" s="2">
        <v>45009</v>
      </c>
      <c r="CW4" s="2">
        <v>45176</v>
      </c>
      <c r="CX4" s="2">
        <v>45155</v>
      </c>
      <c r="CY4" s="2">
        <v>45002</v>
      </c>
      <c r="CZ4" s="2">
        <v>45244</v>
      </c>
      <c r="DA4" s="2">
        <v>45146</v>
      </c>
      <c r="DB4" s="2">
        <v>45029</v>
      </c>
      <c r="DC4" s="2">
        <v>45113</v>
      </c>
      <c r="DD4" s="2">
        <v>45064</v>
      </c>
      <c r="DE4" s="2">
        <v>45045</v>
      </c>
      <c r="DF4" s="2">
        <v>45061</v>
      </c>
      <c r="DG4" s="2">
        <v>44947</v>
      </c>
      <c r="DH4" s="2">
        <v>44959</v>
      </c>
      <c r="DI4" s="2">
        <v>45154</v>
      </c>
      <c r="DJ4" s="2">
        <v>45083</v>
      </c>
      <c r="DK4" s="2">
        <v>45227</v>
      </c>
      <c r="DL4" s="2">
        <v>45159</v>
      </c>
      <c r="DM4" s="2">
        <v>45240</v>
      </c>
      <c r="DN4" s="2">
        <v>45293</v>
      </c>
      <c r="DO4" s="2">
        <v>45129</v>
      </c>
      <c r="DP4" s="2">
        <v>44970</v>
      </c>
      <c r="DQ4" s="2">
        <v>45187</v>
      </c>
      <c r="DR4" s="2">
        <v>45115</v>
      </c>
      <c r="DS4" s="2">
        <v>44991</v>
      </c>
      <c r="DT4" s="2">
        <v>44950</v>
      </c>
      <c r="DU4" s="2">
        <v>45200</v>
      </c>
      <c r="DV4" s="2">
        <v>45052</v>
      </c>
      <c r="DW4" s="2">
        <v>45002</v>
      </c>
      <c r="DX4" s="2">
        <v>44935</v>
      </c>
      <c r="DY4" s="2">
        <v>45148</v>
      </c>
      <c r="DZ4" s="2">
        <v>44946</v>
      </c>
      <c r="EA4" s="2">
        <v>44938</v>
      </c>
      <c r="EB4" s="2">
        <v>45151</v>
      </c>
      <c r="EC4" s="2">
        <v>45163</v>
      </c>
      <c r="ED4" s="2">
        <v>45267</v>
      </c>
      <c r="EE4" s="2">
        <v>45113</v>
      </c>
      <c r="EF4" s="2">
        <v>44990</v>
      </c>
      <c r="EG4" s="2">
        <v>45181</v>
      </c>
      <c r="EH4" s="2">
        <v>44958</v>
      </c>
      <c r="EI4" s="2">
        <v>45093</v>
      </c>
      <c r="EJ4" s="2">
        <v>45087</v>
      </c>
      <c r="EK4" s="2">
        <v>45015</v>
      </c>
      <c r="EL4" s="2">
        <v>45092</v>
      </c>
      <c r="EM4" s="2">
        <v>45123</v>
      </c>
      <c r="EN4" s="2">
        <v>44993</v>
      </c>
      <c r="EO4" s="2">
        <v>45234</v>
      </c>
      <c r="EP4" s="2">
        <v>45246</v>
      </c>
      <c r="EQ4" s="2">
        <v>45145</v>
      </c>
      <c r="ER4" s="2">
        <v>45081</v>
      </c>
      <c r="ES4" s="2">
        <v>45043</v>
      </c>
      <c r="ET4" s="2">
        <v>45010</v>
      </c>
      <c r="EU4" s="2">
        <v>44961</v>
      </c>
      <c r="EV4" s="2">
        <v>45241</v>
      </c>
      <c r="EW4" s="2">
        <v>45050</v>
      </c>
      <c r="EX4" s="2">
        <v>45287</v>
      </c>
      <c r="EY4" s="2">
        <v>45126</v>
      </c>
      <c r="EZ4" s="2">
        <v>44954</v>
      </c>
      <c r="FA4" s="2">
        <v>45106</v>
      </c>
      <c r="FB4" s="2">
        <v>45161</v>
      </c>
      <c r="FC4" s="2">
        <v>45277</v>
      </c>
      <c r="FD4" s="2">
        <v>45113</v>
      </c>
      <c r="FE4" s="2">
        <v>45041</v>
      </c>
      <c r="FF4" s="2">
        <v>45111</v>
      </c>
      <c r="FG4" s="2">
        <v>45074</v>
      </c>
      <c r="FH4" s="2">
        <v>45249</v>
      </c>
      <c r="FI4" s="2">
        <v>45043</v>
      </c>
      <c r="FJ4" s="2">
        <v>45043</v>
      </c>
      <c r="FK4" s="2">
        <v>45179</v>
      </c>
      <c r="FL4" s="2">
        <v>45182</v>
      </c>
      <c r="FM4" s="2">
        <v>45232</v>
      </c>
      <c r="FN4" s="2">
        <v>45247</v>
      </c>
      <c r="FO4" s="2">
        <v>45048</v>
      </c>
      <c r="FP4" s="2">
        <v>45228</v>
      </c>
      <c r="FQ4" s="2">
        <v>45088</v>
      </c>
      <c r="FR4" s="2">
        <v>45127</v>
      </c>
      <c r="FS4" s="2">
        <v>45195</v>
      </c>
      <c r="FT4" s="2">
        <v>45081</v>
      </c>
      <c r="FU4" s="2">
        <v>45168</v>
      </c>
      <c r="FV4" s="2">
        <v>44982</v>
      </c>
      <c r="FW4" s="2">
        <v>45126</v>
      </c>
      <c r="FX4" s="2">
        <v>44976</v>
      </c>
      <c r="FY4" s="2">
        <v>45006</v>
      </c>
      <c r="FZ4" s="2">
        <v>45053</v>
      </c>
      <c r="GA4" s="2">
        <v>45007</v>
      </c>
      <c r="GB4" s="2">
        <v>45294</v>
      </c>
      <c r="GC4" s="2">
        <v>45072</v>
      </c>
      <c r="GD4" s="2">
        <v>45023</v>
      </c>
      <c r="GE4" s="2">
        <v>45254</v>
      </c>
      <c r="GF4" s="2">
        <v>44991</v>
      </c>
      <c r="GG4" s="2">
        <v>45070</v>
      </c>
      <c r="GH4" s="2">
        <v>44981</v>
      </c>
      <c r="GI4" s="2">
        <v>45187</v>
      </c>
      <c r="GJ4" s="2">
        <v>45039</v>
      </c>
      <c r="GK4" s="2">
        <v>45042</v>
      </c>
      <c r="GL4" s="2">
        <v>45284</v>
      </c>
      <c r="GM4" s="2">
        <v>45182</v>
      </c>
      <c r="GN4" s="2">
        <v>45045</v>
      </c>
      <c r="GO4" s="2">
        <v>45133</v>
      </c>
      <c r="GP4" s="2">
        <v>45266</v>
      </c>
      <c r="GQ4" s="2">
        <v>45292</v>
      </c>
      <c r="GR4" s="2">
        <v>44984</v>
      </c>
      <c r="GS4" s="2">
        <v>45176</v>
      </c>
      <c r="GT4" s="2">
        <v>44966</v>
      </c>
      <c r="GU4" s="2">
        <v>45229</v>
      </c>
      <c r="GV4" s="2">
        <v>45004</v>
      </c>
      <c r="GW4" s="2">
        <v>45282</v>
      </c>
      <c r="GX4" s="2">
        <v>45254</v>
      </c>
      <c r="GY4" s="2">
        <v>44984</v>
      </c>
      <c r="GZ4" s="2">
        <v>45006</v>
      </c>
      <c r="HA4" s="2">
        <v>45123</v>
      </c>
      <c r="HB4" s="2">
        <v>45193</v>
      </c>
      <c r="HC4" s="2">
        <v>45284</v>
      </c>
      <c r="HD4" s="2">
        <v>45000</v>
      </c>
      <c r="HE4" s="2">
        <v>45019</v>
      </c>
      <c r="HF4" s="2">
        <v>45193</v>
      </c>
      <c r="HG4" s="2">
        <v>45061</v>
      </c>
      <c r="HH4" s="2">
        <v>45162</v>
      </c>
      <c r="HI4" s="2">
        <v>45227</v>
      </c>
      <c r="HJ4" s="2">
        <v>45057</v>
      </c>
      <c r="HK4" s="2">
        <v>45209</v>
      </c>
      <c r="HL4" s="2">
        <v>45242</v>
      </c>
      <c r="HM4" s="2">
        <v>45035</v>
      </c>
      <c r="HN4" s="2">
        <v>45259</v>
      </c>
      <c r="HO4" s="2">
        <v>45231</v>
      </c>
      <c r="HP4" s="2">
        <v>45117</v>
      </c>
      <c r="HQ4" s="2">
        <v>45106</v>
      </c>
      <c r="HR4" s="2">
        <v>45246</v>
      </c>
      <c r="HS4" s="2">
        <v>45291</v>
      </c>
      <c r="HT4" s="2">
        <v>45122</v>
      </c>
      <c r="HU4" s="2">
        <v>44990</v>
      </c>
      <c r="HV4" s="2">
        <v>44959</v>
      </c>
      <c r="HW4" s="2">
        <v>45018</v>
      </c>
      <c r="HX4" s="2">
        <v>45083</v>
      </c>
      <c r="HY4" s="2">
        <v>44969</v>
      </c>
      <c r="HZ4" s="2">
        <v>45143</v>
      </c>
      <c r="IA4" s="2">
        <v>45295</v>
      </c>
      <c r="IB4" s="2">
        <v>45040</v>
      </c>
      <c r="IC4" s="2">
        <v>45269</v>
      </c>
      <c r="ID4" s="2">
        <v>45147</v>
      </c>
      <c r="IE4" s="2">
        <v>45093</v>
      </c>
      <c r="IF4" s="2">
        <v>45149</v>
      </c>
      <c r="IG4" s="2">
        <v>45198</v>
      </c>
      <c r="IH4" s="2">
        <v>45049</v>
      </c>
      <c r="II4" s="2">
        <v>45263</v>
      </c>
      <c r="IJ4" s="2">
        <v>45109</v>
      </c>
      <c r="IK4" s="2">
        <v>45038</v>
      </c>
      <c r="IL4" s="2">
        <v>45148</v>
      </c>
      <c r="IM4" s="2">
        <v>45139</v>
      </c>
      <c r="IN4" s="2">
        <v>44998</v>
      </c>
      <c r="IO4" s="2">
        <v>44974</v>
      </c>
      <c r="IP4" s="2">
        <v>45263</v>
      </c>
      <c r="IQ4" s="2">
        <v>45233</v>
      </c>
      <c r="IR4" s="2">
        <v>45155</v>
      </c>
      <c r="IS4" s="2">
        <v>45114</v>
      </c>
      <c r="IT4" s="2">
        <v>45034</v>
      </c>
      <c r="IU4" s="2">
        <v>45012</v>
      </c>
      <c r="IV4" s="2">
        <v>45269</v>
      </c>
      <c r="IW4" s="2">
        <v>45184</v>
      </c>
      <c r="IX4" s="2">
        <v>45297</v>
      </c>
      <c r="IY4" s="2">
        <v>44950</v>
      </c>
      <c r="IZ4" s="2">
        <v>45126</v>
      </c>
      <c r="JA4" s="2">
        <v>45110</v>
      </c>
      <c r="JB4" s="2">
        <v>44936</v>
      </c>
      <c r="JC4" s="2">
        <v>44998</v>
      </c>
      <c r="JD4" s="2">
        <v>45059</v>
      </c>
      <c r="JE4" s="2">
        <v>45091</v>
      </c>
      <c r="JF4" s="2">
        <v>45179</v>
      </c>
      <c r="JG4" s="2">
        <v>45134</v>
      </c>
      <c r="JH4" s="2">
        <v>45079</v>
      </c>
      <c r="JI4" s="2">
        <v>45072</v>
      </c>
      <c r="JJ4" s="2">
        <v>45132</v>
      </c>
      <c r="JK4" s="2">
        <v>45086</v>
      </c>
      <c r="JL4" s="2">
        <v>45072</v>
      </c>
      <c r="JM4" s="2">
        <v>45241</v>
      </c>
      <c r="JN4" s="2">
        <v>45100</v>
      </c>
      <c r="JO4" s="2">
        <v>45241</v>
      </c>
      <c r="JP4" s="2">
        <v>44951</v>
      </c>
      <c r="JQ4" s="2">
        <v>45009</v>
      </c>
      <c r="JR4" s="2">
        <v>45001</v>
      </c>
      <c r="JS4" s="2">
        <v>45061</v>
      </c>
      <c r="JT4" s="2">
        <v>45018</v>
      </c>
      <c r="JU4" s="2">
        <v>45149</v>
      </c>
      <c r="JV4" s="2">
        <v>45240</v>
      </c>
      <c r="JW4" s="2">
        <v>45272</v>
      </c>
      <c r="JX4" s="2">
        <v>45269</v>
      </c>
      <c r="JY4" s="2">
        <v>45093</v>
      </c>
      <c r="JZ4" s="2">
        <v>45109</v>
      </c>
      <c r="KA4" s="2">
        <v>45050</v>
      </c>
      <c r="KB4" s="2">
        <v>45125</v>
      </c>
      <c r="KC4" s="2">
        <v>45256</v>
      </c>
      <c r="KD4" s="2">
        <v>45014</v>
      </c>
      <c r="KE4" s="2">
        <v>45218</v>
      </c>
      <c r="KF4" s="2">
        <v>45008</v>
      </c>
      <c r="KG4" s="2">
        <v>45083</v>
      </c>
      <c r="KH4" s="2">
        <v>44992</v>
      </c>
      <c r="KI4" s="2">
        <v>44994</v>
      </c>
      <c r="KJ4" s="2">
        <v>45284</v>
      </c>
      <c r="KK4" s="2">
        <v>44957</v>
      </c>
      <c r="KL4" s="2">
        <v>44970</v>
      </c>
      <c r="KM4" s="2">
        <v>45103</v>
      </c>
      <c r="KN4" s="2">
        <v>45015</v>
      </c>
      <c r="KO4" s="2">
        <v>45105</v>
      </c>
      <c r="KP4" s="2">
        <v>44947</v>
      </c>
      <c r="KQ4" s="2">
        <v>45027</v>
      </c>
      <c r="KR4" s="2">
        <v>45125</v>
      </c>
      <c r="KS4" s="2">
        <v>45027</v>
      </c>
      <c r="KT4" s="2">
        <v>44993</v>
      </c>
      <c r="KU4" s="2">
        <v>45264</v>
      </c>
      <c r="KV4" s="2">
        <v>45273</v>
      </c>
      <c r="KW4" s="2">
        <v>44940</v>
      </c>
      <c r="KX4" s="2">
        <v>44936</v>
      </c>
      <c r="KY4" s="2">
        <v>44951</v>
      </c>
      <c r="KZ4" s="2">
        <v>45043</v>
      </c>
      <c r="LA4" s="2">
        <v>44990</v>
      </c>
      <c r="LB4" s="2">
        <v>44997</v>
      </c>
      <c r="LC4" s="2">
        <v>45264</v>
      </c>
      <c r="LD4" s="2">
        <v>45029</v>
      </c>
      <c r="LE4" s="2">
        <v>45071</v>
      </c>
      <c r="LF4" s="2">
        <v>45056</v>
      </c>
      <c r="LG4" s="2">
        <v>45097</v>
      </c>
      <c r="LH4" s="2">
        <v>45018</v>
      </c>
      <c r="LI4" s="2">
        <v>45005</v>
      </c>
      <c r="LJ4" s="2">
        <v>45275</v>
      </c>
      <c r="LK4" s="2">
        <v>45222</v>
      </c>
      <c r="LL4" s="2">
        <v>44991</v>
      </c>
      <c r="LM4" s="2">
        <v>45070</v>
      </c>
      <c r="LN4" s="2">
        <v>45030</v>
      </c>
      <c r="LO4" s="2">
        <v>45124</v>
      </c>
      <c r="LP4" s="2">
        <v>45176</v>
      </c>
      <c r="LQ4" s="2">
        <v>45250</v>
      </c>
      <c r="LR4" s="2">
        <v>44976</v>
      </c>
      <c r="LS4" s="2">
        <v>44966</v>
      </c>
      <c r="LT4" s="2">
        <v>45207</v>
      </c>
      <c r="LU4" s="2">
        <v>44955</v>
      </c>
      <c r="LV4" s="2">
        <v>45086</v>
      </c>
      <c r="LW4" s="2">
        <v>44995</v>
      </c>
      <c r="LX4" s="2">
        <v>45143</v>
      </c>
      <c r="LY4" s="2">
        <v>45072</v>
      </c>
      <c r="LZ4" s="2">
        <v>45162</v>
      </c>
      <c r="MA4" s="2">
        <v>45145</v>
      </c>
      <c r="MB4" s="2">
        <v>45012</v>
      </c>
      <c r="MC4" s="2">
        <v>45144</v>
      </c>
      <c r="MD4" s="2">
        <v>45048</v>
      </c>
      <c r="ME4" s="2">
        <v>45019</v>
      </c>
      <c r="MF4" s="2">
        <v>45204</v>
      </c>
      <c r="MG4" s="2">
        <v>45101</v>
      </c>
      <c r="MH4" s="2">
        <v>44993</v>
      </c>
      <c r="MI4" s="2">
        <v>45213</v>
      </c>
      <c r="MJ4" s="2">
        <v>44954</v>
      </c>
      <c r="MK4" s="2">
        <v>44993</v>
      </c>
      <c r="ML4" s="2">
        <v>45177</v>
      </c>
      <c r="MM4" s="2">
        <v>45185</v>
      </c>
      <c r="MN4" s="2">
        <v>44972</v>
      </c>
      <c r="MO4" s="2">
        <v>45026</v>
      </c>
      <c r="MP4" s="2">
        <v>44972</v>
      </c>
      <c r="MQ4" s="2">
        <v>45160</v>
      </c>
      <c r="MR4" s="2">
        <v>45191</v>
      </c>
      <c r="MS4" s="2">
        <v>45102</v>
      </c>
      <c r="MT4" s="2">
        <v>45213</v>
      </c>
      <c r="MU4" s="2">
        <v>45019</v>
      </c>
      <c r="MV4" s="2">
        <v>45105</v>
      </c>
      <c r="MW4" s="2">
        <v>45124</v>
      </c>
      <c r="MX4" s="2">
        <v>45234</v>
      </c>
      <c r="MY4" s="2">
        <v>45194</v>
      </c>
      <c r="MZ4" s="2">
        <v>45202</v>
      </c>
      <c r="NA4" s="2">
        <v>45003</v>
      </c>
      <c r="NB4" s="2">
        <v>44940</v>
      </c>
      <c r="NC4" s="2">
        <v>45226</v>
      </c>
      <c r="ND4" s="2">
        <v>45095</v>
      </c>
      <c r="NE4" s="2">
        <v>45018</v>
      </c>
      <c r="NF4" s="2">
        <v>45000</v>
      </c>
      <c r="NG4" s="2">
        <v>44987</v>
      </c>
      <c r="NH4" s="2">
        <v>44979</v>
      </c>
      <c r="NI4" s="2">
        <v>45167</v>
      </c>
      <c r="NJ4" s="2">
        <v>45036</v>
      </c>
      <c r="NK4" s="2">
        <v>45141</v>
      </c>
      <c r="NL4" s="2">
        <v>44970</v>
      </c>
      <c r="NM4" s="2">
        <v>45251</v>
      </c>
      <c r="NN4" s="2">
        <v>45202</v>
      </c>
      <c r="NO4" s="2">
        <v>45192</v>
      </c>
      <c r="NP4" s="2">
        <v>45270</v>
      </c>
      <c r="NQ4" s="2">
        <v>45300</v>
      </c>
      <c r="NR4" s="2">
        <v>45188</v>
      </c>
      <c r="NS4" s="2">
        <v>45212</v>
      </c>
      <c r="NT4" s="2">
        <v>45042</v>
      </c>
      <c r="NU4" s="2">
        <v>45297</v>
      </c>
      <c r="NV4" s="2">
        <v>44967</v>
      </c>
      <c r="NW4" s="2">
        <v>45154</v>
      </c>
      <c r="NX4" s="2">
        <v>45062</v>
      </c>
      <c r="NY4" s="2">
        <v>44941</v>
      </c>
      <c r="NZ4" s="2">
        <v>45030</v>
      </c>
      <c r="OA4" s="2">
        <v>45103</v>
      </c>
      <c r="OB4" s="2">
        <v>45037</v>
      </c>
      <c r="OC4" s="2">
        <v>45036</v>
      </c>
      <c r="OD4" s="2">
        <v>45191</v>
      </c>
      <c r="OE4" s="2">
        <v>45173</v>
      </c>
      <c r="OF4" s="2">
        <v>45206</v>
      </c>
      <c r="OG4" s="2">
        <v>44966</v>
      </c>
      <c r="OH4" s="2">
        <v>45071</v>
      </c>
      <c r="OI4" s="2">
        <v>44943</v>
      </c>
      <c r="OJ4" s="2">
        <v>45237</v>
      </c>
      <c r="OK4" s="2">
        <v>44943</v>
      </c>
      <c r="OL4" s="2">
        <v>45059</v>
      </c>
      <c r="OM4" s="2">
        <v>44992</v>
      </c>
      <c r="ON4" s="2">
        <v>45037</v>
      </c>
      <c r="OO4" s="2">
        <v>44955</v>
      </c>
      <c r="OP4" s="2">
        <v>45091</v>
      </c>
      <c r="OQ4" s="2">
        <v>45204</v>
      </c>
      <c r="OR4" s="2">
        <v>45090</v>
      </c>
      <c r="OS4" s="2">
        <v>45190</v>
      </c>
      <c r="OT4" s="2">
        <v>45034</v>
      </c>
      <c r="OU4" s="2">
        <v>45152</v>
      </c>
      <c r="OV4" s="2">
        <v>44993</v>
      </c>
      <c r="OW4" s="2">
        <v>45176</v>
      </c>
      <c r="OX4" s="2">
        <v>45056</v>
      </c>
      <c r="OY4" s="2">
        <v>45212</v>
      </c>
      <c r="OZ4" s="2">
        <v>45257</v>
      </c>
      <c r="PA4" s="2">
        <v>44953</v>
      </c>
      <c r="PB4" s="2">
        <v>45065</v>
      </c>
      <c r="PC4" s="2">
        <v>45280</v>
      </c>
      <c r="PD4" s="2">
        <v>45129</v>
      </c>
      <c r="PE4" s="2">
        <v>45209</v>
      </c>
      <c r="PF4" s="2">
        <v>45086</v>
      </c>
      <c r="PG4" s="2">
        <v>45061</v>
      </c>
      <c r="PH4" s="2">
        <v>45155</v>
      </c>
      <c r="PI4" s="2">
        <v>45123</v>
      </c>
      <c r="PJ4" s="2">
        <v>45193</v>
      </c>
      <c r="PK4" s="2">
        <v>45067</v>
      </c>
      <c r="PL4" s="2">
        <v>45140</v>
      </c>
      <c r="PM4" s="2">
        <v>44994</v>
      </c>
      <c r="PN4" s="2">
        <v>45297</v>
      </c>
      <c r="PO4" s="2">
        <v>45298</v>
      </c>
      <c r="PP4" s="2">
        <v>45146</v>
      </c>
      <c r="PQ4" s="2">
        <v>45148</v>
      </c>
      <c r="PR4" s="2">
        <v>45159</v>
      </c>
      <c r="PS4" s="2">
        <v>45062</v>
      </c>
      <c r="PT4" s="2">
        <v>45009</v>
      </c>
      <c r="PU4" s="2">
        <v>45213</v>
      </c>
      <c r="PV4" s="2">
        <v>45204</v>
      </c>
      <c r="PW4" s="2">
        <v>45091</v>
      </c>
      <c r="PX4" s="2">
        <v>45179</v>
      </c>
      <c r="PY4" s="2">
        <v>45149</v>
      </c>
      <c r="PZ4" s="2">
        <v>45119</v>
      </c>
      <c r="QA4" s="2">
        <v>45094</v>
      </c>
      <c r="QB4" s="2">
        <v>45109</v>
      </c>
      <c r="QC4" s="2">
        <v>44969</v>
      </c>
      <c r="QD4" s="2">
        <v>44976</v>
      </c>
      <c r="QE4" s="2">
        <v>45239</v>
      </c>
      <c r="QF4" s="2">
        <v>45265</v>
      </c>
      <c r="QG4" s="2">
        <v>45247</v>
      </c>
      <c r="QH4" s="2">
        <v>45008</v>
      </c>
      <c r="QI4" s="2">
        <v>45209</v>
      </c>
      <c r="QJ4" s="2">
        <v>45110</v>
      </c>
      <c r="QK4" s="2">
        <v>45082</v>
      </c>
      <c r="QL4" s="2">
        <v>45203</v>
      </c>
      <c r="QM4" s="2">
        <v>45255</v>
      </c>
      <c r="QN4" s="2">
        <v>45036</v>
      </c>
      <c r="QO4" s="2">
        <v>45067</v>
      </c>
      <c r="QP4" s="2">
        <v>45280</v>
      </c>
      <c r="QQ4" s="2">
        <v>45202</v>
      </c>
      <c r="QR4" s="2">
        <v>45281</v>
      </c>
      <c r="QS4" s="2">
        <v>45221</v>
      </c>
      <c r="QT4" s="2">
        <v>45142</v>
      </c>
      <c r="QU4" s="2">
        <v>45205</v>
      </c>
      <c r="QV4" s="2">
        <v>45000</v>
      </c>
      <c r="QW4" s="2">
        <v>45176</v>
      </c>
      <c r="QX4" s="2">
        <v>45089</v>
      </c>
      <c r="QY4" s="2">
        <v>44975</v>
      </c>
      <c r="QZ4" s="2">
        <v>45129</v>
      </c>
      <c r="RA4" s="2">
        <v>45082</v>
      </c>
      <c r="RB4" s="2">
        <v>45052</v>
      </c>
      <c r="RC4" s="2">
        <v>44936</v>
      </c>
      <c r="RD4" s="2">
        <v>45174</v>
      </c>
      <c r="RE4" s="2">
        <v>45278</v>
      </c>
      <c r="RF4" s="2">
        <v>45055</v>
      </c>
      <c r="RG4" s="2">
        <v>45119</v>
      </c>
      <c r="RH4" s="2">
        <v>44999</v>
      </c>
      <c r="RI4" s="2">
        <v>44936</v>
      </c>
      <c r="RJ4" s="2">
        <v>45230</v>
      </c>
      <c r="RK4" s="2">
        <v>45227</v>
      </c>
      <c r="RL4" s="2">
        <v>45077</v>
      </c>
      <c r="RM4" s="2">
        <v>45119</v>
      </c>
      <c r="RN4" s="2">
        <v>44955</v>
      </c>
      <c r="RO4" s="2">
        <v>45162</v>
      </c>
      <c r="RP4" s="2">
        <v>45245</v>
      </c>
      <c r="RQ4" s="2">
        <v>45048</v>
      </c>
      <c r="RR4" s="2">
        <v>45237</v>
      </c>
      <c r="RS4" s="2">
        <v>45077</v>
      </c>
      <c r="RT4" s="2">
        <v>44966</v>
      </c>
      <c r="RU4" s="2">
        <v>45284</v>
      </c>
      <c r="RV4" s="2">
        <v>45187</v>
      </c>
      <c r="RW4" s="2">
        <v>45261</v>
      </c>
      <c r="RX4" s="2">
        <v>45137</v>
      </c>
      <c r="RY4" s="2">
        <v>45140</v>
      </c>
      <c r="RZ4" s="2">
        <v>45043</v>
      </c>
      <c r="SA4" s="2">
        <v>45154</v>
      </c>
      <c r="SB4" s="2">
        <v>45063</v>
      </c>
      <c r="SC4" s="2">
        <v>45178</v>
      </c>
      <c r="SD4" s="2">
        <v>45151</v>
      </c>
      <c r="SE4" s="2">
        <v>45025</v>
      </c>
      <c r="SF4" s="2">
        <v>45283</v>
      </c>
      <c r="SG4" s="2">
        <v>44977</v>
      </c>
    </row>
    <row r="5" spans="1:501" x14ac:dyDescent="0.3">
      <c r="A5" s="3" t="s">
        <v>4</v>
      </c>
      <c r="B5" s="1" t="s">
        <v>15</v>
      </c>
      <c r="C5" s="1" t="s">
        <v>22</v>
      </c>
      <c r="D5" s="1" t="s">
        <v>15</v>
      </c>
      <c r="E5" s="1" t="s">
        <v>34</v>
      </c>
      <c r="F5" s="1" t="s">
        <v>37</v>
      </c>
      <c r="G5" s="1" t="s">
        <v>40</v>
      </c>
      <c r="H5" s="1" t="s">
        <v>34</v>
      </c>
      <c r="I5" s="1" t="s">
        <v>46</v>
      </c>
      <c r="J5" s="1" t="s">
        <v>15</v>
      </c>
      <c r="K5" s="1" t="s">
        <v>34</v>
      </c>
      <c r="L5" s="1" t="s">
        <v>34</v>
      </c>
      <c r="M5" s="1" t="s">
        <v>46</v>
      </c>
      <c r="N5" s="1" t="s">
        <v>16</v>
      </c>
      <c r="O5" s="1" t="s">
        <v>37</v>
      </c>
      <c r="P5" s="1" t="s">
        <v>40</v>
      </c>
      <c r="Q5" s="1" t="s">
        <v>22</v>
      </c>
      <c r="R5" s="1" t="s">
        <v>16</v>
      </c>
      <c r="S5" s="1" t="s">
        <v>15</v>
      </c>
      <c r="T5" s="1" t="s">
        <v>34</v>
      </c>
      <c r="U5" s="1" t="s">
        <v>46</v>
      </c>
      <c r="V5" s="1" t="s">
        <v>46</v>
      </c>
      <c r="W5" s="1" t="s">
        <v>37</v>
      </c>
      <c r="X5" s="1" t="s">
        <v>16</v>
      </c>
      <c r="Y5" s="1" t="s">
        <v>22</v>
      </c>
      <c r="Z5" s="1" t="s">
        <v>37</v>
      </c>
      <c r="AA5" s="1" t="s">
        <v>34</v>
      </c>
      <c r="AB5" s="1" t="s">
        <v>37</v>
      </c>
      <c r="AC5" s="1" t="s">
        <v>40</v>
      </c>
      <c r="AD5" s="1" t="s">
        <v>46</v>
      </c>
      <c r="AE5" s="1" t="s">
        <v>46</v>
      </c>
      <c r="AF5" s="1" t="s">
        <v>15</v>
      </c>
      <c r="AG5" s="1" t="s">
        <v>15</v>
      </c>
      <c r="AH5" s="1" t="s">
        <v>22</v>
      </c>
      <c r="AI5" s="1" t="s">
        <v>34</v>
      </c>
      <c r="AJ5" s="1" t="s">
        <v>40</v>
      </c>
      <c r="AK5" s="1" t="s">
        <v>16</v>
      </c>
      <c r="AL5" s="1" t="s">
        <v>37</v>
      </c>
      <c r="AM5" s="1" t="s">
        <v>22</v>
      </c>
      <c r="AN5" s="1" t="s">
        <v>34</v>
      </c>
      <c r="AO5" s="1" t="s">
        <v>15</v>
      </c>
      <c r="AP5" s="1" t="s">
        <v>37</v>
      </c>
      <c r="AQ5" s="1" t="s">
        <v>15</v>
      </c>
      <c r="AR5" s="1" t="s">
        <v>37</v>
      </c>
      <c r="AS5" s="1" t="s">
        <v>16</v>
      </c>
      <c r="AT5" s="1" t="s">
        <v>34</v>
      </c>
      <c r="AU5" s="1" t="s">
        <v>37</v>
      </c>
      <c r="AV5" s="1" t="s">
        <v>40</v>
      </c>
      <c r="AW5" s="1" t="s">
        <v>22</v>
      </c>
      <c r="AX5" s="1" t="s">
        <v>46</v>
      </c>
      <c r="AY5" s="1" t="s">
        <v>40</v>
      </c>
      <c r="AZ5" s="1" t="s">
        <v>40</v>
      </c>
      <c r="BA5" s="1" t="s">
        <v>22</v>
      </c>
      <c r="BB5" s="1" t="s">
        <v>46</v>
      </c>
      <c r="BC5" s="1" t="s">
        <v>40</v>
      </c>
      <c r="BD5" s="1" t="s">
        <v>37</v>
      </c>
      <c r="BE5" s="1" t="s">
        <v>37</v>
      </c>
      <c r="BF5" s="1" t="s">
        <v>37</v>
      </c>
      <c r="BG5" s="1" t="s">
        <v>46</v>
      </c>
      <c r="BH5" s="1" t="s">
        <v>40</v>
      </c>
      <c r="BI5" s="1" t="s">
        <v>46</v>
      </c>
      <c r="BJ5" s="1" t="s">
        <v>37</v>
      </c>
      <c r="BK5" s="1" t="s">
        <v>22</v>
      </c>
      <c r="BL5" s="1" t="s">
        <v>40</v>
      </c>
      <c r="BM5" s="1" t="s">
        <v>40</v>
      </c>
      <c r="BN5" s="1" t="s">
        <v>15</v>
      </c>
      <c r="BO5" s="1" t="s">
        <v>15</v>
      </c>
      <c r="BP5" s="1" t="s">
        <v>16</v>
      </c>
      <c r="BQ5" s="1" t="s">
        <v>34</v>
      </c>
      <c r="BR5" s="1" t="s">
        <v>15</v>
      </c>
      <c r="BS5" s="1" t="s">
        <v>46</v>
      </c>
      <c r="BT5" s="1" t="s">
        <v>15</v>
      </c>
      <c r="BU5" s="1" t="s">
        <v>16</v>
      </c>
      <c r="BV5" s="1" t="s">
        <v>40</v>
      </c>
      <c r="BW5" s="1" t="s">
        <v>16</v>
      </c>
      <c r="BX5" s="1" t="s">
        <v>40</v>
      </c>
      <c r="BY5" s="1" t="s">
        <v>22</v>
      </c>
      <c r="BZ5" s="1" t="s">
        <v>22</v>
      </c>
      <c r="CA5" s="1" t="s">
        <v>40</v>
      </c>
      <c r="CB5" s="1" t="s">
        <v>34</v>
      </c>
      <c r="CC5" s="1" t="s">
        <v>15</v>
      </c>
      <c r="CD5" s="1" t="s">
        <v>46</v>
      </c>
      <c r="CE5" s="1" t="s">
        <v>46</v>
      </c>
      <c r="CF5" s="1" t="s">
        <v>37</v>
      </c>
      <c r="CG5" s="1" t="s">
        <v>40</v>
      </c>
      <c r="CH5" s="1" t="s">
        <v>46</v>
      </c>
      <c r="CI5" s="1" t="s">
        <v>34</v>
      </c>
      <c r="CJ5" s="1" t="s">
        <v>40</v>
      </c>
      <c r="CK5" s="1" t="s">
        <v>34</v>
      </c>
      <c r="CL5" s="1" t="s">
        <v>46</v>
      </c>
      <c r="CM5" s="1" t="s">
        <v>46</v>
      </c>
      <c r="CN5" s="1" t="s">
        <v>37</v>
      </c>
      <c r="CO5" s="1" t="s">
        <v>46</v>
      </c>
      <c r="CP5" s="1" t="s">
        <v>40</v>
      </c>
      <c r="CQ5" s="1" t="s">
        <v>22</v>
      </c>
      <c r="CR5" s="1" t="s">
        <v>40</v>
      </c>
      <c r="CS5" s="1" t="s">
        <v>40</v>
      </c>
      <c r="CT5" s="1" t="s">
        <v>37</v>
      </c>
      <c r="CU5" s="1" t="s">
        <v>37</v>
      </c>
      <c r="CV5" s="1" t="s">
        <v>46</v>
      </c>
      <c r="CW5" s="1" t="s">
        <v>16</v>
      </c>
      <c r="CX5" s="1" t="s">
        <v>16</v>
      </c>
      <c r="CY5" s="1" t="s">
        <v>37</v>
      </c>
      <c r="CZ5" s="1" t="s">
        <v>46</v>
      </c>
      <c r="DA5" s="1" t="s">
        <v>16</v>
      </c>
      <c r="DB5" s="1" t="s">
        <v>46</v>
      </c>
      <c r="DC5" s="1" t="s">
        <v>46</v>
      </c>
      <c r="DD5" s="1" t="s">
        <v>46</v>
      </c>
      <c r="DE5" s="1" t="s">
        <v>15</v>
      </c>
      <c r="DF5" s="1" t="s">
        <v>40</v>
      </c>
      <c r="DG5" s="1" t="s">
        <v>46</v>
      </c>
      <c r="DH5" s="1" t="s">
        <v>15</v>
      </c>
      <c r="DI5" s="1" t="s">
        <v>37</v>
      </c>
      <c r="DJ5" s="1" t="s">
        <v>16</v>
      </c>
      <c r="DK5" s="1" t="s">
        <v>40</v>
      </c>
      <c r="DL5" s="1" t="s">
        <v>22</v>
      </c>
      <c r="DM5" s="1" t="s">
        <v>16</v>
      </c>
      <c r="DN5" s="1" t="s">
        <v>40</v>
      </c>
      <c r="DO5" s="1" t="s">
        <v>22</v>
      </c>
      <c r="DP5" s="1" t="s">
        <v>16</v>
      </c>
      <c r="DQ5" s="1" t="s">
        <v>40</v>
      </c>
      <c r="DR5" s="1" t="s">
        <v>16</v>
      </c>
      <c r="DS5" s="1" t="s">
        <v>16</v>
      </c>
      <c r="DT5" s="1" t="s">
        <v>22</v>
      </c>
      <c r="DU5" s="1" t="s">
        <v>16</v>
      </c>
      <c r="DV5" s="1" t="s">
        <v>16</v>
      </c>
      <c r="DW5" s="1" t="s">
        <v>22</v>
      </c>
      <c r="DX5" s="1" t="s">
        <v>37</v>
      </c>
      <c r="DY5" s="1" t="s">
        <v>46</v>
      </c>
      <c r="DZ5" s="1" t="s">
        <v>34</v>
      </c>
      <c r="EA5" s="1" t="s">
        <v>15</v>
      </c>
      <c r="EB5" s="1" t="s">
        <v>34</v>
      </c>
      <c r="EC5" s="1" t="s">
        <v>34</v>
      </c>
      <c r="ED5" s="1" t="s">
        <v>40</v>
      </c>
      <c r="EE5" s="1" t="s">
        <v>46</v>
      </c>
      <c r="EF5" s="1" t="s">
        <v>40</v>
      </c>
      <c r="EG5" s="1" t="s">
        <v>46</v>
      </c>
      <c r="EH5" s="1" t="s">
        <v>22</v>
      </c>
      <c r="EI5" s="1" t="s">
        <v>22</v>
      </c>
      <c r="EJ5" s="1" t="s">
        <v>46</v>
      </c>
      <c r="EK5" s="1" t="s">
        <v>16</v>
      </c>
      <c r="EL5" s="1" t="s">
        <v>37</v>
      </c>
      <c r="EM5" s="1" t="s">
        <v>16</v>
      </c>
      <c r="EN5" s="1" t="s">
        <v>37</v>
      </c>
      <c r="EO5" s="1" t="s">
        <v>40</v>
      </c>
      <c r="EP5" s="1" t="s">
        <v>37</v>
      </c>
      <c r="EQ5" s="1" t="s">
        <v>40</v>
      </c>
      <c r="ER5" s="1" t="s">
        <v>22</v>
      </c>
      <c r="ES5" s="1" t="s">
        <v>34</v>
      </c>
      <c r="ET5" s="1" t="s">
        <v>22</v>
      </c>
      <c r="EU5" s="1" t="s">
        <v>22</v>
      </c>
      <c r="EV5" s="1" t="s">
        <v>34</v>
      </c>
      <c r="EW5" s="1" t="s">
        <v>37</v>
      </c>
      <c r="EX5" s="1" t="s">
        <v>37</v>
      </c>
      <c r="EY5" s="1" t="s">
        <v>40</v>
      </c>
      <c r="EZ5" s="1" t="s">
        <v>16</v>
      </c>
      <c r="FA5" s="1" t="s">
        <v>40</v>
      </c>
      <c r="FB5" s="1" t="s">
        <v>16</v>
      </c>
      <c r="FC5" s="1" t="s">
        <v>22</v>
      </c>
      <c r="FD5" s="1" t="s">
        <v>34</v>
      </c>
      <c r="FE5" s="1" t="s">
        <v>22</v>
      </c>
      <c r="FF5" s="1" t="s">
        <v>46</v>
      </c>
      <c r="FG5" s="1" t="s">
        <v>37</v>
      </c>
      <c r="FH5" s="1" t="s">
        <v>16</v>
      </c>
      <c r="FI5" s="1" t="s">
        <v>40</v>
      </c>
      <c r="FJ5" s="1" t="s">
        <v>34</v>
      </c>
      <c r="FK5" s="1" t="s">
        <v>16</v>
      </c>
      <c r="FL5" s="1" t="s">
        <v>40</v>
      </c>
      <c r="FM5" s="1" t="s">
        <v>37</v>
      </c>
      <c r="FN5" s="1" t="s">
        <v>22</v>
      </c>
      <c r="FO5" s="1" t="s">
        <v>37</v>
      </c>
      <c r="FP5" s="1" t="s">
        <v>15</v>
      </c>
      <c r="FQ5" s="1" t="s">
        <v>46</v>
      </c>
      <c r="FR5" s="1" t="s">
        <v>15</v>
      </c>
      <c r="FS5" s="1" t="s">
        <v>34</v>
      </c>
      <c r="FT5" s="1" t="s">
        <v>16</v>
      </c>
      <c r="FU5" s="1" t="s">
        <v>34</v>
      </c>
      <c r="FV5" s="1" t="s">
        <v>22</v>
      </c>
      <c r="FW5" s="1" t="s">
        <v>40</v>
      </c>
      <c r="FX5" s="1" t="s">
        <v>37</v>
      </c>
      <c r="FY5" s="1" t="s">
        <v>15</v>
      </c>
      <c r="FZ5" s="1" t="s">
        <v>15</v>
      </c>
      <c r="GA5" s="1" t="s">
        <v>22</v>
      </c>
      <c r="GB5" s="1" t="s">
        <v>15</v>
      </c>
      <c r="GC5" s="1" t="s">
        <v>22</v>
      </c>
      <c r="GD5" s="1" t="s">
        <v>34</v>
      </c>
      <c r="GE5" s="1" t="s">
        <v>37</v>
      </c>
      <c r="GF5" s="1" t="s">
        <v>16</v>
      </c>
      <c r="GG5" s="1" t="s">
        <v>40</v>
      </c>
      <c r="GH5" s="1" t="s">
        <v>16</v>
      </c>
      <c r="GI5" s="1" t="s">
        <v>34</v>
      </c>
      <c r="GJ5" s="1" t="s">
        <v>40</v>
      </c>
      <c r="GK5" s="1" t="s">
        <v>15</v>
      </c>
      <c r="GL5" s="1" t="s">
        <v>46</v>
      </c>
      <c r="GM5" s="1" t="s">
        <v>34</v>
      </c>
      <c r="GN5" s="1" t="s">
        <v>34</v>
      </c>
      <c r="GO5" s="1" t="s">
        <v>37</v>
      </c>
      <c r="GP5" s="1" t="s">
        <v>16</v>
      </c>
      <c r="GQ5" s="1" t="s">
        <v>34</v>
      </c>
      <c r="GR5" s="1" t="s">
        <v>34</v>
      </c>
      <c r="GS5" s="1" t="s">
        <v>15</v>
      </c>
      <c r="GT5" s="1" t="s">
        <v>15</v>
      </c>
      <c r="GU5" s="1" t="s">
        <v>40</v>
      </c>
      <c r="GV5" s="1" t="s">
        <v>22</v>
      </c>
      <c r="GW5" s="1" t="s">
        <v>22</v>
      </c>
      <c r="GX5" s="1" t="s">
        <v>46</v>
      </c>
      <c r="GY5" s="1" t="s">
        <v>22</v>
      </c>
      <c r="GZ5" s="1" t="s">
        <v>37</v>
      </c>
      <c r="HA5" s="1" t="s">
        <v>46</v>
      </c>
      <c r="HB5" s="1" t="s">
        <v>40</v>
      </c>
      <c r="HC5" s="1" t="s">
        <v>15</v>
      </c>
      <c r="HD5" s="1" t="s">
        <v>22</v>
      </c>
      <c r="HE5" s="1" t="s">
        <v>16</v>
      </c>
      <c r="HF5" s="1" t="s">
        <v>15</v>
      </c>
      <c r="HG5" s="1" t="s">
        <v>37</v>
      </c>
      <c r="HH5" s="1" t="s">
        <v>15</v>
      </c>
      <c r="HI5" s="1" t="s">
        <v>37</v>
      </c>
      <c r="HJ5" s="1" t="s">
        <v>37</v>
      </c>
      <c r="HK5" s="1" t="s">
        <v>37</v>
      </c>
      <c r="HL5" s="1" t="s">
        <v>40</v>
      </c>
      <c r="HM5" s="1" t="s">
        <v>37</v>
      </c>
      <c r="HN5" s="1" t="s">
        <v>37</v>
      </c>
      <c r="HO5" s="1" t="s">
        <v>16</v>
      </c>
      <c r="HP5" s="1" t="s">
        <v>46</v>
      </c>
      <c r="HQ5" s="1" t="s">
        <v>34</v>
      </c>
      <c r="HR5" s="1" t="s">
        <v>46</v>
      </c>
      <c r="HS5" s="1" t="s">
        <v>37</v>
      </c>
      <c r="HT5" s="1" t="s">
        <v>16</v>
      </c>
      <c r="HU5" s="1" t="s">
        <v>15</v>
      </c>
      <c r="HV5" s="1" t="s">
        <v>16</v>
      </c>
      <c r="HW5" s="1" t="s">
        <v>37</v>
      </c>
      <c r="HX5" s="1" t="s">
        <v>16</v>
      </c>
      <c r="HY5" s="1" t="s">
        <v>22</v>
      </c>
      <c r="HZ5" s="1" t="s">
        <v>16</v>
      </c>
      <c r="IA5" s="1" t="s">
        <v>37</v>
      </c>
      <c r="IB5" s="1" t="s">
        <v>40</v>
      </c>
      <c r="IC5" s="1" t="s">
        <v>22</v>
      </c>
      <c r="ID5" s="1" t="s">
        <v>16</v>
      </c>
      <c r="IE5" s="1" t="s">
        <v>34</v>
      </c>
      <c r="IF5" s="1" t="s">
        <v>34</v>
      </c>
      <c r="IG5" s="1" t="s">
        <v>16</v>
      </c>
      <c r="IH5" s="1" t="s">
        <v>40</v>
      </c>
      <c r="II5" s="1" t="s">
        <v>15</v>
      </c>
      <c r="IJ5" s="1" t="s">
        <v>37</v>
      </c>
      <c r="IK5" s="1" t="s">
        <v>34</v>
      </c>
      <c r="IL5" s="1" t="s">
        <v>15</v>
      </c>
      <c r="IM5" s="1" t="s">
        <v>16</v>
      </c>
      <c r="IN5" s="1" t="s">
        <v>15</v>
      </c>
      <c r="IO5" s="1" t="s">
        <v>22</v>
      </c>
      <c r="IP5" s="1" t="s">
        <v>46</v>
      </c>
      <c r="IQ5" s="1" t="s">
        <v>34</v>
      </c>
      <c r="IR5" s="1" t="s">
        <v>16</v>
      </c>
      <c r="IS5" s="1" t="s">
        <v>37</v>
      </c>
      <c r="IT5" s="1" t="s">
        <v>40</v>
      </c>
      <c r="IU5" s="1" t="s">
        <v>22</v>
      </c>
      <c r="IV5" s="1" t="s">
        <v>16</v>
      </c>
      <c r="IW5" s="1" t="s">
        <v>37</v>
      </c>
      <c r="IX5" s="1" t="s">
        <v>40</v>
      </c>
      <c r="IY5" s="1" t="s">
        <v>40</v>
      </c>
      <c r="IZ5" s="1" t="s">
        <v>16</v>
      </c>
      <c r="JA5" s="1" t="s">
        <v>22</v>
      </c>
      <c r="JB5" s="1" t="s">
        <v>15</v>
      </c>
      <c r="JC5" s="1" t="s">
        <v>15</v>
      </c>
      <c r="JD5" s="1" t="s">
        <v>40</v>
      </c>
      <c r="JE5" s="1" t="s">
        <v>15</v>
      </c>
      <c r="JF5" s="1" t="s">
        <v>46</v>
      </c>
      <c r="JG5" s="1" t="s">
        <v>40</v>
      </c>
      <c r="JH5" s="1" t="s">
        <v>40</v>
      </c>
      <c r="JI5" s="1" t="s">
        <v>37</v>
      </c>
      <c r="JJ5" s="1" t="s">
        <v>15</v>
      </c>
      <c r="JK5" s="1" t="s">
        <v>22</v>
      </c>
      <c r="JL5" s="1" t="s">
        <v>40</v>
      </c>
      <c r="JM5" s="1" t="s">
        <v>22</v>
      </c>
      <c r="JN5" s="1" t="s">
        <v>46</v>
      </c>
      <c r="JO5" s="1" t="s">
        <v>37</v>
      </c>
      <c r="JP5" s="1" t="s">
        <v>16</v>
      </c>
      <c r="JQ5" s="1" t="s">
        <v>22</v>
      </c>
      <c r="JR5" s="1" t="s">
        <v>40</v>
      </c>
      <c r="JS5" s="1" t="s">
        <v>46</v>
      </c>
      <c r="JT5" s="1" t="s">
        <v>34</v>
      </c>
      <c r="JU5" s="1" t="s">
        <v>46</v>
      </c>
      <c r="JV5" s="1" t="s">
        <v>46</v>
      </c>
      <c r="JW5" s="1" t="s">
        <v>37</v>
      </c>
      <c r="JX5" s="1" t="s">
        <v>16</v>
      </c>
      <c r="JY5" s="1" t="s">
        <v>34</v>
      </c>
      <c r="JZ5" s="1" t="s">
        <v>15</v>
      </c>
      <c r="KA5" s="1" t="s">
        <v>15</v>
      </c>
      <c r="KB5" s="1" t="s">
        <v>22</v>
      </c>
      <c r="KC5" s="1" t="s">
        <v>46</v>
      </c>
      <c r="KD5" s="1" t="s">
        <v>37</v>
      </c>
      <c r="KE5" s="1" t="s">
        <v>37</v>
      </c>
      <c r="KF5" s="1" t="s">
        <v>15</v>
      </c>
      <c r="KG5" s="1" t="s">
        <v>22</v>
      </c>
      <c r="KH5" s="1" t="s">
        <v>22</v>
      </c>
      <c r="KI5" s="1" t="s">
        <v>22</v>
      </c>
      <c r="KJ5" s="1" t="s">
        <v>34</v>
      </c>
      <c r="KK5" s="1" t="s">
        <v>16</v>
      </c>
      <c r="KL5" s="1" t="s">
        <v>34</v>
      </c>
      <c r="KM5" s="1" t="s">
        <v>40</v>
      </c>
      <c r="KN5" s="1" t="s">
        <v>40</v>
      </c>
      <c r="KO5" s="1" t="s">
        <v>16</v>
      </c>
      <c r="KP5" s="1" t="s">
        <v>15</v>
      </c>
      <c r="KQ5" s="1" t="s">
        <v>16</v>
      </c>
      <c r="KR5" s="1" t="s">
        <v>37</v>
      </c>
      <c r="KS5" s="1" t="s">
        <v>40</v>
      </c>
      <c r="KT5" s="1" t="s">
        <v>46</v>
      </c>
      <c r="KU5" s="1" t="s">
        <v>46</v>
      </c>
      <c r="KV5" s="1" t="s">
        <v>15</v>
      </c>
      <c r="KW5" s="1" t="s">
        <v>37</v>
      </c>
      <c r="KX5" s="1" t="s">
        <v>34</v>
      </c>
      <c r="KY5" s="1" t="s">
        <v>37</v>
      </c>
      <c r="KZ5" s="1" t="s">
        <v>46</v>
      </c>
      <c r="LA5" s="1" t="s">
        <v>46</v>
      </c>
      <c r="LB5" s="1" t="s">
        <v>40</v>
      </c>
      <c r="LC5" s="1" t="s">
        <v>37</v>
      </c>
      <c r="LD5" s="1" t="s">
        <v>37</v>
      </c>
      <c r="LE5" s="1" t="s">
        <v>46</v>
      </c>
      <c r="LF5" s="1" t="s">
        <v>34</v>
      </c>
      <c r="LG5" s="1" t="s">
        <v>15</v>
      </c>
      <c r="LH5" s="1" t="s">
        <v>22</v>
      </c>
      <c r="LI5" s="1" t="s">
        <v>15</v>
      </c>
      <c r="LJ5" s="1" t="s">
        <v>37</v>
      </c>
      <c r="LK5" s="1" t="s">
        <v>15</v>
      </c>
      <c r="LL5" s="1" t="s">
        <v>46</v>
      </c>
      <c r="LM5" s="1" t="s">
        <v>46</v>
      </c>
      <c r="LN5" s="1" t="s">
        <v>37</v>
      </c>
      <c r="LO5" s="1" t="s">
        <v>37</v>
      </c>
      <c r="LP5" s="1" t="s">
        <v>22</v>
      </c>
      <c r="LQ5" s="1" t="s">
        <v>22</v>
      </c>
      <c r="LR5" s="1" t="s">
        <v>40</v>
      </c>
      <c r="LS5" s="1" t="s">
        <v>37</v>
      </c>
      <c r="LT5" s="1" t="s">
        <v>34</v>
      </c>
      <c r="LU5" s="1" t="s">
        <v>15</v>
      </c>
      <c r="LV5" s="1" t="s">
        <v>37</v>
      </c>
      <c r="LW5" s="1" t="s">
        <v>16</v>
      </c>
      <c r="LX5" s="1" t="s">
        <v>40</v>
      </c>
      <c r="LY5" s="1" t="s">
        <v>16</v>
      </c>
      <c r="LZ5" s="1" t="s">
        <v>46</v>
      </c>
      <c r="MA5" s="1" t="s">
        <v>22</v>
      </c>
      <c r="MB5" s="1" t="s">
        <v>15</v>
      </c>
      <c r="MC5" s="1" t="s">
        <v>37</v>
      </c>
      <c r="MD5" s="1" t="s">
        <v>16</v>
      </c>
      <c r="ME5" s="1" t="s">
        <v>15</v>
      </c>
      <c r="MF5" s="1" t="s">
        <v>46</v>
      </c>
      <c r="MG5" s="1" t="s">
        <v>22</v>
      </c>
      <c r="MH5" s="1" t="s">
        <v>34</v>
      </c>
      <c r="MI5" s="1" t="s">
        <v>40</v>
      </c>
      <c r="MJ5" s="1" t="s">
        <v>15</v>
      </c>
      <c r="MK5" s="1" t="s">
        <v>15</v>
      </c>
      <c r="ML5" s="1" t="s">
        <v>34</v>
      </c>
      <c r="MM5" s="1" t="s">
        <v>15</v>
      </c>
      <c r="MN5" s="1" t="s">
        <v>46</v>
      </c>
      <c r="MO5" s="1" t="s">
        <v>46</v>
      </c>
      <c r="MP5" s="1" t="s">
        <v>34</v>
      </c>
      <c r="MQ5" s="1" t="s">
        <v>40</v>
      </c>
      <c r="MR5" s="1" t="s">
        <v>37</v>
      </c>
      <c r="MS5" s="1" t="s">
        <v>16</v>
      </c>
      <c r="MT5" s="1" t="s">
        <v>37</v>
      </c>
      <c r="MU5" s="1" t="s">
        <v>15</v>
      </c>
      <c r="MV5" s="1" t="s">
        <v>16</v>
      </c>
      <c r="MW5" s="1" t="s">
        <v>34</v>
      </c>
      <c r="MX5" s="1" t="s">
        <v>34</v>
      </c>
      <c r="MY5" s="1" t="s">
        <v>40</v>
      </c>
      <c r="MZ5" s="1" t="s">
        <v>16</v>
      </c>
      <c r="NA5" s="1" t="s">
        <v>46</v>
      </c>
      <c r="NB5" s="1" t="s">
        <v>16</v>
      </c>
      <c r="NC5" s="1" t="s">
        <v>15</v>
      </c>
      <c r="ND5" s="1" t="s">
        <v>46</v>
      </c>
      <c r="NE5" s="1" t="s">
        <v>22</v>
      </c>
      <c r="NF5" s="1" t="s">
        <v>22</v>
      </c>
      <c r="NG5" s="1" t="s">
        <v>22</v>
      </c>
      <c r="NH5" s="1" t="s">
        <v>34</v>
      </c>
      <c r="NI5" s="1" t="s">
        <v>16</v>
      </c>
      <c r="NJ5" s="1" t="s">
        <v>22</v>
      </c>
      <c r="NK5" s="1" t="s">
        <v>37</v>
      </c>
      <c r="NL5" s="1" t="s">
        <v>40</v>
      </c>
      <c r="NM5" s="1" t="s">
        <v>37</v>
      </c>
      <c r="NN5" s="1" t="s">
        <v>22</v>
      </c>
      <c r="NO5" s="1" t="s">
        <v>40</v>
      </c>
      <c r="NP5" s="1" t="s">
        <v>15</v>
      </c>
      <c r="NQ5" s="1" t="s">
        <v>37</v>
      </c>
      <c r="NR5" s="1" t="s">
        <v>16</v>
      </c>
      <c r="NS5" s="1" t="s">
        <v>16</v>
      </c>
      <c r="NT5" s="1" t="s">
        <v>37</v>
      </c>
      <c r="NU5" s="1" t="s">
        <v>22</v>
      </c>
      <c r="NV5" s="1" t="s">
        <v>16</v>
      </c>
      <c r="NW5" s="1" t="s">
        <v>15</v>
      </c>
      <c r="NX5" s="1" t="s">
        <v>46</v>
      </c>
      <c r="NY5" s="1" t="s">
        <v>22</v>
      </c>
      <c r="NZ5" s="1" t="s">
        <v>15</v>
      </c>
      <c r="OA5" s="1" t="s">
        <v>40</v>
      </c>
      <c r="OB5" s="1" t="s">
        <v>15</v>
      </c>
      <c r="OC5" s="1" t="s">
        <v>22</v>
      </c>
      <c r="OD5" s="1" t="s">
        <v>40</v>
      </c>
      <c r="OE5" s="1" t="s">
        <v>22</v>
      </c>
      <c r="OF5" s="1" t="s">
        <v>16</v>
      </c>
      <c r="OG5" s="1" t="s">
        <v>46</v>
      </c>
      <c r="OH5" s="1" t="s">
        <v>22</v>
      </c>
      <c r="OI5" s="1" t="s">
        <v>22</v>
      </c>
      <c r="OJ5" s="1" t="s">
        <v>16</v>
      </c>
      <c r="OK5" s="1" t="s">
        <v>34</v>
      </c>
      <c r="OL5" s="1" t="s">
        <v>16</v>
      </c>
      <c r="OM5" s="1" t="s">
        <v>40</v>
      </c>
      <c r="ON5" s="1" t="s">
        <v>16</v>
      </c>
      <c r="OO5" s="1" t="s">
        <v>16</v>
      </c>
      <c r="OP5" s="1" t="s">
        <v>46</v>
      </c>
      <c r="OQ5" s="1" t="s">
        <v>16</v>
      </c>
      <c r="OR5" s="1" t="s">
        <v>22</v>
      </c>
      <c r="OS5" s="1" t="s">
        <v>46</v>
      </c>
      <c r="OT5" s="1" t="s">
        <v>37</v>
      </c>
      <c r="OU5" s="1" t="s">
        <v>34</v>
      </c>
      <c r="OV5" s="1" t="s">
        <v>46</v>
      </c>
      <c r="OW5" s="1" t="s">
        <v>40</v>
      </c>
      <c r="OX5" s="1" t="s">
        <v>37</v>
      </c>
      <c r="OY5" s="1" t="s">
        <v>46</v>
      </c>
      <c r="OZ5" s="1" t="s">
        <v>46</v>
      </c>
      <c r="PA5" s="1" t="s">
        <v>34</v>
      </c>
      <c r="PB5" s="1" t="s">
        <v>22</v>
      </c>
      <c r="PC5" s="1" t="s">
        <v>40</v>
      </c>
      <c r="PD5" s="1" t="s">
        <v>15</v>
      </c>
      <c r="PE5" s="1" t="s">
        <v>15</v>
      </c>
      <c r="PF5" s="1" t="s">
        <v>46</v>
      </c>
      <c r="PG5" s="1" t="s">
        <v>16</v>
      </c>
      <c r="PH5" s="1" t="s">
        <v>40</v>
      </c>
      <c r="PI5" s="1" t="s">
        <v>37</v>
      </c>
      <c r="PJ5" s="1" t="s">
        <v>16</v>
      </c>
      <c r="PK5" s="1" t="s">
        <v>16</v>
      </c>
      <c r="PL5" s="1" t="s">
        <v>40</v>
      </c>
      <c r="PM5" s="1" t="s">
        <v>22</v>
      </c>
      <c r="PN5" s="1" t="s">
        <v>46</v>
      </c>
      <c r="PO5" s="1" t="s">
        <v>46</v>
      </c>
      <c r="PP5" s="1" t="s">
        <v>46</v>
      </c>
      <c r="PQ5" s="1" t="s">
        <v>46</v>
      </c>
      <c r="PR5" s="1" t="s">
        <v>15</v>
      </c>
      <c r="PS5" s="1" t="s">
        <v>46</v>
      </c>
      <c r="PT5" s="1" t="s">
        <v>15</v>
      </c>
      <c r="PU5" s="1" t="s">
        <v>15</v>
      </c>
      <c r="PV5" s="1" t="s">
        <v>22</v>
      </c>
      <c r="PW5" s="1" t="s">
        <v>46</v>
      </c>
      <c r="PX5" s="1" t="s">
        <v>34</v>
      </c>
      <c r="PY5" s="1" t="s">
        <v>37</v>
      </c>
      <c r="PZ5" s="1" t="s">
        <v>16</v>
      </c>
      <c r="QA5" s="1" t="s">
        <v>15</v>
      </c>
      <c r="QB5" s="1" t="s">
        <v>40</v>
      </c>
      <c r="QC5" s="1" t="s">
        <v>40</v>
      </c>
      <c r="QD5" s="1" t="s">
        <v>37</v>
      </c>
      <c r="QE5" s="1" t="s">
        <v>40</v>
      </c>
      <c r="QF5" s="1" t="s">
        <v>34</v>
      </c>
      <c r="QG5" s="1" t="s">
        <v>40</v>
      </c>
      <c r="QH5" s="1" t="s">
        <v>16</v>
      </c>
      <c r="QI5" s="1" t="s">
        <v>16</v>
      </c>
      <c r="QJ5" s="1" t="s">
        <v>15</v>
      </c>
      <c r="QK5" s="1" t="s">
        <v>46</v>
      </c>
      <c r="QL5" s="1" t="s">
        <v>22</v>
      </c>
      <c r="QM5" s="1" t="s">
        <v>34</v>
      </c>
      <c r="QN5" s="1" t="s">
        <v>15</v>
      </c>
      <c r="QO5" s="1" t="s">
        <v>34</v>
      </c>
      <c r="QP5" s="1" t="s">
        <v>46</v>
      </c>
      <c r="QQ5" s="1" t="s">
        <v>40</v>
      </c>
      <c r="QR5" s="1" t="s">
        <v>40</v>
      </c>
      <c r="QS5" s="1" t="s">
        <v>22</v>
      </c>
      <c r="QT5" s="1" t="s">
        <v>46</v>
      </c>
      <c r="QU5" s="1" t="s">
        <v>15</v>
      </c>
      <c r="QV5" s="1" t="s">
        <v>22</v>
      </c>
      <c r="QW5" s="1" t="s">
        <v>46</v>
      </c>
      <c r="QX5" s="1" t="s">
        <v>37</v>
      </c>
      <c r="QY5" s="1" t="s">
        <v>16</v>
      </c>
      <c r="QZ5" s="1" t="s">
        <v>22</v>
      </c>
      <c r="RA5" s="1" t="s">
        <v>22</v>
      </c>
      <c r="RB5" s="1" t="s">
        <v>15</v>
      </c>
      <c r="RC5" s="1" t="s">
        <v>34</v>
      </c>
      <c r="RD5" s="1" t="s">
        <v>37</v>
      </c>
      <c r="RE5" s="1" t="s">
        <v>15</v>
      </c>
      <c r="RF5" s="1" t="s">
        <v>46</v>
      </c>
      <c r="RG5" s="1" t="s">
        <v>46</v>
      </c>
      <c r="RH5" s="1" t="s">
        <v>46</v>
      </c>
      <c r="RI5" s="1" t="s">
        <v>46</v>
      </c>
      <c r="RJ5" s="1" t="s">
        <v>34</v>
      </c>
      <c r="RK5" s="1" t="s">
        <v>37</v>
      </c>
      <c r="RL5" s="1" t="s">
        <v>40</v>
      </c>
      <c r="RM5" s="1" t="s">
        <v>16</v>
      </c>
      <c r="RN5" s="1" t="s">
        <v>34</v>
      </c>
      <c r="RO5" s="1" t="s">
        <v>34</v>
      </c>
      <c r="RP5" s="1" t="s">
        <v>40</v>
      </c>
      <c r="RQ5" s="1" t="s">
        <v>40</v>
      </c>
      <c r="RR5" s="1" t="s">
        <v>16</v>
      </c>
      <c r="RS5" s="1" t="s">
        <v>16</v>
      </c>
      <c r="RT5" s="1" t="s">
        <v>40</v>
      </c>
      <c r="RU5" s="1" t="s">
        <v>46</v>
      </c>
      <c r="RV5" s="1" t="s">
        <v>34</v>
      </c>
      <c r="RW5" s="1" t="s">
        <v>15</v>
      </c>
      <c r="RX5" s="1" t="s">
        <v>16</v>
      </c>
      <c r="RY5" s="1" t="s">
        <v>16</v>
      </c>
      <c r="RZ5" s="1" t="s">
        <v>40</v>
      </c>
      <c r="SA5" s="1" t="s">
        <v>37</v>
      </c>
      <c r="SB5" s="1" t="s">
        <v>15</v>
      </c>
      <c r="SC5" s="1" t="s">
        <v>15</v>
      </c>
      <c r="SD5" s="1" t="s">
        <v>16</v>
      </c>
      <c r="SE5" s="1" t="s">
        <v>46</v>
      </c>
      <c r="SF5" s="1" t="s">
        <v>37</v>
      </c>
      <c r="SG5" s="1" t="s">
        <v>15</v>
      </c>
    </row>
    <row r="6" spans="1:501" x14ac:dyDescent="0.3">
      <c r="A6" s="3" t="s">
        <v>5</v>
      </c>
      <c r="B6" s="1" t="s">
        <v>16</v>
      </c>
      <c r="C6" s="1" t="s">
        <v>23</v>
      </c>
      <c r="D6" s="1" t="s">
        <v>29</v>
      </c>
      <c r="E6" s="1" t="s">
        <v>29</v>
      </c>
      <c r="F6" s="1" t="s">
        <v>38</v>
      </c>
      <c r="G6" s="1" t="s">
        <v>41</v>
      </c>
      <c r="H6" s="1" t="s">
        <v>41</v>
      </c>
      <c r="I6" s="1" t="s">
        <v>16</v>
      </c>
      <c r="J6" s="1" t="s">
        <v>29</v>
      </c>
      <c r="K6" s="1" t="s">
        <v>38</v>
      </c>
      <c r="L6" s="1" t="s">
        <v>38</v>
      </c>
      <c r="M6" s="1" t="s">
        <v>23</v>
      </c>
      <c r="N6" s="1" t="s">
        <v>23</v>
      </c>
      <c r="O6" s="1" t="s">
        <v>38</v>
      </c>
      <c r="P6" s="1" t="s">
        <v>23</v>
      </c>
      <c r="Q6" s="1" t="s">
        <v>29</v>
      </c>
      <c r="R6" s="1" t="s">
        <v>54</v>
      </c>
      <c r="S6" s="1" t="s">
        <v>29</v>
      </c>
      <c r="T6" s="1" t="s">
        <v>38</v>
      </c>
      <c r="U6" s="1" t="s">
        <v>38</v>
      </c>
      <c r="V6" s="1" t="s">
        <v>29</v>
      </c>
      <c r="W6" s="1" t="s">
        <v>23</v>
      </c>
      <c r="X6" s="1" t="s">
        <v>23</v>
      </c>
      <c r="Y6" s="1" t="s">
        <v>41</v>
      </c>
      <c r="Z6" s="1" t="s">
        <v>38</v>
      </c>
      <c r="AA6" s="1" t="s">
        <v>16</v>
      </c>
      <c r="AB6" s="1" t="s">
        <v>41</v>
      </c>
      <c r="AC6" s="1" t="s">
        <v>23</v>
      </c>
      <c r="AD6" s="1" t="s">
        <v>29</v>
      </c>
      <c r="AE6" s="1" t="s">
        <v>23</v>
      </c>
      <c r="AF6" s="1" t="s">
        <v>29</v>
      </c>
      <c r="AG6" s="1" t="s">
        <v>41</v>
      </c>
      <c r="AH6" s="1" t="s">
        <v>38</v>
      </c>
      <c r="AI6" s="1" t="s">
        <v>23</v>
      </c>
      <c r="AJ6" s="1" t="s">
        <v>29</v>
      </c>
      <c r="AK6" s="1" t="s">
        <v>38</v>
      </c>
      <c r="AL6" s="1" t="s">
        <v>16</v>
      </c>
      <c r="AM6" s="1" t="s">
        <v>29</v>
      </c>
      <c r="AN6" s="1" t="s">
        <v>41</v>
      </c>
      <c r="AO6" s="1" t="s">
        <v>16</v>
      </c>
      <c r="AP6" s="1" t="s">
        <v>16</v>
      </c>
      <c r="AQ6" s="1" t="s">
        <v>54</v>
      </c>
      <c r="AR6" s="1" t="s">
        <v>23</v>
      </c>
      <c r="AS6" s="1" t="s">
        <v>29</v>
      </c>
      <c r="AT6" s="1" t="s">
        <v>16</v>
      </c>
      <c r="AU6" s="1" t="s">
        <v>54</v>
      </c>
      <c r="AV6" s="1" t="s">
        <v>41</v>
      </c>
      <c r="AW6" s="1" t="s">
        <v>38</v>
      </c>
      <c r="AX6" s="1" t="s">
        <v>29</v>
      </c>
      <c r="AY6" s="1" t="s">
        <v>16</v>
      </c>
      <c r="AZ6" s="1" t="s">
        <v>23</v>
      </c>
      <c r="BA6" s="1" t="s">
        <v>54</v>
      </c>
      <c r="BB6" s="1" t="s">
        <v>16</v>
      </c>
      <c r="BC6" s="1" t="s">
        <v>23</v>
      </c>
      <c r="BD6" s="1" t="s">
        <v>16</v>
      </c>
      <c r="BE6" s="1" t="s">
        <v>29</v>
      </c>
      <c r="BF6" s="1" t="s">
        <v>29</v>
      </c>
      <c r="BG6" s="1" t="s">
        <v>29</v>
      </c>
      <c r="BH6" s="1" t="s">
        <v>41</v>
      </c>
      <c r="BI6" s="1" t="s">
        <v>41</v>
      </c>
      <c r="BJ6" s="1" t="s">
        <v>54</v>
      </c>
      <c r="BK6" s="1" t="s">
        <v>29</v>
      </c>
      <c r="BL6" s="1" t="s">
        <v>23</v>
      </c>
      <c r="BM6" s="1" t="s">
        <v>16</v>
      </c>
      <c r="BN6" s="1" t="s">
        <v>38</v>
      </c>
      <c r="BO6" s="1" t="s">
        <v>23</v>
      </c>
      <c r="BP6" s="1" t="s">
        <v>41</v>
      </c>
      <c r="BQ6" s="1" t="s">
        <v>41</v>
      </c>
      <c r="BR6" s="1" t="s">
        <v>23</v>
      </c>
      <c r="BS6" s="1" t="s">
        <v>41</v>
      </c>
      <c r="BT6" s="1" t="s">
        <v>29</v>
      </c>
      <c r="BU6" s="1" t="s">
        <v>54</v>
      </c>
      <c r="BV6" s="1" t="s">
        <v>16</v>
      </c>
      <c r="BW6" s="1" t="s">
        <v>54</v>
      </c>
      <c r="BX6" s="1" t="s">
        <v>16</v>
      </c>
      <c r="BY6" s="1" t="s">
        <v>16</v>
      </c>
      <c r="BZ6" s="1" t="s">
        <v>54</v>
      </c>
      <c r="CA6" s="1" t="s">
        <v>23</v>
      </c>
      <c r="CB6" s="1" t="s">
        <v>16</v>
      </c>
      <c r="CC6" s="1" t="s">
        <v>54</v>
      </c>
      <c r="CD6" s="1" t="s">
        <v>16</v>
      </c>
      <c r="CE6" s="1" t="s">
        <v>38</v>
      </c>
      <c r="CF6" s="1" t="s">
        <v>23</v>
      </c>
      <c r="CG6" s="1" t="s">
        <v>29</v>
      </c>
      <c r="CH6" s="1" t="s">
        <v>16</v>
      </c>
      <c r="CI6" s="1" t="s">
        <v>38</v>
      </c>
      <c r="CJ6" s="1" t="s">
        <v>29</v>
      </c>
      <c r="CK6" s="1" t="s">
        <v>29</v>
      </c>
      <c r="CL6" s="1" t="s">
        <v>16</v>
      </c>
      <c r="CM6" s="1" t="s">
        <v>54</v>
      </c>
      <c r="CN6" s="1" t="s">
        <v>16</v>
      </c>
      <c r="CO6" s="1" t="s">
        <v>38</v>
      </c>
      <c r="CP6" s="1" t="s">
        <v>29</v>
      </c>
      <c r="CQ6" s="1" t="s">
        <v>16</v>
      </c>
      <c r="CR6" s="1" t="s">
        <v>54</v>
      </c>
      <c r="CS6" s="1" t="s">
        <v>16</v>
      </c>
      <c r="CT6" s="1" t="s">
        <v>23</v>
      </c>
      <c r="CU6" s="1" t="s">
        <v>54</v>
      </c>
      <c r="CV6" s="1" t="s">
        <v>38</v>
      </c>
      <c r="CW6" s="1" t="s">
        <v>29</v>
      </c>
      <c r="CX6" s="1" t="s">
        <v>16</v>
      </c>
      <c r="CY6" s="1" t="s">
        <v>54</v>
      </c>
      <c r="CZ6" s="1" t="s">
        <v>23</v>
      </c>
      <c r="DA6" s="1" t="s">
        <v>54</v>
      </c>
      <c r="DB6" s="1" t="s">
        <v>41</v>
      </c>
      <c r="DC6" s="1" t="s">
        <v>23</v>
      </c>
      <c r="DD6" s="1" t="s">
        <v>38</v>
      </c>
      <c r="DE6" s="1" t="s">
        <v>29</v>
      </c>
      <c r="DF6" s="1" t="s">
        <v>38</v>
      </c>
      <c r="DG6" s="1" t="s">
        <v>16</v>
      </c>
      <c r="DH6" s="1" t="s">
        <v>54</v>
      </c>
      <c r="DI6" s="1" t="s">
        <v>41</v>
      </c>
      <c r="DJ6" s="1" t="s">
        <v>23</v>
      </c>
      <c r="DK6" s="1" t="s">
        <v>23</v>
      </c>
      <c r="DL6" s="1" t="s">
        <v>54</v>
      </c>
      <c r="DM6" s="1" t="s">
        <v>41</v>
      </c>
      <c r="DN6" s="1" t="s">
        <v>54</v>
      </c>
      <c r="DO6" s="1" t="s">
        <v>16</v>
      </c>
      <c r="DP6" s="1" t="s">
        <v>38</v>
      </c>
      <c r="DQ6" s="1" t="s">
        <v>23</v>
      </c>
      <c r="DR6" s="1" t="s">
        <v>16</v>
      </c>
      <c r="DS6" s="1" t="s">
        <v>38</v>
      </c>
      <c r="DT6" s="1" t="s">
        <v>16</v>
      </c>
      <c r="DU6" s="1" t="s">
        <v>41</v>
      </c>
      <c r="DV6" s="1" t="s">
        <v>23</v>
      </c>
      <c r="DW6" s="1" t="s">
        <v>54</v>
      </c>
      <c r="DX6" s="1" t="s">
        <v>54</v>
      </c>
      <c r="DY6" s="1" t="s">
        <v>38</v>
      </c>
      <c r="DZ6" s="1" t="s">
        <v>29</v>
      </c>
      <c r="EA6" s="1" t="s">
        <v>41</v>
      </c>
      <c r="EB6" s="1" t="s">
        <v>38</v>
      </c>
      <c r="EC6" s="1" t="s">
        <v>29</v>
      </c>
      <c r="ED6" s="1" t="s">
        <v>16</v>
      </c>
      <c r="EE6" s="1" t="s">
        <v>41</v>
      </c>
      <c r="EF6" s="1" t="s">
        <v>16</v>
      </c>
      <c r="EG6" s="1" t="s">
        <v>23</v>
      </c>
      <c r="EH6" s="1" t="s">
        <v>41</v>
      </c>
      <c r="EI6" s="1" t="s">
        <v>29</v>
      </c>
      <c r="EJ6" s="1" t="s">
        <v>23</v>
      </c>
      <c r="EK6" s="1" t="s">
        <v>54</v>
      </c>
      <c r="EL6" s="1" t="s">
        <v>29</v>
      </c>
      <c r="EM6" s="1" t="s">
        <v>38</v>
      </c>
      <c r="EN6" s="1" t="s">
        <v>54</v>
      </c>
      <c r="EO6" s="1" t="s">
        <v>54</v>
      </c>
      <c r="EP6" s="1" t="s">
        <v>38</v>
      </c>
      <c r="EQ6" s="1" t="s">
        <v>41</v>
      </c>
      <c r="ER6" s="1" t="s">
        <v>54</v>
      </c>
      <c r="ES6" s="1" t="s">
        <v>29</v>
      </c>
      <c r="ET6" s="1" t="s">
        <v>23</v>
      </c>
      <c r="EU6" s="1" t="s">
        <v>54</v>
      </c>
      <c r="EV6" s="1" t="s">
        <v>29</v>
      </c>
      <c r="EW6" s="1" t="s">
        <v>16</v>
      </c>
      <c r="EX6" s="1" t="s">
        <v>29</v>
      </c>
      <c r="EY6" s="1" t="s">
        <v>23</v>
      </c>
      <c r="EZ6" s="1" t="s">
        <v>29</v>
      </c>
      <c r="FA6" s="1" t="s">
        <v>38</v>
      </c>
      <c r="FB6" s="1" t="s">
        <v>23</v>
      </c>
      <c r="FC6" s="1" t="s">
        <v>41</v>
      </c>
      <c r="FD6" s="1" t="s">
        <v>16</v>
      </c>
      <c r="FE6" s="1" t="s">
        <v>38</v>
      </c>
      <c r="FF6" s="1" t="s">
        <v>41</v>
      </c>
      <c r="FG6" s="1" t="s">
        <v>29</v>
      </c>
      <c r="FH6" s="1" t="s">
        <v>23</v>
      </c>
      <c r="FI6" s="1" t="s">
        <v>16</v>
      </c>
      <c r="FJ6" s="1" t="s">
        <v>38</v>
      </c>
      <c r="FK6" s="1" t="s">
        <v>41</v>
      </c>
      <c r="FL6" s="1" t="s">
        <v>41</v>
      </c>
      <c r="FM6" s="1" t="s">
        <v>16</v>
      </c>
      <c r="FN6" s="1" t="s">
        <v>29</v>
      </c>
      <c r="FO6" s="1" t="s">
        <v>16</v>
      </c>
      <c r="FP6" s="1" t="s">
        <v>41</v>
      </c>
      <c r="FQ6" s="1" t="s">
        <v>54</v>
      </c>
      <c r="FR6" s="1" t="s">
        <v>38</v>
      </c>
      <c r="FS6" s="1" t="s">
        <v>16</v>
      </c>
      <c r="FT6" s="1" t="s">
        <v>41</v>
      </c>
      <c r="FU6" s="1" t="s">
        <v>29</v>
      </c>
      <c r="FV6" s="1" t="s">
        <v>41</v>
      </c>
      <c r="FW6" s="1" t="s">
        <v>29</v>
      </c>
      <c r="FX6" s="1" t="s">
        <v>16</v>
      </c>
      <c r="FY6" s="1" t="s">
        <v>29</v>
      </c>
      <c r="FZ6" s="1" t="s">
        <v>23</v>
      </c>
      <c r="GA6" s="1" t="s">
        <v>23</v>
      </c>
      <c r="GB6" s="1" t="s">
        <v>23</v>
      </c>
      <c r="GC6" s="1" t="s">
        <v>54</v>
      </c>
      <c r="GD6" s="1" t="s">
        <v>16</v>
      </c>
      <c r="GE6" s="1" t="s">
        <v>41</v>
      </c>
      <c r="GF6" s="1" t="s">
        <v>41</v>
      </c>
      <c r="GG6" s="1" t="s">
        <v>54</v>
      </c>
      <c r="GH6" s="1" t="s">
        <v>29</v>
      </c>
      <c r="GI6" s="1" t="s">
        <v>54</v>
      </c>
      <c r="GJ6" s="1" t="s">
        <v>29</v>
      </c>
      <c r="GK6" s="1" t="s">
        <v>29</v>
      </c>
      <c r="GL6" s="1" t="s">
        <v>38</v>
      </c>
      <c r="GM6" s="1" t="s">
        <v>41</v>
      </c>
      <c r="GN6" s="1" t="s">
        <v>23</v>
      </c>
      <c r="GO6" s="1" t="s">
        <v>29</v>
      </c>
      <c r="GP6" s="1" t="s">
        <v>38</v>
      </c>
      <c r="GQ6" s="1" t="s">
        <v>41</v>
      </c>
      <c r="GR6" s="1" t="s">
        <v>23</v>
      </c>
      <c r="GS6" s="1" t="s">
        <v>29</v>
      </c>
      <c r="GT6" s="1" t="s">
        <v>29</v>
      </c>
      <c r="GU6" s="1" t="s">
        <v>54</v>
      </c>
      <c r="GV6" s="1" t="s">
        <v>54</v>
      </c>
      <c r="GW6" s="1" t="s">
        <v>41</v>
      </c>
      <c r="GX6" s="1" t="s">
        <v>23</v>
      </c>
      <c r="GY6" s="1" t="s">
        <v>29</v>
      </c>
      <c r="GZ6" s="1" t="s">
        <v>41</v>
      </c>
      <c r="HA6" s="1" t="s">
        <v>41</v>
      </c>
      <c r="HB6" s="1" t="s">
        <v>16</v>
      </c>
      <c r="HC6" s="1" t="s">
        <v>54</v>
      </c>
      <c r="HD6" s="1" t="s">
        <v>23</v>
      </c>
      <c r="HE6" s="1" t="s">
        <v>29</v>
      </c>
      <c r="HF6" s="1" t="s">
        <v>41</v>
      </c>
      <c r="HG6" s="1" t="s">
        <v>29</v>
      </c>
      <c r="HH6" s="1" t="s">
        <v>16</v>
      </c>
      <c r="HI6" s="1" t="s">
        <v>23</v>
      </c>
      <c r="HJ6" s="1" t="s">
        <v>41</v>
      </c>
      <c r="HK6" s="1" t="s">
        <v>29</v>
      </c>
      <c r="HL6" s="1" t="s">
        <v>54</v>
      </c>
      <c r="HM6" s="1" t="s">
        <v>16</v>
      </c>
      <c r="HN6" s="1" t="s">
        <v>23</v>
      </c>
      <c r="HO6" s="1" t="s">
        <v>16</v>
      </c>
      <c r="HP6" s="1" t="s">
        <v>54</v>
      </c>
      <c r="HQ6" s="1" t="s">
        <v>23</v>
      </c>
      <c r="HR6" s="1" t="s">
        <v>16</v>
      </c>
      <c r="HS6" s="1" t="s">
        <v>38</v>
      </c>
      <c r="HT6" s="1" t="s">
        <v>54</v>
      </c>
      <c r="HU6" s="1" t="s">
        <v>54</v>
      </c>
      <c r="HV6" s="1" t="s">
        <v>54</v>
      </c>
      <c r="HW6" s="1" t="s">
        <v>38</v>
      </c>
      <c r="HX6" s="1" t="s">
        <v>38</v>
      </c>
      <c r="HY6" s="1" t="s">
        <v>29</v>
      </c>
      <c r="HZ6" s="1" t="s">
        <v>41</v>
      </c>
      <c r="IA6" s="1" t="s">
        <v>16</v>
      </c>
      <c r="IB6" s="1" t="s">
        <v>29</v>
      </c>
      <c r="IC6" s="1" t="s">
        <v>16</v>
      </c>
      <c r="ID6" s="1" t="s">
        <v>41</v>
      </c>
      <c r="IE6" s="1" t="s">
        <v>38</v>
      </c>
      <c r="IF6" s="1" t="s">
        <v>41</v>
      </c>
      <c r="IG6" s="1" t="s">
        <v>38</v>
      </c>
      <c r="IH6" s="1" t="s">
        <v>41</v>
      </c>
      <c r="II6" s="1" t="s">
        <v>29</v>
      </c>
      <c r="IJ6" s="1" t="s">
        <v>23</v>
      </c>
      <c r="IK6" s="1" t="s">
        <v>29</v>
      </c>
      <c r="IL6" s="1" t="s">
        <v>16</v>
      </c>
      <c r="IM6" s="1" t="s">
        <v>29</v>
      </c>
      <c r="IN6" s="1" t="s">
        <v>54</v>
      </c>
      <c r="IO6" s="1" t="s">
        <v>16</v>
      </c>
      <c r="IP6" s="1" t="s">
        <v>41</v>
      </c>
      <c r="IQ6" s="1" t="s">
        <v>16</v>
      </c>
      <c r="IR6" s="1" t="s">
        <v>23</v>
      </c>
      <c r="IS6" s="1" t="s">
        <v>38</v>
      </c>
      <c r="IT6" s="1" t="s">
        <v>41</v>
      </c>
      <c r="IU6" s="1" t="s">
        <v>16</v>
      </c>
      <c r="IV6" s="1" t="s">
        <v>41</v>
      </c>
      <c r="IW6" s="1" t="s">
        <v>41</v>
      </c>
      <c r="IX6" s="1" t="s">
        <v>41</v>
      </c>
      <c r="IY6" s="1" t="s">
        <v>38</v>
      </c>
      <c r="IZ6" s="1" t="s">
        <v>29</v>
      </c>
      <c r="JA6" s="1" t="s">
        <v>41</v>
      </c>
      <c r="JB6" s="1" t="s">
        <v>54</v>
      </c>
      <c r="JC6" s="1" t="s">
        <v>23</v>
      </c>
      <c r="JD6" s="1" t="s">
        <v>38</v>
      </c>
      <c r="JE6" s="1" t="s">
        <v>16</v>
      </c>
      <c r="JF6" s="1" t="s">
        <v>38</v>
      </c>
      <c r="JG6" s="1" t="s">
        <v>16</v>
      </c>
      <c r="JH6" s="1" t="s">
        <v>38</v>
      </c>
      <c r="JI6" s="1" t="s">
        <v>16</v>
      </c>
      <c r="JJ6" s="1" t="s">
        <v>41</v>
      </c>
      <c r="JK6" s="1" t="s">
        <v>29</v>
      </c>
      <c r="JL6" s="1" t="s">
        <v>16</v>
      </c>
      <c r="JM6" s="1" t="s">
        <v>16</v>
      </c>
      <c r="JN6" s="1" t="s">
        <v>54</v>
      </c>
      <c r="JO6" s="1" t="s">
        <v>16</v>
      </c>
      <c r="JP6" s="1" t="s">
        <v>54</v>
      </c>
      <c r="JQ6" s="1" t="s">
        <v>23</v>
      </c>
      <c r="JR6" s="1" t="s">
        <v>41</v>
      </c>
      <c r="JS6" s="1" t="s">
        <v>54</v>
      </c>
      <c r="JT6" s="1" t="s">
        <v>29</v>
      </c>
      <c r="JU6" s="1" t="s">
        <v>41</v>
      </c>
      <c r="JV6" s="1" t="s">
        <v>54</v>
      </c>
      <c r="JW6" s="1" t="s">
        <v>41</v>
      </c>
      <c r="JX6" s="1" t="s">
        <v>41</v>
      </c>
      <c r="JY6" s="1" t="s">
        <v>41</v>
      </c>
      <c r="JZ6" s="1" t="s">
        <v>23</v>
      </c>
      <c r="KA6" s="1" t="s">
        <v>29</v>
      </c>
      <c r="KB6" s="1" t="s">
        <v>38</v>
      </c>
      <c r="KC6" s="1" t="s">
        <v>38</v>
      </c>
      <c r="KD6" s="1" t="s">
        <v>54</v>
      </c>
      <c r="KE6" s="1" t="s">
        <v>41</v>
      </c>
      <c r="KF6" s="1" t="s">
        <v>54</v>
      </c>
      <c r="KG6" s="1" t="s">
        <v>23</v>
      </c>
      <c r="KH6" s="1" t="s">
        <v>23</v>
      </c>
      <c r="KI6" s="1" t="s">
        <v>16</v>
      </c>
      <c r="KJ6" s="1" t="s">
        <v>23</v>
      </c>
      <c r="KK6" s="1" t="s">
        <v>16</v>
      </c>
      <c r="KL6" s="1" t="s">
        <v>29</v>
      </c>
      <c r="KM6" s="1" t="s">
        <v>54</v>
      </c>
      <c r="KN6" s="1" t="s">
        <v>29</v>
      </c>
      <c r="KO6" s="1" t="s">
        <v>23</v>
      </c>
      <c r="KP6" s="1" t="s">
        <v>29</v>
      </c>
      <c r="KQ6" s="1" t="s">
        <v>29</v>
      </c>
      <c r="KR6" s="1" t="s">
        <v>29</v>
      </c>
      <c r="KS6" s="1" t="s">
        <v>23</v>
      </c>
      <c r="KT6" s="1" t="s">
        <v>41</v>
      </c>
      <c r="KU6" s="1" t="s">
        <v>29</v>
      </c>
      <c r="KV6" s="1" t="s">
        <v>16</v>
      </c>
      <c r="KW6" s="1" t="s">
        <v>23</v>
      </c>
      <c r="KX6" s="1" t="s">
        <v>29</v>
      </c>
      <c r="KY6" s="1" t="s">
        <v>41</v>
      </c>
      <c r="KZ6" s="1" t="s">
        <v>23</v>
      </c>
      <c r="LA6" s="1" t="s">
        <v>38</v>
      </c>
      <c r="LB6" s="1" t="s">
        <v>41</v>
      </c>
      <c r="LC6" s="1" t="s">
        <v>16</v>
      </c>
      <c r="LD6" s="1" t="s">
        <v>29</v>
      </c>
      <c r="LE6" s="1" t="s">
        <v>38</v>
      </c>
      <c r="LF6" s="1" t="s">
        <v>38</v>
      </c>
      <c r="LG6" s="1" t="s">
        <v>23</v>
      </c>
      <c r="LH6" s="1" t="s">
        <v>38</v>
      </c>
      <c r="LI6" s="1" t="s">
        <v>16</v>
      </c>
      <c r="LJ6" s="1" t="s">
        <v>16</v>
      </c>
      <c r="LK6" s="1" t="s">
        <v>54</v>
      </c>
      <c r="LL6" s="1" t="s">
        <v>16</v>
      </c>
      <c r="LM6" s="1" t="s">
        <v>41</v>
      </c>
      <c r="LN6" s="1" t="s">
        <v>38</v>
      </c>
      <c r="LO6" s="1" t="s">
        <v>16</v>
      </c>
      <c r="LP6" s="1" t="s">
        <v>23</v>
      </c>
      <c r="LQ6" s="1" t="s">
        <v>54</v>
      </c>
      <c r="LR6" s="1" t="s">
        <v>38</v>
      </c>
      <c r="LS6" s="1" t="s">
        <v>54</v>
      </c>
      <c r="LT6" s="1" t="s">
        <v>38</v>
      </c>
      <c r="LU6" s="1" t="s">
        <v>23</v>
      </c>
      <c r="LV6" s="1" t="s">
        <v>54</v>
      </c>
      <c r="LW6" s="1" t="s">
        <v>29</v>
      </c>
      <c r="LX6" s="1" t="s">
        <v>41</v>
      </c>
      <c r="LY6" s="1" t="s">
        <v>41</v>
      </c>
      <c r="LZ6" s="1" t="s">
        <v>38</v>
      </c>
      <c r="MA6" s="1" t="s">
        <v>29</v>
      </c>
      <c r="MB6" s="1" t="s">
        <v>54</v>
      </c>
      <c r="MC6" s="1" t="s">
        <v>29</v>
      </c>
      <c r="MD6" s="1" t="s">
        <v>29</v>
      </c>
      <c r="ME6" s="1" t="s">
        <v>54</v>
      </c>
      <c r="MF6" s="1" t="s">
        <v>23</v>
      </c>
      <c r="MG6" s="1" t="s">
        <v>29</v>
      </c>
      <c r="MH6" s="1" t="s">
        <v>29</v>
      </c>
      <c r="MI6" s="1" t="s">
        <v>23</v>
      </c>
      <c r="MJ6" s="1" t="s">
        <v>29</v>
      </c>
      <c r="MK6" s="1" t="s">
        <v>29</v>
      </c>
      <c r="ML6" s="1" t="s">
        <v>29</v>
      </c>
      <c r="MM6" s="1" t="s">
        <v>41</v>
      </c>
      <c r="MN6" s="1" t="s">
        <v>16</v>
      </c>
      <c r="MO6" s="1" t="s">
        <v>23</v>
      </c>
      <c r="MP6" s="1" t="s">
        <v>29</v>
      </c>
      <c r="MQ6" s="1" t="s">
        <v>41</v>
      </c>
      <c r="MR6" s="1" t="s">
        <v>23</v>
      </c>
      <c r="MS6" s="1" t="s">
        <v>38</v>
      </c>
      <c r="MT6" s="1" t="s">
        <v>38</v>
      </c>
      <c r="MU6" s="1" t="s">
        <v>29</v>
      </c>
      <c r="MV6" s="1" t="s">
        <v>41</v>
      </c>
      <c r="MW6" s="1" t="s">
        <v>41</v>
      </c>
      <c r="MX6" s="1" t="s">
        <v>23</v>
      </c>
      <c r="MY6" s="1" t="s">
        <v>23</v>
      </c>
      <c r="MZ6" s="1" t="s">
        <v>41</v>
      </c>
      <c r="NA6" s="1" t="s">
        <v>23</v>
      </c>
      <c r="NB6" s="1" t="s">
        <v>41</v>
      </c>
      <c r="NC6" s="1" t="s">
        <v>16</v>
      </c>
      <c r="ND6" s="1" t="s">
        <v>41</v>
      </c>
      <c r="NE6" s="1" t="s">
        <v>38</v>
      </c>
      <c r="NF6" s="1" t="s">
        <v>23</v>
      </c>
      <c r="NG6" s="1" t="s">
        <v>41</v>
      </c>
      <c r="NH6" s="1" t="s">
        <v>41</v>
      </c>
      <c r="NI6" s="1" t="s">
        <v>23</v>
      </c>
      <c r="NJ6" s="1" t="s">
        <v>16</v>
      </c>
      <c r="NK6" s="1" t="s">
        <v>16</v>
      </c>
      <c r="NL6" s="1" t="s">
        <v>23</v>
      </c>
      <c r="NM6" s="1" t="s">
        <v>54</v>
      </c>
      <c r="NN6" s="1" t="s">
        <v>23</v>
      </c>
      <c r="NO6" s="1" t="s">
        <v>23</v>
      </c>
      <c r="NP6" s="1" t="s">
        <v>16</v>
      </c>
      <c r="NQ6" s="1" t="s">
        <v>16</v>
      </c>
      <c r="NR6" s="1" t="s">
        <v>23</v>
      </c>
      <c r="NS6" s="1" t="s">
        <v>23</v>
      </c>
      <c r="NT6" s="1" t="s">
        <v>23</v>
      </c>
      <c r="NU6" s="1" t="s">
        <v>16</v>
      </c>
      <c r="NV6" s="1" t="s">
        <v>23</v>
      </c>
      <c r="NW6" s="1" t="s">
        <v>23</v>
      </c>
      <c r="NX6" s="1" t="s">
        <v>29</v>
      </c>
      <c r="NY6" s="1" t="s">
        <v>54</v>
      </c>
      <c r="NZ6" s="1" t="s">
        <v>38</v>
      </c>
      <c r="OA6" s="1" t="s">
        <v>54</v>
      </c>
      <c r="OB6" s="1" t="s">
        <v>29</v>
      </c>
      <c r="OC6" s="1" t="s">
        <v>38</v>
      </c>
      <c r="OD6" s="1" t="s">
        <v>23</v>
      </c>
      <c r="OE6" s="1" t="s">
        <v>29</v>
      </c>
      <c r="OF6" s="1" t="s">
        <v>23</v>
      </c>
      <c r="OG6" s="1" t="s">
        <v>16</v>
      </c>
      <c r="OH6" s="1" t="s">
        <v>41</v>
      </c>
      <c r="OI6" s="1" t="s">
        <v>29</v>
      </c>
      <c r="OJ6" s="1" t="s">
        <v>16</v>
      </c>
      <c r="OK6" s="1" t="s">
        <v>29</v>
      </c>
      <c r="OL6" s="1" t="s">
        <v>29</v>
      </c>
      <c r="OM6" s="1" t="s">
        <v>16</v>
      </c>
      <c r="ON6" s="1" t="s">
        <v>38</v>
      </c>
      <c r="OO6" s="1" t="s">
        <v>54</v>
      </c>
      <c r="OP6" s="1" t="s">
        <v>23</v>
      </c>
      <c r="OQ6" s="1" t="s">
        <v>29</v>
      </c>
      <c r="OR6" s="1" t="s">
        <v>23</v>
      </c>
      <c r="OS6" s="1" t="s">
        <v>41</v>
      </c>
      <c r="OT6" s="1" t="s">
        <v>16</v>
      </c>
      <c r="OU6" s="1" t="s">
        <v>23</v>
      </c>
      <c r="OV6" s="1" t="s">
        <v>16</v>
      </c>
      <c r="OW6" s="1" t="s">
        <v>23</v>
      </c>
      <c r="OX6" s="1" t="s">
        <v>54</v>
      </c>
      <c r="OY6" s="1" t="s">
        <v>54</v>
      </c>
      <c r="OZ6" s="1" t="s">
        <v>54</v>
      </c>
      <c r="PA6" s="1" t="s">
        <v>54</v>
      </c>
      <c r="PB6" s="1" t="s">
        <v>54</v>
      </c>
      <c r="PC6" s="1" t="s">
        <v>54</v>
      </c>
      <c r="PD6" s="1" t="s">
        <v>16</v>
      </c>
      <c r="PE6" s="1" t="s">
        <v>29</v>
      </c>
      <c r="PF6" s="1" t="s">
        <v>23</v>
      </c>
      <c r="PG6" s="1" t="s">
        <v>54</v>
      </c>
      <c r="PH6" s="1" t="s">
        <v>16</v>
      </c>
      <c r="PI6" s="1" t="s">
        <v>16</v>
      </c>
      <c r="PJ6" s="1" t="s">
        <v>16</v>
      </c>
      <c r="PK6" s="1" t="s">
        <v>29</v>
      </c>
      <c r="PL6" s="1" t="s">
        <v>23</v>
      </c>
      <c r="PM6" s="1" t="s">
        <v>29</v>
      </c>
      <c r="PN6" s="1" t="s">
        <v>38</v>
      </c>
      <c r="PO6" s="1" t="s">
        <v>16</v>
      </c>
      <c r="PP6" s="1" t="s">
        <v>38</v>
      </c>
      <c r="PQ6" s="1" t="s">
        <v>41</v>
      </c>
      <c r="PR6" s="1" t="s">
        <v>54</v>
      </c>
      <c r="PS6" s="1" t="s">
        <v>54</v>
      </c>
      <c r="PT6" s="1" t="s">
        <v>29</v>
      </c>
      <c r="PU6" s="1" t="s">
        <v>23</v>
      </c>
      <c r="PV6" s="1" t="s">
        <v>38</v>
      </c>
      <c r="PW6" s="1" t="s">
        <v>23</v>
      </c>
      <c r="PX6" s="1" t="s">
        <v>29</v>
      </c>
      <c r="PY6" s="1" t="s">
        <v>54</v>
      </c>
      <c r="PZ6" s="1" t="s">
        <v>23</v>
      </c>
      <c r="QA6" s="1" t="s">
        <v>23</v>
      </c>
      <c r="QB6" s="1" t="s">
        <v>54</v>
      </c>
      <c r="QC6" s="1" t="s">
        <v>38</v>
      </c>
      <c r="QD6" s="1" t="s">
        <v>54</v>
      </c>
      <c r="QE6" s="1" t="s">
        <v>23</v>
      </c>
      <c r="QF6" s="1" t="s">
        <v>38</v>
      </c>
      <c r="QG6" s="1" t="s">
        <v>38</v>
      </c>
      <c r="QH6" s="1" t="s">
        <v>54</v>
      </c>
      <c r="QI6" s="1" t="s">
        <v>23</v>
      </c>
      <c r="QJ6" s="1" t="s">
        <v>29</v>
      </c>
      <c r="QK6" s="1" t="s">
        <v>23</v>
      </c>
      <c r="QL6" s="1" t="s">
        <v>16</v>
      </c>
      <c r="QM6" s="1" t="s">
        <v>41</v>
      </c>
      <c r="QN6" s="1" t="s">
        <v>29</v>
      </c>
      <c r="QO6" s="1" t="s">
        <v>38</v>
      </c>
      <c r="QP6" s="1" t="s">
        <v>29</v>
      </c>
      <c r="QQ6" s="1" t="s">
        <v>38</v>
      </c>
      <c r="QR6" s="1" t="s">
        <v>38</v>
      </c>
      <c r="QS6" s="1" t="s">
        <v>29</v>
      </c>
      <c r="QT6" s="1" t="s">
        <v>38</v>
      </c>
      <c r="QU6" s="1" t="s">
        <v>38</v>
      </c>
      <c r="QV6" s="1" t="s">
        <v>16</v>
      </c>
      <c r="QW6" s="1" t="s">
        <v>23</v>
      </c>
      <c r="QX6" s="1" t="s">
        <v>23</v>
      </c>
      <c r="QY6" s="1" t="s">
        <v>41</v>
      </c>
      <c r="QZ6" s="1" t="s">
        <v>41</v>
      </c>
      <c r="RA6" s="1" t="s">
        <v>16</v>
      </c>
      <c r="RB6" s="1" t="s">
        <v>41</v>
      </c>
      <c r="RC6" s="1" t="s">
        <v>29</v>
      </c>
      <c r="RD6" s="1" t="s">
        <v>54</v>
      </c>
      <c r="RE6" s="1" t="s">
        <v>54</v>
      </c>
      <c r="RF6" s="1" t="s">
        <v>54</v>
      </c>
      <c r="RG6" s="1" t="s">
        <v>16</v>
      </c>
      <c r="RH6" s="1" t="s">
        <v>16</v>
      </c>
      <c r="RI6" s="1" t="s">
        <v>38</v>
      </c>
      <c r="RJ6" s="1" t="s">
        <v>54</v>
      </c>
      <c r="RK6" s="1" t="s">
        <v>29</v>
      </c>
      <c r="RL6" s="1" t="s">
        <v>41</v>
      </c>
      <c r="RM6" s="1" t="s">
        <v>29</v>
      </c>
      <c r="RN6" s="1" t="s">
        <v>41</v>
      </c>
      <c r="RO6" s="1" t="s">
        <v>54</v>
      </c>
      <c r="RP6" s="1" t="s">
        <v>54</v>
      </c>
      <c r="RQ6" s="1" t="s">
        <v>54</v>
      </c>
      <c r="RR6" s="1" t="s">
        <v>16</v>
      </c>
      <c r="RS6" s="1" t="s">
        <v>41</v>
      </c>
      <c r="RT6" s="1" t="s">
        <v>16</v>
      </c>
      <c r="RU6" s="1" t="s">
        <v>16</v>
      </c>
      <c r="RV6" s="1" t="s">
        <v>23</v>
      </c>
      <c r="RW6" s="1" t="s">
        <v>29</v>
      </c>
      <c r="RX6" s="1" t="s">
        <v>29</v>
      </c>
      <c r="RY6" s="1" t="s">
        <v>38</v>
      </c>
      <c r="RZ6" s="1" t="s">
        <v>16</v>
      </c>
      <c r="SA6" s="1" t="s">
        <v>41</v>
      </c>
      <c r="SB6" s="1" t="s">
        <v>23</v>
      </c>
      <c r="SC6" s="1" t="s">
        <v>23</v>
      </c>
      <c r="SD6" s="1" t="s">
        <v>29</v>
      </c>
      <c r="SE6" s="1" t="s">
        <v>16</v>
      </c>
      <c r="SF6" s="1" t="s">
        <v>38</v>
      </c>
      <c r="SG6" s="1" t="s">
        <v>16</v>
      </c>
    </row>
    <row r="7" spans="1:501" x14ac:dyDescent="0.3">
      <c r="A7" s="3" t="s">
        <v>6</v>
      </c>
      <c r="B7" s="1" t="s">
        <v>17</v>
      </c>
      <c r="C7" s="1" t="s">
        <v>24</v>
      </c>
      <c r="D7" s="1" t="s">
        <v>30</v>
      </c>
      <c r="E7" s="1" t="s">
        <v>24</v>
      </c>
      <c r="F7" s="1" t="s">
        <v>30</v>
      </c>
      <c r="G7" s="1" t="s">
        <v>24</v>
      </c>
      <c r="H7" s="1" t="s">
        <v>17</v>
      </c>
      <c r="I7" s="1" t="s">
        <v>24</v>
      </c>
      <c r="J7" s="1" t="s">
        <v>24</v>
      </c>
      <c r="K7" s="1" t="s">
        <v>24</v>
      </c>
      <c r="L7" s="1" t="s">
        <v>17</v>
      </c>
      <c r="M7" s="1" t="s">
        <v>24</v>
      </c>
      <c r="N7" s="1" t="s">
        <v>17</v>
      </c>
      <c r="O7" s="1" t="s">
        <v>30</v>
      </c>
      <c r="P7" s="1" t="s">
        <v>24</v>
      </c>
      <c r="Q7" s="1" t="s">
        <v>17</v>
      </c>
      <c r="R7" s="1" t="s">
        <v>17</v>
      </c>
      <c r="S7" s="1" t="s">
        <v>24</v>
      </c>
      <c r="T7" s="1" t="s">
        <v>30</v>
      </c>
      <c r="U7" s="1" t="s">
        <v>17</v>
      </c>
      <c r="V7" s="1" t="s">
        <v>24</v>
      </c>
      <c r="W7" s="1" t="s">
        <v>30</v>
      </c>
      <c r="X7" s="1" t="s">
        <v>17</v>
      </c>
      <c r="Y7" s="1" t="s">
        <v>17</v>
      </c>
      <c r="Z7" s="1" t="s">
        <v>30</v>
      </c>
      <c r="AA7" s="1" t="s">
        <v>30</v>
      </c>
      <c r="AB7" s="1" t="s">
        <v>24</v>
      </c>
      <c r="AC7" s="1" t="s">
        <v>24</v>
      </c>
      <c r="AD7" s="1" t="s">
        <v>17</v>
      </c>
      <c r="AE7" s="1" t="s">
        <v>30</v>
      </c>
      <c r="AF7" s="1" t="s">
        <v>30</v>
      </c>
      <c r="AG7" s="1" t="s">
        <v>30</v>
      </c>
      <c r="AH7" s="1" t="s">
        <v>17</v>
      </c>
      <c r="AI7" s="1" t="s">
        <v>30</v>
      </c>
      <c r="AJ7" s="1" t="s">
        <v>30</v>
      </c>
      <c r="AK7" s="1" t="s">
        <v>17</v>
      </c>
      <c r="AL7" s="1" t="s">
        <v>24</v>
      </c>
      <c r="AM7" s="1" t="s">
        <v>24</v>
      </c>
      <c r="AN7" s="1" t="s">
        <v>17</v>
      </c>
      <c r="AO7" s="1" t="s">
        <v>30</v>
      </c>
      <c r="AP7" s="1" t="s">
        <v>17</v>
      </c>
      <c r="AQ7" s="1" t="s">
        <v>24</v>
      </c>
      <c r="AR7" s="1" t="s">
        <v>24</v>
      </c>
      <c r="AS7" s="1" t="s">
        <v>17</v>
      </c>
      <c r="AT7" s="1" t="s">
        <v>17</v>
      </c>
      <c r="AU7" s="1" t="s">
        <v>24</v>
      </c>
      <c r="AV7" s="1" t="s">
        <v>17</v>
      </c>
      <c r="AW7" s="1" t="s">
        <v>24</v>
      </c>
      <c r="AX7" s="1" t="s">
        <v>17</v>
      </c>
      <c r="AY7" s="1" t="s">
        <v>17</v>
      </c>
      <c r="AZ7" s="1" t="s">
        <v>17</v>
      </c>
      <c r="BA7" s="1" t="s">
        <v>24</v>
      </c>
      <c r="BB7" s="1" t="s">
        <v>17</v>
      </c>
      <c r="BC7" s="1" t="s">
        <v>24</v>
      </c>
      <c r="BD7" s="1" t="s">
        <v>24</v>
      </c>
      <c r="BE7" s="1" t="s">
        <v>17</v>
      </c>
      <c r="BF7" s="1" t="s">
        <v>17</v>
      </c>
      <c r="BG7" s="1" t="s">
        <v>24</v>
      </c>
      <c r="BH7" s="1" t="s">
        <v>24</v>
      </c>
      <c r="BI7" s="1" t="s">
        <v>30</v>
      </c>
      <c r="BJ7" s="1" t="s">
        <v>24</v>
      </c>
      <c r="BK7" s="1" t="s">
        <v>30</v>
      </c>
      <c r="BL7" s="1" t="s">
        <v>30</v>
      </c>
      <c r="BM7" s="1" t="s">
        <v>30</v>
      </c>
      <c r="BN7" s="1" t="s">
        <v>17</v>
      </c>
      <c r="BO7" s="1" t="s">
        <v>17</v>
      </c>
      <c r="BP7" s="1" t="s">
        <v>24</v>
      </c>
      <c r="BQ7" s="1" t="s">
        <v>30</v>
      </c>
      <c r="BR7" s="1" t="s">
        <v>17</v>
      </c>
      <c r="BS7" s="1" t="s">
        <v>17</v>
      </c>
      <c r="BT7" s="1" t="s">
        <v>17</v>
      </c>
      <c r="BU7" s="1" t="s">
        <v>17</v>
      </c>
      <c r="BV7" s="1" t="s">
        <v>17</v>
      </c>
      <c r="BW7" s="1" t="s">
        <v>30</v>
      </c>
      <c r="BX7" s="1" t="s">
        <v>30</v>
      </c>
      <c r="BY7" s="1" t="s">
        <v>30</v>
      </c>
      <c r="BZ7" s="1" t="s">
        <v>30</v>
      </c>
      <c r="CA7" s="1" t="s">
        <v>24</v>
      </c>
      <c r="CB7" s="1" t="s">
        <v>30</v>
      </c>
      <c r="CC7" s="1" t="s">
        <v>17</v>
      </c>
      <c r="CD7" s="1" t="s">
        <v>30</v>
      </c>
      <c r="CE7" s="1" t="s">
        <v>24</v>
      </c>
      <c r="CF7" s="1" t="s">
        <v>17</v>
      </c>
      <c r="CG7" s="1" t="s">
        <v>30</v>
      </c>
      <c r="CH7" s="1" t="s">
        <v>30</v>
      </c>
      <c r="CI7" s="1" t="s">
        <v>30</v>
      </c>
      <c r="CJ7" s="1" t="s">
        <v>17</v>
      </c>
      <c r="CK7" s="1" t="s">
        <v>17</v>
      </c>
      <c r="CL7" s="1" t="s">
        <v>24</v>
      </c>
      <c r="CM7" s="1" t="s">
        <v>17</v>
      </c>
      <c r="CN7" s="1" t="s">
        <v>17</v>
      </c>
      <c r="CO7" s="1" t="s">
        <v>30</v>
      </c>
      <c r="CP7" s="1" t="s">
        <v>17</v>
      </c>
      <c r="CQ7" s="1" t="s">
        <v>30</v>
      </c>
      <c r="CR7" s="1" t="s">
        <v>30</v>
      </c>
      <c r="CS7" s="1" t="s">
        <v>17</v>
      </c>
      <c r="CT7" s="1" t="s">
        <v>24</v>
      </c>
      <c r="CU7" s="1" t="s">
        <v>24</v>
      </c>
      <c r="CV7" s="1" t="s">
        <v>17</v>
      </c>
      <c r="CW7" s="1" t="s">
        <v>24</v>
      </c>
      <c r="CX7" s="1" t="s">
        <v>30</v>
      </c>
      <c r="CY7" s="1" t="s">
        <v>30</v>
      </c>
      <c r="CZ7" s="1" t="s">
        <v>17</v>
      </c>
      <c r="DA7" s="1" t="s">
        <v>24</v>
      </c>
      <c r="DB7" s="1" t="s">
        <v>24</v>
      </c>
      <c r="DC7" s="1" t="s">
        <v>30</v>
      </c>
      <c r="DD7" s="1" t="s">
        <v>17</v>
      </c>
      <c r="DE7" s="1" t="s">
        <v>24</v>
      </c>
      <c r="DF7" s="1" t="s">
        <v>17</v>
      </c>
      <c r="DG7" s="1" t="s">
        <v>24</v>
      </c>
      <c r="DH7" s="1" t="s">
        <v>30</v>
      </c>
      <c r="DI7" s="1" t="s">
        <v>30</v>
      </c>
      <c r="DJ7" s="1" t="s">
        <v>17</v>
      </c>
      <c r="DK7" s="1" t="s">
        <v>30</v>
      </c>
      <c r="DL7" s="1" t="s">
        <v>24</v>
      </c>
      <c r="DM7" s="1" t="s">
        <v>30</v>
      </c>
      <c r="DN7" s="1" t="s">
        <v>17</v>
      </c>
      <c r="DO7" s="1" t="s">
        <v>17</v>
      </c>
      <c r="DP7" s="1" t="s">
        <v>17</v>
      </c>
      <c r="DQ7" s="1" t="s">
        <v>24</v>
      </c>
      <c r="DR7" s="1" t="s">
        <v>24</v>
      </c>
      <c r="DS7" s="1" t="s">
        <v>24</v>
      </c>
      <c r="DT7" s="1" t="s">
        <v>24</v>
      </c>
      <c r="DU7" s="1" t="s">
        <v>24</v>
      </c>
      <c r="DV7" s="1" t="s">
        <v>30</v>
      </c>
      <c r="DW7" s="1" t="s">
        <v>24</v>
      </c>
      <c r="DX7" s="1" t="s">
        <v>24</v>
      </c>
      <c r="DY7" s="1" t="s">
        <v>30</v>
      </c>
      <c r="DZ7" s="1" t="s">
        <v>24</v>
      </c>
      <c r="EA7" s="1" t="s">
        <v>17</v>
      </c>
      <c r="EB7" s="1" t="s">
        <v>24</v>
      </c>
      <c r="EC7" s="1" t="s">
        <v>24</v>
      </c>
      <c r="ED7" s="1" t="s">
        <v>17</v>
      </c>
      <c r="EE7" s="1" t="s">
        <v>17</v>
      </c>
      <c r="EF7" s="1" t="s">
        <v>17</v>
      </c>
      <c r="EG7" s="1" t="s">
        <v>17</v>
      </c>
      <c r="EH7" s="1" t="s">
        <v>24</v>
      </c>
      <c r="EI7" s="1" t="s">
        <v>17</v>
      </c>
      <c r="EJ7" s="1" t="s">
        <v>17</v>
      </c>
      <c r="EK7" s="1" t="s">
        <v>30</v>
      </c>
      <c r="EL7" s="1" t="s">
        <v>17</v>
      </c>
      <c r="EM7" s="1" t="s">
        <v>17</v>
      </c>
      <c r="EN7" s="1" t="s">
        <v>30</v>
      </c>
      <c r="EO7" s="1" t="s">
        <v>30</v>
      </c>
      <c r="EP7" s="1" t="s">
        <v>24</v>
      </c>
      <c r="EQ7" s="1" t="s">
        <v>30</v>
      </c>
      <c r="ER7" s="1" t="s">
        <v>24</v>
      </c>
      <c r="ES7" s="1" t="s">
        <v>30</v>
      </c>
      <c r="ET7" s="1" t="s">
        <v>30</v>
      </c>
      <c r="EU7" s="1" t="s">
        <v>24</v>
      </c>
      <c r="EV7" s="1" t="s">
        <v>30</v>
      </c>
      <c r="EW7" s="1" t="s">
        <v>24</v>
      </c>
      <c r="EX7" s="1" t="s">
        <v>30</v>
      </c>
      <c r="EY7" s="1" t="s">
        <v>17</v>
      </c>
      <c r="EZ7" s="1" t="s">
        <v>30</v>
      </c>
      <c r="FA7" s="1" t="s">
        <v>24</v>
      </c>
      <c r="FB7" s="1" t="s">
        <v>30</v>
      </c>
      <c r="FC7" s="1" t="s">
        <v>24</v>
      </c>
      <c r="FD7" s="1" t="s">
        <v>24</v>
      </c>
      <c r="FE7" s="1" t="s">
        <v>17</v>
      </c>
      <c r="FF7" s="1" t="s">
        <v>17</v>
      </c>
      <c r="FG7" s="1" t="s">
        <v>24</v>
      </c>
      <c r="FH7" s="1" t="s">
        <v>30</v>
      </c>
      <c r="FI7" s="1" t="s">
        <v>24</v>
      </c>
      <c r="FJ7" s="1" t="s">
        <v>24</v>
      </c>
      <c r="FK7" s="1" t="s">
        <v>30</v>
      </c>
      <c r="FL7" s="1" t="s">
        <v>30</v>
      </c>
      <c r="FM7" s="1" t="s">
        <v>30</v>
      </c>
      <c r="FN7" s="1" t="s">
        <v>30</v>
      </c>
      <c r="FO7" s="1" t="s">
        <v>24</v>
      </c>
      <c r="FP7" s="1" t="s">
        <v>24</v>
      </c>
      <c r="FQ7" s="1" t="s">
        <v>17</v>
      </c>
      <c r="FR7" s="1" t="s">
        <v>24</v>
      </c>
      <c r="FS7" s="1" t="s">
        <v>30</v>
      </c>
      <c r="FT7" s="1" t="s">
        <v>17</v>
      </c>
      <c r="FU7" s="1" t="s">
        <v>30</v>
      </c>
      <c r="FV7" s="1" t="s">
        <v>24</v>
      </c>
      <c r="FW7" s="1" t="s">
        <v>17</v>
      </c>
      <c r="FX7" s="1" t="s">
        <v>30</v>
      </c>
      <c r="FY7" s="1" t="s">
        <v>17</v>
      </c>
      <c r="FZ7" s="1" t="s">
        <v>17</v>
      </c>
      <c r="GA7" s="1" t="s">
        <v>24</v>
      </c>
      <c r="GB7" s="1" t="s">
        <v>30</v>
      </c>
      <c r="GC7" s="1" t="s">
        <v>17</v>
      </c>
      <c r="GD7" s="1" t="s">
        <v>17</v>
      </c>
      <c r="GE7" s="1" t="s">
        <v>30</v>
      </c>
      <c r="GF7" s="1" t="s">
        <v>17</v>
      </c>
      <c r="GG7" s="1" t="s">
        <v>17</v>
      </c>
      <c r="GH7" s="1" t="s">
        <v>17</v>
      </c>
      <c r="GI7" s="1" t="s">
        <v>30</v>
      </c>
      <c r="GJ7" s="1" t="s">
        <v>30</v>
      </c>
      <c r="GK7" s="1" t="s">
        <v>30</v>
      </c>
      <c r="GL7" s="1" t="s">
        <v>30</v>
      </c>
      <c r="GM7" s="1" t="s">
        <v>24</v>
      </c>
      <c r="GN7" s="1" t="s">
        <v>17</v>
      </c>
      <c r="GO7" s="1" t="s">
        <v>30</v>
      </c>
      <c r="GP7" s="1" t="s">
        <v>17</v>
      </c>
      <c r="GQ7" s="1" t="s">
        <v>17</v>
      </c>
      <c r="GR7" s="1" t="s">
        <v>24</v>
      </c>
      <c r="GS7" s="1" t="s">
        <v>30</v>
      </c>
      <c r="GT7" s="1" t="s">
        <v>30</v>
      </c>
      <c r="GU7" s="1" t="s">
        <v>17</v>
      </c>
      <c r="GV7" s="1" t="s">
        <v>30</v>
      </c>
      <c r="GW7" s="1" t="s">
        <v>17</v>
      </c>
      <c r="GX7" s="1" t="s">
        <v>17</v>
      </c>
      <c r="GY7" s="1" t="s">
        <v>24</v>
      </c>
      <c r="GZ7" s="1" t="s">
        <v>24</v>
      </c>
      <c r="HA7" s="1" t="s">
        <v>24</v>
      </c>
      <c r="HB7" s="1" t="s">
        <v>17</v>
      </c>
      <c r="HC7" s="1" t="s">
        <v>30</v>
      </c>
      <c r="HD7" s="1" t="s">
        <v>24</v>
      </c>
      <c r="HE7" s="1" t="s">
        <v>30</v>
      </c>
      <c r="HF7" s="1" t="s">
        <v>24</v>
      </c>
      <c r="HG7" s="1" t="s">
        <v>24</v>
      </c>
      <c r="HH7" s="1" t="s">
        <v>17</v>
      </c>
      <c r="HI7" s="1" t="s">
        <v>24</v>
      </c>
      <c r="HJ7" s="1" t="s">
        <v>24</v>
      </c>
      <c r="HK7" s="1" t="s">
        <v>17</v>
      </c>
      <c r="HL7" s="1" t="s">
        <v>30</v>
      </c>
      <c r="HM7" s="1" t="s">
        <v>24</v>
      </c>
      <c r="HN7" s="1" t="s">
        <v>17</v>
      </c>
      <c r="HO7" s="1" t="s">
        <v>24</v>
      </c>
      <c r="HP7" s="1" t="s">
        <v>17</v>
      </c>
      <c r="HQ7" s="1" t="s">
        <v>30</v>
      </c>
      <c r="HR7" s="1" t="s">
        <v>30</v>
      </c>
      <c r="HS7" s="1" t="s">
        <v>17</v>
      </c>
      <c r="HT7" s="1" t="s">
        <v>17</v>
      </c>
      <c r="HU7" s="1" t="s">
        <v>17</v>
      </c>
      <c r="HV7" s="1" t="s">
        <v>30</v>
      </c>
      <c r="HW7" s="1" t="s">
        <v>24</v>
      </c>
      <c r="HX7" s="1" t="s">
        <v>30</v>
      </c>
      <c r="HY7" s="1" t="s">
        <v>17</v>
      </c>
      <c r="HZ7" s="1" t="s">
        <v>17</v>
      </c>
      <c r="IA7" s="1" t="s">
        <v>30</v>
      </c>
      <c r="IB7" s="1" t="s">
        <v>17</v>
      </c>
      <c r="IC7" s="1" t="s">
        <v>30</v>
      </c>
      <c r="ID7" s="1" t="s">
        <v>17</v>
      </c>
      <c r="IE7" s="1" t="s">
        <v>24</v>
      </c>
      <c r="IF7" s="1" t="s">
        <v>24</v>
      </c>
      <c r="IG7" s="1" t="s">
        <v>17</v>
      </c>
      <c r="IH7" s="1" t="s">
        <v>30</v>
      </c>
      <c r="II7" s="1" t="s">
        <v>24</v>
      </c>
      <c r="IJ7" s="1" t="s">
        <v>30</v>
      </c>
      <c r="IK7" s="1" t="s">
        <v>17</v>
      </c>
      <c r="IL7" s="1" t="s">
        <v>30</v>
      </c>
      <c r="IM7" s="1" t="s">
        <v>24</v>
      </c>
      <c r="IN7" s="1" t="s">
        <v>30</v>
      </c>
      <c r="IO7" s="1" t="s">
        <v>30</v>
      </c>
      <c r="IP7" s="1" t="s">
        <v>17</v>
      </c>
      <c r="IQ7" s="1" t="s">
        <v>17</v>
      </c>
      <c r="IR7" s="1" t="s">
        <v>17</v>
      </c>
      <c r="IS7" s="1" t="s">
        <v>24</v>
      </c>
      <c r="IT7" s="1" t="s">
        <v>24</v>
      </c>
      <c r="IU7" s="1" t="s">
        <v>17</v>
      </c>
      <c r="IV7" s="1" t="s">
        <v>17</v>
      </c>
      <c r="IW7" s="1" t="s">
        <v>24</v>
      </c>
      <c r="IX7" s="1" t="s">
        <v>24</v>
      </c>
      <c r="IY7" s="1" t="s">
        <v>24</v>
      </c>
      <c r="IZ7" s="1" t="s">
        <v>24</v>
      </c>
      <c r="JA7" s="1" t="s">
        <v>17</v>
      </c>
      <c r="JB7" s="1" t="s">
        <v>24</v>
      </c>
      <c r="JC7" s="1" t="s">
        <v>17</v>
      </c>
      <c r="JD7" s="1" t="s">
        <v>30</v>
      </c>
      <c r="JE7" s="1" t="s">
        <v>30</v>
      </c>
      <c r="JF7" s="1" t="s">
        <v>24</v>
      </c>
      <c r="JG7" s="1" t="s">
        <v>30</v>
      </c>
      <c r="JH7" s="1" t="s">
        <v>30</v>
      </c>
      <c r="JI7" s="1" t="s">
        <v>30</v>
      </c>
      <c r="JJ7" s="1" t="s">
        <v>24</v>
      </c>
      <c r="JK7" s="1" t="s">
        <v>24</v>
      </c>
      <c r="JL7" s="1" t="s">
        <v>30</v>
      </c>
      <c r="JM7" s="1" t="s">
        <v>17</v>
      </c>
      <c r="JN7" s="1" t="s">
        <v>30</v>
      </c>
      <c r="JO7" s="1" t="s">
        <v>24</v>
      </c>
      <c r="JP7" s="1" t="s">
        <v>24</v>
      </c>
      <c r="JQ7" s="1" t="s">
        <v>24</v>
      </c>
      <c r="JR7" s="1" t="s">
        <v>30</v>
      </c>
      <c r="JS7" s="1" t="s">
        <v>17</v>
      </c>
      <c r="JT7" s="1" t="s">
        <v>24</v>
      </c>
      <c r="JU7" s="1" t="s">
        <v>24</v>
      </c>
      <c r="JV7" s="1" t="s">
        <v>30</v>
      </c>
      <c r="JW7" s="1" t="s">
        <v>17</v>
      </c>
      <c r="JX7" s="1" t="s">
        <v>30</v>
      </c>
      <c r="JY7" s="1" t="s">
        <v>24</v>
      </c>
      <c r="JZ7" s="1" t="s">
        <v>17</v>
      </c>
      <c r="KA7" s="1" t="s">
        <v>17</v>
      </c>
      <c r="KB7" s="1" t="s">
        <v>24</v>
      </c>
      <c r="KC7" s="1" t="s">
        <v>17</v>
      </c>
      <c r="KD7" s="1" t="s">
        <v>17</v>
      </c>
      <c r="KE7" s="1" t="s">
        <v>30</v>
      </c>
      <c r="KF7" s="1" t="s">
        <v>24</v>
      </c>
      <c r="KG7" s="1" t="s">
        <v>24</v>
      </c>
      <c r="KH7" s="1" t="s">
        <v>24</v>
      </c>
      <c r="KI7" s="1" t="s">
        <v>24</v>
      </c>
      <c r="KJ7" s="1" t="s">
        <v>24</v>
      </c>
      <c r="KK7" s="1" t="s">
        <v>17</v>
      </c>
      <c r="KL7" s="1" t="s">
        <v>30</v>
      </c>
      <c r="KM7" s="1" t="s">
        <v>24</v>
      </c>
      <c r="KN7" s="1" t="s">
        <v>30</v>
      </c>
      <c r="KO7" s="1" t="s">
        <v>30</v>
      </c>
      <c r="KP7" s="1" t="s">
        <v>17</v>
      </c>
      <c r="KQ7" s="1" t="s">
        <v>24</v>
      </c>
      <c r="KR7" s="1" t="s">
        <v>17</v>
      </c>
      <c r="KS7" s="1" t="s">
        <v>24</v>
      </c>
      <c r="KT7" s="1" t="s">
        <v>17</v>
      </c>
      <c r="KU7" s="1" t="s">
        <v>30</v>
      </c>
      <c r="KV7" s="1" t="s">
        <v>24</v>
      </c>
      <c r="KW7" s="1" t="s">
        <v>30</v>
      </c>
      <c r="KX7" s="1" t="s">
        <v>30</v>
      </c>
      <c r="KY7" s="1" t="s">
        <v>17</v>
      </c>
      <c r="KZ7" s="1" t="s">
        <v>24</v>
      </c>
      <c r="LA7" s="1" t="s">
        <v>30</v>
      </c>
      <c r="LB7" s="1" t="s">
        <v>17</v>
      </c>
      <c r="LC7" s="1" t="s">
        <v>24</v>
      </c>
      <c r="LD7" s="1" t="s">
        <v>24</v>
      </c>
      <c r="LE7" s="1" t="s">
        <v>30</v>
      </c>
      <c r="LF7" s="1" t="s">
        <v>24</v>
      </c>
      <c r="LG7" s="1" t="s">
        <v>30</v>
      </c>
      <c r="LH7" s="1" t="s">
        <v>24</v>
      </c>
      <c r="LI7" s="1" t="s">
        <v>17</v>
      </c>
      <c r="LJ7" s="1" t="s">
        <v>30</v>
      </c>
      <c r="LK7" s="1" t="s">
        <v>30</v>
      </c>
      <c r="LL7" s="1" t="s">
        <v>24</v>
      </c>
      <c r="LM7" s="1" t="s">
        <v>24</v>
      </c>
      <c r="LN7" s="1" t="s">
        <v>30</v>
      </c>
      <c r="LO7" s="1" t="s">
        <v>24</v>
      </c>
      <c r="LP7" s="1" t="s">
        <v>17</v>
      </c>
      <c r="LQ7" s="1" t="s">
        <v>24</v>
      </c>
      <c r="LR7" s="1" t="s">
        <v>17</v>
      </c>
      <c r="LS7" s="1" t="s">
        <v>17</v>
      </c>
      <c r="LT7" s="1" t="s">
        <v>17</v>
      </c>
      <c r="LU7" s="1" t="s">
        <v>17</v>
      </c>
      <c r="LV7" s="1" t="s">
        <v>17</v>
      </c>
      <c r="LW7" s="1" t="s">
        <v>24</v>
      </c>
      <c r="LX7" s="1" t="s">
        <v>17</v>
      </c>
      <c r="LY7" s="1" t="s">
        <v>24</v>
      </c>
      <c r="LZ7" s="1" t="s">
        <v>17</v>
      </c>
      <c r="MA7" s="1" t="s">
        <v>30</v>
      </c>
      <c r="MB7" s="1" t="s">
        <v>17</v>
      </c>
      <c r="MC7" s="1" t="s">
        <v>30</v>
      </c>
      <c r="MD7" s="1" t="s">
        <v>17</v>
      </c>
      <c r="ME7" s="1" t="s">
        <v>17</v>
      </c>
      <c r="MF7" s="1" t="s">
        <v>17</v>
      </c>
      <c r="MG7" s="1" t="s">
        <v>30</v>
      </c>
      <c r="MH7" s="1" t="s">
        <v>30</v>
      </c>
      <c r="MI7" s="1" t="s">
        <v>17</v>
      </c>
      <c r="MJ7" s="1" t="s">
        <v>24</v>
      </c>
      <c r="MK7" s="1" t="s">
        <v>17</v>
      </c>
      <c r="ML7" s="1" t="s">
        <v>30</v>
      </c>
      <c r="MM7" s="1" t="s">
        <v>17</v>
      </c>
      <c r="MN7" s="1" t="s">
        <v>30</v>
      </c>
      <c r="MO7" s="1" t="s">
        <v>30</v>
      </c>
      <c r="MP7" s="1" t="s">
        <v>30</v>
      </c>
      <c r="MQ7" s="1" t="s">
        <v>17</v>
      </c>
      <c r="MR7" s="1" t="s">
        <v>30</v>
      </c>
      <c r="MS7" s="1" t="s">
        <v>30</v>
      </c>
      <c r="MT7" s="1" t="s">
        <v>17</v>
      </c>
      <c r="MU7" s="1" t="s">
        <v>30</v>
      </c>
      <c r="MV7" s="1" t="s">
        <v>17</v>
      </c>
      <c r="MW7" s="1" t="s">
        <v>30</v>
      </c>
      <c r="MX7" s="1" t="s">
        <v>24</v>
      </c>
      <c r="MY7" s="1" t="s">
        <v>24</v>
      </c>
      <c r="MZ7" s="1" t="s">
        <v>30</v>
      </c>
      <c r="NA7" s="1" t="s">
        <v>24</v>
      </c>
      <c r="NB7" s="1" t="s">
        <v>17</v>
      </c>
      <c r="NC7" s="1" t="s">
        <v>24</v>
      </c>
      <c r="ND7" s="1" t="s">
        <v>30</v>
      </c>
      <c r="NE7" s="1" t="s">
        <v>30</v>
      </c>
      <c r="NF7" s="1" t="s">
        <v>17</v>
      </c>
      <c r="NG7" s="1" t="s">
        <v>30</v>
      </c>
      <c r="NH7" s="1" t="s">
        <v>17</v>
      </c>
      <c r="NI7" s="1" t="s">
        <v>24</v>
      </c>
      <c r="NJ7" s="1" t="s">
        <v>24</v>
      </c>
      <c r="NK7" s="1" t="s">
        <v>17</v>
      </c>
      <c r="NL7" s="1" t="s">
        <v>17</v>
      </c>
      <c r="NM7" s="1" t="s">
        <v>30</v>
      </c>
      <c r="NN7" s="1" t="s">
        <v>24</v>
      </c>
      <c r="NO7" s="1" t="s">
        <v>17</v>
      </c>
      <c r="NP7" s="1" t="s">
        <v>24</v>
      </c>
      <c r="NQ7" s="1" t="s">
        <v>17</v>
      </c>
      <c r="NR7" s="1" t="s">
        <v>24</v>
      </c>
      <c r="NS7" s="1" t="s">
        <v>30</v>
      </c>
      <c r="NT7" s="1" t="s">
        <v>24</v>
      </c>
      <c r="NU7" s="1" t="s">
        <v>24</v>
      </c>
      <c r="NV7" s="1" t="s">
        <v>24</v>
      </c>
      <c r="NW7" s="1" t="s">
        <v>24</v>
      </c>
      <c r="NX7" s="1" t="s">
        <v>24</v>
      </c>
      <c r="NY7" s="1" t="s">
        <v>30</v>
      </c>
      <c r="NZ7" s="1" t="s">
        <v>17</v>
      </c>
      <c r="OA7" s="1" t="s">
        <v>24</v>
      </c>
      <c r="OB7" s="1" t="s">
        <v>30</v>
      </c>
      <c r="OC7" s="1" t="s">
        <v>24</v>
      </c>
      <c r="OD7" s="1" t="s">
        <v>24</v>
      </c>
      <c r="OE7" s="1" t="s">
        <v>17</v>
      </c>
      <c r="OF7" s="1" t="s">
        <v>24</v>
      </c>
      <c r="OG7" s="1" t="s">
        <v>30</v>
      </c>
      <c r="OH7" s="1" t="s">
        <v>30</v>
      </c>
      <c r="OI7" s="1" t="s">
        <v>17</v>
      </c>
      <c r="OJ7" s="1" t="s">
        <v>24</v>
      </c>
      <c r="OK7" s="1" t="s">
        <v>30</v>
      </c>
      <c r="OL7" s="1" t="s">
        <v>24</v>
      </c>
      <c r="OM7" s="1" t="s">
        <v>24</v>
      </c>
      <c r="ON7" s="1" t="s">
        <v>24</v>
      </c>
      <c r="OO7" s="1" t="s">
        <v>17</v>
      </c>
      <c r="OP7" s="1" t="s">
        <v>24</v>
      </c>
      <c r="OQ7" s="1" t="s">
        <v>30</v>
      </c>
      <c r="OR7" s="1" t="s">
        <v>24</v>
      </c>
      <c r="OS7" s="1" t="s">
        <v>30</v>
      </c>
      <c r="OT7" s="1" t="s">
        <v>24</v>
      </c>
      <c r="OU7" s="1" t="s">
        <v>30</v>
      </c>
      <c r="OV7" s="1" t="s">
        <v>30</v>
      </c>
      <c r="OW7" s="1" t="s">
        <v>24</v>
      </c>
      <c r="OX7" s="1" t="s">
        <v>24</v>
      </c>
      <c r="OY7" s="1" t="s">
        <v>30</v>
      </c>
      <c r="OZ7" s="1" t="s">
        <v>17</v>
      </c>
      <c r="PA7" s="1" t="s">
        <v>24</v>
      </c>
      <c r="PB7" s="1" t="s">
        <v>17</v>
      </c>
      <c r="PC7" s="1" t="s">
        <v>24</v>
      </c>
      <c r="PD7" s="1" t="s">
        <v>24</v>
      </c>
      <c r="PE7" s="1" t="s">
        <v>24</v>
      </c>
      <c r="PF7" s="1" t="s">
        <v>24</v>
      </c>
      <c r="PG7" s="1" t="s">
        <v>17</v>
      </c>
      <c r="PH7" s="1" t="s">
        <v>24</v>
      </c>
      <c r="PI7" s="1" t="s">
        <v>30</v>
      </c>
      <c r="PJ7" s="1" t="s">
        <v>30</v>
      </c>
      <c r="PK7" s="1" t="s">
        <v>17</v>
      </c>
      <c r="PL7" s="1" t="s">
        <v>24</v>
      </c>
      <c r="PM7" s="1" t="s">
        <v>30</v>
      </c>
      <c r="PN7" s="1" t="s">
        <v>17</v>
      </c>
      <c r="PO7" s="1" t="s">
        <v>24</v>
      </c>
      <c r="PP7" s="1" t="s">
        <v>30</v>
      </c>
      <c r="PQ7" s="1" t="s">
        <v>30</v>
      </c>
      <c r="PR7" s="1" t="s">
        <v>17</v>
      </c>
      <c r="PS7" s="1" t="s">
        <v>24</v>
      </c>
      <c r="PT7" s="1" t="s">
        <v>24</v>
      </c>
      <c r="PU7" s="1" t="s">
        <v>30</v>
      </c>
      <c r="PV7" s="1" t="s">
        <v>30</v>
      </c>
      <c r="PW7" s="1" t="s">
        <v>30</v>
      </c>
      <c r="PX7" s="1" t="s">
        <v>24</v>
      </c>
      <c r="PY7" s="1" t="s">
        <v>17</v>
      </c>
      <c r="PZ7" s="1" t="s">
        <v>17</v>
      </c>
      <c r="QA7" s="1" t="s">
        <v>24</v>
      </c>
      <c r="QB7" s="1" t="s">
        <v>17</v>
      </c>
      <c r="QC7" s="1" t="s">
        <v>30</v>
      </c>
      <c r="QD7" s="1" t="s">
        <v>17</v>
      </c>
      <c r="QE7" s="1" t="s">
        <v>17</v>
      </c>
      <c r="QF7" s="1" t="s">
        <v>17</v>
      </c>
      <c r="QG7" s="1" t="s">
        <v>30</v>
      </c>
      <c r="QH7" s="1" t="s">
        <v>24</v>
      </c>
      <c r="QI7" s="1" t="s">
        <v>30</v>
      </c>
      <c r="QJ7" s="1" t="s">
        <v>24</v>
      </c>
      <c r="QK7" s="1" t="s">
        <v>24</v>
      </c>
      <c r="QL7" s="1" t="s">
        <v>24</v>
      </c>
      <c r="QM7" s="1" t="s">
        <v>17</v>
      </c>
      <c r="QN7" s="1" t="s">
        <v>17</v>
      </c>
      <c r="QO7" s="1" t="s">
        <v>24</v>
      </c>
      <c r="QP7" s="1" t="s">
        <v>24</v>
      </c>
      <c r="QQ7" s="1" t="s">
        <v>17</v>
      </c>
      <c r="QR7" s="1" t="s">
        <v>30</v>
      </c>
      <c r="QS7" s="1" t="s">
        <v>24</v>
      </c>
      <c r="QT7" s="1" t="s">
        <v>30</v>
      </c>
      <c r="QU7" s="1" t="s">
        <v>17</v>
      </c>
      <c r="QV7" s="1" t="s">
        <v>24</v>
      </c>
      <c r="QW7" s="1" t="s">
        <v>30</v>
      </c>
      <c r="QX7" s="1" t="s">
        <v>30</v>
      </c>
      <c r="QY7" s="1" t="s">
        <v>30</v>
      </c>
      <c r="QZ7" s="1" t="s">
        <v>17</v>
      </c>
      <c r="RA7" s="1" t="s">
        <v>17</v>
      </c>
      <c r="RB7" s="1" t="s">
        <v>30</v>
      </c>
      <c r="RC7" s="1" t="s">
        <v>30</v>
      </c>
      <c r="RD7" s="1" t="s">
        <v>17</v>
      </c>
      <c r="RE7" s="1" t="s">
        <v>30</v>
      </c>
      <c r="RF7" s="1" t="s">
        <v>30</v>
      </c>
      <c r="RG7" s="1" t="s">
        <v>17</v>
      </c>
      <c r="RH7" s="1" t="s">
        <v>30</v>
      </c>
      <c r="RI7" s="1" t="s">
        <v>30</v>
      </c>
      <c r="RJ7" s="1" t="s">
        <v>30</v>
      </c>
      <c r="RK7" s="1" t="s">
        <v>17</v>
      </c>
      <c r="RL7" s="1" t="s">
        <v>30</v>
      </c>
      <c r="RM7" s="1" t="s">
        <v>17</v>
      </c>
      <c r="RN7" s="1" t="s">
        <v>17</v>
      </c>
      <c r="RO7" s="1" t="s">
        <v>24</v>
      </c>
      <c r="RP7" s="1" t="s">
        <v>24</v>
      </c>
      <c r="RQ7" s="1" t="s">
        <v>30</v>
      </c>
      <c r="RR7" s="1" t="s">
        <v>17</v>
      </c>
      <c r="RS7" s="1" t="s">
        <v>24</v>
      </c>
      <c r="RT7" s="1" t="s">
        <v>30</v>
      </c>
      <c r="RU7" s="1" t="s">
        <v>24</v>
      </c>
      <c r="RV7" s="1" t="s">
        <v>24</v>
      </c>
      <c r="RW7" s="1" t="s">
        <v>17</v>
      </c>
      <c r="RX7" s="1" t="s">
        <v>17</v>
      </c>
      <c r="RY7" s="1" t="s">
        <v>24</v>
      </c>
      <c r="RZ7" s="1" t="s">
        <v>24</v>
      </c>
      <c r="SA7" s="1" t="s">
        <v>17</v>
      </c>
      <c r="SB7" s="1" t="s">
        <v>30</v>
      </c>
      <c r="SC7" s="1" t="s">
        <v>17</v>
      </c>
      <c r="SD7" s="1" t="s">
        <v>24</v>
      </c>
      <c r="SE7" s="1" t="s">
        <v>30</v>
      </c>
      <c r="SF7" s="1" t="s">
        <v>24</v>
      </c>
      <c r="SG7" s="1" t="s">
        <v>30</v>
      </c>
    </row>
    <row r="8" spans="1:501" x14ac:dyDescent="0.3">
      <c r="A8" s="3" t="s">
        <v>7</v>
      </c>
      <c r="B8" s="1" t="s">
        <v>18</v>
      </c>
      <c r="C8" s="1" t="s">
        <v>25</v>
      </c>
      <c r="D8" s="1" t="s">
        <v>25</v>
      </c>
      <c r="E8" s="1" t="s">
        <v>35</v>
      </c>
      <c r="F8" s="1" t="s">
        <v>18</v>
      </c>
      <c r="G8" s="1" t="s">
        <v>42</v>
      </c>
      <c r="H8" s="1" t="s">
        <v>44</v>
      </c>
      <c r="I8" s="1" t="s">
        <v>18</v>
      </c>
      <c r="J8" s="1" t="s">
        <v>25</v>
      </c>
      <c r="K8" s="1" t="s">
        <v>35</v>
      </c>
      <c r="L8" s="1" t="s">
        <v>35</v>
      </c>
      <c r="M8" s="1" t="s">
        <v>44</v>
      </c>
      <c r="N8" s="1" t="s">
        <v>35</v>
      </c>
      <c r="O8" s="1" t="s">
        <v>35</v>
      </c>
      <c r="P8" s="1" t="s">
        <v>18</v>
      </c>
      <c r="Q8" s="1" t="s">
        <v>42</v>
      </c>
      <c r="R8" s="1" t="s">
        <v>44</v>
      </c>
      <c r="S8" s="1" t="s">
        <v>18</v>
      </c>
      <c r="T8" s="1" t="s">
        <v>42</v>
      </c>
      <c r="U8" s="1" t="s">
        <v>18</v>
      </c>
      <c r="V8" s="1" t="s">
        <v>18</v>
      </c>
      <c r="W8" s="1" t="s">
        <v>35</v>
      </c>
      <c r="X8" s="1" t="s">
        <v>42</v>
      </c>
      <c r="Y8" s="1" t="s">
        <v>44</v>
      </c>
      <c r="Z8" s="1" t="s">
        <v>44</v>
      </c>
      <c r="AA8" s="1" t="s">
        <v>42</v>
      </c>
      <c r="AB8" s="1" t="s">
        <v>35</v>
      </c>
      <c r="AC8" s="1" t="s">
        <v>25</v>
      </c>
      <c r="AD8" s="1" t="s">
        <v>18</v>
      </c>
      <c r="AE8" s="1" t="s">
        <v>35</v>
      </c>
      <c r="AF8" s="1" t="s">
        <v>42</v>
      </c>
      <c r="AG8" s="1" t="s">
        <v>18</v>
      </c>
      <c r="AH8" s="1" t="s">
        <v>44</v>
      </c>
      <c r="AI8" s="1" t="s">
        <v>25</v>
      </c>
      <c r="AJ8" s="1" t="s">
        <v>44</v>
      </c>
      <c r="AK8" s="1" t="s">
        <v>42</v>
      </c>
      <c r="AL8" s="1" t="s">
        <v>18</v>
      </c>
      <c r="AM8" s="1" t="s">
        <v>42</v>
      </c>
      <c r="AN8" s="1" t="s">
        <v>18</v>
      </c>
      <c r="AO8" s="1" t="s">
        <v>35</v>
      </c>
      <c r="AP8" s="1" t="s">
        <v>25</v>
      </c>
      <c r="AQ8" s="1" t="s">
        <v>35</v>
      </c>
      <c r="AR8" s="1" t="s">
        <v>35</v>
      </c>
      <c r="AS8" s="1" t="s">
        <v>42</v>
      </c>
      <c r="AT8" s="1" t="s">
        <v>25</v>
      </c>
      <c r="AU8" s="1" t="s">
        <v>18</v>
      </c>
      <c r="AV8" s="1" t="s">
        <v>18</v>
      </c>
      <c r="AW8" s="1" t="s">
        <v>44</v>
      </c>
      <c r="AX8" s="1" t="s">
        <v>18</v>
      </c>
      <c r="AY8" s="1" t="s">
        <v>42</v>
      </c>
      <c r="AZ8" s="1" t="s">
        <v>35</v>
      </c>
      <c r="BA8" s="1" t="s">
        <v>35</v>
      </c>
      <c r="BB8" s="1" t="s">
        <v>35</v>
      </c>
      <c r="BC8" s="1" t="s">
        <v>25</v>
      </c>
      <c r="BD8" s="1" t="s">
        <v>18</v>
      </c>
      <c r="BE8" s="1" t="s">
        <v>42</v>
      </c>
      <c r="BF8" s="1" t="s">
        <v>25</v>
      </c>
      <c r="BG8" s="1" t="s">
        <v>44</v>
      </c>
      <c r="BH8" s="1" t="s">
        <v>42</v>
      </c>
      <c r="BI8" s="1" t="s">
        <v>42</v>
      </c>
      <c r="BJ8" s="1" t="s">
        <v>42</v>
      </c>
      <c r="BK8" s="1" t="s">
        <v>35</v>
      </c>
      <c r="BL8" s="1" t="s">
        <v>42</v>
      </c>
      <c r="BM8" s="1" t="s">
        <v>18</v>
      </c>
      <c r="BN8" s="1" t="s">
        <v>42</v>
      </c>
      <c r="BO8" s="1" t="s">
        <v>35</v>
      </c>
      <c r="BP8" s="1" t="s">
        <v>42</v>
      </c>
      <c r="BQ8" s="1" t="s">
        <v>44</v>
      </c>
      <c r="BR8" s="1" t="s">
        <v>44</v>
      </c>
      <c r="BS8" s="1" t="s">
        <v>35</v>
      </c>
      <c r="BT8" s="1" t="s">
        <v>18</v>
      </c>
      <c r="BU8" s="1" t="s">
        <v>18</v>
      </c>
      <c r="BV8" s="1" t="s">
        <v>25</v>
      </c>
      <c r="BW8" s="1" t="s">
        <v>35</v>
      </c>
      <c r="BX8" s="1" t="s">
        <v>42</v>
      </c>
      <c r="BY8" s="1" t="s">
        <v>35</v>
      </c>
      <c r="BZ8" s="1" t="s">
        <v>25</v>
      </c>
      <c r="CA8" s="1" t="s">
        <v>35</v>
      </c>
      <c r="CB8" s="1" t="s">
        <v>35</v>
      </c>
      <c r="CC8" s="1" t="s">
        <v>25</v>
      </c>
      <c r="CD8" s="1" t="s">
        <v>18</v>
      </c>
      <c r="CE8" s="1" t="s">
        <v>42</v>
      </c>
      <c r="CF8" s="1" t="s">
        <v>25</v>
      </c>
      <c r="CG8" s="1" t="s">
        <v>44</v>
      </c>
      <c r="CH8" s="1" t="s">
        <v>18</v>
      </c>
      <c r="CI8" s="1" t="s">
        <v>44</v>
      </c>
      <c r="CJ8" s="1" t="s">
        <v>18</v>
      </c>
      <c r="CK8" s="1" t="s">
        <v>42</v>
      </c>
      <c r="CL8" s="1" t="s">
        <v>42</v>
      </c>
      <c r="CM8" s="1" t="s">
        <v>35</v>
      </c>
      <c r="CN8" s="1" t="s">
        <v>44</v>
      </c>
      <c r="CO8" s="1" t="s">
        <v>18</v>
      </c>
      <c r="CP8" s="1" t="s">
        <v>42</v>
      </c>
      <c r="CQ8" s="1" t="s">
        <v>25</v>
      </c>
      <c r="CR8" s="1" t="s">
        <v>42</v>
      </c>
      <c r="CS8" s="1" t="s">
        <v>25</v>
      </c>
      <c r="CT8" s="1" t="s">
        <v>18</v>
      </c>
      <c r="CU8" s="1" t="s">
        <v>42</v>
      </c>
      <c r="CV8" s="1" t="s">
        <v>42</v>
      </c>
      <c r="CW8" s="1" t="s">
        <v>18</v>
      </c>
      <c r="CX8" s="1" t="s">
        <v>42</v>
      </c>
      <c r="CY8" s="1" t="s">
        <v>25</v>
      </c>
      <c r="CZ8" s="1" t="s">
        <v>42</v>
      </c>
      <c r="DA8" s="1" t="s">
        <v>44</v>
      </c>
      <c r="DB8" s="1" t="s">
        <v>35</v>
      </c>
      <c r="DC8" s="1" t="s">
        <v>25</v>
      </c>
      <c r="DD8" s="1" t="s">
        <v>44</v>
      </c>
      <c r="DE8" s="1" t="s">
        <v>18</v>
      </c>
      <c r="DF8" s="1" t="s">
        <v>25</v>
      </c>
      <c r="DG8" s="1" t="s">
        <v>35</v>
      </c>
      <c r="DH8" s="1" t="s">
        <v>35</v>
      </c>
      <c r="DI8" s="1" t="s">
        <v>18</v>
      </c>
      <c r="DJ8" s="1" t="s">
        <v>18</v>
      </c>
      <c r="DK8" s="1" t="s">
        <v>25</v>
      </c>
      <c r="DL8" s="1" t="s">
        <v>42</v>
      </c>
      <c r="DM8" s="1" t="s">
        <v>18</v>
      </c>
      <c r="DN8" s="1" t="s">
        <v>42</v>
      </c>
      <c r="DO8" s="1" t="s">
        <v>44</v>
      </c>
      <c r="DP8" s="1" t="s">
        <v>35</v>
      </c>
      <c r="DQ8" s="1" t="s">
        <v>42</v>
      </c>
      <c r="DR8" s="1" t="s">
        <v>35</v>
      </c>
      <c r="DS8" s="1" t="s">
        <v>42</v>
      </c>
      <c r="DT8" s="1" t="s">
        <v>44</v>
      </c>
      <c r="DU8" s="1" t="s">
        <v>18</v>
      </c>
      <c r="DV8" s="1" t="s">
        <v>44</v>
      </c>
      <c r="DW8" s="1" t="s">
        <v>18</v>
      </c>
      <c r="DX8" s="1" t="s">
        <v>18</v>
      </c>
      <c r="DY8" s="1" t="s">
        <v>35</v>
      </c>
      <c r="DZ8" s="1" t="s">
        <v>44</v>
      </c>
      <c r="EA8" s="1" t="s">
        <v>42</v>
      </c>
      <c r="EB8" s="1" t="s">
        <v>44</v>
      </c>
      <c r="EC8" s="1" t="s">
        <v>35</v>
      </c>
      <c r="ED8" s="1" t="s">
        <v>18</v>
      </c>
      <c r="EE8" s="1" t="s">
        <v>35</v>
      </c>
      <c r="EF8" s="1" t="s">
        <v>25</v>
      </c>
      <c r="EG8" s="1" t="s">
        <v>25</v>
      </c>
      <c r="EH8" s="1" t="s">
        <v>42</v>
      </c>
      <c r="EI8" s="1" t="s">
        <v>35</v>
      </c>
      <c r="EJ8" s="1" t="s">
        <v>42</v>
      </c>
      <c r="EK8" s="1" t="s">
        <v>42</v>
      </c>
      <c r="EL8" s="1" t="s">
        <v>25</v>
      </c>
      <c r="EM8" s="1" t="s">
        <v>42</v>
      </c>
      <c r="EN8" s="1" t="s">
        <v>25</v>
      </c>
      <c r="EO8" s="1" t="s">
        <v>18</v>
      </c>
      <c r="EP8" s="1" t="s">
        <v>35</v>
      </c>
      <c r="EQ8" s="1" t="s">
        <v>42</v>
      </c>
      <c r="ER8" s="1" t="s">
        <v>25</v>
      </c>
      <c r="ES8" s="1" t="s">
        <v>44</v>
      </c>
      <c r="ET8" s="1" t="s">
        <v>42</v>
      </c>
      <c r="EU8" s="1" t="s">
        <v>18</v>
      </c>
      <c r="EV8" s="1" t="s">
        <v>18</v>
      </c>
      <c r="EW8" s="1" t="s">
        <v>44</v>
      </c>
      <c r="EX8" s="1" t="s">
        <v>25</v>
      </c>
      <c r="EY8" s="1" t="s">
        <v>42</v>
      </c>
      <c r="EZ8" s="1" t="s">
        <v>25</v>
      </c>
      <c r="FA8" s="1" t="s">
        <v>18</v>
      </c>
      <c r="FB8" s="1" t="s">
        <v>25</v>
      </c>
      <c r="FC8" s="1" t="s">
        <v>18</v>
      </c>
      <c r="FD8" s="1" t="s">
        <v>25</v>
      </c>
      <c r="FE8" s="1" t="s">
        <v>44</v>
      </c>
      <c r="FF8" s="1" t="s">
        <v>35</v>
      </c>
      <c r="FG8" s="1" t="s">
        <v>44</v>
      </c>
      <c r="FH8" s="1" t="s">
        <v>44</v>
      </c>
      <c r="FI8" s="1" t="s">
        <v>35</v>
      </c>
      <c r="FJ8" s="1" t="s">
        <v>35</v>
      </c>
      <c r="FK8" s="1" t="s">
        <v>42</v>
      </c>
      <c r="FL8" s="1" t="s">
        <v>42</v>
      </c>
      <c r="FM8" s="1" t="s">
        <v>44</v>
      </c>
      <c r="FN8" s="1" t="s">
        <v>44</v>
      </c>
      <c r="FO8" s="1" t="s">
        <v>18</v>
      </c>
      <c r="FP8" s="1" t="s">
        <v>18</v>
      </c>
      <c r="FQ8" s="1" t="s">
        <v>42</v>
      </c>
      <c r="FR8" s="1" t="s">
        <v>42</v>
      </c>
      <c r="FS8" s="1" t="s">
        <v>18</v>
      </c>
      <c r="FT8" s="1" t="s">
        <v>18</v>
      </c>
      <c r="FU8" s="1" t="s">
        <v>25</v>
      </c>
      <c r="FV8" s="1" t="s">
        <v>25</v>
      </c>
      <c r="FW8" s="1" t="s">
        <v>18</v>
      </c>
      <c r="FX8" s="1" t="s">
        <v>25</v>
      </c>
      <c r="FY8" s="1" t="s">
        <v>35</v>
      </c>
      <c r="FZ8" s="1" t="s">
        <v>42</v>
      </c>
      <c r="GA8" s="1" t="s">
        <v>42</v>
      </c>
      <c r="GB8" s="1" t="s">
        <v>18</v>
      </c>
      <c r="GC8" s="1" t="s">
        <v>44</v>
      </c>
      <c r="GD8" s="1" t="s">
        <v>18</v>
      </c>
      <c r="GE8" s="1" t="s">
        <v>25</v>
      </c>
      <c r="GF8" s="1" t="s">
        <v>44</v>
      </c>
      <c r="GG8" s="1" t="s">
        <v>25</v>
      </c>
      <c r="GH8" s="1" t="s">
        <v>35</v>
      </c>
      <c r="GI8" s="1" t="s">
        <v>25</v>
      </c>
      <c r="GJ8" s="1" t="s">
        <v>35</v>
      </c>
      <c r="GK8" s="1" t="s">
        <v>35</v>
      </c>
      <c r="GL8" s="1" t="s">
        <v>25</v>
      </c>
      <c r="GM8" s="1" t="s">
        <v>25</v>
      </c>
      <c r="GN8" s="1" t="s">
        <v>35</v>
      </c>
      <c r="GO8" s="1" t="s">
        <v>44</v>
      </c>
      <c r="GP8" s="1" t="s">
        <v>35</v>
      </c>
      <c r="GQ8" s="1" t="s">
        <v>42</v>
      </c>
      <c r="GR8" s="1" t="s">
        <v>35</v>
      </c>
      <c r="GS8" s="1" t="s">
        <v>44</v>
      </c>
      <c r="GT8" s="1" t="s">
        <v>42</v>
      </c>
      <c r="GU8" s="1" t="s">
        <v>18</v>
      </c>
      <c r="GV8" s="1" t="s">
        <v>18</v>
      </c>
      <c r="GW8" s="1" t="s">
        <v>44</v>
      </c>
      <c r="GX8" s="1" t="s">
        <v>35</v>
      </c>
      <c r="GY8" s="1" t="s">
        <v>25</v>
      </c>
      <c r="GZ8" s="1" t="s">
        <v>44</v>
      </c>
      <c r="HA8" s="1" t="s">
        <v>42</v>
      </c>
      <c r="HB8" s="1" t="s">
        <v>42</v>
      </c>
      <c r="HC8" s="1" t="s">
        <v>18</v>
      </c>
      <c r="HD8" s="1" t="s">
        <v>42</v>
      </c>
      <c r="HE8" s="1" t="s">
        <v>44</v>
      </c>
      <c r="HF8" s="1" t="s">
        <v>42</v>
      </c>
      <c r="HG8" s="1" t="s">
        <v>44</v>
      </c>
      <c r="HH8" s="1" t="s">
        <v>25</v>
      </c>
      <c r="HI8" s="1" t="s">
        <v>18</v>
      </c>
      <c r="HJ8" s="1" t="s">
        <v>42</v>
      </c>
      <c r="HK8" s="1" t="s">
        <v>44</v>
      </c>
      <c r="HL8" s="1" t="s">
        <v>35</v>
      </c>
      <c r="HM8" s="1" t="s">
        <v>18</v>
      </c>
      <c r="HN8" s="1" t="s">
        <v>25</v>
      </c>
      <c r="HO8" s="1" t="s">
        <v>44</v>
      </c>
      <c r="HP8" s="1" t="s">
        <v>25</v>
      </c>
      <c r="HQ8" s="1" t="s">
        <v>25</v>
      </c>
      <c r="HR8" s="1" t="s">
        <v>42</v>
      </c>
      <c r="HS8" s="1" t="s">
        <v>42</v>
      </c>
      <c r="HT8" s="1" t="s">
        <v>44</v>
      </c>
      <c r="HU8" s="1" t="s">
        <v>35</v>
      </c>
      <c r="HV8" s="1" t="s">
        <v>44</v>
      </c>
      <c r="HW8" s="1" t="s">
        <v>35</v>
      </c>
      <c r="HX8" s="1" t="s">
        <v>25</v>
      </c>
      <c r="HY8" s="1" t="s">
        <v>18</v>
      </c>
      <c r="HZ8" s="1" t="s">
        <v>44</v>
      </c>
      <c r="IA8" s="1" t="s">
        <v>44</v>
      </c>
      <c r="IB8" s="1" t="s">
        <v>35</v>
      </c>
      <c r="IC8" s="1" t="s">
        <v>25</v>
      </c>
      <c r="ID8" s="1" t="s">
        <v>25</v>
      </c>
      <c r="IE8" s="1" t="s">
        <v>35</v>
      </c>
      <c r="IF8" s="1" t="s">
        <v>25</v>
      </c>
      <c r="IG8" s="1" t="s">
        <v>42</v>
      </c>
      <c r="IH8" s="1" t="s">
        <v>18</v>
      </c>
      <c r="II8" s="1" t="s">
        <v>44</v>
      </c>
      <c r="IJ8" s="1" t="s">
        <v>18</v>
      </c>
      <c r="IK8" s="1" t="s">
        <v>44</v>
      </c>
      <c r="IL8" s="1" t="s">
        <v>42</v>
      </c>
      <c r="IM8" s="1" t="s">
        <v>25</v>
      </c>
      <c r="IN8" s="1" t="s">
        <v>35</v>
      </c>
      <c r="IO8" s="1" t="s">
        <v>42</v>
      </c>
      <c r="IP8" s="1" t="s">
        <v>18</v>
      </c>
      <c r="IQ8" s="1" t="s">
        <v>35</v>
      </c>
      <c r="IR8" s="1" t="s">
        <v>25</v>
      </c>
      <c r="IS8" s="1" t="s">
        <v>42</v>
      </c>
      <c r="IT8" s="1" t="s">
        <v>35</v>
      </c>
      <c r="IU8" s="1" t="s">
        <v>42</v>
      </c>
      <c r="IV8" s="1" t="s">
        <v>42</v>
      </c>
      <c r="IW8" s="1" t="s">
        <v>25</v>
      </c>
      <c r="IX8" s="1" t="s">
        <v>44</v>
      </c>
      <c r="IY8" s="1" t="s">
        <v>35</v>
      </c>
      <c r="IZ8" s="1" t="s">
        <v>25</v>
      </c>
      <c r="JA8" s="1" t="s">
        <v>42</v>
      </c>
      <c r="JB8" s="1" t="s">
        <v>25</v>
      </c>
      <c r="JC8" s="1" t="s">
        <v>44</v>
      </c>
      <c r="JD8" s="1" t="s">
        <v>35</v>
      </c>
      <c r="JE8" s="1" t="s">
        <v>44</v>
      </c>
      <c r="JF8" s="1" t="s">
        <v>18</v>
      </c>
      <c r="JG8" s="1" t="s">
        <v>35</v>
      </c>
      <c r="JH8" s="1" t="s">
        <v>44</v>
      </c>
      <c r="JI8" s="1" t="s">
        <v>42</v>
      </c>
      <c r="JJ8" s="1" t="s">
        <v>35</v>
      </c>
      <c r="JK8" s="1" t="s">
        <v>35</v>
      </c>
      <c r="JL8" s="1" t="s">
        <v>25</v>
      </c>
      <c r="JM8" s="1" t="s">
        <v>42</v>
      </c>
      <c r="JN8" s="1" t="s">
        <v>18</v>
      </c>
      <c r="JO8" s="1" t="s">
        <v>44</v>
      </c>
      <c r="JP8" s="1" t="s">
        <v>25</v>
      </c>
      <c r="JQ8" s="1" t="s">
        <v>44</v>
      </c>
      <c r="JR8" s="1" t="s">
        <v>18</v>
      </c>
      <c r="JS8" s="1" t="s">
        <v>18</v>
      </c>
      <c r="JT8" s="1" t="s">
        <v>35</v>
      </c>
      <c r="JU8" s="1" t="s">
        <v>18</v>
      </c>
      <c r="JV8" s="1" t="s">
        <v>44</v>
      </c>
      <c r="JW8" s="1" t="s">
        <v>42</v>
      </c>
      <c r="JX8" s="1" t="s">
        <v>42</v>
      </c>
      <c r="JY8" s="1" t="s">
        <v>35</v>
      </c>
      <c r="JZ8" s="1" t="s">
        <v>44</v>
      </c>
      <c r="KA8" s="1" t="s">
        <v>44</v>
      </c>
      <c r="KB8" s="1" t="s">
        <v>18</v>
      </c>
      <c r="KC8" s="1" t="s">
        <v>44</v>
      </c>
      <c r="KD8" s="1" t="s">
        <v>25</v>
      </c>
      <c r="KE8" s="1" t="s">
        <v>18</v>
      </c>
      <c r="KF8" s="1" t="s">
        <v>25</v>
      </c>
      <c r="KG8" s="1" t="s">
        <v>35</v>
      </c>
      <c r="KH8" s="1" t="s">
        <v>42</v>
      </c>
      <c r="KI8" s="1" t="s">
        <v>35</v>
      </c>
      <c r="KJ8" s="1" t="s">
        <v>42</v>
      </c>
      <c r="KK8" s="1" t="s">
        <v>35</v>
      </c>
      <c r="KL8" s="1" t="s">
        <v>44</v>
      </c>
      <c r="KM8" s="1" t="s">
        <v>25</v>
      </c>
      <c r="KN8" s="1" t="s">
        <v>42</v>
      </c>
      <c r="KO8" s="1" t="s">
        <v>18</v>
      </c>
      <c r="KP8" s="1" t="s">
        <v>25</v>
      </c>
      <c r="KQ8" s="1" t="s">
        <v>18</v>
      </c>
      <c r="KR8" s="1" t="s">
        <v>25</v>
      </c>
      <c r="KS8" s="1" t="s">
        <v>25</v>
      </c>
      <c r="KT8" s="1" t="s">
        <v>35</v>
      </c>
      <c r="KU8" s="1" t="s">
        <v>42</v>
      </c>
      <c r="KV8" s="1" t="s">
        <v>42</v>
      </c>
      <c r="KW8" s="1" t="s">
        <v>25</v>
      </c>
      <c r="KX8" s="1" t="s">
        <v>44</v>
      </c>
      <c r="KY8" s="1" t="s">
        <v>44</v>
      </c>
      <c r="KZ8" s="1" t="s">
        <v>18</v>
      </c>
      <c r="LA8" s="1" t="s">
        <v>18</v>
      </c>
      <c r="LB8" s="1" t="s">
        <v>35</v>
      </c>
      <c r="LC8" s="1" t="s">
        <v>25</v>
      </c>
      <c r="LD8" s="1" t="s">
        <v>18</v>
      </c>
      <c r="LE8" s="1" t="s">
        <v>18</v>
      </c>
      <c r="LF8" s="1" t="s">
        <v>25</v>
      </c>
      <c r="LG8" s="1" t="s">
        <v>35</v>
      </c>
      <c r="LH8" s="1" t="s">
        <v>18</v>
      </c>
      <c r="LI8" s="1" t="s">
        <v>35</v>
      </c>
      <c r="LJ8" s="1" t="s">
        <v>42</v>
      </c>
      <c r="LK8" s="1" t="s">
        <v>35</v>
      </c>
      <c r="LL8" s="1" t="s">
        <v>44</v>
      </c>
      <c r="LM8" s="1" t="s">
        <v>44</v>
      </c>
      <c r="LN8" s="1" t="s">
        <v>35</v>
      </c>
      <c r="LO8" s="1" t="s">
        <v>44</v>
      </c>
      <c r="LP8" s="1" t="s">
        <v>42</v>
      </c>
      <c r="LQ8" s="1" t="s">
        <v>25</v>
      </c>
      <c r="LR8" s="1" t="s">
        <v>44</v>
      </c>
      <c r="LS8" s="1" t="s">
        <v>44</v>
      </c>
      <c r="LT8" s="1" t="s">
        <v>35</v>
      </c>
      <c r="LU8" s="1" t="s">
        <v>42</v>
      </c>
      <c r="LV8" s="1" t="s">
        <v>25</v>
      </c>
      <c r="LW8" s="1" t="s">
        <v>35</v>
      </c>
      <c r="LX8" s="1" t="s">
        <v>35</v>
      </c>
      <c r="LY8" s="1" t="s">
        <v>42</v>
      </c>
      <c r="LZ8" s="1" t="s">
        <v>25</v>
      </c>
      <c r="MA8" s="1" t="s">
        <v>42</v>
      </c>
      <c r="MB8" s="1" t="s">
        <v>25</v>
      </c>
      <c r="MC8" s="1" t="s">
        <v>42</v>
      </c>
      <c r="MD8" s="1" t="s">
        <v>35</v>
      </c>
      <c r="ME8" s="1" t="s">
        <v>35</v>
      </c>
      <c r="MF8" s="1" t="s">
        <v>18</v>
      </c>
      <c r="MG8" s="1" t="s">
        <v>44</v>
      </c>
      <c r="MH8" s="1" t="s">
        <v>42</v>
      </c>
      <c r="MI8" s="1" t="s">
        <v>18</v>
      </c>
      <c r="MJ8" s="1" t="s">
        <v>44</v>
      </c>
      <c r="MK8" s="1" t="s">
        <v>42</v>
      </c>
      <c r="ML8" s="1" t="s">
        <v>25</v>
      </c>
      <c r="MM8" s="1" t="s">
        <v>44</v>
      </c>
      <c r="MN8" s="1" t="s">
        <v>35</v>
      </c>
      <c r="MO8" s="1" t="s">
        <v>18</v>
      </c>
      <c r="MP8" s="1" t="s">
        <v>44</v>
      </c>
      <c r="MQ8" s="1" t="s">
        <v>44</v>
      </c>
      <c r="MR8" s="1" t="s">
        <v>35</v>
      </c>
      <c r="MS8" s="1" t="s">
        <v>42</v>
      </c>
      <c r="MT8" s="1" t="s">
        <v>25</v>
      </c>
      <c r="MU8" s="1" t="s">
        <v>35</v>
      </c>
      <c r="MV8" s="1" t="s">
        <v>25</v>
      </c>
      <c r="MW8" s="1" t="s">
        <v>42</v>
      </c>
      <c r="MX8" s="1" t="s">
        <v>44</v>
      </c>
      <c r="MY8" s="1" t="s">
        <v>25</v>
      </c>
      <c r="MZ8" s="1" t="s">
        <v>18</v>
      </c>
      <c r="NA8" s="1" t="s">
        <v>18</v>
      </c>
      <c r="NB8" s="1" t="s">
        <v>35</v>
      </c>
      <c r="NC8" s="1" t="s">
        <v>42</v>
      </c>
      <c r="ND8" s="1" t="s">
        <v>35</v>
      </c>
      <c r="NE8" s="1" t="s">
        <v>35</v>
      </c>
      <c r="NF8" s="1" t="s">
        <v>35</v>
      </c>
      <c r="NG8" s="1" t="s">
        <v>18</v>
      </c>
      <c r="NH8" s="1" t="s">
        <v>18</v>
      </c>
      <c r="NI8" s="1" t="s">
        <v>35</v>
      </c>
      <c r="NJ8" s="1" t="s">
        <v>18</v>
      </c>
      <c r="NK8" s="1" t="s">
        <v>42</v>
      </c>
      <c r="NL8" s="1" t="s">
        <v>35</v>
      </c>
      <c r="NM8" s="1" t="s">
        <v>18</v>
      </c>
      <c r="NN8" s="1" t="s">
        <v>25</v>
      </c>
      <c r="NO8" s="1" t="s">
        <v>35</v>
      </c>
      <c r="NP8" s="1" t="s">
        <v>35</v>
      </c>
      <c r="NQ8" s="1" t="s">
        <v>42</v>
      </c>
      <c r="NR8" s="1" t="s">
        <v>44</v>
      </c>
      <c r="NS8" s="1" t="s">
        <v>44</v>
      </c>
      <c r="NT8" s="1" t="s">
        <v>42</v>
      </c>
      <c r="NU8" s="1" t="s">
        <v>42</v>
      </c>
      <c r="NV8" s="1" t="s">
        <v>42</v>
      </c>
      <c r="NW8" s="1" t="s">
        <v>44</v>
      </c>
      <c r="NX8" s="1" t="s">
        <v>42</v>
      </c>
      <c r="NY8" s="1" t="s">
        <v>18</v>
      </c>
      <c r="NZ8" s="1" t="s">
        <v>35</v>
      </c>
      <c r="OA8" s="1" t="s">
        <v>35</v>
      </c>
      <c r="OB8" s="1" t="s">
        <v>25</v>
      </c>
      <c r="OC8" s="1" t="s">
        <v>25</v>
      </c>
      <c r="OD8" s="1" t="s">
        <v>35</v>
      </c>
      <c r="OE8" s="1" t="s">
        <v>18</v>
      </c>
      <c r="OF8" s="1" t="s">
        <v>44</v>
      </c>
      <c r="OG8" s="1" t="s">
        <v>44</v>
      </c>
      <c r="OH8" s="1" t="s">
        <v>18</v>
      </c>
      <c r="OI8" s="1" t="s">
        <v>44</v>
      </c>
      <c r="OJ8" s="1" t="s">
        <v>42</v>
      </c>
      <c r="OK8" s="1" t="s">
        <v>35</v>
      </c>
      <c r="OL8" s="1" t="s">
        <v>35</v>
      </c>
      <c r="OM8" s="1" t="s">
        <v>18</v>
      </c>
      <c r="ON8" s="1" t="s">
        <v>44</v>
      </c>
      <c r="OO8" s="1" t="s">
        <v>25</v>
      </c>
      <c r="OP8" s="1" t="s">
        <v>25</v>
      </c>
      <c r="OQ8" s="1" t="s">
        <v>44</v>
      </c>
      <c r="OR8" s="1" t="s">
        <v>25</v>
      </c>
      <c r="OS8" s="1" t="s">
        <v>18</v>
      </c>
      <c r="OT8" s="1" t="s">
        <v>18</v>
      </c>
      <c r="OU8" s="1" t="s">
        <v>44</v>
      </c>
      <c r="OV8" s="1" t="s">
        <v>25</v>
      </c>
      <c r="OW8" s="1" t="s">
        <v>18</v>
      </c>
      <c r="OX8" s="1" t="s">
        <v>18</v>
      </c>
      <c r="OY8" s="1" t="s">
        <v>42</v>
      </c>
      <c r="OZ8" s="1" t="s">
        <v>42</v>
      </c>
      <c r="PA8" s="1" t="s">
        <v>18</v>
      </c>
      <c r="PB8" s="1" t="s">
        <v>44</v>
      </c>
      <c r="PC8" s="1" t="s">
        <v>35</v>
      </c>
      <c r="PD8" s="1" t="s">
        <v>35</v>
      </c>
      <c r="PE8" s="1" t="s">
        <v>18</v>
      </c>
      <c r="PF8" s="1" t="s">
        <v>18</v>
      </c>
      <c r="PG8" s="1" t="s">
        <v>18</v>
      </c>
      <c r="PH8" s="1" t="s">
        <v>44</v>
      </c>
      <c r="PI8" s="1" t="s">
        <v>42</v>
      </c>
      <c r="PJ8" s="1" t="s">
        <v>18</v>
      </c>
      <c r="PK8" s="1" t="s">
        <v>18</v>
      </c>
      <c r="PL8" s="1" t="s">
        <v>25</v>
      </c>
      <c r="PM8" s="1" t="s">
        <v>44</v>
      </c>
      <c r="PN8" s="1" t="s">
        <v>18</v>
      </c>
      <c r="PO8" s="1" t="s">
        <v>25</v>
      </c>
      <c r="PP8" s="1" t="s">
        <v>35</v>
      </c>
      <c r="PQ8" s="1" t="s">
        <v>18</v>
      </c>
      <c r="PR8" s="1" t="s">
        <v>18</v>
      </c>
      <c r="PS8" s="1" t="s">
        <v>25</v>
      </c>
      <c r="PT8" s="1" t="s">
        <v>44</v>
      </c>
      <c r="PU8" s="1" t="s">
        <v>18</v>
      </c>
      <c r="PV8" s="1" t="s">
        <v>35</v>
      </c>
      <c r="PW8" s="1" t="s">
        <v>18</v>
      </c>
      <c r="PX8" s="1" t="s">
        <v>35</v>
      </c>
      <c r="PY8" s="1" t="s">
        <v>42</v>
      </c>
      <c r="PZ8" s="1" t="s">
        <v>42</v>
      </c>
      <c r="QA8" s="1" t="s">
        <v>35</v>
      </c>
      <c r="QB8" s="1" t="s">
        <v>44</v>
      </c>
      <c r="QC8" s="1" t="s">
        <v>18</v>
      </c>
      <c r="QD8" s="1" t="s">
        <v>18</v>
      </c>
      <c r="QE8" s="1" t="s">
        <v>42</v>
      </c>
      <c r="QF8" s="1" t="s">
        <v>35</v>
      </c>
      <c r="QG8" s="1" t="s">
        <v>18</v>
      </c>
      <c r="QH8" s="1" t="s">
        <v>18</v>
      </c>
      <c r="QI8" s="1" t="s">
        <v>44</v>
      </c>
      <c r="QJ8" s="1" t="s">
        <v>25</v>
      </c>
      <c r="QK8" s="1" t="s">
        <v>42</v>
      </c>
      <c r="QL8" s="1" t="s">
        <v>42</v>
      </c>
      <c r="QM8" s="1" t="s">
        <v>25</v>
      </c>
      <c r="QN8" s="1" t="s">
        <v>18</v>
      </c>
      <c r="QO8" s="1" t="s">
        <v>44</v>
      </c>
      <c r="QP8" s="1" t="s">
        <v>44</v>
      </c>
      <c r="QQ8" s="1" t="s">
        <v>42</v>
      </c>
      <c r="QR8" s="1" t="s">
        <v>44</v>
      </c>
      <c r="QS8" s="1" t="s">
        <v>25</v>
      </c>
      <c r="QT8" s="1" t="s">
        <v>18</v>
      </c>
      <c r="QU8" s="1" t="s">
        <v>25</v>
      </c>
      <c r="QV8" s="1" t="s">
        <v>35</v>
      </c>
      <c r="QW8" s="1" t="s">
        <v>42</v>
      </c>
      <c r="QX8" s="1" t="s">
        <v>44</v>
      </c>
      <c r="QY8" s="1" t="s">
        <v>35</v>
      </c>
      <c r="QZ8" s="1" t="s">
        <v>44</v>
      </c>
      <c r="RA8" s="1" t="s">
        <v>18</v>
      </c>
      <c r="RB8" s="1" t="s">
        <v>18</v>
      </c>
      <c r="RC8" s="1" t="s">
        <v>18</v>
      </c>
      <c r="RD8" s="1" t="s">
        <v>44</v>
      </c>
      <c r="RE8" s="1" t="s">
        <v>35</v>
      </c>
      <c r="RF8" s="1" t="s">
        <v>18</v>
      </c>
      <c r="RG8" s="1" t="s">
        <v>35</v>
      </c>
      <c r="RH8" s="1" t="s">
        <v>44</v>
      </c>
      <c r="RI8" s="1" t="s">
        <v>35</v>
      </c>
      <c r="RJ8" s="1" t="s">
        <v>44</v>
      </c>
      <c r="RK8" s="1" t="s">
        <v>44</v>
      </c>
      <c r="RL8" s="1" t="s">
        <v>42</v>
      </c>
      <c r="RM8" s="1" t="s">
        <v>44</v>
      </c>
      <c r="RN8" s="1" t="s">
        <v>44</v>
      </c>
      <c r="RO8" s="1" t="s">
        <v>25</v>
      </c>
      <c r="RP8" s="1" t="s">
        <v>18</v>
      </c>
      <c r="RQ8" s="1" t="s">
        <v>42</v>
      </c>
      <c r="RR8" s="1" t="s">
        <v>42</v>
      </c>
      <c r="RS8" s="1" t="s">
        <v>42</v>
      </c>
      <c r="RT8" s="1" t="s">
        <v>25</v>
      </c>
      <c r="RU8" s="1" t="s">
        <v>44</v>
      </c>
      <c r="RV8" s="1" t="s">
        <v>18</v>
      </c>
      <c r="RW8" s="1" t="s">
        <v>35</v>
      </c>
      <c r="RX8" s="1" t="s">
        <v>44</v>
      </c>
      <c r="RY8" s="1" t="s">
        <v>25</v>
      </c>
      <c r="RZ8" s="1" t="s">
        <v>44</v>
      </c>
      <c r="SA8" s="1" t="s">
        <v>44</v>
      </c>
      <c r="SB8" s="1" t="s">
        <v>25</v>
      </c>
      <c r="SC8" s="1" t="s">
        <v>42</v>
      </c>
      <c r="SD8" s="1" t="s">
        <v>42</v>
      </c>
      <c r="SE8" s="1" t="s">
        <v>18</v>
      </c>
      <c r="SF8" s="1" t="s">
        <v>18</v>
      </c>
      <c r="SG8" s="1" t="s">
        <v>42</v>
      </c>
    </row>
    <row r="9" spans="1:501" x14ac:dyDescent="0.3">
      <c r="A9" s="3" t="s">
        <v>8</v>
      </c>
      <c r="B9" s="1" t="s">
        <v>19</v>
      </c>
      <c r="C9" s="1" t="s">
        <v>26</v>
      </c>
      <c r="D9" s="1" t="s">
        <v>31</v>
      </c>
      <c r="E9" s="1" t="s">
        <v>26</v>
      </c>
      <c r="F9" s="1" t="s">
        <v>31</v>
      </c>
      <c r="G9" s="1" t="s">
        <v>19</v>
      </c>
      <c r="H9" s="1" t="s">
        <v>31</v>
      </c>
      <c r="I9" s="1" t="s">
        <v>31</v>
      </c>
      <c r="J9" s="1" t="s">
        <v>31</v>
      </c>
      <c r="K9" s="1" t="s">
        <v>49</v>
      </c>
      <c r="L9" s="1" t="s">
        <v>49</v>
      </c>
      <c r="M9" s="1" t="s">
        <v>49</v>
      </c>
      <c r="N9" s="1" t="s">
        <v>19</v>
      </c>
      <c r="O9" s="1" t="s">
        <v>26</v>
      </c>
      <c r="P9" s="1" t="s">
        <v>52</v>
      </c>
      <c r="Q9" s="1" t="s">
        <v>31</v>
      </c>
      <c r="R9" s="1" t="s">
        <v>31</v>
      </c>
      <c r="S9" s="1" t="s">
        <v>19</v>
      </c>
      <c r="T9" s="1" t="s">
        <v>31</v>
      </c>
      <c r="U9" s="1" t="s">
        <v>49</v>
      </c>
      <c r="V9" s="1" t="s">
        <v>52</v>
      </c>
      <c r="W9" s="1" t="s">
        <v>57</v>
      </c>
      <c r="X9" s="1" t="s">
        <v>31</v>
      </c>
      <c r="Y9" s="1" t="s">
        <v>49</v>
      </c>
      <c r="Z9" s="1" t="s">
        <v>57</v>
      </c>
      <c r="AA9" s="1" t="s">
        <v>52</v>
      </c>
      <c r="AB9" s="1" t="s">
        <v>57</v>
      </c>
      <c r="AC9" s="1" t="s">
        <v>49</v>
      </c>
      <c r="AD9" s="1" t="s">
        <v>26</v>
      </c>
      <c r="AE9" s="1" t="s">
        <v>26</v>
      </c>
      <c r="AF9" s="1" t="s">
        <v>57</v>
      </c>
      <c r="AG9" s="1" t="s">
        <v>19</v>
      </c>
      <c r="AH9" s="1" t="s">
        <v>57</v>
      </c>
      <c r="AI9" s="1" t="s">
        <v>31</v>
      </c>
      <c r="AJ9" s="1" t="s">
        <v>31</v>
      </c>
      <c r="AK9" s="1" t="s">
        <v>26</v>
      </c>
      <c r="AL9" s="1" t="s">
        <v>19</v>
      </c>
      <c r="AM9" s="1" t="s">
        <v>49</v>
      </c>
      <c r="AN9" s="1" t="s">
        <v>31</v>
      </c>
      <c r="AO9" s="1" t="s">
        <v>26</v>
      </c>
      <c r="AP9" s="1" t="s">
        <v>52</v>
      </c>
      <c r="AQ9" s="1" t="s">
        <v>26</v>
      </c>
      <c r="AR9" s="1" t="s">
        <v>31</v>
      </c>
      <c r="AS9" s="1" t="s">
        <v>31</v>
      </c>
      <c r="AT9" s="1" t="s">
        <v>26</v>
      </c>
      <c r="AU9" s="1" t="s">
        <v>49</v>
      </c>
      <c r="AV9" s="1" t="s">
        <v>57</v>
      </c>
      <c r="AW9" s="1" t="s">
        <v>31</v>
      </c>
      <c r="AX9" s="1" t="s">
        <v>26</v>
      </c>
      <c r="AY9" s="1" t="s">
        <v>26</v>
      </c>
      <c r="AZ9" s="1" t="s">
        <v>19</v>
      </c>
      <c r="BA9" s="1" t="s">
        <v>57</v>
      </c>
      <c r="BB9" s="1" t="s">
        <v>52</v>
      </c>
      <c r="BC9" s="1" t="s">
        <v>49</v>
      </c>
      <c r="BD9" s="1" t="s">
        <v>52</v>
      </c>
      <c r="BE9" s="1" t="s">
        <v>57</v>
      </c>
      <c r="BF9" s="1" t="s">
        <v>57</v>
      </c>
      <c r="BG9" s="1" t="s">
        <v>57</v>
      </c>
      <c r="BH9" s="1" t="s">
        <v>52</v>
      </c>
      <c r="BI9" s="1" t="s">
        <v>57</v>
      </c>
      <c r="BJ9" s="1" t="s">
        <v>26</v>
      </c>
      <c r="BK9" s="1" t="s">
        <v>52</v>
      </c>
      <c r="BL9" s="1" t="s">
        <v>57</v>
      </c>
      <c r="BM9" s="1" t="s">
        <v>26</v>
      </c>
      <c r="BN9" s="1" t="s">
        <v>19</v>
      </c>
      <c r="BO9" s="1" t="s">
        <v>57</v>
      </c>
      <c r="BP9" s="1" t="s">
        <v>52</v>
      </c>
      <c r="BQ9" s="1" t="s">
        <v>31</v>
      </c>
      <c r="BR9" s="1" t="s">
        <v>57</v>
      </c>
      <c r="BS9" s="1" t="s">
        <v>31</v>
      </c>
      <c r="BT9" s="1" t="s">
        <v>26</v>
      </c>
      <c r="BU9" s="1" t="s">
        <v>19</v>
      </c>
      <c r="BV9" s="1" t="s">
        <v>49</v>
      </c>
      <c r="BW9" s="1" t="s">
        <v>19</v>
      </c>
      <c r="BX9" s="1" t="s">
        <v>57</v>
      </c>
      <c r="BY9" s="1" t="s">
        <v>31</v>
      </c>
      <c r="BZ9" s="1" t="s">
        <v>31</v>
      </c>
      <c r="CA9" s="1" t="s">
        <v>52</v>
      </c>
      <c r="CB9" s="1" t="s">
        <v>31</v>
      </c>
      <c r="CC9" s="1" t="s">
        <v>52</v>
      </c>
      <c r="CD9" s="1" t="s">
        <v>26</v>
      </c>
      <c r="CE9" s="1" t="s">
        <v>49</v>
      </c>
      <c r="CF9" s="1" t="s">
        <v>57</v>
      </c>
      <c r="CG9" s="1" t="s">
        <v>52</v>
      </c>
      <c r="CH9" s="1" t="s">
        <v>49</v>
      </c>
      <c r="CI9" s="1" t="s">
        <v>31</v>
      </c>
      <c r="CJ9" s="1" t="s">
        <v>31</v>
      </c>
      <c r="CK9" s="1" t="s">
        <v>49</v>
      </c>
      <c r="CL9" s="1" t="s">
        <v>31</v>
      </c>
      <c r="CM9" s="1" t="s">
        <v>26</v>
      </c>
      <c r="CN9" s="1" t="s">
        <v>26</v>
      </c>
      <c r="CO9" s="1" t="s">
        <v>49</v>
      </c>
      <c r="CP9" s="1" t="s">
        <v>52</v>
      </c>
      <c r="CQ9" s="1" t="s">
        <v>52</v>
      </c>
      <c r="CR9" s="1" t="s">
        <v>49</v>
      </c>
      <c r="CS9" s="1" t="s">
        <v>52</v>
      </c>
      <c r="CT9" s="1" t="s">
        <v>52</v>
      </c>
      <c r="CU9" s="1" t="s">
        <v>26</v>
      </c>
      <c r="CV9" s="1" t="s">
        <v>52</v>
      </c>
      <c r="CW9" s="1" t="s">
        <v>19</v>
      </c>
      <c r="CX9" s="1" t="s">
        <v>57</v>
      </c>
      <c r="CY9" s="1" t="s">
        <v>31</v>
      </c>
      <c r="CZ9" s="1" t="s">
        <v>19</v>
      </c>
      <c r="DA9" s="1" t="s">
        <v>52</v>
      </c>
      <c r="DB9" s="1" t="s">
        <v>26</v>
      </c>
      <c r="DC9" s="1" t="s">
        <v>49</v>
      </c>
      <c r="DD9" s="1" t="s">
        <v>52</v>
      </c>
      <c r="DE9" s="1" t="s">
        <v>26</v>
      </c>
      <c r="DF9" s="1" t="s">
        <v>57</v>
      </c>
      <c r="DG9" s="1" t="s">
        <v>52</v>
      </c>
      <c r="DH9" s="1" t="s">
        <v>49</v>
      </c>
      <c r="DI9" s="1" t="s">
        <v>26</v>
      </c>
      <c r="DJ9" s="1" t="s">
        <v>26</v>
      </c>
      <c r="DK9" s="1" t="s">
        <v>26</v>
      </c>
      <c r="DL9" s="1" t="s">
        <v>57</v>
      </c>
      <c r="DM9" s="1" t="s">
        <v>52</v>
      </c>
      <c r="DN9" s="1" t="s">
        <v>57</v>
      </c>
      <c r="DO9" s="1" t="s">
        <v>31</v>
      </c>
      <c r="DP9" s="1" t="s">
        <v>31</v>
      </c>
      <c r="DQ9" s="1" t="s">
        <v>52</v>
      </c>
      <c r="DR9" s="1" t="s">
        <v>57</v>
      </c>
      <c r="DS9" s="1" t="s">
        <v>49</v>
      </c>
      <c r="DT9" s="1" t="s">
        <v>26</v>
      </c>
      <c r="DU9" s="1" t="s">
        <v>26</v>
      </c>
      <c r="DV9" s="1" t="s">
        <v>52</v>
      </c>
      <c r="DW9" s="1" t="s">
        <v>31</v>
      </c>
      <c r="DX9" s="1" t="s">
        <v>31</v>
      </c>
      <c r="DY9" s="1" t="s">
        <v>26</v>
      </c>
      <c r="DZ9" s="1" t="s">
        <v>52</v>
      </c>
      <c r="EA9" s="1" t="s">
        <v>57</v>
      </c>
      <c r="EB9" s="1" t="s">
        <v>31</v>
      </c>
      <c r="EC9" s="1" t="s">
        <v>57</v>
      </c>
      <c r="ED9" s="1" t="s">
        <v>31</v>
      </c>
      <c r="EE9" s="1" t="s">
        <v>31</v>
      </c>
      <c r="EF9" s="1" t="s">
        <v>19</v>
      </c>
      <c r="EG9" s="1" t="s">
        <v>31</v>
      </c>
      <c r="EH9" s="1" t="s">
        <v>49</v>
      </c>
      <c r="EI9" s="1" t="s">
        <v>52</v>
      </c>
      <c r="EJ9" s="1" t="s">
        <v>52</v>
      </c>
      <c r="EK9" s="1" t="s">
        <v>57</v>
      </c>
      <c r="EL9" s="1" t="s">
        <v>31</v>
      </c>
      <c r="EM9" s="1" t="s">
        <v>49</v>
      </c>
      <c r="EN9" s="1" t="s">
        <v>57</v>
      </c>
      <c r="EO9" s="1" t="s">
        <v>19</v>
      </c>
      <c r="EP9" s="1" t="s">
        <v>57</v>
      </c>
      <c r="EQ9" s="1" t="s">
        <v>57</v>
      </c>
      <c r="ER9" s="1" t="s">
        <v>31</v>
      </c>
      <c r="ES9" s="1" t="s">
        <v>19</v>
      </c>
      <c r="ET9" s="1" t="s">
        <v>57</v>
      </c>
      <c r="EU9" s="1" t="s">
        <v>49</v>
      </c>
      <c r="EV9" s="1" t="s">
        <v>49</v>
      </c>
      <c r="EW9" s="1" t="s">
        <v>52</v>
      </c>
      <c r="EX9" s="1" t="s">
        <v>19</v>
      </c>
      <c r="EY9" s="1" t="s">
        <v>19</v>
      </c>
      <c r="EZ9" s="1" t="s">
        <v>52</v>
      </c>
      <c r="FA9" s="1" t="s">
        <v>57</v>
      </c>
      <c r="FB9" s="1" t="s">
        <v>19</v>
      </c>
      <c r="FC9" s="1" t="s">
        <v>49</v>
      </c>
      <c r="FD9" s="1" t="s">
        <v>49</v>
      </c>
      <c r="FE9" s="1" t="s">
        <v>31</v>
      </c>
      <c r="FF9" s="1" t="s">
        <v>19</v>
      </c>
      <c r="FG9" s="1" t="s">
        <v>57</v>
      </c>
      <c r="FH9" s="1" t="s">
        <v>52</v>
      </c>
      <c r="FI9" s="1" t="s">
        <v>52</v>
      </c>
      <c r="FJ9" s="1" t="s">
        <v>57</v>
      </c>
      <c r="FK9" s="1" t="s">
        <v>26</v>
      </c>
      <c r="FL9" s="1" t="s">
        <v>31</v>
      </c>
      <c r="FM9" s="1" t="s">
        <v>52</v>
      </c>
      <c r="FN9" s="1" t="s">
        <v>19</v>
      </c>
      <c r="FO9" s="1" t="s">
        <v>31</v>
      </c>
      <c r="FP9" s="1" t="s">
        <v>19</v>
      </c>
      <c r="FQ9" s="1" t="s">
        <v>49</v>
      </c>
      <c r="FR9" s="1" t="s">
        <v>31</v>
      </c>
      <c r="FS9" s="1" t="s">
        <v>52</v>
      </c>
      <c r="FT9" s="1" t="s">
        <v>31</v>
      </c>
      <c r="FU9" s="1" t="s">
        <v>31</v>
      </c>
      <c r="FV9" s="1" t="s">
        <v>31</v>
      </c>
      <c r="FW9" s="1" t="s">
        <v>26</v>
      </c>
      <c r="FX9" s="1" t="s">
        <v>31</v>
      </c>
      <c r="FY9" s="1" t="s">
        <v>19</v>
      </c>
      <c r="FZ9" s="1" t="s">
        <v>49</v>
      </c>
      <c r="GA9" s="1" t="s">
        <v>57</v>
      </c>
      <c r="GB9" s="1" t="s">
        <v>31</v>
      </c>
      <c r="GC9" s="1" t="s">
        <v>52</v>
      </c>
      <c r="GD9" s="1" t="s">
        <v>31</v>
      </c>
      <c r="GE9" s="1" t="s">
        <v>52</v>
      </c>
      <c r="GF9" s="1" t="s">
        <v>19</v>
      </c>
      <c r="GG9" s="1" t="s">
        <v>52</v>
      </c>
      <c r="GH9" s="1" t="s">
        <v>57</v>
      </c>
      <c r="GI9" s="1" t="s">
        <v>49</v>
      </c>
      <c r="GJ9" s="1" t="s">
        <v>52</v>
      </c>
      <c r="GK9" s="1" t="s">
        <v>52</v>
      </c>
      <c r="GL9" s="1" t="s">
        <v>49</v>
      </c>
      <c r="GM9" s="1" t="s">
        <v>57</v>
      </c>
      <c r="GN9" s="1" t="s">
        <v>31</v>
      </c>
      <c r="GO9" s="1" t="s">
        <v>52</v>
      </c>
      <c r="GP9" s="1" t="s">
        <v>49</v>
      </c>
      <c r="GQ9" s="1" t="s">
        <v>19</v>
      </c>
      <c r="GR9" s="1" t="s">
        <v>49</v>
      </c>
      <c r="GS9" s="1" t="s">
        <v>19</v>
      </c>
      <c r="GT9" s="1" t="s">
        <v>57</v>
      </c>
      <c r="GU9" s="1" t="s">
        <v>31</v>
      </c>
      <c r="GV9" s="1" t="s">
        <v>49</v>
      </c>
      <c r="GW9" s="1" t="s">
        <v>26</v>
      </c>
      <c r="GX9" s="1" t="s">
        <v>52</v>
      </c>
      <c r="GY9" s="1" t="s">
        <v>57</v>
      </c>
      <c r="GZ9" s="1" t="s">
        <v>49</v>
      </c>
      <c r="HA9" s="1" t="s">
        <v>52</v>
      </c>
      <c r="HB9" s="1" t="s">
        <v>49</v>
      </c>
      <c r="HC9" s="1" t="s">
        <v>19</v>
      </c>
      <c r="HD9" s="1" t="s">
        <v>49</v>
      </c>
      <c r="HE9" s="1" t="s">
        <v>26</v>
      </c>
      <c r="HF9" s="1" t="s">
        <v>49</v>
      </c>
      <c r="HG9" s="1" t="s">
        <v>49</v>
      </c>
      <c r="HH9" s="1" t="s">
        <v>26</v>
      </c>
      <c r="HI9" s="1" t="s">
        <v>57</v>
      </c>
      <c r="HJ9" s="1" t="s">
        <v>49</v>
      </c>
      <c r="HK9" s="1" t="s">
        <v>26</v>
      </c>
      <c r="HL9" s="1" t="s">
        <v>52</v>
      </c>
      <c r="HM9" s="1" t="s">
        <v>19</v>
      </c>
      <c r="HN9" s="1" t="s">
        <v>19</v>
      </c>
      <c r="HO9" s="1" t="s">
        <v>49</v>
      </c>
      <c r="HP9" s="1" t="s">
        <v>57</v>
      </c>
      <c r="HQ9" s="1" t="s">
        <v>57</v>
      </c>
      <c r="HR9" s="1" t="s">
        <v>52</v>
      </c>
      <c r="HS9" s="1" t="s">
        <v>49</v>
      </c>
      <c r="HT9" s="1" t="s">
        <v>19</v>
      </c>
      <c r="HU9" s="1" t="s">
        <v>57</v>
      </c>
      <c r="HV9" s="1" t="s">
        <v>49</v>
      </c>
      <c r="HW9" s="1" t="s">
        <v>57</v>
      </c>
      <c r="HX9" s="1" t="s">
        <v>26</v>
      </c>
      <c r="HY9" s="1" t="s">
        <v>57</v>
      </c>
      <c r="HZ9" s="1" t="s">
        <v>19</v>
      </c>
      <c r="IA9" s="1" t="s">
        <v>31</v>
      </c>
      <c r="IB9" s="1" t="s">
        <v>52</v>
      </c>
      <c r="IC9" s="1" t="s">
        <v>52</v>
      </c>
      <c r="ID9" s="1" t="s">
        <v>19</v>
      </c>
      <c r="IE9" s="1" t="s">
        <v>57</v>
      </c>
      <c r="IF9" s="1" t="s">
        <v>49</v>
      </c>
      <c r="IG9" s="1" t="s">
        <v>57</v>
      </c>
      <c r="IH9" s="1" t="s">
        <v>19</v>
      </c>
      <c r="II9" s="1" t="s">
        <v>52</v>
      </c>
      <c r="IJ9" s="1" t="s">
        <v>57</v>
      </c>
      <c r="IK9" s="1" t="s">
        <v>52</v>
      </c>
      <c r="IL9" s="1" t="s">
        <v>49</v>
      </c>
      <c r="IM9" s="1" t="s">
        <v>52</v>
      </c>
      <c r="IN9" s="1" t="s">
        <v>52</v>
      </c>
      <c r="IO9" s="1" t="s">
        <v>31</v>
      </c>
      <c r="IP9" s="1" t="s">
        <v>31</v>
      </c>
      <c r="IQ9" s="1" t="s">
        <v>26</v>
      </c>
      <c r="IR9" s="1" t="s">
        <v>31</v>
      </c>
      <c r="IS9" s="1" t="s">
        <v>52</v>
      </c>
      <c r="IT9" s="1" t="s">
        <v>19</v>
      </c>
      <c r="IU9" s="1" t="s">
        <v>52</v>
      </c>
      <c r="IV9" s="1" t="s">
        <v>19</v>
      </c>
      <c r="IW9" s="1" t="s">
        <v>19</v>
      </c>
      <c r="IX9" s="1" t="s">
        <v>31</v>
      </c>
      <c r="IY9" s="1" t="s">
        <v>57</v>
      </c>
      <c r="IZ9" s="1" t="s">
        <v>49</v>
      </c>
      <c r="JA9" s="1" t="s">
        <v>31</v>
      </c>
      <c r="JB9" s="1" t="s">
        <v>31</v>
      </c>
      <c r="JC9" s="1" t="s">
        <v>57</v>
      </c>
      <c r="JD9" s="1" t="s">
        <v>49</v>
      </c>
      <c r="JE9" s="1" t="s">
        <v>52</v>
      </c>
      <c r="JF9" s="1" t="s">
        <v>26</v>
      </c>
      <c r="JG9" s="1" t="s">
        <v>26</v>
      </c>
      <c r="JH9" s="1" t="s">
        <v>52</v>
      </c>
      <c r="JI9" s="1" t="s">
        <v>31</v>
      </c>
      <c r="JJ9" s="1" t="s">
        <v>49</v>
      </c>
      <c r="JK9" s="1" t="s">
        <v>31</v>
      </c>
      <c r="JL9" s="1" t="s">
        <v>19</v>
      </c>
      <c r="JM9" s="1" t="s">
        <v>31</v>
      </c>
      <c r="JN9" s="1" t="s">
        <v>31</v>
      </c>
      <c r="JO9" s="1" t="s">
        <v>52</v>
      </c>
      <c r="JP9" s="1" t="s">
        <v>52</v>
      </c>
      <c r="JQ9" s="1" t="s">
        <v>52</v>
      </c>
      <c r="JR9" s="1" t="s">
        <v>26</v>
      </c>
      <c r="JS9" s="1" t="s">
        <v>19</v>
      </c>
      <c r="JT9" s="1" t="s">
        <v>52</v>
      </c>
      <c r="JU9" s="1" t="s">
        <v>49</v>
      </c>
      <c r="JV9" s="1" t="s">
        <v>26</v>
      </c>
      <c r="JW9" s="1" t="s">
        <v>57</v>
      </c>
      <c r="JX9" s="1" t="s">
        <v>49</v>
      </c>
      <c r="JY9" s="1" t="s">
        <v>49</v>
      </c>
      <c r="JZ9" s="1" t="s">
        <v>52</v>
      </c>
      <c r="KA9" s="1" t="s">
        <v>57</v>
      </c>
      <c r="KB9" s="1" t="s">
        <v>57</v>
      </c>
      <c r="KC9" s="1" t="s">
        <v>26</v>
      </c>
      <c r="KD9" s="1" t="s">
        <v>57</v>
      </c>
      <c r="KE9" s="1" t="s">
        <v>19</v>
      </c>
      <c r="KF9" s="1" t="s">
        <v>52</v>
      </c>
      <c r="KG9" s="1" t="s">
        <v>57</v>
      </c>
      <c r="KH9" s="1" t="s">
        <v>26</v>
      </c>
      <c r="KI9" s="1" t="s">
        <v>19</v>
      </c>
      <c r="KJ9" s="1" t="s">
        <v>31</v>
      </c>
      <c r="KK9" s="1" t="s">
        <v>31</v>
      </c>
      <c r="KL9" s="1" t="s">
        <v>19</v>
      </c>
      <c r="KM9" s="1" t="s">
        <v>26</v>
      </c>
      <c r="KN9" s="1" t="s">
        <v>19</v>
      </c>
      <c r="KO9" s="1" t="s">
        <v>52</v>
      </c>
      <c r="KP9" s="1" t="s">
        <v>52</v>
      </c>
      <c r="KQ9" s="1" t="s">
        <v>31</v>
      </c>
      <c r="KR9" s="1" t="s">
        <v>57</v>
      </c>
      <c r="KS9" s="1" t="s">
        <v>26</v>
      </c>
      <c r="KT9" s="1" t="s">
        <v>31</v>
      </c>
      <c r="KU9" s="1" t="s">
        <v>57</v>
      </c>
      <c r="KV9" s="1" t="s">
        <v>57</v>
      </c>
      <c r="KW9" s="1" t="s">
        <v>52</v>
      </c>
      <c r="KX9" s="1" t="s">
        <v>49</v>
      </c>
      <c r="KY9" s="1" t="s">
        <v>49</v>
      </c>
      <c r="KZ9" s="1" t="s">
        <v>19</v>
      </c>
      <c r="LA9" s="1" t="s">
        <v>52</v>
      </c>
      <c r="LB9" s="1" t="s">
        <v>57</v>
      </c>
      <c r="LC9" s="1" t="s">
        <v>26</v>
      </c>
      <c r="LD9" s="1" t="s">
        <v>49</v>
      </c>
      <c r="LE9" s="1" t="s">
        <v>57</v>
      </c>
      <c r="LF9" s="1" t="s">
        <v>49</v>
      </c>
      <c r="LG9" s="1" t="s">
        <v>49</v>
      </c>
      <c r="LH9" s="1" t="s">
        <v>49</v>
      </c>
      <c r="LI9" s="1" t="s">
        <v>26</v>
      </c>
      <c r="LJ9" s="1" t="s">
        <v>52</v>
      </c>
      <c r="LK9" s="1" t="s">
        <v>26</v>
      </c>
      <c r="LL9" s="1" t="s">
        <v>31</v>
      </c>
      <c r="LM9" s="1" t="s">
        <v>57</v>
      </c>
      <c r="LN9" s="1" t="s">
        <v>52</v>
      </c>
      <c r="LO9" s="1" t="s">
        <v>52</v>
      </c>
      <c r="LP9" s="1" t="s">
        <v>52</v>
      </c>
      <c r="LQ9" s="1" t="s">
        <v>52</v>
      </c>
      <c r="LR9" s="1" t="s">
        <v>26</v>
      </c>
      <c r="LS9" s="1" t="s">
        <v>52</v>
      </c>
      <c r="LT9" s="1" t="s">
        <v>19</v>
      </c>
      <c r="LU9" s="1" t="s">
        <v>57</v>
      </c>
      <c r="LV9" s="1" t="s">
        <v>52</v>
      </c>
      <c r="LW9" s="1" t="s">
        <v>57</v>
      </c>
      <c r="LX9" s="1" t="s">
        <v>19</v>
      </c>
      <c r="LY9" s="1" t="s">
        <v>19</v>
      </c>
      <c r="LZ9" s="1" t="s">
        <v>57</v>
      </c>
      <c r="MA9" s="1" t="s">
        <v>49</v>
      </c>
      <c r="MB9" s="1" t="s">
        <v>31</v>
      </c>
      <c r="MC9" s="1" t="s">
        <v>49</v>
      </c>
      <c r="MD9" s="1" t="s">
        <v>49</v>
      </c>
      <c r="ME9" s="1" t="s">
        <v>26</v>
      </c>
      <c r="MF9" s="1" t="s">
        <v>49</v>
      </c>
      <c r="MG9" s="1" t="s">
        <v>52</v>
      </c>
      <c r="MH9" s="1" t="s">
        <v>26</v>
      </c>
      <c r="MI9" s="1" t="s">
        <v>26</v>
      </c>
      <c r="MJ9" s="1" t="s">
        <v>19</v>
      </c>
      <c r="MK9" s="1" t="s">
        <v>49</v>
      </c>
      <c r="ML9" s="1" t="s">
        <v>19</v>
      </c>
      <c r="MM9" s="1" t="s">
        <v>57</v>
      </c>
      <c r="MN9" s="1" t="s">
        <v>31</v>
      </c>
      <c r="MO9" s="1" t="s">
        <v>26</v>
      </c>
      <c r="MP9" s="1" t="s">
        <v>57</v>
      </c>
      <c r="MQ9" s="1" t="s">
        <v>57</v>
      </c>
      <c r="MR9" s="1" t="s">
        <v>52</v>
      </c>
      <c r="MS9" s="1" t="s">
        <v>31</v>
      </c>
      <c r="MT9" s="1" t="s">
        <v>57</v>
      </c>
      <c r="MU9" s="1" t="s">
        <v>57</v>
      </c>
      <c r="MV9" s="1" t="s">
        <v>31</v>
      </c>
      <c r="MW9" s="1" t="s">
        <v>31</v>
      </c>
      <c r="MX9" s="1" t="s">
        <v>57</v>
      </c>
      <c r="MY9" s="1" t="s">
        <v>31</v>
      </c>
      <c r="MZ9" s="1" t="s">
        <v>57</v>
      </c>
      <c r="NA9" s="1" t="s">
        <v>57</v>
      </c>
      <c r="NB9" s="1" t="s">
        <v>52</v>
      </c>
      <c r="NC9" s="1" t="s">
        <v>49</v>
      </c>
      <c r="ND9" s="1" t="s">
        <v>57</v>
      </c>
      <c r="NE9" s="1" t="s">
        <v>19</v>
      </c>
      <c r="NF9" s="1" t="s">
        <v>26</v>
      </c>
      <c r="NG9" s="1" t="s">
        <v>49</v>
      </c>
      <c r="NH9" s="1" t="s">
        <v>49</v>
      </c>
      <c r="NI9" s="1" t="s">
        <v>49</v>
      </c>
      <c r="NJ9" s="1" t="s">
        <v>52</v>
      </c>
      <c r="NK9" s="1" t="s">
        <v>57</v>
      </c>
      <c r="NL9" s="1" t="s">
        <v>52</v>
      </c>
      <c r="NM9" s="1" t="s">
        <v>57</v>
      </c>
      <c r="NN9" s="1" t="s">
        <v>52</v>
      </c>
      <c r="NO9" s="1" t="s">
        <v>52</v>
      </c>
      <c r="NP9" s="1" t="s">
        <v>26</v>
      </c>
      <c r="NQ9" s="1" t="s">
        <v>19</v>
      </c>
      <c r="NR9" s="1" t="s">
        <v>52</v>
      </c>
      <c r="NS9" s="1" t="s">
        <v>26</v>
      </c>
      <c r="NT9" s="1" t="s">
        <v>31</v>
      </c>
      <c r="NU9" s="1" t="s">
        <v>19</v>
      </c>
      <c r="NV9" s="1" t="s">
        <v>52</v>
      </c>
      <c r="NW9" s="1" t="s">
        <v>49</v>
      </c>
      <c r="NX9" s="1" t="s">
        <v>31</v>
      </c>
      <c r="NY9" s="1" t="s">
        <v>31</v>
      </c>
      <c r="NZ9" s="1" t="s">
        <v>26</v>
      </c>
      <c r="OA9" s="1" t="s">
        <v>31</v>
      </c>
      <c r="OB9" s="1" t="s">
        <v>19</v>
      </c>
      <c r="OC9" s="1" t="s">
        <v>52</v>
      </c>
      <c r="OD9" s="1" t="s">
        <v>52</v>
      </c>
      <c r="OE9" s="1" t="s">
        <v>49</v>
      </c>
      <c r="OF9" s="1" t="s">
        <v>26</v>
      </c>
      <c r="OG9" s="1" t="s">
        <v>49</v>
      </c>
      <c r="OH9" s="1" t="s">
        <v>31</v>
      </c>
      <c r="OI9" s="1" t="s">
        <v>49</v>
      </c>
      <c r="OJ9" s="1" t="s">
        <v>19</v>
      </c>
      <c r="OK9" s="1" t="s">
        <v>52</v>
      </c>
      <c r="OL9" s="1" t="s">
        <v>31</v>
      </c>
      <c r="OM9" s="1" t="s">
        <v>49</v>
      </c>
      <c r="ON9" s="1" t="s">
        <v>26</v>
      </c>
      <c r="OO9" s="1" t="s">
        <v>19</v>
      </c>
      <c r="OP9" s="1" t="s">
        <v>19</v>
      </c>
      <c r="OQ9" s="1" t="s">
        <v>49</v>
      </c>
      <c r="OR9" s="1" t="s">
        <v>52</v>
      </c>
      <c r="OS9" s="1" t="s">
        <v>49</v>
      </c>
      <c r="OT9" s="1" t="s">
        <v>31</v>
      </c>
      <c r="OU9" s="1" t="s">
        <v>49</v>
      </c>
      <c r="OV9" s="1" t="s">
        <v>19</v>
      </c>
      <c r="OW9" s="1" t="s">
        <v>49</v>
      </c>
      <c r="OX9" s="1" t="s">
        <v>52</v>
      </c>
      <c r="OY9" s="1" t="s">
        <v>26</v>
      </c>
      <c r="OZ9" s="1" t="s">
        <v>57</v>
      </c>
      <c r="PA9" s="1" t="s">
        <v>49</v>
      </c>
      <c r="PB9" s="1" t="s">
        <v>52</v>
      </c>
      <c r="PC9" s="1" t="s">
        <v>52</v>
      </c>
      <c r="PD9" s="1" t="s">
        <v>26</v>
      </c>
      <c r="PE9" s="1" t="s">
        <v>19</v>
      </c>
      <c r="PF9" s="1" t="s">
        <v>52</v>
      </c>
      <c r="PG9" s="1" t="s">
        <v>52</v>
      </c>
      <c r="PH9" s="1" t="s">
        <v>52</v>
      </c>
      <c r="PI9" s="1" t="s">
        <v>52</v>
      </c>
      <c r="PJ9" s="1" t="s">
        <v>31</v>
      </c>
      <c r="PK9" s="1" t="s">
        <v>31</v>
      </c>
      <c r="PL9" s="1" t="s">
        <v>19</v>
      </c>
      <c r="PM9" s="1" t="s">
        <v>49</v>
      </c>
      <c r="PN9" s="1" t="s">
        <v>52</v>
      </c>
      <c r="PO9" s="1" t="s">
        <v>26</v>
      </c>
      <c r="PP9" s="1" t="s">
        <v>49</v>
      </c>
      <c r="PQ9" s="1" t="s">
        <v>26</v>
      </c>
      <c r="PR9" s="1" t="s">
        <v>49</v>
      </c>
      <c r="PS9" s="1" t="s">
        <v>19</v>
      </c>
      <c r="PT9" s="1" t="s">
        <v>52</v>
      </c>
      <c r="PU9" s="1" t="s">
        <v>52</v>
      </c>
      <c r="PV9" s="1" t="s">
        <v>57</v>
      </c>
      <c r="PW9" s="1" t="s">
        <v>26</v>
      </c>
      <c r="PX9" s="1" t="s">
        <v>49</v>
      </c>
      <c r="PY9" s="1" t="s">
        <v>49</v>
      </c>
      <c r="PZ9" s="1" t="s">
        <v>31</v>
      </c>
      <c r="QA9" s="1" t="s">
        <v>57</v>
      </c>
      <c r="QB9" s="1" t="s">
        <v>31</v>
      </c>
      <c r="QC9" s="1" t="s">
        <v>31</v>
      </c>
      <c r="QD9" s="1" t="s">
        <v>31</v>
      </c>
      <c r="QE9" s="1" t="s">
        <v>26</v>
      </c>
      <c r="QF9" s="1" t="s">
        <v>26</v>
      </c>
      <c r="QG9" s="1" t="s">
        <v>19</v>
      </c>
      <c r="QH9" s="1" t="s">
        <v>19</v>
      </c>
      <c r="QI9" s="1" t="s">
        <v>31</v>
      </c>
      <c r="QJ9" s="1" t="s">
        <v>57</v>
      </c>
      <c r="QK9" s="1" t="s">
        <v>49</v>
      </c>
      <c r="QL9" s="1" t="s">
        <v>26</v>
      </c>
      <c r="QM9" s="1" t="s">
        <v>57</v>
      </c>
      <c r="QN9" s="1" t="s">
        <v>52</v>
      </c>
      <c r="QO9" s="1" t="s">
        <v>26</v>
      </c>
      <c r="QP9" s="1" t="s">
        <v>26</v>
      </c>
      <c r="QQ9" s="1" t="s">
        <v>19</v>
      </c>
      <c r="QR9" s="1" t="s">
        <v>49</v>
      </c>
      <c r="QS9" s="1" t="s">
        <v>49</v>
      </c>
      <c r="QT9" s="1" t="s">
        <v>52</v>
      </c>
      <c r="QU9" s="1" t="s">
        <v>52</v>
      </c>
      <c r="QV9" s="1" t="s">
        <v>26</v>
      </c>
      <c r="QW9" s="1" t="s">
        <v>31</v>
      </c>
      <c r="QX9" s="1" t="s">
        <v>19</v>
      </c>
      <c r="QY9" s="1" t="s">
        <v>19</v>
      </c>
      <c r="QZ9" s="1" t="s">
        <v>26</v>
      </c>
      <c r="RA9" s="1" t="s">
        <v>57</v>
      </c>
      <c r="RB9" s="1" t="s">
        <v>31</v>
      </c>
      <c r="RC9" s="1" t="s">
        <v>26</v>
      </c>
      <c r="RD9" s="1" t="s">
        <v>31</v>
      </c>
      <c r="RE9" s="1" t="s">
        <v>31</v>
      </c>
      <c r="RF9" s="1" t="s">
        <v>31</v>
      </c>
      <c r="RG9" s="1" t="s">
        <v>26</v>
      </c>
      <c r="RH9" s="1" t="s">
        <v>19</v>
      </c>
      <c r="RI9" s="1" t="s">
        <v>19</v>
      </c>
      <c r="RJ9" s="1" t="s">
        <v>31</v>
      </c>
      <c r="RK9" s="1" t="s">
        <v>57</v>
      </c>
      <c r="RL9" s="1" t="s">
        <v>49</v>
      </c>
      <c r="RM9" s="1" t="s">
        <v>26</v>
      </c>
      <c r="RN9" s="1" t="s">
        <v>49</v>
      </c>
      <c r="RO9" s="1" t="s">
        <v>57</v>
      </c>
      <c r="RP9" s="1" t="s">
        <v>26</v>
      </c>
      <c r="RQ9" s="1" t="s">
        <v>31</v>
      </c>
      <c r="RR9" s="1" t="s">
        <v>19</v>
      </c>
      <c r="RS9" s="1" t="s">
        <v>49</v>
      </c>
      <c r="RT9" s="1" t="s">
        <v>52</v>
      </c>
      <c r="RU9" s="1" t="s">
        <v>52</v>
      </c>
      <c r="RV9" s="1" t="s">
        <v>57</v>
      </c>
      <c r="RW9" s="1" t="s">
        <v>31</v>
      </c>
      <c r="RX9" s="1" t="s">
        <v>49</v>
      </c>
      <c r="RY9" s="1" t="s">
        <v>31</v>
      </c>
      <c r="RZ9" s="1" t="s">
        <v>49</v>
      </c>
      <c r="SA9" s="1" t="s">
        <v>57</v>
      </c>
      <c r="SB9" s="1" t="s">
        <v>57</v>
      </c>
      <c r="SC9" s="1" t="s">
        <v>52</v>
      </c>
      <c r="SD9" s="1" t="s">
        <v>31</v>
      </c>
      <c r="SE9" s="1" t="s">
        <v>26</v>
      </c>
      <c r="SF9" s="1" t="s">
        <v>52</v>
      </c>
      <c r="SG9" s="1" t="s">
        <v>31</v>
      </c>
    </row>
    <row r="10" spans="1:501" x14ac:dyDescent="0.3">
      <c r="A10" s="3" t="s">
        <v>9</v>
      </c>
      <c r="B10" s="1" t="s">
        <v>20</v>
      </c>
      <c r="C10" s="1" t="s">
        <v>27</v>
      </c>
      <c r="D10" s="1" t="s">
        <v>32</v>
      </c>
      <c r="E10" s="1" t="s">
        <v>36</v>
      </c>
      <c r="F10" s="1" t="s">
        <v>39</v>
      </c>
      <c r="G10" s="1" t="s">
        <v>43</v>
      </c>
      <c r="H10" s="1" t="s">
        <v>32</v>
      </c>
      <c r="I10" s="1" t="s">
        <v>32</v>
      </c>
      <c r="J10" s="1" t="s">
        <v>48</v>
      </c>
      <c r="K10" s="1" t="s">
        <v>50</v>
      </c>
      <c r="L10" s="1" t="s">
        <v>50</v>
      </c>
      <c r="M10" s="1" t="s">
        <v>51</v>
      </c>
      <c r="N10" s="1" t="s">
        <v>43</v>
      </c>
      <c r="O10" s="1" t="s">
        <v>36</v>
      </c>
      <c r="P10" s="1" t="s">
        <v>53</v>
      </c>
      <c r="Q10" s="1" t="s">
        <v>39</v>
      </c>
      <c r="R10" s="1" t="s">
        <v>39</v>
      </c>
      <c r="S10" s="1" t="s">
        <v>55</v>
      </c>
      <c r="T10" s="1" t="s">
        <v>39</v>
      </c>
      <c r="U10" s="1" t="s">
        <v>51</v>
      </c>
      <c r="V10" s="1" t="s">
        <v>56</v>
      </c>
      <c r="W10" s="1" t="s">
        <v>58</v>
      </c>
      <c r="X10" s="1" t="s">
        <v>32</v>
      </c>
      <c r="Y10" s="1" t="s">
        <v>51</v>
      </c>
      <c r="Z10" s="1" t="s">
        <v>59</v>
      </c>
      <c r="AA10" s="1" t="s">
        <v>60</v>
      </c>
      <c r="AB10" s="1" t="s">
        <v>58</v>
      </c>
      <c r="AC10" s="1" t="s">
        <v>51</v>
      </c>
      <c r="AD10" s="1" t="s">
        <v>27</v>
      </c>
      <c r="AE10" s="1" t="s">
        <v>61</v>
      </c>
      <c r="AF10" s="1" t="s">
        <v>62</v>
      </c>
      <c r="AG10" s="1" t="s">
        <v>43</v>
      </c>
      <c r="AH10" s="1" t="s">
        <v>59</v>
      </c>
      <c r="AI10" s="1" t="s">
        <v>48</v>
      </c>
      <c r="AJ10" s="1" t="s">
        <v>48</v>
      </c>
      <c r="AK10" s="1" t="s">
        <v>27</v>
      </c>
      <c r="AL10" s="1" t="s">
        <v>55</v>
      </c>
      <c r="AM10" s="1" t="s">
        <v>63</v>
      </c>
      <c r="AN10" s="1" t="s">
        <v>48</v>
      </c>
      <c r="AO10" s="1" t="s">
        <v>27</v>
      </c>
      <c r="AP10" s="1" t="s">
        <v>64</v>
      </c>
      <c r="AQ10" s="1" t="s">
        <v>27</v>
      </c>
      <c r="AR10" s="1" t="s">
        <v>48</v>
      </c>
      <c r="AS10" s="1" t="s">
        <v>48</v>
      </c>
      <c r="AT10" s="1" t="s">
        <v>61</v>
      </c>
      <c r="AU10" s="1" t="s">
        <v>51</v>
      </c>
      <c r="AV10" s="1" t="s">
        <v>62</v>
      </c>
      <c r="AW10" s="1" t="s">
        <v>65</v>
      </c>
      <c r="AX10" s="1" t="s">
        <v>27</v>
      </c>
      <c r="AY10" s="1" t="s">
        <v>61</v>
      </c>
      <c r="AZ10" s="1" t="s">
        <v>66</v>
      </c>
      <c r="BA10" s="1" t="s">
        <v>62</v>
      </c>
      <c r="BB10" s="1" t="s">
        <v>64</v>
      </c>
      <c r="BC10" s="1" t="s">
        <v>50</v>
      </c>
      <c r="BD10" s="1" t="s">
        <v>64</v>
      </c>
      <c r="BE10" s="1" t="s">
        <v>62</v>
      </c>
      <c r="BF10" s="1" t="s">
        <v>58</v>
      </c>
      <c r="BG10" s="1" t="s">
        <v>59</v>
      </c>
      <c r="BH10" s="1" t="s">
        <v>64</v>
      </c>
      <c r="BI10" s="1" t="s">
        <v>62</v>
      </c>
      <c r="BJ10" s="1" t="s">
        <v>36</v>
      </c>
      <c r="BK10" s="1" t="s">
        <v>56</v>
      </c>
      <c r="BL10" s="1" t="s">
        <v>62</v>
      </c>
      <c r="BM10" s="1" t="s">
        <v>36</v>
      </c>
      <c r="BN10" s="1" t="s">
        <v>43</v>
      </c>
      <c r="BO10" s="1" t="s">
        <v>67</v>
      </c>
      <c r="BP10" s="1" t="s">
        <v>64</v>
      </c>
      <c r="BQ10" s="1" t="s">
        <v>48</v>
      </c>
      <c r="BR10" s="1" t="s">
        <v>62</v>
      </c>
      <c r="BS10" s="1" t="s">
        <v>39</v>
      </c>
      <c r="BT10" s="1" t="s">
        <v>61</v>
      </c>
      <c r="BU10" s="1" t="s">
        <v>55</v>
      </c>
      <c r="BV10" s="1" t="s">
        <v>68</v>
      </c>
      <c r="BW10" s="1" t="s">
        <v>43</v>
      </c>
      <c r="BX10" s="1" t="s">
        <v>58</v>
      </c>
      <c r="BY10" s="1" t="s">
        <v>39</v>
      </c>
      <c r="BZ10" s="1" t="s">
        <v>32</v>
      </c>
      <c r="CA10" s="1" t="s">
        <v>60</v>
      </c>
      <c r="CB10" s="1" t="s">
        <v>32</v>
      </c>
      <c r="CC10" s="1" t="s">
        <v>56</v>
      </c>
      <c r="CD10" s="1" t="s">
        <v>27</v>
      </c>
      <c r="CE10" s="1" t="s">
        <v>63</v>
      </c>
      <c r="CF10" s="1" t="s">
        <v>62</v>
      </c>
      <c r="CG10" s="1" t="s">
        <v>56</v>
      </c>
      <c r="CH10" s="1" t="s">
        <v>50</v>
      </c>
      <c r="CI10" s="1" t="s">
        <v>65</v>
      </c>
      <c r="CJ10" s="1" t="s">
        <v>39</v>
      </c>
      <c r="CK10" s="1" t="s">
        <v>63</v>
      </c>
      <c r="CL10" s="1" t="s">
        <v>48</v>
      </c>
      <c r="CM10" s="1" t="s">
        <v>27</v>
      </c>
      <c r="CN10" s="1" t="s">
        <v>27</v>
      </c>
      <c r="CO10" s="1" t="s">
        <v>50</v>
      </c>
      <c r="CP10" s="1" t="s">
        <v>56</v>
      </c>
      <c r="CQ10" s="1" t="s">
        <v>60</v>
      </c>
      <c r="CR10" s="1" t="s">
        <v>50</v>
      </c>
      <c r="CS10" s="1" t="s">
        <v>60</v>
      </c>
      <c r="CT10" s="1" t="s">
        <v>60</v>
      </c>
      <c r="CU10" s="1" t="s">
        <v>36</v>
      </c>
      <c r="CV10" s="1" t="s">
        <v>53</v>
      </c>
      <c r="CW10" s="1" t="s">
        <v>43</v>
      </c>
      <c r="CX10" s="1" t="s">
        <v>59</v>
      </c>
      <c r="CY10" s="1" t="s">
        <v>39</v>
      </c>
      <c r="CZ10" s="1" t="s">
        <v>20</v>
      </c>
      <c r="DA10" s="1" t="s">
        <v>53</v>
      </c>
      <c r="DB10" s="1" t="s">
        <v>27</v>
      </c>
      <c r="DC10" s="1" t="s">
        <v>63</v>
      </c>
      <c r="DD10" s="1" t="s">
        <v>60</v>
      </c>
      <c r="DE10" s="1" t="s">
        <v>36</v>
      </c>
      <c r="DF10" s="1" t="s">
        <v>59</v>
      </c>
      <c r="DG10" s="1" t="s">
        <v>56</v>
      </c>
      <c r="DH10" s="1" t="s">
        <v>68</v>
      </c>
      <c r="DI10" s="1" t="s">
        <v>36</v>
      </c>
      <c r="DJ10" s="1" t="s">
        <v>61</v>
      </c>
      <c r="DK10" s="1" t="s">
        <v>69</v>
      </c>
      <c r="DL10" s="1" t="s">
        <v>62</v>
      </c>
      <c r="DM10" s="1" t="s">
        <v>60</v>
      </c>
      <c r="DN10" s="1" t="s">
        <v>58</v>
      </c>
      <c r="DO10" s="1" t="s">
        <v>48</v>
      </c>
      <c r="DP10" s="1" t="s">
        <v>32</v>
      </c>
      <c r="DQ10" s="1" t="s">
        <v>53</v>
      </c>
      <c r="DR10" s="1" t="s">
        <v>62</v>
      </c>
      <c r="DS10" s="1" t="s">
        <v>63</v>
      </c>
      <c r="DT10" s="1" t="s">
        <v>69</v>
      </c>
      <c r="DU10" s="1" t="s">
        <v>61</v>
      </c>
      <c r="DV10" s="1" t="s">
        <v>64</v>
      </c>
      <c r="DW10" s="1" t="s">
        <v>48</v>
      </c>
      <c r="DX10" s="1" t="s">
        <v>39</v>
      </c>
      <c r="DY10" s="1" t="s">
        <v>61</v>
      </c>
      <c r="DZ10" s="1" t="s">
        <v>56</v>
      </c>
      <c r="EA10" s="1" t="s">
        <v>62</v>
      </c>
      <c r="EB10" s="1" t="s">
        <v>32</v>
      </c>
      <c r="EC10" s="1" t="s">
        <v>58</v>
      </c>
      <c r="ED10" s="1" t="s">
        <v>48</v>
      </c>
      <c r="EE10" s="1" t="s">
        <v>65</v>
      </c>
      <c r="EF10" s="1" t="s">
        <v>43</v>
      </c>
      <c r="EG10" s="1" t="s">
        <v>39</v>
      </c>
      <c r="EH10" s="1" t="s">
        <v>50</v>
      </c>
      <c r="EI10" s="1" t="s">
        <v>53</v>
      </c>
      <c r="EJ10" s="1" t="s">
        <v>53</v>
      </c>
      <c r="EK10" s="1" t="s">
        <v>59</v>
      </c>
      <c r="EL10" s="1" t="s">
        <v>39</v>
      </c>
      <c r="EM10" s="1" t="s">
        <v>51</v>
      </c>
      <c r="EN10" s="1" t="s">
        <v>58</v>
      </c>
      <c r="EO10" s="1" t="s">
        <v>55</v>
      </c>
      <c r="EP10" s="1" t="s">
        <v>59</v>
      </c>
      <c r="EQ10" s="1" t="s">
        <v>62</v>
      </c>
      <c r="ER10" s="1" t="s">
        <v>48</v>
      </c>
      <c r="ES10" s="1" t="s">
        <v>20</v>
      </c>
      <c r="ET10" s="1" t="s">
        <v>62</v>
      </c>
      <c r="EU10" s="1" t="s">
        <v>51</v>
      </c>
      <c r="EV10" s="1" t="s">
        <v>63</v>
      </c>
      <c r="EW10" s="1" t="s">
        <v>56</v>
      </c>
      <c r="EX10" s="1" t="s">
        <v>66</v>
      </c>
      <c r="EY10" s="1" t="s">
        <v>43</v>
      </c>
      <c r="EZ10" s="1" t="s">
        <v>56</v>
      </c>
      <c r="FA10" s="1" t="s">
        <v>59</v>
      </c>
      <c r="FB10" s="1" t="s">
        <v>20</v>
      </c>
      <c r="FC10" s="1" t="s">
        <v>63</v>
      </c>
      <c r="FD10" s="1" t="s">
        <v>68</v>
      </c>
      <c r="FE10" s="1" t="s">
        <v>48</v>
      </c>
      <c r="FF10" s="1" t="s">
        <v>20</v>
      </c>
      <c r="FG10" s="1" t="s">
        <v>58</v>
      </c>
      <c r="FH10" s="1" t="s">
        <v>53</v>
      </c>
      <c r="FI10" s="1" t="s">
        <v>64</v>
      </c>
      <c r="FJ10" s="1" t="s">
        <v>62</v>
      </c>
      <c r="FK10" s="1" t="s">
        <v>27</v>
      </c>
      <c r="FL10" s="1" t="s">
        <v>32</v>
      </c>
      <c r="FM10" s="1" t="s">
        <v>56</v>
      </c>
      <c r="FN10" s="1" t="s">
        <v>55</v>
      </c>
      <c r="FO10" s="1" t="s">
        <v>65</v>
      </c>
      <c r="FP10" s="1" t="s">
        <v>43</v>
      </c>
      <c r="FQ10" s="1" t="s">
        <v>63</v>
      </c>
      <c r="FR10" s="1" t="s">
        <v>65</v>
      </c>
      <c r="FS10" s="1" t="s">
        <v>53</v>
      </c>
      <c r="FT10" s="1" t="s">
        <v>32</v>
      </c>
      <c r="FU10" s="1" t="s">
        <v>39</v>
      </c>
      <c r="FV10" s="1" t="s">
        <v>32</v>
      </c>
      <c r="FW10" s="1" t="s">
        <v>61</v>
      </c>
      <c r="FX10" s="1" t="s">
        <v>32</v>
      </c>
      <c r="FY10" s="1" t="s">
        <v>43</v>
      </c>
      <c r="FZ10" s="1" t="s">
        <v>50</v>
      </c>
      <c r="GA10" s="1" t="s">
        <v>59</v>
      </c>
      <c r="GB10" s="1" t="s">
        <v>39</v>
      </c>
      <c r="GC10" s="1" t="s">
        <v>64</v>
      </c>
      <c r="GD10" s="1" t="s">
        <v>39</v>
      </c>
      <c r="GE10" s="1" t="s">
        <v>56</v>
      </c>
      <c r="GF10" s="1" t="s">
        <v>43</v>
      </c>
      <c r="GG10" s="1" t="s">
        <v>53</v>
      </c>
      <c r="GH10" s="1" t="s">
        <v>62</v>
      </c>
      <c r="GI10" s="1" t="s">
        <v>51</v>
      </c>
      <c r="GJ10" s="1" t="s">
        <v>56</v>
      </c>
      <c r="GK10" s="1" t="s">
        <v>60</v>
      </c>
      <c r="GL10" s="1" t="s">
        <v>51</v>
      </c>
      <c r="GM10" s="1" t="s">
        <v>59</v>
      </c>
      <c r="GN10" s="1" t="s">
        <v>65</v>
      </c>
      <c r="GO10" s="1" t="s">
        <v>53</v>
      </c>
      <c r="GP10" s="1" t="s">
        <v>68</v>
      </c>
      <c r="GQ10" s="1" t="s">
        <v>66</v>
      </c>
      <c r="GR10" s="1" t="s">
        <v>51</v>
      </c>
      <c r="GS10" s="1" t="s">
        <v>66</v>
      </c>
      <c r="GT10" s="1" t="s">
        <v>59</v>
      </c>
      <c r="GU10" s="1" t="s">
        <v>65</v>
      </c>
      <c r="GV10" s="1" t="s">
        <v>68</v>
      </c>
      <c r="GW10" s="1" t="s">
        <v>27</v>
      </c>
      <c r="GX10" s="1" t="s">
        <v>60</v>
      </c>
      <c r="GY10" s="1" t="s">
        <v>59</v>
      </c>
      <c r="GZ10" s="1" t="s">
        <v>51</v>
      </c>
      <c r="HA10" s="1" t="s">
        <v>53</v>
      </c>
      <c r="HB10" s="1" t="s">
        <v>50</v>
      </c>
      <c r="HC10" s="1" t="s">
        <v>20</v>
      </c>
      <c r="HD10" s="1" t="s">
        <v>51</v>
      </c>
      <c r="HE10" s="1" t="s">
        <v>61</v>
      </c>
      <c r="HF10" s="1" t="s">
        <v>63</v>
      </c>
      <c r="HG10" s="1" t="s">
        <v>63</v>
      </c>
      <c r="HH10" s="1" t="s">
        <v>27</v>
      </c>
      <c r="HI10" s="1" t="s">
        <v>67</v>
      </c>
      <c r="HJ10" s="1" t="s">
        <v>50</v>
      </c>
      <c r="HK10" s="1" t="s">
        <v>69</v>
      </c>
      <c r="HL10" s="1" t="s">
        <v>64</v>
      </c>
      <c r="HM10" s="1" t="s">
        <v>55</v>
      </c>
      <c r="HN10" s="1" t="s">
        <v>20</v>
      </c>
      <c r="HO10" s="1" t="s">
        <v>51</v>
      </c>
      <c r="HP10" s="1" t="s">
        <v>59</v>
      </c>
      <c r="HQ10" s="1" t="s">
        <v>58</v>
      </c>
      <c r="HR10" s="1" t="s">
        <v>53</v>
      </c>
      <c r="HS10" s="1" t="s">
        <v>63</v>
      </c>
      <c r="HT10" s="1" t="s">
        <v>55</v>
      </c>
      <c r="HU10" s="1" t="s">
        <v>62</v>
      </c>
      <c r="HV10" s="1" t="s">
        <v>68</v>
      </c>
      <c r="HW10" s="1" t="s">
        <v>62</v>
      </c>
      <c r="HX10" s="1" t="s">
        <v>36</v>
      </c>
      <c r="HY10" s="1" t="s">
        <v>59</v>
      </c>
      <c r="HZ10" s="1" t="s">
        <v>55</v>
      </c>
      <c r="IA10" s="1" t="s">
        <v>48</v>
      </c>
      <c r="IB10" s="1" t="s">
        <v>60</v>
      </c>
      <c r="IC10" s="1" t="s">
        <v>60</v>
      </c>
      <c r="ID10" s="1" t="s">
        <v>20</v>
      </c>
      <c r="IE10" s="1" t="s">
        <v>62</v>
      </c>
      <c r="IF10" s="1" t="s">
        <v>63</v>
      </c>
      <c r="IG10" s="1" t="s">
        <v>67</v>
      </c>
      <c r="IH10" s="1" t="s">
        <v>66</v>
      </c>
      <c r="II10" s="1" t="s">
        <v>64</v>
      </c>
      <c r="IJ10" s="1" t="s">
        <v>59</v>
      </c>
      <c r="IK10" s="1" t="s">
        <v>53</v>
      </c>
      <c r="IL10" s="1" t="s">
        <v>51</v>
      </c>
      <c r="IM10" s="1" t="s">
        <v>53</v>
      </c>
      <c r="IN10" s="1" t="s">
        <v>64</v>
      </c>
      <c r="IO10" s="1" t="s">
        <v>39</v>
      </c>
      <c r="IP10" s="1" t="s">
        <v>65</v>
      </c>
      <c r="IQ10" s="1" t="s">
        <v>69</v>
      </c>
      <c r="IR10" s="1" t="s">
        <v>48</v>
      </c>
      <c r="IS10" s="1" t="s">
        <v>60</v>
      </c>
      <c r="IT10" s="1" t="s">
        <v>20</v>
      </c>
      <c r="IU10" s="1" t="s">
        <v>64</v>
      </c>
      <c r="IV10" s="1" t="s">
        <v>20</v>
      </c>
      <c r="IW10" s="1" t="s">
        <v>20</v>
      </c>
      <c r="IX10" s="1" t="s">
        <v>32</v>
      </c>
      <c r="IY10" s="1" t="s">
        <v>59</v>
      </c>
      <c r="IZ10" s="1" t="s">
        <v>51</v>
      </c>
      <c r="JA10" s="1" t="s">
        <v>65</v>
      </c>
      <c r="JB10" s="1" t="s">
        <v>32</v>
      </c>
      <c r="JC10" s="1" t="s">
        <v>59</v>
      </c>
      <c r="JD10" s="1" t="s">
        <v>63</v>
      </c>
      <c r="JE10" s="1" t="s">
        <v>60</v>
      </c>
      <c r="JF10" s="1" t="s">
        <v>61</v>
      </c>
      <c r="JG10" s="1" t="s">
        <v>61</v>
      </c>
      <c r="JH10" s="1" t="s">
        <v>53</v>
      </c>
      <c r="JI10" s="1" t="s">
        <v>39</v>
      </c>
      <c r="JJ10" s="1" t="s">
        <v>51</v>
      </c>
      <c r="JK10" s="1" t="s">
        <v>65</v>
      </c>
      <c r="JL10" s="1" t="s">
        <v>66</v>
      </c>
      <c r="JM10" s="1" t="s">
        <v>48</v>
      </c>
      <c r="JN10" s="1" t="s">
        <v>39</v>
      </c>
      <c r="JO10" s="1" t="s">
        <v>60</v>
      </c>
      <c r="JP10" s="1" t="s">
        <v>64</v>
      </c>
      <c r="JQ10" s="1" t="s">
        <v>53</v>
      </c>
      <c r="JR10" s="1" t="s">
        <v>69</v>
      </c>
      <c r="JS10" s="1" t="s">
        <v>43</v>
      </c>
      <c r="JT10" s="1" t="s">
        <v>60</v>
      </c>
      <c r="JU10" s="1" t="s">
        <v>68</v>
      </c>
      <c r="JV10" s="1" t="s">
        <v>69</v>
      </c>
      <c r="JW10" s="1" t="s">
        <v>67</v>
      </c>
      <c r="JX10" s="1" t="s">
        <v>63</v>
      </c>
      <c r="JY10" s="1" t="s">
        <v>51</v>
      </c>
      <c r="JZ10" s="1" t="s">
        <v>56</v>
      </c>
      <c r="KA10" s="1" t="s">
        <v>58</v>
      </c>
      <c r="KB10" s="1" t="s">
        <v>67</v>
      </c>
      <c r="KC10" s="1" t="s">
        <v>36</v>
      </c>
      <c r="KD10" s="1" t="s">
        <v>58</v>
      </c>
      <c r="KE10" s="1" t="s">
        <v>20</v>
      </c>
      <c r="KF10" s="1" t="s">
        <v>53</v>
      </c>
      <c r="KG10" s="1" t="s">
        <v>67</v>
      </c>
      <c r="KH10" s="1" t="s">
        <v>27</v>
      </c>
      <c r="KI10" s="1" t="s">
        <v>43</v>
      </c>
      <c r="KJ10" s="1" t="s">
        <v>48</v>
      </c>
      <c r="KK10" s="1" t="s">
        <v>48</v>
      </c>
      <c r="KL10" s="1" t="s">
        <v>20</v>
      </c>
      <c r="KM10" s="1" t="s">
        <v>36</v>
      </c>
      <c r="KN10" s="1" t="s">
        <v>43</v>
      </c>
      <c r="KO10" s="1" t="s">
        <v>53</v>
      </c>
      <c r="KP10" s="1" t="s">
        <v>53</v>
      </c>
      <c r="KQ10" s="1" t="s">
        <v>65</v>
      </c>
      <c r="KR10" s="1" t="s">
        <v>67</v>
      </c>
      <c r="KS10" s="1" t="s">
        <v>61</v>
      </c>
      <c r="KT10" s="1" t="s">
        <v>48</v>
      </c>
      <c r="KU10" s="1" t="s">
        <v>62</v>
      </c>
      <c r="KV10" s="1" t="s">
        <v>58</v>
      </c>
      <c r="KW10" s="1" t="s">
        <v>53</v>
      </c>
      <c r="KX10" s="1" t="s">
        <v>51</v>
      </c>
      <c r="KY10" s="1" t="s">
        <v>51</v>
      </c>
      <c r="KZ10" s="1" t="s">
        <v>43</v>
      </c>
      <c r="LA10" s="1" t="s">
        <v>56</v>
      </c>
      <c r="LB10" s="1" t="s">
        <v>62</v>
      </c>
      <c r="LC10" s="1" t="s">
        <v>69</v>
      </c>
      <c r="LD10" s="1" t="s">
        <v>50</v>
      </c>
      <c r="LE10" s="1" t="s">
        <v>58</v>
      </c>
      <c r="LF10" s="1" t="s">
        <v>63</v>
      </c>
      <c r="LG10" s="1" t="s">
        <v>68</v>
      </c>
      <c r="LH10" s="1" t="s">
        <v>50</v>
      </c>
      <c r="LI10" s="1" t="s">
        <v>36</v>
      </c>
      <c r="LJ10" s="1" t="s">
        <v>60</v>
      </c>
      <c r="LK10" s="1" t="s">
        <v>61</v>
      </c>
      <c r="LL10" s="1" t="s">
        <v>48</v>
      </c>
      <c r="LM10" s="1" t="s">
        <v>58</v>
      </c>
      <c r="LN10" s="1" t="s">
        <v>64</v>
      </c>
      <c r="LO10" s="1" t="s">
        <v>60</v>
      </c>
      <c r="LP10" s="1" t="s">
        <v>60</v>
      </c>
      <c r="LQ10" s="1" t="s">
        <v>53</v>
      </c>
      <c r="LR10" s="1" t="s">
        <v>27</v>
      </c>
      <c r="LS10" s="1" t="s">
        <v>64</v>
      </c>
      <c r="LT10" s="1" t="s">
        <v>55</v>
      </c>
      <c r="LU10" s="1" t="s">
        <v>67</v>
      </c>
      <c r="LV10" s="1" t="s">
        <v>60</v>
      </c>
      <c r="LW10" s="1" t="s">
        <v>59</v>
      </c>
      <c r="LX10" s="1" t="s">
        <v>43</v>
      </c>
      <c r="LY10" s="1" t="s">
        <v>66</v>
      </c>
      <c r="LZ10" s="1" t="s">
        <v>62</v>
      </c>
      <c r="MA10" s="1" t="s">
        <v>50</v>
      </c>
      <c r="MB10" s="1" t="s">
        <v>32</v>
      </c>
      <c r="MC10" s="1" t="s">
        <v>50</v>
      </c>
      <c r="MD10" s="1" t="s">
        <v>51</v>
      </c>
      <c r="ME10" s="1" t="s">
        <v>27</v>
      </c>
      <c r="MF10" s="1" t="s">
        <v>51</v>
      </c>
      <c r="MG10" s="1" t="s">
        <v>56</v>
      </c>
      <c r="MH10" s="1" t="s">
        <v>36</v>
      </c>
      <c r="MI10" s="1" t="s">
        <v>36</v>
      </c>
      <c r="MJ10" s="1" t="s">
        <v>20</v>
      </c>
      <c r="MK10" s="1" t="s">
        <v>68</v>
      </c>
      <c r="ML10" s="1" t="s">
        <v>55</v>
      </c>
      <c r="MM10" s="1" t="s">
        <v>62</v>
      </c>
      <c r="MN10" s="1" t="s">
        <v>32</v>
      </c>
      <c r="MO10" s="1" t="s">
        <v>36</v>
      </c>
      <c r="MP10" s="1" t="s">
        <v>67</v>
      </c>
      <c r="MQ10" s="1" t="s">
        <v>58</v>
      </c>
      <c r="MR10" s="1" t="s">
        <v>53</v>
      </c>
      <c r="MS10" s="1" t="s">
        <v>48</v>
      </c>
      <c r="MT10" s="1" t="s">
        <v>58</v>
      </c>
      <c r="MU10" s="1" t="s">
        <v>58</v>
      </c>
      <c r="MV10" s="1" t="s">
        <v>48</v>
      </c>
      <c r="MW10" s="1" t="s">
        <v>32</v>
      </c>
      <c r="MX10" s="1" t="s">
        <v>59</v>
      </c>
      <c r="MY10" s="1" t="s">
        <v>48</v>
      </c>
      <c r="MZ10" s="1" t="s">
        <v>62</v>
      </c>
      <c r="NA10" s="1" t="s">
        <v>67</v>
      </c>
      <c r="NB10" s="1" t="s">
        <v>53</v>
      </c>
      <c r="NC10" s="1" t="s">
        <v>63</v>
      </c>
      <c r="ND10" s="1" t="s">
        <v>62</v>
      </c>
      <c r="NE10" s="1" t="s">
        <v>20</v>
      </c>
      <c r="NF10" s="1" t="s">
        <v>36</v>
      </c>
      <c r="NG10" s="1" t="s">
        <v>63</v>
      </c>
      <c r="NH10" s="1" t="s">
        <v>68</v>
      </c>
      <c r="NI10" s="1" t="s">
        <v>63</v>
      </c>
      <c r="NJ10" s="1" t="s">
        <v>53</v>
      </c>
      <c r="NK10" s="1" t="s">
        <v>58</v>
      </c>
      <c r="NL10" s="1" t="s">
        <v>60</v>
      </c>
      <c r="NM10" s="1" t="s">
        <v>59</v>
      </c>
      <c r="NN10" s="1" t="s">
        <v>56</v>
      </c>
      <c r="NO10" s="1" t="s">
        <v>64</v>
      </c>
      <c r="NP10" s="1" t="s">
        <v>69</v>
      </c>
      <c r="NQ10" s="1" t="s">
        <v>55</v>
      </c>
      <c r="NR10" s="1" t="s">
        <v>56</v>
      </c>
      <c r="NS10" s="1" t="s">
        <v>36</v>
      </c>
      <c r="NT10" s="1" t="s">
        <v>48</v>
      </c>
      <c r="NU10" s="1" t="s">
        <v>55</v>
      </c>
      <c r="NV10" s="1" t="s">
        <v>64</v>
      </c>
      <c r="NW10" s="1" t="s">
        <v>68</v>
      </c>
      <c r="NX10" s="1" t="s">
        <v>32</v>
      </c>
      <c r="NY10" s="1" t="s">
        <v>39</v>
      </c>
      <c r="NZ10" s="1" t="s">
        <v>69</v>
      </c>
      <c r="OA10" s="1" t="s">
        <v>48</v>
      </c>
      <c r="OB10" s="1" t="s">
        <v>66</v>
      </c>
      <c r="OC10" s="1" t="s">
        <v>60</v>
      </c>
      <c r="OD10" s="1" t="s">
        <v>60</v>
      </c>
      <c r="OE10" s="1" t="s">
        <v>50</v>
      </c>
      <c r="OF10" s="1" t="s">
        <v>36</v>
      </c>
      <c r="OG10" s="1" t="s">
        <v>51</v>
      </c>
      <c r="OH10" s="1" t="s">
        <v>39</v>
      </c>
      <c r="OI10" s="1" t="s">
        <v>63</v>
      </c>
      <c r="OJ10" s="1" t="s">
        <v>43</v>
      </c>
      <c r="OK10" s="1" t="s">
        <v>60</v>
      </c>
      <c r="OL10" s="1" t="s">
        <v>48</v>
      </c>
      <c r="OM10" s="1" t="s">
        <v>51</v>
      </c>
      <c r="ON10" s="1" t="s">
        <v>36</v>
      </c>
      <c r="OO10" s="1" t="s">
        <v>66</v>
      </c>
      <c r="OP10" s="1" t="s">
        <v>66</v>
      </c>
      <c r="OQ10" s="1" t="s">
        <v>51</v>
      </c>
      <c r="OR10" s="1" t="s">
        <v>53</v>
      </c>
      <c r="OS10" s="1" t="s">
        <v>63</v>
      </c>
      <c r="OT10" s="1" t="s">
        <v>39</v>
      </c>
      <c r="OU10" s="1" t="s">
        <v>50</v>
      </c>
      <c r="OV10" s="1" t="s">
        <v>43</v>
      </c>
      <c r="OW10" s="1" t="s">
        <v>63</v>
      </c>
      <c r="OX10" s="1" t="s">
        <v>53</v>
      </c>
      <c r="OY10" s="1" t="s">
        <v>36</v>
      </c>
      <c r="OZ10" s="1" t="s">
        <v>67</v>
      </c>
      <c r="PA10" s="1" t="s">
        <v>63</v>
      </c>
      <c r="PB10" s="1" t="s">
        <v>64</v>
      </c>
      <c r="PC10" s="1" t="s">
        <v>56</v>
      </c>
      <c r="PD10" s="1" t="s">
        <v>27</v>
      </c>
      <c r="PE10" s="1" t="s">
        <v>66</v>
      </c>
      <c r="PF10" s="1" t="s">
        <v>64</v>
      </c>
      <c r="PG10" s="1" t="s">
        <v>64</v>
      </c>
      <c r="PH10" s="1" t="s">
        <v>60</v>
      </c>
      <c r="PI10" s="1" t="s">
        <v>56</v>
      </c>
      <c r="PJ10" s="1" t="s">
        <v>39</v>
      </c>
      <c r="PK10" s="1" t="s">
        <v>32</v>
      </c>
      <c r="PL10" s="1" t="s">
        <v>55</v>
      </c>
      <c r="PM10" s="1" t="s">
        <v>51</v>
      </c>
      <c r="PN10" s="1" t="s">
        <v>56</v>
      </c>
      <c r="PO10" s="1" t="s">
        <v>69</v>
      </c>
      <c r="PP10" s="1" t="s">
        <v>51</v>
      </c>
      <c r="PQ10" s="1" t="s">
        <v>61</v>
      </c>
      <c r="PR10" s="1" t="s">
        <v>51</v>
      </c>
      <c r="PS10" s="1" t="s">
        <v>20</v>
      </c>
      <c r="PT10" s="1" t="s">
        <v>56</v>
      </c>
      <c r="PU10" s="1" t="s">
        <v>60</v>
      </c>
      <c r="PV10" s="1" t="s">
        <v>62</v>
      </c>
      <c r="PW10" s="1" t="s">
        <v>61</v>
      </c>
      <c r="PX10" s="1" t="s">
        <v>51</v>
      </c>
      <c r="PY10" s="1" t="s">
        <v>50</v>
      </c>
      <c r="PZ10" s="1" t="s">
        <v>65</v>
      </c>
      <c r="QA10" s="1" t="s">
        <v>58</v>
      </c>
      <c r="QB10" s="1" t="s">
        <v>65</v>
      </c>
      <c r="QC10" s="1" t="s">
        <v>32</v>
      </c>
      <c r="QD10" s="1" t="s">
        <v>48</v>
      </c>
      <c r="QE10" s="1" t="s">
        <v>27</v>
      </c>
      <c r="QF10" s="1" t="s">
        <v>69</v>
      </c>
      <c r="QG10" s="1" t="s">
        <v>20</v>
      </c>
      <c r="QH10" s="1" t="s">
        <v>66</v>
      </c>
      <c r="QI10" s="1" t="s">
        <v>32</v>
      </c>
      <c r="QJ10" s="1" t="s">
        <v>59</v>
      </c>
      <c r="QK10" s="1" t="s">
        <v>68</v>
      </c>
      <c r="QL10" s="1" t="s">
        <v>27</v>
      </c>
      <c r="QM10" s="1" t="s">
        <v>58</v>
      </c>
      <c r="QN10" s="1" t="s">
        <v>64</v>
      </c>
      <c r="QO10" s="1" t="s">
        <v>27</v>
      </c>
      <c r="QP10" s="1" t="s">
        <v>27</v>
      </c>
      <c r="QQ10" s="1" t="s">
        <v>55</v>
      </c>
      <c r="QR10" s="1" t="s">
        <v>63</v>
      </c>
      <c r="QS10" s="1" t="s">
        <v>50</v>
      </c>
      <c r="QT10" s="1" t="s">
        <v>64</v>
      </c>
      <c r="QU10" s="1" t="s">
        <v>64</v>
      </c>
      <c r="QV10" s="1" t="s">
        <v>36</v>
      </c>
      <c r="QW10" s="1" t="s">
        <v>65</v>
      </c>
      <c r="QX10" s="1" t="s">
        <v>43</v>
      </c>
      <c r="QY10" s="1" t="s">
        <v>43</v>
      </c>
      <c r="QZ10" s="1" t="s">
        <v>69</v>
      </c>
      <c r="RA10" s="1" t="s">
        <v>59</v>
      </c>
      <c r="RB10" s="1" t="s">
        <v>48</v>
      </c>
      <c r="RC10" s="1" t="s">
        <v>36</v>
      </c>
      <c r="RD10" s="1" t="s">
        <v>48</v>
      </c>
      <c r="RE10" s="1" t="s">
        <v>48</v>
      </c>
      <c r="RF10" s="1" t="s">
        <v>48</v>
      </c>
      <c r="RG10" s="1" t="s">
        <v>27</v>
      </c>
      <c r="RH10" s="1" t="s">
        <v>55</v>
      </c>
      <c r="RI10" s="1" t="s">
        <v>20</v>
      </c>
      <c r="RJ10" s="1" t="s">
        <v>48</v>
      </c>
      <c r="RK10" s="1" t="s">
        <v>62</v>
      </c>
      <c r="RL10" s="1" t="s">
        <v>68</v>
      </c>
      <c r="RM10" s="1" t="s">
        <v>36</v>
      </c>
      <c r="RN10" s="1" t="s">
        <v>50</v>
      </c>
      <c r="RO10" s="1" t="s">
        <v>67</v>
      </c>
      <c r="RP10" s="1" t="s">
        <v>61</v>
      </c>
      <c r="RQ10" s="1" t="s">
        <v>65</v>
      </c>
      <c r="RR10" s="1" t="s">
        <v>43</v>
      </c>
      <c r="RS10" s="1" t="s">
        <v>63</v>
      </c>
      <c r="RT10" s="1" t="s">
        <v>53</v>
      </c>
      <c r="RU10" s="1" t="s">
        <v>60</v>
      </c>
      <c r="RV10" s="1" t="s">
        <v>62</v>
      </c>
      <c r="RW10" s="1" t="s">
        <v>32</v>
      </c>
      <c r="RX10" s="1" t="s">
        <v>63</v>
      </c>
      <c r="RY10" s="1" t="s">
        <v>32</v>
      </c>
      <c r="RZ10" s="1" t="s">
        <v>68</v>
      </c>
      <c r="SA10" s="1" t="s">
        <v>67</v>
      </c>
      <c r="SB10" s="1" t="s">
        <v>59</v>
      </c>
      <c r="SC10" s="1" t="s">
        <v>60</v>
      </c>
      <c r="SD10" s="1" t="s">
        <v>39</v>
      </c>
      <c r="SE10" s="1" t="s">
        <v>36</v>
      </c>
      <c r="SF10" s="1" t="s">
        <v>60</v>
      </c>
      <c r="SG10" s="1" t="s">
        <v>65</v>
      </c>
    </row>
    <row r="11" spans="1:501" x14ac:dyDescent="0.3">
      <c r="A11" s="3" t="s">
        <v>10</v>
      </c>
      <c r="B11" s="1" t="s">
        <v>21</v>
      </c>
      <c r="C11" s="1" t="s">
        <v>28</v>
      </c>
      <c r="D11" s="1" t="s">
        <v>33</v>
      </c>
      <c r="E11" s="1" t="s">
        <v>21</v>
      </c>
      <c r="F11" s="1" t="s">
        <v>21</v>
      </c>
      <c r="G11" s="1" t="s">
        <v>33</v>
      </c>
      <c r="H11" s="1" t="s">
        <v>45</v>
      </c>
      <c r="I11" s="1" t="s">
        <v>47</v>
      </c>
      <c r="J11" s="1" t="s">
        <v>28</v>
      </c>
      <c r="K11" s="1" t="s">
        <v>47</v>
      </c>
      <c r="L11" s="1" t="s">
        <v>33</v>
      </c>
      <c r="M11" s="1" t="s">
        <v>21</v>
      </c>
      <c r="N11" s="1" t="s">
        <v>21</v>
      </c>
      <c r="O11" s="1" t="s">
        <v>28</v>
      </c>
      <c r="P11" s="1" t="s">
        <v>21</v>
      </c>
      <c r="Q11" s="1" t="s">
        <v>21</v>
      </c>
      <c r="R11" s="1" t="s">
        <v>28</v>
      </c>
      <c r="S11" s="1" t="s">
        <v>28</v>
      </c>
      <c r="T11" s="1" t="s">
        <v>33</v>
      </c>
      <c r="U11" s="1" t="s">
        <v>21</v>
      </c>
      <c r="V11" s="1" t="s">
        <v>21</v>
      </c>
      <c r="W11" s="1" t="s">
        <v>33</v>
      </c>
      <c r="X11" s="1" t="s">
        <v>45</v>
      </c>
      <c r="Y11" s="1" t="s">
        <v>45</v>
      </c>
      <c r="Z11" s="1" t="s">
        <v>45</v>
      </c>
      <c r="AA11" s="1" t="s">
        <v>33</v>
      </c>
      <c r="AB11" s="1" t="s">
        <v>21</v>
      </c>
      <c r="AC11" s="1" t="s">
        <v>33</v>
      </c>
      <c r="AD11" s="1" t="s">
        <v>33</v>
      </c>
      <c r="AE11" s="1" t="s">
        <v>45</v>
      </c>
      <c r="AF11" s="1" t="s">
        <v>47</v>
      </c>
      <c r="AG11" s="1" t="s">
        <v>21</v>
      </c>
      <c r="AH11" s="1" t="s">
        <v>45</v>
      </c>
      <c r="AI11" s="1" t="s">
        <v>47</v>
      </c>
      <c r="AJ11" s="1" t="s">
        <v>47</v>
      </c>
      <c r="AK11" s="1" t="s">
        <v>28</v>
      </c>
      <c r="AL11" s="1" t="s">
        <v>21</v>
      </c>
      <c r="AM11" s="1" t="s">
        <v>47</v>
      </c>
      <c r="AN11" s="1" t="s">
        <v>45</v>
      </c>
      <c r="AO11" s="1" t="s">
        <v>28</v>
      </c>
      <c r="AP11" s="1" t="s">
        <v>21</v>
      </c>
      <c r="AQ11" s="1" t="s">
        <v>33</v>
      </c>
      <c r="AR11" s="1" t="s">
        <v>45</v>
      </c>
      <c r="AS11" s="1" t="s">
        <v>47</v>
      </c>
      <c r="AT11" s="1" t="s">
        <v>47</v>
      </c>
      <c r="AU11" s="1" t="s">
        <v>45</v>
      </c>
      <c r="AV11" s="1" t="s">
        <v>47</v>
      </c>
      <c r="AW11" s="1" t="s">
        <v>28</v>
      </c>
      <c r="AX11" s="1" t="s">
        <v>21</v>
      </c>
      <c r="AY11" s="1" t="s">
        <v>28</v>
      </c>
      <c r="AZ11" s="1" t="s">
        <v>47</v>
      </c>
      <c r="BA11" s="1" t="s">
        <v>33</v>
      </c>
      <c r="BB11" s="1" t="s">
        <v>21</v>
      </c>
      <c r="BC11" s="1" t="s">
        <v>21</v>
      </c>
      <c r="BD11" s="1" t="s">
        <v>45</v>
      </c>
      <c r="BE11" s="1" t="s">
        <v>45</v>
      </c>
      <c r="BF11" s="1" t="s">
        <v>33</v>
      </c>
      <c r="BG11" s="1" t="s">
        <v>21</v>
      </c>
      <c r="BH11" s="1" t="s">
        <v>33</v>
      </c>
      <c r="BI11" s="1" t="s">
        <v>45</v>
      </c>
      <c r="BJ11" s="1" t="s">
        <v>45</v>
      </c>
      <c r="BK11" s="1" t="s">
        <v>21</v>
      </c>
      <c r="BL11" s="1" t="s">
        <v>28</v>
      </c>
      <c r="BM11" s="1" t="s">
        <v>47</v>
      </c>
      <c r="BN11" s="1" t="s">
        <v>45</v>
      </c>
      <c r="BO11" s="1" t="s">
        <v>45</v>
      </c>
      <c r="BP11" s="1" t="s">
        <v>28</v>
      </c>
      <c r="BQ11" s="1" t="s">
        <v>28</v>
      </c>
      <c r="BR11" s="1" t="s">
        <v>33</v>
      </c>
      <c r="BS11" s="1" t="s">
        <v>33</v>
      </c>
      <c r="BT11" s="1" t="s">
        <v>47</v>
      </c>
      <c r="BU11" s="1" t="s">
        <v>47</v>
      </c>
      <c r="BV11" s="1" t="s">
        <v>21</v>
      </c>
      <c r="BW11" s="1" t="s">
        <v>33</v>
      </c>
      <c r="BX11" s="1" t="s">
        <v>45</v>
      </c>
      <c r="BY11" s="1" t="s">
        <v>33</v>
      </c>
      <c r="BZ11" s="1" t="s">
        <v>45</v>
      </c>
      <c r="CA11" s="1" t="s">
        <v>28</v>
      </c>
      <c r="CB11" s="1" t="s">
        <v>33</v>
      </c>
      <c r="CC11" s="1" t="s">
        <v>28</v>
      </c>
      <c r="CD11" s="1" t="s">
        <v>47</v>
      </c>
      <c r="CE11" s="1" t="s">
        <v>47</v>
      </c>
      <c r="CF11" s="1" t="s">
        <v>21</v>
      </c>
      <c r="CG11" s="1" t="s">
        <v>33</v>
      </c>
      <c r="CH11" s="1" t="s">
        <v>28</v>
      </c>
      <c r="CI11" s="1" t="s">
        <v>45</v>
      </c>
      <c r="CJ11" s="1" t="s">
        <v>47</v>
      </c>
      <c r="CK11" s="1" t="s">
        <v>47</v>
      </c>
      <c r="CL11" s="1" t="s">
        <v>45</v>
      </c>
      <c r="CM11" s="1" t="s">
        <v>28</v>
      </c>
      <c r="CN11" s="1" t="s">
        <v>28</v>
      </c>
      <c r="CO11" s="1" t="s">
        <v>33</v>
      </c>
      <c r="CP11" s="1" t="s">
        <v>33</v>
      </c>
      <c r="CQ11" s="1" t="s">
        <v>21</v>
      </c>
      <c r="CR11" s="1" t="s">
        <v>47</v>
      </c>
      <c r="CS11" s="1" t="s">
        <v>33</v>
      </c>
      <c r="CT11" s="1" t="s">
        <v>28</v>
      </c>
      <c r="CU11" s="1" t="s">
        <v>45</v>
      </c>
      <c r="CV11" s="1" t="s">
        <v>28</v>
      </c>
      <c r="CW11" s="1" t="s">
        <v>47</v>
      </c>
      <c r="CX11" s="1" t="s">
        <v>28</v>
      </c>
      <c r="CY11" s="1" t="s">
        <v>21</v>
      </c>
      <c r="CZ11" s="1" t="s">
        <v>47</v>
      </c>
      <c r="DA11" s="1" t="s">
        <v>45</v>
      </c>
      <c r="DB11" s="1" t="s">
        <v>21</v>
      </c>
      <c r="DC11" s="1" t="s">
        <v>47</v>
      </c>
      <c r="DD11" s="1" t="s">
        <v>45</v>
      </c>
      <c r="DE11" s="1" t="s">
        <v>21</v>
      </c>
      <c r="DF11" s="1" t="s">
        <v>21</v>
      </c>
      <c r="DG11" s="1" t="s">
        <v>47</v>
      </c>
      <c r="DH11" s="1" t="s">
        <v>33</v>
      </c>
      <c r="DI11" s="1" t="s">
        <v>21</v>
      </c>
      <c r="DJ11" s="1" t="s">
        <v>21</v>
      </c>
      <c r="DK11" s="1" t="s">
        <v>45</v>
      </c>
      <c r="DL11" s="1" t="s">
        <v>28</v>
      </c>
      <c r="DM11" s="1" t="s">
        <v>47</v>
      </c>
      <c r="DN11" s="1" t="s">
        <v>47</v>
      </c>
      <c r="DO11" s="1" t="s">
        <v>33</v>
      </c>
      <c r="DP11" s="1" t="s">
        <v>33</v>
      </c>
      <c r="DQ11" s="1" t="s">
        <v>47</v>
      </c>
      <c r="DR11" s="1" t="s">
        <v>33</v>
      </c>
      <c r="DS11" s="1" t="s">
        <v>45</v>
      </c>
      <c r="DT11" s="1" t="s">
        <v>47</v>
      </c>
      <c r="DU11" s="1" t="s">
        <v>33</v>
      </c>
      <c r="DV11" s="1" t="s">
        <v>47</v>
      </c>
      <c r="DW11" s="1" t="s">
        <v>28</v>
      </c>
      <c r="DX11" s="1" t="s">
        <v>21</v>
      </c>
      <c r="DY11" s="1" t="s">
        <v>47</v>
      </c>
      <c r="DZ11" s="1" t="s">
        <v>21</v>
      </c>
      <c r="EA11" s="1" t="s">
        <v>33</v>
      </c>
      <c r="EB11" s="1" t="s">
        <v>21</v>
      </c>
      <c r="EC11" s="1" t="s">
        <v>47</v>
      </c>
      <c r="ED11" s="1" t="s">
        <v>28</v>
      </c>
      <c r="EE11" s="1" t="s">
        <v>33</v>
      </c>
      <c r="EF11" s="1" t="s">
        <v>47</v>
      </c>
      <c r="EG11" s="1" t="s">
        <v>33</v>
      </c>
      <c r="EH11" s="1" t="s">
        <v>45</v>
      </c>
      <c r="EI11" s="1" t="s">
        <v>21</v>
      </c>
      <c r="EJ11" s="1" t="s">
        <v>45</v>
      </c>
      <c r="EK11" s="1" t="s">
        <v>47</v>
      </c>
      <c r="EL11" s="1" t="s">
        <v>28</v>
      </c>
      <c r="EM11" s="1" t="s">
        <v>33</v>
      </c>
      <c r="EN11" s="1" t="s">
        <v>21</v>
      </c>
      <c r="EO11" s="1" t="s">
        <v>33</v>
      </c>
      <c r="EP11" s="1" t="s">
        <v>47</v>
      </c>
      <c r="EQ11" s="1" t="s">
        <v>33</v>
      </c>
      <c r="ER11" s="1" t="s">
        <v>21</v>
      </c>
      <c r="ES11" s="1" t="s">
        <v>47</v>
      </c>
      <c r="ET11" s="1" t="s">
        <v>33</v>
      </c>
      <c r="EU11" s="1" t="s">
        <v>28</v>
      </c>
      <c r="EV11" s="1" t="s">
        <v>47</v>
      </c>
      <c r="EW11" s="1" t="s">
        <v>47</v>
      </c>
      <c r="EX11" s="1" t="s">
        <v>28</v>
      </c>
      <c r="EY11" s="1" t="s">
        <v>45</v>
      </c>
      <c r="EZ11" s="1" t="s">
        <v>21</v>
      </c>
      <c r="FA11" s="1" t="s">
        <v>45</v>
      </c>
      <c r="FB11" s="1" t="s">
        <v>33</v>
      </c>
      <c r="FC11" s="1" t="s">
        <v>28</v>
      </c>
      <c r="FD11" s="1" t="s">
        <v>45</v>
      </c>
      <c r="FE11" s="1" t="s">
        <v>47</v>
      </c>
      <c r="FF11" s="1" t="s">
        <v>33</v>
      </c>
      <c r="FG11" s="1" t="s">
        <v>33</v>
      </c>
      <c r="FH11" s="1" t="s">
        <v>45</v>
      </c>
      <c r="FI11" s="1" t="s">
        <v>45</v>
      </c>
      <c r="FJ11" s="1" t="s">
        <v>28</v>
      </c>
      <c r="FK11" s="1" t="s">
        <v>21</v>
      </c>
      <c r="FL11" s="1" t="s">
        <v>45</v>
      </c>
      <c r="FM11" s="1" t="s">
        <v>45</v>
      </c>
      <c r="FN11" s="1" t="s">
        <v>47</v>
      </c>
      <c r="FO11" s="1" t="s">
        <v>33</v>
      </c>
      <c r="FP11" s="1" t="s">
        <v>21</v>
      </c>
      <c r="FQ11" s="1" t="s">
        <v>47</v>
      </c>
      <c r="FR11" s="1" t="s">
        <v>28</v>
      </c>
      <c r="FS11" s="1" t="s">
        <v>28</v>
      </c>
      <c r="FT11" s="1" t="s">
        <v>45</v>
      </c>
      <c r="FU11" s="1" t="s">
        <v>45</v>
      </c>
      <c r="FV11" s="1" t="s">
        <v>28</v>
      </c>
      <c r="FW11" s="1" t="s">
        <v>45</v>
      </c>
      <c r="FX11" s="1" t="s">
        <v>21</v>
      </c>
      <c r="FY11" s="1" t="s">
        <v>45</v>
      </c>
      <c r="FZ11" s="1" t="s">
        <v>33</v>
      </c>
      <c r="GA11" s="1" t="s">
        <v>45</v>
      </c>
      <c r="GB11" s="1" t="s">
        <v>47</v>
      </c>
      <c r="GC11" s="1" t="s">
        <v>21</v>
      </c>
      <c r="GD11" s="1" t="s">
        <v>47</v>
      </c>
      <c r="GE11" s="1" t="s">
        <v>47</v>
      </c>
      <c r="GF11" s="1" t="s">
        <v>33</v>
      </c>
      <c r="GG11" s="1" t="s">
        <v>21</v>
      </c>
      <c r="GH11" s="1" t="s">
        <v>21</v>
      </c>
      <c r="GI11" s="1" t="s">
        <v>21</v>
      </c>
      <c r="GJ11" s="1" t="s">
        <v>21</v>
      </c>
      <c r="GK11" s="1" t="s">
        <v>21</v>
      </c>
      <c r="GL11" s="1" t="s">
        <v>33</v>
      </c>
      <c r="GM11" s="1" t="s">
        <v>45</v>
      </c>
      <c r="GN11" s="1" t="s">
        <v>47</v>
      </c>
      <c r="GO11" s="1" t="s">
        <v>21</v>
      </c>
      <c r="GP11" s="1" t="s">
        <v>45</v>
      </c>
      <c r="GQ11" s="1" t="s">
        <v>45</v>
      </c>
      <c r="GR11" s="1" t="s">
        <v>47</v>
      </c>
      <c r="GS11" s="1" t="s">
        <v>33</v>
      </c>
      <c r="GT11" s="1" t="s">
        <v>28</v>
      </c>
      <c r="GU11" s="1" t="s">
        <v>28</v>
      </c>
      <c r="GV11" s="1" t="s">
        <v>45</v>
      </c>
      <c r="GW11" s="1" t="s">
        <v>47</v>
      </c>
      <c r="GX11" s="1" t="s">
        <v>28</v>
      </c>
      <c r="GY11" s="1" t="s">
        <v>45</v>
      </c>
      <c r="GZ11" s="1" t="s">
        <v>33</v>
      </c>
      <c r="HA11" s="1" t="s">
        <v>28</v>
      </c>
      <c r="HB11" s="1" t="s">
        <v>45</v>
      </c>
      <c r="HC11" s="1" t="s">
        <v>45</v>
      </c>
      <c r="HD11" s="1" t="s">
        <v>21</v>
      </c>
      <c r="HE11" s="1" t="s">
        <v>33</v>
      </c>
      <c r="HF11" s="1" t="s">
        <v>21</v>
      </c>
      <c r="HG11" s="1" t="s">
        <v>47</v>
      </c>
      <c r="HH11" s="1" t="s">
        <v>21</v>
      </c>
      <c r="HI11" s="1" t="s">
        <v>21</v>
      </c>
      <c r="HJ11" s="1" t="s">
        <v>28</v>
      </c>
      <c r="HK11" s="1" t="s">
        <v>45</v>
      </c>
      <c r="HL11" s="1" t="s">
        <v>33</v>
      </c>
      <c r="HM11" s="1" t="s">
        <v>21</v>
      </c>
      <c r="HN11" s="1" t="s">
        <v>33</v>
      </c>
      <c r="HO11" s="1" t="s">
        <v>21</v>
      </c>
      <c r="HP11" s="1" t="s">
        <v>47</v>
      </c>
      <c r="HQ11" s="1" t="s">
        <v>21</v>
      </c>
      <c r="HR11" s="1" t="s">
        <v>28</v>
      </c>
      <c r="HS11" s="1" t="s">
        <v>45</v>
      </c>
      <c r="HT11" s="1" t="s">
        <v>47</v>
      </c>
      <c r="HU11" s="1" t="s">
        <v>21</v>
      </c>
      <c r="HV11" s="1" t="s">
        <v>33</v>
      </c>
      <c r="HW11" s="1" t="s">
        <v>47</v>
      </c>
      <c r="HX11" s="1" t="s">
        <v>47</v>
      </c>
      <c r="HY11" s="1" t="s">
        <v>21</v>
      </c>
      <c r="HZ11" s="1" t="s">
        <v>47</v>
      </c>
      <c r="IA11" s="1" t="s">
        <v>33</v>
      </c>
      <c r="IB11" s="1" t="s">
        <v>47</v>
      </c>
      <c r="IC11" s="1" t="s">
        <v>33</v>
      </c>
      <c r="ID11" s="1" t="s">
        <v>21</v>
      </c>
      <c r="IE11" s="1" t="s">
        <v>45</v>
      </c>
      <c r="IF11" s="1" t="s">
        <v>47</v>
      </c>
      <c r="IG11" s="1" t="s">
        <v>45</v>
      </c>
      <c r="IH11" s="1" t="s">
        <v>33</v>
      </c>
      <c r="II11" s="1" t="s">
        <v>47</v>
      </c>
      <c r="IJ11" s="1" t="s">
        <v>28</v>
      </c>
      <c r="IK11" s="1" t="s">
        <v>45</v>
      </c>
      <c r="IL11" s="1" t="s">
        <v>47</v>
      </c>
      <c r="IM11" s="1" t="s">
        <v>45</v>
      </c>
      <c r="IN11" s="1" t="s">
        <v>47</v>
      </c>
      <c r="IO11" s="1" t="s">
        <v>21</v>
      </c>
      <c r="IP11" s="1" t="s">
        <v>45</v>
      </c>
      <c r="IQ11" s="1" t="s">
        <v>28</v>
      </c>
      <c r="IR11" s="1" t="s">
        <v>28</v>
      </c>
      <c r="IS11" s="1" t="s">
        <v>33</v>
      </c>
      <c r="IT11" s="1" t="s">
        <v>47</v>
      </c>
      <c r="IU11" s="1" t="s">
        <v>45</v>
      </c>
      <c r="IV11" s="1" t="s">
        <v>33</v>
      </c>
      <c r="IW11" s="1" t="s">
        <v>45</v>
      </c>
      <c r="IX11" s="1" t="s">
        <v>47</v>
      </c>
      <c r="IY11" s="1" t="s">
        <v>28</v>
      </c>
      <c r="IZ11" s="1" t="s">
        <v>21</v>
      </c>
      <c r="JA11" s="1" t="s">
        <v>28</v>
      </c>
      <c r="JB11" s="1" t="s">
        <v>33</v>
      </c>
      <c r="JC11" s="1" t="s">
        <v>21</v>
      </c>
      <c r="JD11" s="1" t="s">
        <v>33</v>
      </c>
      <c r="JE11" s="1" t="s">
        <v>47</v>
      </c>
      <c r="JF11" s="1" t="s">
        <v>21</v>
      </c>
      <c r="JG11" s="1" t="s">
        <v>33</v>
      </c>
      <c r="JH11" s="1" t="s">
        <v>47</v>
      </c>
      <c r="JI11" s="1" t="s">
        <v>28</v>
      </c>
      <c r="JJ11" s="1" t="s">
        <v>47</v>
      </c>
      <c r="JK11" s="1" t="s">
        <v>45</v>
      </c>
      <c r="JL11" s="1" t="s">
        <v>47</v>
      </c>
      <c r="JM11" s="1" t="s">
        <v>47</v>
      </c>
      <c r="JN11" s="1" t="s">
        <v>45</v>
      </c>
      <c r="JO11" s="1" t="s">
        <v>33</v>
      </c>
      <c r="JP11" s="1" t="s">
        <v>33</v>
      </c>
      <c r="JQ11" s="1" t="s">
        <v>47</v>
      </c>
      <c r="JR11" s="1" t="s">
        <v>45</v>
      </c>
      <c r="JS11" s="1" t="s">
        <v>45</v>
      </c>
      <c r="JT11" s="1" t="s">
        <v>28</v>
      </c>
      <c r="JU11" s="1" t="s">
        <v>33</v>
      </c>
      <c r="JV11" s="1" t="s">
        <v>21</v>
      </c>
      <c r="JW11" s="1" t="s">
        <v>33</v>
      </c>
      <c r="JX11" s="1" t="s">
        <v>33</v>
      </c>
      <c r="JY11" s="1" t="s">
        <v>28</v>
      </c>
      <c r="JZ11" s="1" t="s">
        <v>21</v>
      </c>
      <c r="KA11" s="1" t="s">
        <v>28</v>
      </c>
      <c r="KB11" s="1" t="s">
        <v>21</v>
      </c>
      <c r="KC11" s="1" t="s">
        <v>47</v>
      </c>
      <c r="KD11" s="1" t="s">
        <v>21</v>
      </c>
      <c r="KE11" s="1" t="s">
        <v>28</v>
      </c>
      <c r="KF11" s="1" t="s">
        <v>33</v>
      </c>
      <c r="KG11" s="1" t="s">
        <v>21</v>
      </c>
      <c r="KH11" s="1" t="s">
        <v>21</v>
      </c>
      <c r="KI11" s="1" t="s">
        <v>45</v>
      </c>
      <c r="KJ11" s="1" t="s">
        <v>33</v>
      </c>
      <c r="KK11" s="1" t="s">
        <v>47</v>
      </c>
      <c r="KL11" s="1" t="s">
        <v>28</v>
      </c>
      <c r="KM11" s="1" t="s">
        <v>47</v>
      </c>
      <c r="KN11" s="1" t="s">
        <v>33</v>
      </c>
      <c r="KO11" s="1" t="s">
        <v>21</v>
      </c>
      <c r="KP11" s="1" t="s">
        <v>21</v>
      </c>
      <c r="KQ11" s="1" t="s">
        <v>33</v>
      </c>
      <c r="KR11" s="1" t="s">
        <v>21</v>
      </c>
      <c r="KS11" s="1" t="s">
        <v>21</v>
      </c>
      <c r="KT11" s="1" t="s">
        <v>21</v>
      </c>
      <c r="KU11" s="1" t="s">
        <v>28</v>
      </c>
      <c r="KV11" s="1" t="s">
        <v>28</v>
      </c>
      <c r="KW11" s="1" t="s">
        <v>45</v>
      </c>
      <c r="KX11" s="1" t="s">
        <v>47</v>
      </c>
      <c r="KY11" s="1" t="s">
        <v>33</v>
      </c>
      <c r="KZ11" s="1" t="s">
        <v>33</v>
      </c>
      <c r="LA11" s="1" t="s">
        <v>33</v>
      </c>
      <c r="LB11" s="1" t="s">
        <v>45</v>
      </c>
      <c r="LC11" s="1" t="s">
        <v>28</v>
      </c>
      <c r="LD11" s="1" t="s">
        <v>45</v>
      </c>
      <c r="LE11" s="1" t="s">
        <v>33</v>
      </c>
      <c r="LF11" s="1" t="s">
        <v>47</v>
      </c>
      <c r="LG11" s="1" t="s">
        <v>21</v>
      </c>
      <c r="LH11" s="1" t="s">
        <v>28</v>
      </c>
      <c r="LI11" s="1" t="s">
        <v>28</v>
      </c>
      <c r="LJ11" s="1" t="s">
        <v>45</v>
      </c>
      <c r="LK11" s="1" t="s">
        <v>28</v>
      </c>
      <c r="LL11" s="1" t="s">
        <v>33</v>
      </c>
      <c r="LM11" s="1" t="s">
        <v>33</v>
      </c>
      <c r="LN11" s="1" t="s">
        <v>45</v>
      </c>
      <c r="LO11" s="1" t="s">
        <v>33</v>
      </c>
      <c r="LP11" s="1" t="s">
        <v>47</v>
      </c>
      <c r="LQ11" s="1" t="s">
        <v>45</v>
      </c>
      <c r="LR11" s="1" t="s">
        <v>47</v>
      </c>
      <c r="LS11" s="1" t="s">
        <v>21</v>
      </c>
      <c r="LT11" s="1" t="s">
        <v>47</v>
      </c>
      <c r="LU11" s="1" t="s">
        <v>21</v>
      </c>
      <c r="LV11" s="1" t="s">
        <v>21</v>
      </c>
      <c r="LW11" s="1" t="s">
        <v>47</v>
      </c>
      <c r="LX11" s="1" t="s">
        <v>45</v>
      </c>
      <c r="LY11" s="1" t="s">
        <v>33</v>
      </c>
      <c r="LZ11" s="1" t="s">
        <v>33</v>
      </c>
      <c r="MA11" s="1" t="s">
        <v>21</v>
      </c>
      <c r="MB11" s="1" t="s">
        <v>21</v>
      </c>
      <c r="MC11" s="1" t="s">
        <v>45</v>
      </c>
      <c r="MD11" s="1" t="s">
        <v>28</v>
      </c>
      <c r="ME11" s="1" t="s">
        <v>47</v>
      </c>
      <c r="MF11" s="1" t="s">
        <v>21</v>
      </c>
      <c r="MG11" s="1" t="s">
        <v>33</v>
      </c>
      <c r="MH11" s="1" t="s">
        <v>45</v>
      </c>
      <c r="MI11" s="1" t="s">
        <v>47</v>
      </c>
      <c r="MJ11" s="1" t="s">
        <v>45</v>
      </c>
      <c r="MK11" s="1" t="s">
        <v>47</v>
      </c>
      <c r="ML11" s="1" t="s">
        <v>47</v>
      </c>
      <c r="MM11" s="1" t="s">
        <v>21</v>
      </c>
      <c r="MN11" s="1" t="s">
        <v>45</v>
      </c>
      <c r="MO11" s="1" t="s">
        <v>45</v>
      </c>
      <c r="MP11" s="1" t="s">
        <v>33</v>
      </c>
      <c r="MQ11" s="1" t="s">
        <v>33</v>
      </c>
      <c r="MR11" s="1" t="s">
        <v>21</v>
      </c>
      <c r="MS11" s="1" t="s">
        <v>21</v>
      </c>
      <c r="MT11" s="1" t="s">
        <v>28</v>
      </c>
      <c r="MU11" s="1" t="s">
        <v>33</v>
      </c>
      <c r="MV11" s="1" t="s">
        <v>47</v>
      </c>
      <c r="MW11" s="1" t="s">
        <v>45</v>
      </c>
      <c r="MX11" s="1" t="s">
        <v>21</v>
      </c>
      <c r="MY11" s="1" t="s">
        <v>45</v>
      </c>
      <c r="MZ11" s="1" t="s">
        <v>45</v>
      </c>
      <c r="NA11" s="1" t="s">
        <v>28</v>
      </c>
      <c r="NB11" s="1" t="s">
        <v>33</v>
      </c>
      <c r="NC11" s="1" t="s">
        <v>21</v>
      </c>
      <c r="ND11" s="1" t="s">
        <v>45</v>
      </c>
      <c r="NE11" s="1" t="s">
        <v>21</v>
      </c>
      <c r="NF11" s="1" t="s">
        <v>47</v>
      </c>
      <c r="NG11" s="1" t="s">
        <v>28</v>
      </c>
      <c r="NH11" s="1" t="s">
        <v>47</v>
      </c>
      <c r="NI11" s="1" t="s">
        <v>21</v>
      </c>
      <c r="NJ11" s="1" t="s">
        <v>21</v>
      </c>
      <c r="NK11" s="1" t="s">
        <v>33</v>
      </c>
      <c r="NL11" s="1" t="s">
        <v>45</v>
      </c>
      <c r="NM11" s="1" t="s">
        <v>45</v>
      </c>
      <c r="NN11" s="1" t="s">
        <v>47</v>
      </c>
      <c r="NO11" s="1" t="s">
        <v>28</v>
      </c>
      <c r="NP11" s="1" t="s">
        <v>45</v>
      </c>
      <c r="NQ11" s="1" t="s">
        <v>33</v>
      </c>
      <c r="NR11" s="1" t="s">
        <v>47</v>
      </c>
      <c r="NS11" s="1" t="s">
        <v>47</v>
      </c>
      <c r="NT11" s="1" t="s">
        <v>33</v>
      </c>
      <c r="NU11" s="1" t="s">
        <v>28</v>
      </c>
      <c r="NV11" s="1" t="s">
        <v>33</v>
      </c>
      <c r="NW11" s="1" t="s">
        <v>28</v>
      </c>
      <c r="NX11" s="1" t="s">
        <v>33</v>
      </c>
      <c r="NY11" s="1" t="s">
        <v>33</v>
      </c>
      <c r="NZ11" s="1" t="s">
        <v>21</v>
      </c>
      <c r="OA11" s="1" t="s">
        <v>47</v>
      </c>
      <c r="OB11" s="1" t="s">
        <v>33</v>
      </c>
      <c r="OC11" s="1" t="s">
        <v>33</v>
      </c>
      <c r="OD11" s="1" t="s">
        <v>45</v>
      </c>
      <c r="OE11" s="1" t="s">
        <v>47</v>
      </c>
      <c r="OF11" s="1" t="s">
        <v>45</v>
      </c>
      <c r="OG11" s="1" t="s">
        <v>47</v>
      </c>
      <c r="OH11" s="1" t="s">
        <v>45</v>
      </c>
      <c r="OI11" s="1" t="s">
        <v>33</v>
      </c>
      <c r="OJ11" s="1" t="s">
        <v>33</v>
      </c>
      <c r="OK11" s="1" t="s">
        <v>21</v>
      </c>
      <c r="OL11" s="1" t="s">
        <v>45</v>
      </c>
      <c r="OM11" s="1" t="s">
        <v>28</v>
      </c>
      <c r="ON11" s="1" t="s">
        <v>21</v>
      </c>
      <c r="OO11" s="1" t="s">
        <v>45</v>
      </c>
      <c r="OP11" s="1" t="s">
        <v>45</v>
      </c>
      <c r="OQ11" s="1" t="s">
        <v>21</v>
      </c>
      <c r="OR11" s="1" t="s">
        <v>33</v>
      </c>
      <c r="OS11" s="1" t="s">
        <v>45</v>
      </c>
      <c r="OT11" s="1" t="s">
        <v>33</v>
      </c>
      <c r="OU11" s="1" t="s">
        <v>21</v>
      </c>
      <c r="OV11" s="1" t="s">
        <v>33</v>
      </c>
      <c r="OW11" s="1" t="s">
        <v>47</v>
      </c>
      <c r="OX11" s="1" t="s">
        <v>28</v>
      </c>
      <c r="OY11" s="1" t="s">
        <v>45</v>
      </c>
      <c r="OZ11" s="1" t="s">
        <v>28</v>
      </c>
      <c r="PA11" s="1" t="s">
        <v>33</v>
      </c>
      <c r="PB11" s="1" t="s">
        <v>45</v>
      </c>
      <c r="PC11" s="1" t="s">
        <v>33</v>
      </c>
      <c r="PD11" s="1" t="s">
        <v>47</v>
      </c>
      <c r="PE11" s="1" t="s">
        <v>21</v>
      </c>
      <c r="PF11" s="1" t="s">
        <v>45</v>
      </c>
      <c r="PG11" s="1" t="s">
        <v>47</v>
      </c>
      <c r="PH11" s="1" t="s">
        <v>47</v>
      </c>
      <c r="PI11" s="1" t="s">
        <v>45</v>
      </c>
      <c r="PJ11" s="1" t="s">
        <v>33</v>
      </c>
      <c r="PK11" s="1" t="s">
        <v>47</v>
      </c>
      <c r="PL11" s="1" t="s">
        <v>28</v>
      </c>
      <c r="PM11" s="1" t="s">
        <v>47</v>
      </c>
      <c r="PN11" s="1" t="s">
        <v>33</v>
      </c>
      <c r="PO11" s="1" t="s">
        <v>33</v>
      </c>
      <c r="PP11" s="1" t="s">
        <v>28</v>
      </c>
      <c r="PQ11" s="1" t="s">
        <v>47</v>
      </c>
      <c r="PR11" s="1" t="s">
        <v>33</v>
      </c>
      <c r="PS11" s="1" t="s">
        <v>45</v>
      </c>
      <c r="PT11" s="1" t="s">
        <v>21</v>
      </c>
      <c r="PU11" s="1" t="s">
        <v>21</v>
      </c>
      <c r="PV11" s="1" t="s">
        <v>21</v>
      </c>
      <c r="PW11" s="1" t="s">
        <v>47</v>
      </c>
      <c r="PX11" s="1" t="s">
        <v>28</v>
      </c>
      <c r="PY11" s="1" t="s">
        <v>33</v>
      </c>
      <c r="PZ11" s="1" t="s">
        <v>45</v>
      </c>
      <c r="QA11" s="1" t="s">
        <v>45</v>
      </c>
      <c r="QB11" s="1" t="s">
        <v>47</v>
      </c>
      <c r="QC11" s="1" t="s">
        <v>21</v>
      </c>
      <c r="QD11" s="1" t="s">
        <v>47</v>
      </c>
      <c r="QE11" s="1" t="s">
        <v>28</v>
      </c>
      <c r="QF11" s="1" t="s">
        <v>28</v>
      </c>
      <c r="QG11" s="1" t="s">
        <v>33</v>
      </c>
      <c r="QH11" s="1" t="s">
        <v>33</v>
      </c>
      <c r="QI11" s="1" t="s">
        <v>28</v>
      </c>
      <c r="QJ11" s="1" t="s">
        <v>28</v>
      </c>
      <c r="QK11" s="1" t="s">
        <v>28</v>
      </c>
      <c r="QL11" s="1" t="s">
        <v>47</v>
      </c>
      <c r="QM11" s="1" t="s">
        <v>28</v>
      </c>
      <c r="QN11" s="1" t="s">
        <v>45</v>
      </c>
      <c r="QO11" s="1" t="s">
        <v>21</v>
      </c>
      <c r="QP11" s="1" t="s">
        <v>28</v>
      </c>
      <c r="QQ11" s="1" t="s">
        <v>21</v>
      </c>
      <c r="QR11" s="1" t="s">
        <v>47</v>
      </c>
      <c r="QS11" s="1" t="s">
        <v>21</v>
      </c>
      <c r="QT11" s="1" t="s">
        <v>47</v>
      </c>
      <c r="QU11" s="1" t="s">
        <v>45</v>
      </c>
      <c r="QV11" s="1" t="s">
        <v>47</v>
      </c>
      <c r="QW11" s="1" t="s">
        <v>47</v>
      </c>
      <c r="QX11" s="1" t="s">
        <v>33</v>
      </c>
      <c r="QY11" s="1" t="s">
        <v>28</v>
      </c>
      <c r="QZ11" s="1" t="s">
        <v>28</v>
      </c>
      <c r="RA11" s="1" t="s">
        <v>45</v>
      </c>
      <c r="RB11" s="1" t="s">
        <v>45</v>
      </c>
      <c r="RC11" s="1" t="s">
        <v>28</v>
      </c>
      <c r="RD11" s="1" t="s">
        <v>33</v>
      </c>
      <c r="RE11" s="1" t="s">
        <v>28</v>
      </c>
      <c r="RF11" s="1" t="s">
        <v>33</v>
      </c>
      <c r="RG11" s="1" t="s">
        <v>45</v>
      </c>
      <c r="RH11" s="1" t="s">
        <v>21</v>
      </c>
      <c r="RI11" s="1" t="s">
        <v>45</v>
      </c>
      <c r="RJ11" s="1" t="s">
        <v>45</v>
      </c>
      <c r="RK11" s="1" t="s">
        <v>47</v>
      </c>
      <c r="RL11" s="1" t="s">
        <v>47</v>
      </c>
      <c r="RM11" s="1" t="s">
        <v>47</v>
      </c>
      <c r="RN11" s="1" t="s">
        <v>47</v>
      </c>
      <c r="RO11" s="1" t="s">
        <v>33</v>
      </c>
      <c r="RP11" s="1" t="s">
        <v>28</v>
      </c>
      <c r="RQ11" s="1" t="s">
        <v>21</v>
      </c>
      <c r="RR11" s="1" t="s">
        <v>45</v>
      </c>
      <c r="RS11" s="1" t="s">
        <v>33</v>
      </c>
      <c r="RT11" s="1" t="s">
        <v>21</v>
      </c>
      <c r="RU11" s="1" t="s">
        <v>33</v>
      </c>
      <c r="RV11" s="1" t="s">
        <v>33</v>
      </c>
      <c r="RW11" s="1" t="s">
        <v>45</v>
      </c>
      <c r="RX11" s="1" t="s">
        <v>28</v>
      </c>
      <c r="RY11" s="1" t="s">
        <v>47</v>
      </c>
      <c r="RZ11" s="1" t="s">
        <v>28</v>
      </c>
      <c r="SA11" s="1" t="s">
        <v>45</v>
      </c>
      <c r="SB11" s="1" t="s">
        <v>45</v>
      </c>
      <c r="SC11" s="1" t="s">
        <v>45</v>
      </c>
      <c r="SD11" s="1" t="s">
        <v>21</v>
      </c>
      <c r="SE11" s="1" t="s">
        <v>28</v>
      </c>
      <c r="SF11" s="1" t="s">
        <v>28</v>
      </c>
      <c r="SG11" s="1" t="s">
        <v>33</v>
      </c>
    </row>
    <row r="12" spans="1:501" x14ac:dyDescent="0.3">
      <c r="A12" s="3" t="s">
        <v>11</v>
      </c>
      <c r="B12" s="1">
        <v>7</v>
      </c>
      <c r="C12" s="1">
        <v>9</v>
      </c>
      <c r="D12" s="1">
        <v>6</v>
      </c>
      <c r="E12" s="1">
        <v>1</v>
      </c>
      <c r="F12" s="1">
        <v>7</v>
      </c>
      <c r="G12" s="1">
        <v>3</v>
      </c>
      <c r="H12" s="1">
        <v>5</v>
      </c>
      <c r="I12" s="1">
        <v>4</v>
      </c>
      <c r="J12" s="1">
        <v>5</v>
      </c>
      <c r="K12" s="1">
        <v>5</v>
      </c>
      <c r="L12" s="1">
        <v>6</v>
      </c>
      <c r="M12" s="1">
        <v>6</v>
      </c>
      <c r="N12" s="1">
        <v>8</v>
      </c>
      <c r="O12" s="1">
        <v>8</v>
      </c>
      <c r="P12" s="1">
        <v>9</v>
      </c>
      <c r="Q12" s="1">
        <v>8</v>
      </c>
      <c r="R12" s="1">
        <v>2</v>
      </c>
      <c r="S12" s="1">
        <v>1</v>
      </c>
      <c r="T12" s="1">
        <v>2</v>
      </c>
      <c r="U12" s="1">
        <v>2</v>
      </c>
      <c r="V12" s="1">
        <v>3</v>
      </c>
      <c r="W12" s="1">
        <v>7</v>
      </c>
      <c r="X12" s="1">
        <v>2</v>
      </c>
      <c r="Y12" s="1">
        <v>1</v>
      </c>
      <c r="Z12" s="1">
        <v>6</v>
      </c>
      <c r="AA12" s="1">
        <v>9</v>
      </c>
      <c r="AB12" s="1">
        <v>3</v>
      </c>
      <c r="AC12" s="1">
        <v>6</v>
      </c>
      <c r="AD12" s="1">
        <v>3</v>
      </c>
      <c r="AE12" s="1">
        <v>1</v>
      </c>
      <c r="AF12" s="1">
        <v>5</v>
      </c>
      <c r="AG12" s="1">
        <v>4</v>
      </c>
      <c r="AH12" s="1">
        <v>7</v>
      </c>
      <c r="AI12" s="1">
        <v>6</v>
      </c>
      <c r="AJ12" s="1">
        <v>7</v>
      </c>
      <c r="AK12" s="1">
        <v>5</v>
      </c>
      <c r="AL12" s="1">
        <v>4</v>
      </c>
      <c r="AM12" s="1">
        <v>7</v>
      </c>
      <c r="AN12" s="1">
        <v>7</v>
      </c>
      <c r="AO12" s="1">
        <v>6</v>
      </c>
      <c r="AP12" s="1">
        <v>8</v>
      </c>
      <c r="AQ12" s="1">
        <v>4</v>
      </c>
      <c r="AR12" s="1">
        <v>5</v>
      </c>
      <c r="AS12" s="1">
        <v>4</v>
      </c>
      <c r="AT12" s="1">
        <v>1</v>
      </c>
      <c r="AU12" s="1">
        <v>8</v>
      </c>
      <c r="AV12" s="1">
        <v>1</v>
      </c>
      <c r="AW12" s="1">
        <v>5</v>
      </c>
      <c r="AX12" s="1">
        <v>6</v>
      </c>
      <c r="AY12" s="1">
        <v>6</v>
      </c>
      <c r="AZ12" s="1">
        <v>5</v>
      </c>
      <c r="BA12" s="1">
        <v>3</v>
      </c>
      <c r="BB12" s="1">
        <v>5</v>
      </c>
      <c r="BC12" s="1">
        <v>8</v>
      </c>
      <c r="BD12" s="1">
        <v>2</v>
      </c>
      <c r="BE12" s="1">
        <v>6</v>
      </c>
      <c r="BF12" s="1">
        <v>9</v>
      </c>
      <c r="BG12" s="1">
        <v>8</v>
      </c>
      <c r="BH12" s="1">
        <v>8</v>
      </c>
      <c r="BI12" s="1">
        <v>8</v>
      </c>
      <c r="BJ12" s="1">
        <v>7</v>
      </c>
      <c r="BK12" s="1">
        <v>8</v>
      </c>
      <c r="BL12" s="1">
        <v>6</v>
      </c>
      <c r="BM12" s="1">
        <v>2</v>
      </c>
      <c r="BN12" s="1">
        <v>2</v>
      </c>
      <c r="BO12" s="1">
        <v>8</v>
      </c>
      <c r="BP12" s="1">
        <v>1</v>
      </c>
      <c r="BQ12" s="1">
        <v>6</v>
      </c>
      <c r="BR12" s="1">
        <v>6</v>
      </c>
      <c r="BS12" s="1">
        <v>4</v>
      </c>
      <c r="BT12" s="1">
        <v>3</v>
      </c>
      <c r="BU12" s="1">
        <v>3</v>
      </c>
      <c r="BV12" s="1">
        <v>1</v>
      </c>
      <c r="BW12" s="1">
        <v>3</v>
      </c>
      <c r="BX12" s="1">
        <v>4</v>
      </c>
      <c r="BY12" s="1">
        <v>5</v>
      </c>
      <c r="BZ12" s="1">
        <v>3</v>
      </c>
      <c r="CA12" s="1">
        <v>6</v>
      </c>
      <c r="CB12" s="1">
        <v>5</v>
      </c>
      <c r="CC12" s="1">
        <v>3</v>
      </c>
      <c r="CD12" s="1">
        <v>6</v>
      </c>
      <c r="CE12" s="1">
        <v>6</v>
      </c>
      <c r="CF12" s="1">
        <v>8</v>
      </c>
      <c r="CG12" s="1">
        <v>2</v>
      </c>
      <c r="CH12" s="1">
        <v>1</v>
      </c>
      <c r="CI12" s="1">
        <v>4</v>
      </c>
      <c r="CJ12" s="1">
        <v>7</v>
      </c>
      <c r="CK12" s="1">
        <v>3</v>
      </c>
      <c r="CL12" s="1">
        <v>3</v>
      </c>
      <c r="CM12" s="1">
        <v>5</v>
      </c>
      <c r="CN12" s="1">
        <v>5</v>
      </c>
      <c r="CO12" s="1">
        <v>3</v>
      </c>
      <c r="CP12" s="1">
        <v>9</v>
      </c>
      <c r="CQ12" s="1">
        <v>4</v>
      </c>
      <c r="CR12" s="1">
        <v>3</v>
      </c>
      <c r="CS12" s="1">
        <v>2</v>
      </c>
      <c r="CT12" s="1">
        <v>9</v>
      </c>
      <c r="CU12" s="1">
        <v>4</v>
      </c>
      <c r="CV12" s="1">
        <v>3</v>
      </c>
      <c r="CW12" s="1">
        <v>7</v>
      </c>
      <c r="CX12" s="1">
        <v>8</v>
      </c>
      <c r="CY12" s="1">
        <v>2</v>
      </c>
      <c r="CZ12" s="1">
        <v>7</v>
      </c>
      <c r="DA12" s="1">
        <v>5</v>
      </c>
      <c r="DB12" s="1">
        <v>5</v>
      </c>
      <c r="DC12" s="1">
        <v>3</v>
      </c>
      <c r="DD12" s="1">
        <v>5</v>
      </c>
      <c r="DE12" s="1">
        <v>2</v>
      </c>
      <c r="DF12" s="1">
        <v>4</v>
      </c>
      <c r="DG12" s="1">
        <v>6</v>
      </c>
      <c r="DH12" s="1">
        <v>1</v>
      </c>
      <c r="DI12" s="1">
        <v>4</v>
      </c>
      <c r="DJ12" s="1">
        <v>6</v>
      </c>
      <c r="DK12" s="1">
        <v>9</v>
      </c>
      <c r="DL12" s="1">
        <v>2</v>
      </c>
      <c r="DM12" s="1">
        <v>7</v>
      </c>
      <c r="DN12" s="1">
        <v>6</v>
      </c>
      <c r="DO12" s="1">
        <v>2</v>
      </c>
      <c r="DP12" s="1">
        <v>8</v>
      </c>
      <c r="DQ12" s="1">
        <v>7</v>
      </c>
      <c r="DR12" s="1">
        <v>5</v>
      </c>
      <c r="DS12" s="1">
        <v>5</v>
      </c>
      <c r="DT12" s="1">
        <v>7</v>
      </c>
      <c r="DU12" s="1">
        <v>9</v>
      </c>
      <c r="DV12" s="1">
        <v>9</v>
      </c>
      <c r="DW12" s="1">
        <v>9</v>
      </c>
      <c r="DX12" s="1">
        <v>6</v>
      </c>
      <c r="DY12" s="1">
        <v>6</v>
      </c>
      <c r="DZ12" s="1">
        <v>3</v>
      </c>
      <c r="EA12" s="1">
        <v>1</v>
      </c>
      <c r="EB12" s="1">
        <v>7</v>
      </c>
      <c r="EC12" s="1">
        <v>4</v>
      </c>
      <c r="ED12" s="1">
        <v>1</v>
      </c>
      <c r="EE12" s="1">
        <v>8</v>
      </c>
      <c r="EF12" s="1">
        <v>6</v>
      </c>
      <c r="EG12" s="1">
        <v>6</v>
      </c>
      <c r="EH12" s="1">
        <v>2</v>
      </c>
      <c r="EI12" s="1">
        <v>1</v>
      </c>
      <c r="EJ12" s="1">
        <v>2</v>
      </c>
      <c r="EK12" s="1">
        <v>4</v>
      </c>
      <c r="EL12" s="1">
        <v>2</v>
      </c>
      <c r="EM12" s="1">
        <v>1</v>
      </c>
      <c r="EN12" s="1">
        <v>7</v>
      </c>
      <c r="EO12" s="1">
        <v>8</v>
      </c>
      <c r="EP12" s="1">
        <v>6</v>
      </c>
      <c r="EQ12" s="1">
        <v>4</v>
      </c>
      <c r="ER12" s="1">
        <v>6</v>
      </c>
      <c r="ES12" s="1">
        <v>3</v>
      </c>
      <c r="ET12" s="1">
        <v>8</v>
      </c>
      <c r="EU12" s="1">
        <v>2</v>
      </c>
      <c r="EV12" s="1">
        <v>5</v>
      </c>
      <c r="EW12" s="1">
        <v>1</v>
      </c>
      <c r="EX12" s="1">
        <v>6</v>
      </c>
      <c r="EY12" s="1">
        <v>2</v>
      </c>
      <c r="EZ12" s="1">
        <v>4</v>
      </c>
      <c r="FA12" s="1">
        <v>6</v>
      </c>
      <c r="FB12" s="1">
        <v>8</v>
      </c>
      <c r="FC12" s="1">
        <v>8</v>
      </c>
      <c r="FD12" s="1">
        <v>6</v>
      </c>
      <c r="FE12" s="1">
        <v>4</v>
      </c>
      <c r="FF12" s="1">
        <v>8</v>
      </c>
      <c r="FG12" s="1">
        <v>8</v>
      </c>
      <c r="FH12" s="1">
        <v>1</v>
      </c>
      <c r="FI12" s="1">
        <v>4</v>
      </c>
      <c r="FJ12" s="1">
        <v>4</v>
      </c>
      <c r="FK12" s="1">
        <v>7</v>
      </c>
      <c r="FL12" s="1">
        <v>7</v>
      </c>
      <c r="FM12" s="1">
        <v>8</v>
      </c>
      <c r="FN12" s="1">
        <v>5</v>
      </c>
      <c r="FO12" s="1">
        <v>7</v>
      </c>
      <c r="FP12" s="1">
        <v>8</v>
      </c>
      <c r="FQ12" s="1">
        <v>9</v>
      </c>
      <c r="FR12" s="1">
        <v>3</v>
      </c>
      <c r="FS12" s="1">
        <v>3</v>
      </c>
      <c r="FT12" s="1">
        <v>4</v>
      </c>
      <c r="FU12" s="1">
        <v>5</v>
      </c>
      <c r="FV12" s="1">
        <v>1</v>
      </c>
      <c r="FW12" s="1">
        <v>7</v>
      </c>
      <c r="FX12" s="1">
        <v>9</v>
      </c>
      <c r="FY12" s="1">
        <v>8</v>
      </c>
      <c r="FZ12" s="1">
        <v>5</v>
      </c>
      <c r="GA12" s="1">
        <v>4</v>
      </c>
      <c r="GB12" s="1">
        <v>7</v>
      </c>
      <c r="GC12" s="1">
        <v>5</v>
      </c>
      <c r="GD12" s="1">
        <v>7</v>
      </c>
      <c r="GE12" s="1">
        <v>1</v>
      </c>
      <c r="GF12" s="1">
        <v>1</v>
      </c>
      <c r="GG12" s="1">
        <v>3</v>
      </c>
      <c r="GH12" s="1">
        <v>2</v>
      </c>
      <c r="GI12" s="1">
        <v>2</v>
      </c>
      <c r="GJ12" s="1">
        <v>7</v>
      </c>
      <c r="GK12" s="1">
        <v>2</v>
      </c>
      <c r="GL12" s="1">
        <v>4</v>
      </c>
      <c r="GM12" s="1">
        <v>2</v>
      </c>
      <c r="GN12" s="1">
        <v>6</v>
      </c>
      <c r="GO12" s="1">
        <v>8</v>
      </c>
      <c r="GP12" s="1">
        <v>4</v>
      </c>
      <c r="GQ12" s="1">
        <v>5</v>
      </c>
      <c r="GR12" s="1">
        <v>4</v>
      </c>
      <c r="GS12" s="1">
        <v>3</v>
      </c>
      <c r="GT12" s="1">
        <v>5</v>
      </c>
      <c r="GU12" s="1">
        <v>9</v>
      </c>
      <c r="GV12" s="1">
        <v>8</v>
      </c>
      <c r="GW12" s="1">
        <v>8</v>
      </c>
      <c r="GX12" s="1">
        <v>8</v>
      </c>
      <c r="GY12" s="1">
        <v>8</v>
      </c>
      <c r="GZ12" s="1">
        <v>7</v>
      </c>
      <c r="HA12" s="1">
        <v>8</v>
      </c>
      <c r="HB12" s="1">
        <v>8</v>
      </c>
      <c r="HC12" s="1">
        <v>8</v>
      </c>
      <c r="HD12" s="1">
        <v>7</v>
      </c>
      <c r="HE12" s="1">
        <v>1</v>
      </c>
      <c r="HF12" s="1">
        <v>4</v>
      </c>
      <c r="HG12" s="1">
        <v>4</v>
      </c>
      <c r="HH12" s="1">
        <v>5</v>
      </c>
      <c r="HI12" s="1">
        <v>6</v>
      </c>
      <c r="HJ12" s="1">
        <v>4</v>
      </c>
      <c r="HK12" s="1">
        <v>2</v>
      </c>
      <c r="HL12" s="1">
        <v>6</v>
      </c>
      <c r="HM12" s="1">
        <v>8</v>
      </c>
      <c r="HN12" s="1">
        <v>8</v>
      </c>
      <c r="HO12" s="1">
        <v>7</v>
      </c>
      <c r="HP12" s="1">
        <v>6</v>
      </c>
      <c r="HQ12" s="1">
        <v>2</v>
      </c>
      <c r="HR12" s="1">
        <v>7</v>
      </c>
      <c r="HS12" s="1">
        <v>5</v>
      </c>
      <c r="HT12" s="1">
        <v>6</v>
      </c>
      <c r="HU12" s="1">
        <v>8</v>
      </c>
      <c r="HV12" s="1">
        <v>8</v>
      </c>
      <c r="HW12" s="1">
        <v>3</v>
      </c>
      <c r="HX12" s="1">
        <v>7</v>
      </c>
      <c r="HY12" s="1">
        <v>1</v>
      </c>
      <c r="HZ12" s="1">
        <v>1</v>
      </c>
      <c r="IA12" s="1">
        <v>7</v>
      </c>
      <c r="IB12" s="1">
        <v>9</v>
      </c>
      <c r="IC12" s="1">
        <v>7</v>
      </c>
      <c r="ID12" s="1">
        <v>5</v>
      </c>
      <c r="IE12" s="1">
        <v>8</v>
      </c>
      <c r="IF12" s="1">
        <v>2</v>
      </c>
      <c r="IG12" s="1">
        <v>9</v>
      </c>
      <c r="IH12" s="1">
        <v>6</v>
      </c>
      <c r="II12" s="1">
        <v>9</v>
      </c>
      <c r="IJ12" s="1">
        <v>2</v>
      </c>
      <c r="IK12" s="1">
        <v>3</v>
      </c>
      <c r="IL12" s="1">
        <v>8</v>
      </c>
      <c r="IM12" s="1">
        <v>1</v>
      </c>
      <c r="IN12" s="1">
        <v>7</v>
      </c>
      <c r="IO12" s="1">
        <v>7</v>
      </c>
      <c r="IP12" s="1">
        <v>1</v>
      </c>
      <c r="IQ12" s="1">
        <v>9</v>
      </c>
      <c r="IR12" s="1">
        <v>8</v>
      </c>
      <c r="IS12" s="1">
        <v>4</v>
      </c>
      <c r="IT12" s="1">
        <v>5</v>
      </c>
      <c r="IU12" s="1">
        <v>2</v>
      </c>
      <c r="IV12" s="1">
        <v>9</v>
      </c>
      <c r="IW12" s="1">
        <v>6</v>
      </c>
      <c r="IX12" s="1">
        <v>3</v>
      </c>
      <c r="IY12" s="1">
        <v>7</v>
      </c>
      <c r="IZ12" s="1">
        <v>9</v>
      </c>
      <c r="JA12" s="1">
        <v>3</v>
      </c>
      <c r="JB12" s="1">
        <v>2</v>
      </c>
      <c r="JC12" s="1">
        <v>7</v>
      </c>
      <c r="JD12" s="1">
        <v>7</v>
      </c>
      <c r="JE12" s="1">
        <v>4</v>
      </c>
      <c r="JF12" s="1">
        <v>9</v>
      </c>
      <c r="JG12" s="1">
        <v>8</v>
      </c>
      <c r="JH12" s="1">
        <v>1</v>
      </c>
      <c r="JI12" s="1">
        <v>1</v>
      </c>
      <c r="JJ12" s="1">
        <v>5</v>
      </c>
      <c r="JK12" s="1">
        <v>6</v>
      </c>
      <c r="JL12" s="1">
        <v>3</v>
      </c>
      <c r="JM12" s="1">
        <v>9</v>
      </c>
      <c r="JN12" s="1">
        <v>6</v>
      </c>
      <c r="JO12" s="1">
        <v>4</v>
      </c>
      <c r="JP12" s="1">
        <v>7</v>
      </c>
      <c r="JQ12" s="1">
        <v>8</v>
      </c>
      <c r="JR12" s="1">
        <v>9</v>
      </c>
      <c r="JS12" s="1">
        <v>6</v>
      </c>
      <c r="JT12" s="1">
        <v>6</v>
      </c>
      <c r="JU12" s="1">
        <v>8</v>
      </c>
      <c r="JV12" s="1">
        <v>5</v>
      </c>
      <c r="JW12" s="1">
        <v>3</v>
      </c>
      <c r="JX12" s="1">
        <v>3</v>
      </c>
      <c r="JY12" s="1">
        <v>6</v>
      </c>
      <c r="JZ12" s="1">
        <v>2</v>
      </c>
      <c r="KA12" s="1">
        <v>6</v>
      </c>
      <c r="KB12" s="1">
        <v>6</v>
      </c>
      <c r="KC12" s="1">
        <v>8</v>
      </c>
      <c r="KD12" s="1">
        <v>7</v>
      </c>
      <c r="KE12" s="1">
        <v>8</v>
      </c>
      <c r="KF12" s="1">
        <v>9</v>
      </c>
      <c r="KG12" s="1">
        <v>6</v>
      </c>
      <c r="KH12" s="1">
        <v>3</v>
      </c>
      <c r="KI12" s="1">
        <v>3</v>
      </c>
      <c r="KJ12" s="1">
        <v>1</v>
      </c>
      <c r="KK12" s="1">
        <v>5</v>
      </c>
      <c r="KL12" s="1">
        <v>4</v>
      </c>
      <c r="KM12" s="1">
        <v>9</v>
      </c>
      <c r="KN12" s="1">
        <v>9</v>
      </c>
      <c r="KO12" s="1">
        <v>5</v>
      </c>
      <c r="KP12" s="1">
        <v>4</v>
      </c>
      <c r="KQ12" s="1">
        <v>7</v>
      </c>
      <c r="KR12" s="1">
        <v>6</v>
      </c>
      <c r="KS12" s="1">
        <v>4</v>
      </c>
      <c r="KT12" s="1">
        <v>2</v>
      </c>
      <c r="KU12" s="1">
        <v>1</v>
      </c>
      <c r="KV12" s="1">
        <v>4</v>
      </c>
      <c r="KW12" s="1">
        <v>4</v>
      </c>
      <c r="KX12" s="1">
        <v>1</v>
      </c>
      <c r="KY12" s="1">
        <v>6</v>
      </c>
      <c r="KZ12" s="1">
        <v>4</v>
      </c>
      <c r="LA12" s="1">
        <v>1</v>
      </c>
      <c r="LB12" s="1">
        <v>1</v>
      </c>
      <c r="LC12" s="1">
        <v>1</v>
      </c>
      <c r="LD12" s="1">
        <v>8</v>
      </c>
      <c r="LE12" s="1">
        <v>8</v>
      </c>
      <c r="LF12" s="1">
        <v>2</v>
      </c>
      <c r="LG12" s="1">
        <v>7</v>
      </c>
      <c r="LH12" s="1">
        <v>8</v>
      </c>
      <c r="LI12" s="1">
        <v>8</v>
      </c>
      <c r="LJ12" s="1">
        <v>7</v>
      </c>
      <c r="LK12" s="1">
        <v>5</v>
      </c>
      <c r="LL12" s="1">
        <v>1</v>
      </c>
      <c r="LM12" s="1">
        <v>9</v>
      </c>
      <c r="LN12" s="1">
        <v>7</v>
      </c>
      <c r="LO12" s="1">
        <v>2</v>
      </c>
      <c r="LP12" s="1">
        <v>6</v>
      </c>
      <c r="LQ12" s="1">
        <v>2</v>
      </c>
      <c r="LR12" s="1">
        <v>1</v>
      </c>
      <c r="LS12" s="1">
        <v>7</v>
      </c>
      <c r="LT12" s="1">
        <v>2</v>
      </c>
      <c r="LU12" s="1">
        <v>2</v>
      </c>
      <c r="LV12" s="1">
        <v>5</v>
      </c>
      <c r="LW12" s="1">
        <v>5</v>
      </c>
      <c r="LX12" s="1">
        <v>7</v>
      </c>
      <c r="LY12" s="1">
        <v>1</v>
      </c>
      <c r="LZ12" s="1">
        <v>8</v>
      </c>
      <c r="MA12" s="1">
        <v>3</v>
      </c>
      <c r="MB12" s="1">
        <v>4</v>
      </c>
      <c r="MC12" s="1">
        <v>9</v>
      </c>
      <c r="MD12" s="1">
        <v>4</v>
      </c>
      <c r="ME12" s="1">
        <v>5</v>
      </c>
      <c r="MF12" s="1">
        <v>7</v>
      </c>
      <c r="MG12" s="1">
        <v>4</v>
      </c>
      <c r="MH12" s="1">
        <v>1</v>
      </c>
      <c r="MI12" s="1">
        <v>9</v>
      </c>
      <c r="MJ12" s="1">
        <v>4</v>
      </c>
      <c r="MK12" s="1">
        <v>9</v>
      </c>
      <c r="ML12" s="1">
        <v>6</v>
      </c>
      <c r="MM12" s="1">
        <v>1</v>
      </c>
      <c r="MN12" s="1">
        <v>3</v>
      </c>
      <c r="MO12" s="1">
        <v>2</v>
      </c>
      <c r="MP12" s="1">
        <v>9</v>
      </c>
      <c r="MQ12" s="1">
        <v>1</v>
      </c>
      <c r="MR12" s="1">
        <v>9</v>
      </c>
      <c r="MS12" s="1">
        <v>9</v>
      </c>
      <c r="MT12" s="1">
        <v>8</v>
      </c>
      <c r="MU12" s="1">
        <v>8</v>
      </c>
      <c r="MV12" s="1">
        <v>1</v>
      </c>
      <c r="MW12" s="1">
        <v>8</v>
      </c>
      <c r="MX12" s="1">
        <v>3</v>
      </c>
      <c r="MY12" s="1">
        <v>7</v>
      </c>
      <c r="MZ12" s="1">
        <v>1</v>
      </c>
      <c r="NA12" s="1">
        <v>1</v>
      </c>
      <c r="NB12" s="1">
        <v>5</v>
      </c>
      <c r="NC12" s="1">
        <v>5</v>
      </c>
      <c r="ND12" s="1">
        <v>8</v>
      </c>
      <c r="NE12" s="1">
        <v>7</v>
      </c>
      <c r="NF12" s="1">
        <v>8</v>
      </c>
      <c r="NG12" s="1">
        <v>6</v>
      </c>
      <c r="NH12" s="1">
        <v>6</v>
      </c>
      <c r="NI12" s="1">
        <v>2</v>
      </c>
      <c r="NJ12" s="1">
        <v>6</v>
      </c>
      <c r="NK12" s="1">
        <v>5</v>
      </c>
      <c r="NL12" s="1">
        <v>3</v>
      </c>
      <c r="NM12" s="1">
        <v>6</v>
      </c>
      <c r="NN12" s="1">
        <v>8</v>
      </c>
      <c r="NO12" s="1">
        <v>9</v>
      </c>
      <c r="NP12" s="1">
        <v>1</v>
      </c>
      <c r="NQ12" s="1">
        <v>3</v>
      </c>
      <c r="NR12" s="1">
        <v>3</v>
      </c>
      <c r="NS12" s="1">
        <v>8</v>
      </c>
      <c r="NT12" s="1">
        <v>1</v>
      </c>
      <c r="NU12" s="1">
        <v>5</v>
      </c>
      <c r="NV12" s="1">
        <v>3</v>
      </c>
      <c r="NW12" s="1">
        <v>2</v>
      </c>
      <c r="NX12" s="1">
        <v>8</v>
      </c>
      <c r="NY12" s="1">
        <v>3</v>
      </c>
      <c r="NZ12" s="1">
        <v>7</v>
      </c>
      <c r="OA12" s="1">
        <v>1</v>
      </c>
      <c r="OB12" s="1">
        <v>6</v>
      </c>
      <c r="OC12" s="1">
        <v>3</v>
      </c>
      <c r="OD12" s="1">
        <v>8</v>
      </c>
      <c r="OE12" s="1">
        <v>6</v>
      </c>
      <c r="OF12" s="1">
        <v>2</v>
      </c>
      <c r="OG12" s="1">
        <v>6</v>
      </c>
      <c r="OH12" s="1">
        <v>7</v>
      </c>
      <c r="OI12" s="1">
        <v>5</v>
      </c>
      <c r="OJ12" s="1">
        <v>3</v>
      </c>
      <c r="OK12" s="1">
        <v>4</v>
      </c>
      <c r="OL12" s="1">
        <v>4</v>
      </c>
      <c r="OM12" s="1">
        <v>6</v>
      </c>
      <c r="ON12" s="1">
        <v>1</v>
      </c>
      <c r="OO12" s="1">
        <v>4</v>
      </c>
      <c r="OP12" s="1">
        <v>4</v>
      </c>
      <c r="OQ12" s="1">
        <v>1</v>
      </c>
      <c r="OR12" s="1">
        <v>9</v>
      </c>
      <c r="OS12" s="1">
        <v>4</v>
      </c>
      <c r="OT12" s="1">
        <v>7</v>
      </c>
      <c r="OU12" s="1">
        <v>3</v>
      </c>
      <c r="OV12" s="1">
        <v>3</v>
      </c>
      <c r="OW12" s="1">
        <v>8</v>
      </c>
      <c r="OX12" s="1">
        <v>8</v>
      </c>
      <c r="OY12" s="1">
        <v>1</v>
      </c>
      <c r="OZ12" s="1">
        <v>2</v>
      </c>
      <c r="PA12" s="1">
        <v>8</v>
      </c>
      <c r="PB12" s="1">
        <v>1</v>
      </c>
      <c r="PC12" s="1">
        <v>8</v>
      </c>
      <c r="PD12" s="1">
        <v>8</v>
      </c>
      <c r="PE12" s="1">
        <v>2</v>
      </c>
      <c r="PF12" s="1">
        <v>4</v>
      </c>
      <c r="PG12" s="1">
        <v>6</v>
      </c>
      <c r="PH12" s="1">
        <v>9</v>
      </c>
      <c r="PI12" s="1">
        <v>8</v>
      </c>
      <c r="PJ12" s="1">
        <v>8</v>
      </c>
      <c r="PK12" s="1">
        <v>7</v>
      </c>
      <c r="PL12" s="1">
        <v>9</v>
      </c>
      <c r="PM12" s="1">
        <v>2</v>
      </c>
      <c r="PN12" s="1">
        <v>3</v>
      </c>
      <c r="PO12" s="1">
        <v>8</v>
      </c>
      <c r="PP12" s="1">
        <v>6</v>
      </c>
      <c r="PQ12" s="1">
        <v>9</v>
      </c>
      <c r="PR12" s="1">
        <v>4</v>
      </c>
      <c r="PS12" s="1">
        <v>8</v>
      </c>
      <c r="PT12" s="1">
        <v>3</v>
      </c>
      <c r="PU12" s="1">
        <v>3</v>
      </c>
      <c r="PV12" s="1">
        <v>8</v>
      </c>
      <c r="PW12" s="1">
        <v>5</v>
      </c>
      <c r="PX12" s="1">
        <v>3</v>
      </c>
      <c r="PY12" s="1">
        <v>1</v>
      </c>
      <c r="PZ12" s="1">
        <v>3</v>
      </c>
      <c r="QA12" s="1">
        <v>9</v>
      </c>
      <c r="QB12" s="1">
        <v>5</v>
      </c>
      <c r="QC12" s="1">
        <v>2</v>
      </c>
      <c r="QD12" s="1">
        <v>7</v>
      </c>
      <c r="QE12" s="1">
        <v>2</v>
      </c>
      <c r="QF12" s="1">
        <v>4</v>
      </c>
      <c r="QG12" s="1">
        <v>7</v>
      </c>
      <c r="QH12" s="1">
        <v>4</v>
      </c>
      <c r="QI12" s="1">
        <v>7</v>
      </c>
      <c r="QJ12" s="1">
        <v>7</v>
      </c>
      <c r="QK12" s="1">
        <v>1</v>
      </c>
      <c r="QL12" s="1">
        <v>6</v>
      </c>
      <c r="QM12" s="1">
        <v>9</v>
      </c>
      <c r="QN12" s="1">
        <v>2</v>
      </c>
      <c r="QO12" s="1">
        <v>3</v>
      </c>
      <c r="QP12" s="1">
        <v>5</v>
      </c>
      <c r="QQ12" s="1">
        <v>9</v>
      </c>
      <c r="QR12" s="1">
        <v>4</v>
      </c>
      <c r="QS12" s="1">
        <v>1</v>
      </c>
      <c r="QT12" s="1">
        <v>4</v>
      </c>
      <c r="QU12" s="1">
        <v>6</v>
      </c>
      <c r="QV12" s="1">
        <v>5</v>
      </c>
      <c r="QW12" s="1">
        <v>1</v>
      </c>
      <c r="QX12" s="1">
        <v>4</v>
      </c>
      <c r="QY12" s="1">
        <v>6</v>
      </c>
      <c r="QZ12" s="1">
        <v>4</v>
      </c>
      <c r="RA12" s="1">
        <v>9</v>
      </c>
      <c r="RB12" s="1">
        <v>5</v>
      </c>
      <c r="RC12" s="1">
        <v>8</v>
      </c>
      <c r="RD12" s="1">
        <v>9</v>
      </c>
      <c r="RE12" s="1">
        <v>5</v>
      </c>
      <c r="RF12" s="1">
        <v>6</v>
      </c>
      <c r="RG12" s="1">
        <v>1</v>
      </c>
      <c r="RH12" s="1">
        <v>7</v>
      </c>
      <c r="RI12" s="1">
        <v>4</v>
      </c>
      <c r="RJ12" s="1">
        <v>2</v>
      </c>
      <c r="RK12" s="1">
        <v>5</v>
      </c>
      <c r="RL12" s="1">
        <v>3</v>
      </c>
      <c r="RM12" s="1">
        <v>6</v>
      </c>
      <c r="RN12" s="1">
        <v>8</v>
      </c>
      <c r="RO12" s="1">
        <v>7</v>
      </c>
      <c r="RP12" s="1">
        <v>3</v>
      </c>
      <c r="RQ12" s="1">
        <v>8</v>
      </c>
      <c r="RR12" s="1">
        <v>2</v>
      </c>
      <c r="RS12" s="1">
        <v>9</v>
      </c>
      <c r="RT12" s="1">
        <v>4</v>
      </c>
      <c r="RU12" s="1">
        <v>1</v>
      </c>
      <c r="RV12" s="1">
        <v>8</v>
      </c>
      <c r="RW12" s="1">
        <v>7</v>
      </c>
      <c r="RX12" s="1">
        <v>5</v>
      </c>
      <c r="RY12" s="1">
        <v>5</v>
      </c>
      <c r="RZ12" s="1">
        <v>7</v>
      </c>
      <c r="SA12" s="1">
        <v>5</v>
      </c>
      <c r="SB12" s="1">
        <v>8</v>
      </c>
      <c r="SC12" s="1">
        <v>6</v>
      </c>
      <c r="SD12" s="1">
        <v>5</v>
      </c>
      <c r="SE12" s="1">
        <v>9</v>
      </c>
      <c r="SF12" s="1">
        <v>2</v>
      </c>
      <c r="SG12" s="1">
        <v>1</v>
      </c>
    </row>
    <row r="13" spans="1:501" x14ac:dyDescent="0.3">
      <c r="A13" s="3" t="s">
        <v>12</v>
      </c>
      <c r="B13" s="1">
        <v>2843.87</v>
      </c>
      <c r="C13" s="1">
        <v>2525.23</v>
      </c>
      <c r="D13" s="1">
        <v>3474.34</v>
      </c>
      <c r="E13" s="1">
        <v>1008.79</v>
      </c>
      <c r="F13" s="1">
        <v>3511.47</v>
      </c>
      <c r="G13" s="1">
        <v>3189.55</v>
      </c>
      <c r="H13" s="1">
        <v>3030.42</v>
      </c>
      <c r="I13" s="1">
        <v>2310.83</v>
      </c>
      <c r="J13" s="1">
        <v>1098.04</v>
      </c>
      <c r="K13" s="1">
        <v>1780.66</v>
      </c>
      <c r="L13" s="1">
        <v>3205.25</v>
      </c>
      <c r="M13" s="1">
        <v>272.35000000000002</v>
      </c>
      <c r="N13" s="1">
        <v>3160.9</v>
      </c>
      <c r="O13" s="1">
        <v>1074.27</v>
      </c>
      <c r="P13" s="1">
        <v>705.59</v>
      </c>
      <c r="Q13" s="1">
        <v>595.45000000000005</v>
      </c>
      <c r="R13" s="1">
        <v>254.91</v>
      </c>
      <c r="S13" s="1">
        <v>2165.81</v>
      </c>
      <c r="T13" s="1">
        <v>990.3</v>
      </c>
      <c r="U13" s="1">
        <v>3959.31</v>
      </c>
      <c r="V13" s="1">
        <v>2361.58</v>
      </c>
      <c r="W13" s="1">
        <v>680.86</v>
      </c>
      <c r="X13" s="1">
        <v>2801.74</v>
      </c>
      <c r="Y13" s="1">
        <v>3606.31</v>
      </c>
      <c r="Z13" s="1">
        <v>3018.94</v>
      </c>
      <c r="AA13" s="1">
        <v>444.29</v>
      </c>
      <c r="AB13" s="1">
        <v>3599.15</v>
      </c>
      <c r="AC13" s="1">
        <v>3206.63</v>
      </c>
      <c r="AD13" s="1">
        <v>759.47</v>
      </c>
      <c r="AE13" s="1">
        <v>349.38</v>
      </c>
      <c r="AF13" s="1">
        <v>2295.65</v>
      </c>
      <c r="AG13" s="1">
        <v>750.74</v>
      </c>
      <c r="AH13" s="1">
        <v>3363.18</v>
      </c>
      <c r="AI13" s="1">
        <v>1529.59</v>
      </c>
      <c r="AJ13" s="1">
        <v>3664.64</v>
      </c>
      <c r="AK13" s="1">
        <v>2327.9</v>
      </c>
      <c r="AL13" s="1">
        <v>853.29</v>
      </c>
      <c r="AM13" s="1">
        <v>687.46</v>
      </c>
      <c r="AN13" s="1">
        <v>2369.42</v>
      </c>
      <c r="AO13" s="1">
        <v>3083.25</v>
      </c>
      <c r="AP13" s="1">
        <v>3158.8</v>
      </c>
      <c r="AQ13" s="1">
        <v>1211.67</v>
      </c>
      <c r="AR13" s="1">
        <v>936.35</v>
      </c>
      <c r="AS13" s="1">
        <v>214.51</v>
      </c>
      <c r="AT13" s="1">
        <v>2764.92</v>
      </c>
      <c r="AU13" s="1">
        <v>444.79</v>
      </c>
      <c r="AV13" s="1">
        <v>1769.93</v>
      </c>
      <c r="AW13" s="1">
        <v>2466.48</v>
      </c>
      <c r="AX13" s="1">
        <v>3757.87</v>
      </c>
      <c r="AY13" s="1">
        <v>1350.44</v>
      </c>
      <c r="AZ13" s="1">
        <v>1111.6199999999999</v>
      </c>
      <c r="BA13" s="1">
        <v>2668.52</v>
      </c>
      <c r="BB13" s="1">
        <v>2534.0700000000002</v>
      </c>
      <c r="BC13" s="1">
        <v>1428.62</v>
      </c>
      <c r="BD13" s="1">
        <v>3723.19</v>
      </c>
      <c r="BE13" s="1">
        <v>3402.72</v>
      </c>
      <c r="BF13" s="1">
        <v>1012.33</v>
      </c>
      <c r="BG13" s="1">
        <v>1070.7</v>
      </c>
      <c r="BH13" s="1">
        <v>2122.36</v>
      </c>
      <c r="BI13" s="1">
        <v>3128.25</v>
      </c>
      <c r="BJ13" s="1">
        <v>319.56</v>
      </c>
      <c r="BK13" s="1">
        <v>2819.34</v>
      </c>
      <c r="BL13" s="1">
        <v>2645.71</v>
      </c>
      <c r="BM13" s="1">
        <v>1041.2</v>
      </c>
      <c r="BN13" s="1">
        <v>2773.21</v>
      </c>
      <c r="BO13" s="1">
        <v>3769.71</v>
      </c>
      <c r="BP13" s="1">
        <v>330.13</v>
      </c>
      <c r="BQ13" s="1">
        <v>1380.66</v>
      </c>
      <c r="BR13" s="1">
        <v>1836.98</v>
      </c>
      <c r="BS13" s="1">
        <v>3612.15</v>
      </c>
      <c r="BT13" s="1">
        <v>3854.71</v>
      </c>
      <c r="BU13" s="1">
        <v>1859.84</v>
      </c>
      <c r="BV13" s="1">
        <v>3037.61</v>
      </c>
      <c r="BW13" s="1">
        <v>2196.89</v>
      </c>
      <c r="BX13" s="1">
        <v>2220.46</v>
      </c>
      <c r="BY13" s="1">
        <v>1220.68</v>
      </c>
      <c r="BZ13" s="1">
        <v>985.28</v>
      </c>
      <c r="CA13" s="1">
        <v>1258.82</v>
      </c>
      <c r="CB13" s="1">
        <v>2291.86</v>
      </c>
      <c r="CC13" s="1">
        <v>262.25</v>
      </c>
      <c r="CD13" s="1">
        <v>3642.91</v>
      </c>
      <c r="CE13" s="1">
        <v>751.69</v>
      </c>
      <c r="CF13" s="1">
        <v>997.34</v>
      </c>
      <c r="CG13" s="1">
        <v>2145.36</v>
      </c>
      <c r="CH13" s="1">
        <v>2883.94</v>
      </c>
      <c r="CI13" s="1">
        <v>518.55999999999995</v>
      </c>
      <c r="CJ13" s="1">
        <v>1373.12</v>
      </c>
      <c r="CK13" s="1">
        <v>3879.4</v>
      </c>
      <c r="CL13" s="1">
        <v>1160.02</v>
      </c>
      <c r="CM13" s="1">
        <v>1355.24</v>
      </c>
      <c r="CN13" s="1">
        <v>3370.52</v>
      </c>
      <c r="CO13" s="1">
        <v>343.33</v>
      </c>
      <c r="CP13" s="1">
        <v>1938.76</v>
      </c>
      <c r="CQ13" s="1">
        <v>1611.52</v>
      </c>
      <c r="CR13" s="1">
        <v>1368.86</v>
      </c>
      <c r="CS13" s="1">
        <v>1249.94</v>
      </c>
      <c r="CT13" s="1">
        <v>501.79</v>
      </c>
      <c r="CU13" s="1">
        <v>1362.08</v>
      </c>
      <c r="CV13" s="1">
        <v>315.75</v>
      </c>
      <c r="CW13" s="1">
        <v>3156.71</v>
      </c>
      <c r="CX13" s="1">
        <v>1683.18</v>
      </c>
      <c r="CY13" s="1">
        <v>1859.03</v>
      </c>
      <c r="CZ13" s="1">
        <v>3590.34</v>
      </c>
      <c r="DA13" s="1">
        <v>2683.51</v>
      </c>
      <c r="DB13" s="1">
        <v>181.03</v>
      </c>
      <c r="DC13" s="1">
        <v>3781.22</v>
      </c>
      <c r="DD13" s="1">
        <v>1063.01</v>
      </c>
      <c r="DE13" s="1">
        <v>564.30999999999995</v>
      </c>
      <c r="DF13" s="1">
        <v>3107.29</v>
      </c>
      <c r="DG13" s="1">
        <v>2076.84</v>
      </c>
      <c r="DH13" s="1">
        <v>1820.02</v>
      </c>
      <c r="DI13" s="1">
        <v>1110.5899999999999</v>
      </c>
      <c r="DJ13" s="1">
        <v>2257.77</v>
      </c>
      <c r="DK13" s="1">
        <v>1206.3800000000001</v>
      </c>
      <c r="DL13" s="1">
        <v>3621.09</v>
      </c>
      <c r="DM13" s="1">
        <v>978.54</v>
      </c>
      <c r="DN13" s="1">
        <v>3554.77</v>
      </c>
      <c r="DO13" s="1">
        <v>2303.71</v>
      </c>
      <c r="DP13" s="1">
        <v>3339.68</v>
      </c>
      <c r="DQ13" s="1">
        <v>2894.46</v>
      </c>
      <c r="DR13" s="1">
        <v>2832.28</v>
      </c>
      <c r="DS13" s="1">
        <v>1398.73</v>
      </c>
      <c r="DT13" s="1">
        <v>1050.5</v>
      </c>
      <c r="DU13" s="1">
        <v>961.91</v>
      </c>
      <c r="DV13" s="1">
        <v>3450.19</v>
      </c>
      <c r="DW13" s="1">
        <v>3308.64</v>
      </c>
      <c r="DX13" s="1">
        <v>1846.21</v>
      </c>
      <c r="DY13" s="1">
        <v>659.76</v>
      </c>
      <c r="DZ13" s="1">
        <v>1621.67</v>
      </c>
      <c r="EA13" s="1">
        <v>2534.4699999999998</v>
      </c>
      <c r="EB13" s="1">
        <v>1899.45</v>
      </c>
      <c r="EC13" s="1">
        <v>3153.73</v>
      </c>
      <c r="ED13" s="1">
        <v>3990.85</v>
      </c>
      <c r="EE13" s="1">
        <v>885.86</v>
      </c>
      <c r="EF13" s="1">
        <v>1919.66</v>
      </c>
      <c r="EG13" s="1">
        <v>1809.29</v>
      </c>
      <c r="EH13" s="1">
        <v>1322.3</v>
      </c>
      <c r="EI13" s="1">
        <v>912.67</v>
      </c>
      <c r="EJ13" s="1">
        <v>402.91</v>
      </c>
      <c r="EK13" s="1">
        <v>3565.41</v>
      </c>
      <c r="EL13" s="1">
        <v>1766.42</v>
      </c>
      <c r="EM13" s="1">
        <v>2063.0500000000002</v>
      </c>
      <c r="EN13" s="1">
        <v>3680.23</v>
      </c>
      <c r="EO13" s="1">
        <v>3138.72</v>
      </c>
      <c r="EP13" s="1">
        <v>652.42999999999995</v>
      </c>
      <c r="EQ13" s="1">
        <v>2326.87</v>
      </c>
      <c r="ER13" s="1">
        <v>1852.67</v>
      </c>
      <c r="ES13" s="1">
        <v>3219.26</v>
      </c>
      <c r="ET13" s="1">
        <v>2938.3</v>
      </c>
      <c r="EU13" s="1">
        <v>2808.06</v>
      </c>
      <c r="EV13" s="1">
        <v>1461.1</v>
      </c>
      <c r="EW13" s="1">
        <v>3249.11</v>
      </c>
      <c r="EX13" s="1">
        <v>351.71</v>
      </c>
      <c r="EY13" s="1">
        <v>764.56</v>
      </c>
      <c r="EZ13" s="1">
        <v>1442.15</v>
      </c>
      <c r="FA13" s="1">
        <v>445.71</v>
      </c>
      <c r="FB13" s="1">
        <v>1054.73</v>
      </c>
      <c r="FC13" s="1">
        <v>3346.08</v>
      </c>
      <c r="FD13" s="1">
        <v>3800.77</v>
      </c>
      <c r="FE13" s="1">
        <v>1322.72</v>
      </c>
      <c r="FF13" s="1">
        <v>1168.3900000000001</v>
      </c>
      <c r="FG13" s="1">
        <v>1227.5899999999999</v>
      </c>
      <c r="FH13" s="1">
        <v>1219.22</v>
      </c>
      <c r="FI13" s="1">
        <v>288.33</v>
      </c>
      <c r="FJ13" s="1">
        <v>3718.63</v>
      </c>
      <c r="FK13" s="1">
        <v>972.74</v>
      </c>
      <c r="FL13" s="1">
        <v>1767.02</v>
      </c>
      <c r="FM13" s="1">
        <v>187.29</v>
      </c>
      <c r="FN13" s="1">
        <v>3453.13</v>
      </c>
      <c r="FO13" s="1">
        <v>2964.96</v>
      </c>
      <c r="FP13" s="1">
        <v>3795.01</v>
      </c>
      <c r="FQ13" s="1">
        <v>3159.22</v>
      </c>
      <c r="FR13" s="1">
        <v>1357.77</v>
      </c>
      <c r="FS13" s="1">
        <v>1104.31</v>
      </c>
      <c r="FT13" s="1">
        <v>2836.21</v>
      </c>
      <c r="FU13" s="1">
        <v>1551.83</v>
      </c>
      <c r="FV13" s="1">
        <v>2329.9299999999998</v>
      </c>
      <c r="FW13" s="1">
        <v>174.09</v>
      </c>
      <c r="FX13" s="1">
        <v>388.26</v>
      </c>
      <c r="FY13" s="1">
        <v>2211.17</v>
      </c>
      <c r="FZ13" s="1">
        <v>2329.38</v>
      </c>
      <c r="GA13" s="1">
        <v>3043.09</v>
      </c>
      <c r="GB13" s="1">
        <v>658.07</v>
      </c>
      <c r="GC13" s="1">
        <v>2125.75</v>
      </c>
      <c r="GD13" s="1">
        <v>898.62</v>
      </c>
      <c r="GE13" s="1">
        <v>508.81</v>
      </c>
      <c r="GF13" s="1">
        <v>1730.41</v>
      </c>
      <c r="GG13" s="1">
        <v>778.85</v>
      </c>
      <c r="GH13" s="1">
        <v>1003.86</v>
      </c>
      <c r="GI13" s="1">
        <v>1372.59</v>
      </c>
      <c r="GJ13" s="1">
        <v>1148.6500000000001</v>
      </c>
      <c r="GK13" s="1">
        <v>487.23</v>
      </c>
      <c r="GL13" s="1">
        <v>496.18</v>
      </c>
      <c r="GM13" s="1">
        <v>894.01</v>
      </c>
      <c r="GN13" s="1">
        <v>344.65</v>
      </c>
      <c r="GO13" s="1">
        <v>2561.86</v>
      </c>
      <c r="GP13" s="1">
        <v>1256.21</v>
      </c>
      <c r="GQ13" s="1">
        <v>1227.02</v>
      </c>
      <c r="GR13" s="1">
        <v>1428.19</v>
      </c>
      <c r="GS13" s="1">
        <v>2701.77</v>
      </c>
      <c r="GT13" s="1">
        <v>3501.94</v>
      </c>
      <c r="GU13" s="1">
        <v>3072.48</v>
      </c>
      <c r="GV13" s="1">
        <v>2950.99</v>
      </c>
      <c r="GW13" s="1">
        <v>2014.91</v>
      </c>
      <c r="GX13" s="1">
        <v>2821.15</v>
      </c>
      <c r="GY13" s="1">
        <v>2278.14</v>
      </c>
      <c r="GZ13" s="1">
        <v>982.56</v>
      </c>
      <c r="HA13" s="1">
        <v>953.07</v>
      </c>
      <c r="HB13" s="1">
        <v>1291.1099999999999</v>
      </c>
      <c r="HC13" s="1">
        <v>3656.59</v>
      </c>
      <c r="HD13" s="1">
        <v>2257.5500000000002</v>
      </c>
      <c r="HE13" s="1">
        <v>2975.54</v>
      </c>
      <c r="HF13" s="1">
        <v>1484.25</v>
      </c>
      <c r="HG13" s="1">
        <v>1719.71</v>
      </c>
      <c r="HH13" s="1">
        <v>633.42999999999995</v>
      </c>
      <c r="HI13" s="1">
        <v>809.49</v>
      </c>
      <c r="HJ13" s="1">
        <v>3335.32</v>
      </c>
      <c r="HK13" s="1">
        <v>2401.63</v>
      </c>
      <c r="HL13" s="1">
        <v>1449.5</v>
      </c>
      <c r="HM13" s="1">
        <v>3240.98</v>
      </c>
      <c r="HN13" s="1">
        <v>1099.0999999999999</v>
      </c>
      <c r="HO13" s="1">
        <v>3907.73</v>
      </c>
      <c r="HP13" s="1">
        <v>1477.55</v>
      </c>
      <c r="HQ13" s="1">
        <v>1448.65</v>
      </c>
      <c r="HR13" s="1">
        <v>1350.86</v>
      </c>
      <c r="HS13" s="1">
        <v>620.13</v>
      </c>
      <c r="HT13" s="1">
        <v>577.88</v>
      </c>
      <c r="HU13" s="1">
        <v>2645.2</v>
      </c>
      <c r="HV13" s="1">
        <v>3519.2</v>
      </c>
      <c r="HW13" s="1">
        <v>3193.5</v>
      </c>
      <c r="HX13" s="1">
        <v>693.26</v>
      </c>
      <c r="HY13" s="1">
        <v>2250.4899999999998</v>
      </c>
      <c r="HZ13" s="1">
        <v>556.53</v>
      </c>
      <c r="IA13" s="1">
        <v>324.38</v>
      </c>
      <c r="IB13" s="1">
        <v>2677.09</v>
      </c>
      <c r="IC13" s="1">
        <v>2210.34</v>
      </c>
      <c r="ID13" s="1">
        <v>465.79</v>
      </c>
      <c r="IE13" s="1">
        <v>284.52</v>
      </c>
      <c r="IF13" s="1">
        <v>3960.56</v>
      </c>
      <c r="IG13" s="1">
        <v>265.58</v>
      </c>
      <c r="IH13" s="1">
        <v>1861.43</v>
      </c>
      <c r="II13" s="1">
        <v>2092.7800000000002</v>
      </c>
      <c r="IJ13" s="1">
        <v>601.53</v>
      </c>
      <c r="IK13" s="1">
        <v>800.89</v>
      </c>
      <c r="IL13" s="1">
        <v>1504.45</v>
      </c>
      <c r="IM13" s="1">
        <v>3082.45</v>
      </c>
      <c r="IN13" s="1">
        <v>2102.27</v>
      </c>
      <c r="IO13" s="1">
        <v>2605.92</v>
      </c>
      <c r="IP13" s="1">
        <v>3942.92</v>
      </c>
      <c r="IQ13" s="1">
        <v>3106.82</v>
      </c>
      <c r="IR13" s="1">
        <v>1822.29</v>
      </c>
      <c r="IS13" s="1">
        <v>1868.8</v>
      </c>
      <c r="IT13" s="1">
        <v>2532.27</v>
      </c>
      <c r="IU13" s="1">
        <v>2711.66</v>
      </c>
      <c r="IV13" s="1">
        <v>2077.7399999999998</v>
      </c>
      <c r="IW13" s="1">
        <v>2632.72</v>
      </c>
      <c r="IX13" s="1">
        <v>240.6</v>
      </c>
      <c r="IY13" s="1">
        <v>1804.05</v>
      </c>
      <c r="IZ13" s="1">
        <v>1223.9100000000001</v>
      </c>
      <c r="JA13" s="1">
        <v>647.32000000000005</v>
      </c>
      <c r="JB13" s="1">
        <v>533.25</v>
      </c>
      <c r="JC13" s="1">
        <v>2472.29</v>
      </c>
      <c r="JD13" s="1">
        <v>2165.86</v>
      </c>
      <c r="JE13" s="1">
        <v>1126.3</v>
      </c>
      <c r="JF13" s="1">
        <v>1963.16</v>
      </c>
      <c r="JG13" s="1">
        <v>2045.09</v>
      </c>
      <c r="JH13" s="1">
        <v>900.78</v>
      </c>
      <c r="JI13" s="1">
        <v>2660.56</v>
      </c>
      <c r="JJ13" s="1">
        <v>3156.54</v>
      </c>
      <c r="JK13" s="1">
        <v>3197.13</v>
      </c>
      <c r="JL13" s="1">
        <v>2469.5100000000002</v>
      </c>
      <c r="JM13" s="1">
        <v>2119.81</v>
      </c>
      <c r="JN13" s="1">
        <v>384.88</v>
      </c>
      <c r="JO13" s="1">
        <v>1258.1500000000001</v>
      </c>
      <c r="JP13" s="1">
        <v>509.1</v>
      </c>
      <c r="JQ13" s="1">
        <v>3860.72</v>
      </c>
      <c r="JR13" s="1">
        <v>670.06</v>
      </c>
      <c r="JS13" s="1">
        <v>734.34</v>
      </c>
      <c r="JT13" s="1">
        <v>3574.87</v>
      </c>
      <c r="JU13" s="1">
        <v>3784.12</v>
      </c>
      <c r="JV13" s="1">
        <v>3098.44</v>
      </c>
      <c r="JW13" s="1">
        <v>170.81</v>
      </c>
      <c r="JX13" s="1">
        <v>155.18</v>
      </c>
      <c r="JY13" s="1">
        <v>1605.69</v>
      </c>
      <c r="JZ13" s="1">
        <v>702.07</v>
      </c>
      <c r="KA13" s="1">
        <v>220.79</v>
      </c>
      <c r="KB13" s="1">
        <v>1936.66</v>
      </c>
      <c r="KC13" s="1">
        <v>3780.79</v>
      </c>
      <c r="KD13" s="1">
        <v>1396.71</v>
      </c>
      <c r="KE13" s="1">
        <v>2695.39</v>
      </c>
      <c r="KF13" s="1">
        <v>2661.11</v>
      </c>
      <c r="KG13" s="1">
        <v>1116.6600000000001</v>
      </c>
      <c r="KH13" s="1">
        <v>2654.14</v>
      </c>
      <c r="KI13" s="1">
        <v>967.49</v>
      </c>
      <c r="KJ13" s="1">
        <v>619.73</v>
      </c>
      <c r="KK13" s="1">
        <v>2850.33</v>
      </c>
      <c r="KL13" s="1">
        <v>586.75</v>
      </c>
      <c r="KM13" s="1">
        <v>3988.1</v>
      </c>
      <c r="KN13" s="1">
        <v>856.29</v>
      </c>
      <c r="KO13" s="1">
        <v>2437.4499999999998</v>
      </c>
      <c r="KP13" s="1">
        <v>1733.79</v>
      </c>
      <c r="KQ13" s="1">
        <v>636.59</v>
      </c>
      <c r="KR13" s="1">
        <v>257.2</v>
      </c>
      <c r="KS13" s="1">
        <v>2547.52</v>
      </c>
      <c r="KT13" s="1">
        <v>3256.02</v>
      </c>
      <c r="KU13" s="1">
        <v>3391.76</v>
      </c>
      <c r="KV13" s="1">
        <v>2008.45</v>
      </c>
      <c r="KW13" s="1">
        <v>3143.2</v>
      </c>
      <c r="KX13" s="1">
        <v>2740.46</v>
      </c>
      <c r="KY13" s="1">
        <v>2938.38</v>
      </c>
      <c r="KZ13" s="1">
        <v>2046.51</v>
      </c>
      <c r="LA13" s="1">
        <v>2588.64</v>
      </c>
      <c r="LB13" s="1">
        <v>3251.27</v>
      </c>
      <c r="LC13" s="1">
        <v>1681.85</v>
      </c>
      <c r="LD13" s="1">
        <v>3253.02</v>
      </c>
      <c r="LE13" s="1">
        <v>2429.2600000000002</v>
      </c>
      <c r="LF13" s="1">
        <v>788.72</v>
      </c>
      <c r="LG13" s="1">
        <v>245.03</v>
      </c>
      <c r="LH13" s="1">
        <v>1546.6</v>
      </c>
      <c r="LI13" s="1">
        <v>2254.7800000000002</v>
      </c>
      <c r="LJ13" s="1">
        <v>3383.31</v>
      </c>
      <c r="LK13" s="1">
        <v>640.82000000000005</v>
      </c>
      <c r="LL13" s="1">
        <v>3230.79</v>
      </c>
      <c r="LM13" s="1">
        <v>3472.58</v>
      </c>
      <c r="LN13" s="1">
        <v>730.15</v>
      </c>
      <c r="LO13" s="1">
        <v>3428.64</v>
      </c>
      <c r="LP13" s="1">
        <v>3967.1</v>
      </c>
      <c r="LQ13" s="1">
        <v>2948.33</v>
      </c>
      <c r="LR13" s="1">
        <v>3171.36</v>
      </c>
      <c r="LS13" s="1">
        <v>3978.5</v>
      </c>
      <c r="LT13" s="1">
        <v>2481.1</v>
      </c>
      <c r="LU13" s="1">
        <v>1335.36</v>
      </c>
      <c r="LV13" s="1">
        <v>3374.49</v>
      </c>
      <c r="LW13" s="1">
        <v>2515.77</v>
      </c>
      <c r="LX13" s="1">
        <v>2387.6</v>
      </c>
      <c r="LY13" s="1">
        <v>1126.5</v>
      </c>
      <c r="LZ13" s="1">
        <v>3061.89</v>
      </c>
      <c r="MA13" s="1">
        <v>464.42</v>
      </c>
      <c r="MB13" s="1">
        <v>3708.51</v>
      </c>
      <c r="MC13" s="1">
        <v>1404.42</v>
      </c>
      <c r="MD13" s="1">
        <v>641.92999999999995</v>
      </c>
      <c r="ME13" s="1">
        <v>1853.11</v>
      </c>
      <c r="MF13" s="1">
        <v>313.51</v>
      </c>
      <c r="MG13" s="1">
        <v>2785.81</v>
      </c>
      <c r="MH13" s="1">
        <v>3625.42</v>
      </c>
      <c r="MI13" s="1">
        <v>3373.46</v>
      </c>
      <c r="MJ13" s="1">
        <v>640.37</v>
      </c>
      <c r="MK13" s="1">
        <v>636.14</v>
      </c>
      <c r="ML13" s="1">
        <v>3281.72</v>
      </c>
      <c r="MM13" s="1">
        <v>3708.38</v>
      </c>
      <c r="MN13" s="1">
        <v>1923.58</v>
      </c>
      <c r="MO13" s="1">
        <v>2071.04</v>
      </c>
      <c r="MP13" s="1">
        <v>1375.31</v>
      </c>
      <c r="MQ13" s="1">
        <v>3592.92</v>
      </c>
      <c r="MR13" s="1">
        <v>2632.88</v>
      </c>
      <c r="MS13" s="1">
        <v>1259.77</v>
      </c>
      <c r="MT13" s="1">
        <v>1300.31</v>
      </c>
      <c r="MU13" s="1">
        <v>3581.12</v>
      </c>
      <c r="MV13" s="1">
        <v>202.49</v>
      </c>
      <c r="MW13" s="1">
        <v>1392.5</v>
      </c>
      <c r="MX13" s="1">
        <v>2284.27</v>
      </c>
      <c r="MY13" s="1">
        <v>720.64</v>
      </c>
      <c r="MZ13" s="1">
        <v>504.58</v>
      </c>
      <c r="NA13" s="1">
        <v>3288.81</v>
      </c>
      <c r="NB13" s="1">
        <v>3593.46</v>
      </c>
      <c r="NC13" s="1">
        <v>3320.88</v>
      </c>
      <c r="ND13" s="1">
        <v>3610.33</v>
      </c>
      <c r="NE13" s="1">
        <v>2279.48</v>
      </c>
      <c r="NF13" s="1">
        <v>3277.19</v>
      </c>
      <c r="NG13" s="1">
        <v>1628.56</v>
      </c>
      <c r="NH13" s="1">
        <v>2715.13</v>
      </c>
      <c r="NI13" s="1">
        <v>3957.02</v>
      </c>
      <c r="NJ13" s="1">
        <v>1019.05</v>
      </c>
      <c r="NK13" s="1">
        <v>1651.11</v>
      </c>
      <c r="NL13" s="1">
        <v>1998.18</v>
      </c>
      <c r="NM13" s="1">
        <v>681.36</v>
      </c>
      <c r="NN13" s="1">
        <v>462</v>
      </c>
      <c r="NO13" s="1">
        <v>3344.43</v>
      </c>
      <c r="NP13" s="1">
        <v>3910.66</v>
      </c>
      <c r="NQ13" s="1">
        <v>1708.19</v>
      </c>
      <c r="NR13" s="1">
        <v>487.45</v>
      </c>
      <c r="NS13" s="1">
        <v>403.38</v>
      </c>
      <c r="NT13" s="1">
        <v>3581.58</v>
      </c>
      <c r="NU13" s="1">
        <v>1935.68</v>
      </c>
      <c r="NV13" s="1">
        <v>1382.11</v>
      </c>
      <c r="NW13" s="1">
        <v>1984.38</v>
      </c>
      <c r="NX13" s="1">
        <v>1375.47</v>
      </c>
      <c r="NY13" s="1">
        <v>2032.79</v>
      </c>
      <c r="NZ13" s="1">
        <v>3459.29</v>
      </c>
      <c r="OA13" s="1">
        <v>2430.36</v>
      </c>
      <c r="OB13" s="1">
        <v>2824.42</v>
      </c>
      <c r="OC13" s="1">
        <v>1553.98</v>
      </c>
      <c r="OD13" s="1">
        <v>2993.25</v>
      </c>
      <c r="OE13" s="1">
        <v>2716.48</v>
      </c>
      <c r="OF13" s="1">
        <v>610.30999999999995</v>
      </c>
      <c r="OG13" s="1">
        <v>2354.67</v>
      </c>
      <c r="OH13" s="1">
        <v>1138.46</v>
      </c>
      <c r="OI13" s="1">
        <v>3245.77</v>
      </c>
      <c r="OJ13" s="1">
        <v>1789.86</v>
      </c>
      <c r="OK13" s="1">
        <v>3979.53</v>
      </c>
      <c r="OL13" s="1">
        <v>506.13</v>
      </c>
      <c r="OM13" s="1">
        <v>3154.34</v>
      </c>
      <c r="ON13" s="1">
        <v>2743.75</v>
      </c>
      <c r="OO13" s="1">
        <v>3104.87</v>
      </c>
      <c r="OP13" s="1">
        <v>1333.99</v>
      </c>
      <c r="OQ13" s="1">
        <v>2044.41</v>
      </c>
      <c r="OR13" s="1">
        <v>3216.56</v>
      </c>
      <c r="OS13" s="1">
        <v>1045.28</v>
      </c>
      <c r="OT13" s="1">
        <v>1020.23</v>
      </c>
      <c r="OU13" s="1">
        <v>2271.5500000000002</v>
      </c>
      <c r="OV13" s="1">
        <v>2165.7199999999998</v>
      </c>
      <c r="OW13" s="1">
        <v>1236.71</v>
      </c>
      <c r="OX13" s="1">
        <v>1297.5899999999999</v>
      </c>
      <c r="OY13" s="1">
        <v>1219.7</v>
      </c>
      <c r="OZ13" s="1">
        <v>3120.32</v>
      </c>
      <c r="PA13" s="1">
        <v>2659.82</v>
      </c>
      <c r="PB13" s="1">
        <v>3354.81</v>
      </c>
      <c r="PC13" s="1">
        <v>3905.57</v>
      </c>
      <c r="PD13" s="1">
        <v>1975.53</v>
      </c>
      <c r="PE13" s="1">
        <v>406.77</v>
      </c>
      <c r="PF13" s="1">
        <v>335.16</v>
      </c>
      <c r="PG13" s="1">
        <v>1288.31</v>
      </c>
      <c r="PH13" s="1">
        <v>3740.3</v>
      </c>
      <c r="PI13" s="1">
        <v>2164.37</v>
      </c>
      <c r="PJ13" s="1">
        <v>1196.3800000000001</v>
      </c>
      <c r="PK13" s="1">
        <v>1686.79</v>
      </c>
      <c r="PL13" s="1">
        <v>2454.59</v>
      </c>
      <c r="PM13" s="1">
        <v>2663.86</v>
      </c>
      <c r="PN13" s="1">
        <v>742.59</v>
      </c>
      <c r="PO13" s="1">
        <v>3911.57</v>
      </c>
      <c r="PP13" s="1">
        <v>2247.37</v>
      </c>
      <c r="PQ13" s="1">
        <v>672.4</v>
      </c>
      <c r="PR13" s="1">
        <v>3590.5</v>
      </c>
      <c r="PS13" s="1">
        <v>437.36</v>
      </c>
      <c r="PT13" s="1">
        <v>3644.78</v>
      </c>
      <c r="PU13" s="1">
        <v>3986.78</v>
      </c>
      <c r="PV13" s="1">
        <v>2846.66</v>
      </c>
      <c r="PW13" s="1">
        <v>3116.22</v>
      </c>
      <c r="PX13" s="1">
        <v>1448.62</v>
      </c>
      <c r="PY13" s="1">
        <v>3775.07</v>
      </c>
      <c r="PZ13" s="1">
        <v>2189.4</v>
      </c>
      <c r="QA13" s="1">
        <v>2969.7</v>
      </c>
      <c r="QB13" s="1">
        <v>3707.81</v>
      </c>
      <c r="QC13" s="1">
        <v>3904.44</v>
      </c>
      <c r="QD13" s="1">
        <v>3357.84</v>
      </c>
      <c r="QE13" s="1">
        <v>1316.62</v>
      </c>
      <c r="QF13" s="1">
        <v>3871.21</v>
      </c>
      <c r="QG13" s="1">
        <v>2568.2600000000002</v>
      </c>
      <c r="QH13" s="1">
        <v>3732.97</v>
      </c>
      <c r="QI13" s="1">
        <v>2753</v>
      </c>
      <c r="QJ13" s="1">
        <v>1332.87</v>
      </c>
      <c r="QK13" s="1">
        <v>1574.59</v>
      </c>
      <c r="QL13" s="1">
        <v>2269.3200000000002</v>
      </c>
      <c r="QM13" s="1">
        <v>3191.56</v>
      </c>
      <c r="QN13" s="1">
        <v>1374.23</v>
      </c>
      <c r="QO13" s="1">
        <v>2381.96</v>
      </c>
      <c r="QP13" s="1">
        <v>1480.66</v>
      </c>
      <c r="QQ13" s="1">
        <v>3290.71</v>
      </c>
      <c r="QR13" s="1">
        <v>1946.9</v>
      </c>
      <c r="QS13" s="1">
        <v>445.38</v>
      </c>
      <c r="QT13" s="1">
        <v>789.3</v>
      </c>
      <c r="QU13" s="1">
        <v>385.25</v>
      </c>
      <c r="QV13" s="1">
        <v>2072.3200000000002</v>
      </c>
      <c r="QW13" s="1">
        <v>559.4</v>
      </c>
      <c r="QX13" s="1">
        <v>589.44000000000005</v>
      </c>
      <c r="QY13" s="1">
        <v>3773.04</v>
      </c>
      <c r="QZ13" s="1">
        <v>3509.72</v>
      </c>
      <c r="RA13" s="1">
        <v>1890.53</v>
      </c>
      <c r="RB13" s="1">
        <v>3945.35</v>
      </c>
      <c r="RC13" s="1">
        <v>150.72</v>
      </c>
      <c r="RD13" s="1">
        <v>2513.8200000000002</v>
      </c>
      <c r="RE13" s="1">
        <v>2523.25</v>
      </c>
      <c r="RF13" s="1">
        <v>1911.16</v>
      </c>
      <c r="RG13" s="1">
        <v>1678.25</v>
      </c>
      <c r="RH13" s="1">
        <v>1903.23</v>
      </c>
      <c r="RI13" s="1">
        <v>1747.6</v>
      </c>
      <c r="RJ13" s="1">
        <v>2962.4</v>
      </c>
      <c r="RK13" s="1">
        <v>671.12</v>
      </c>
      <c r="RL13" s="1">
        <v>910.91</v>
      </c>
      <c r="RM13" s="1">
        <v>845</v>
      </c>
      <c r="RN13" s="1">
        <v>1160.51</v>
      </c>
      <c r="RO13" s="1">
        <v>2172.2399999999998</v>
      </c>
      <c r="RP13" s="1">
        <v>578.15</v>
      </c>
      <c r="RQ13" s="1">
        <v>3492.45</v>
      </c>
      <c r="RR13" s="1">
        <v>1294.8399999999999</v>
      </c>
      <c r="RS13" s="1">
        <v>775.77</v>
      </c>
      <c r="RT13" s="1">
        <v>2751.14</v>
      </c>
      <c r="RU13" s="1">
        <v>296.63</v>
      </c>
      <c r="RV13" s="1">
        <v>2536.88</v>
      </c>
      <c r="RW13" s="1">
        <v>2838.06</v>
      </c>
      <c r="RX13" s="1">
        <v>977.43</v>
      </c>
      <c r="RY13" s="1">
        <v>311.56</v>
      </c>
      <c r="RZ13" s="1">
        <v>1550.03</v>
      </c>
      <c r="SA13" s="1">
        <v>529.59</v>
      </c>
      <c r="SB13" s="1">
        <v>598.44000000000005</v>
      </c>
      <c r="SC13" s="1">
        <v>1128.9100000000001</v>
      </c>
      <c r="SD13" s="1">
        <v>1287.55</v>
      </c>
      <c r="SE13" s="1">
        <v>2190.39</v>
      </c>
      <c r="SF13" s="1">
        <v>2761.81</v>
      </c>
      <c r="SG13" s="1">
        <v>2432.17</v>
      </c>
    </row>
    <row r="14" spans="1:501" x14ac:dyDescent="0.3">
      <c r="A14" s="3" t="s">
        <v>13</v>
      </c>
      <c r="B14" s="1">
        <v>0</v>
      </c>
      <c r="C14" s="1">
        <v>5</v>
      </c>
      <c r="D14" s="1">
        <v>15</v>
      </c>
      <c r="E14" s="1">
        <v>15</v>
      </c>
      <c r="F14" s="1">
        <v>20</v>
      </c>
      <c r="G14" s="1">
        <v>10</v>
      </c>
      <c r="H14" s="1">
        <v>10</v>
      </c>
      <c r="I14" s="1">
        <v>10</v>
      </c>
      <c r="J14" s="1">
        <v>15</v>
      </c>
      <c r="K14" s="1">
        <v>20</v>
      </c>
      <c r="L14" s="1">
        <v>0</v>
      </c>
      <c r="M14" s="1">
        <v>5</v>
      </c>
      <c r="N14" s="1">
        <v>0</v>
      </c>
      <c r="O14" s="1">
        <v>15</v>
      </c>
      <c r="P14" s="1">
        <v>10</v>
      </c>
      <c r="Q14" s="1">
        <v>5</v>
      </c>
      <c r="R14" s="1">
        <v>15</v>
      </c>
      <c r="S14" s="1">
        <v>15</v>
      </c>
      <c r="T14" s="1">
        <v>15</v>
      </c>
      <c r="U14" s="1">
        <v>5</v>
      </c>
      <c r="V14" s="1">
        <v>5</v>
      </c>
      <c r="W14" s="1">
        <v>20</v>
      </c>
      <c r="X14" s="1">
        <v>20</v>
      </c>
      <c r="Y14" s="1">
        <v>0</v>
      </c>
      <c r="Z14" s="1">
        <v>5</v>
      </c>
      <c r="AA14" s="1">
        <v>5</v>
      </c>
      <c r="AB14" s="1">
        <v>5</v>
      </c>
      <c r="AC14" s="1">
        <v>20</v>
      </c>
      <c r="AD14" s="1">
        <v>15</v>
      </c>
      <c r="AE14" s="1">
        <v>10</v>
      </c>
      <c r="AF14" s="1">
        <v>20</v>
      </c>
      <c r="AG14" s="1">
        <v>5</v>
      </c>
      <c r="AH14" s="1">
        <v>20</v>
      </c>
      <c r="AI14" s="1">
        <v>0</v>
      </c>
      <c r="AJ14" s="1">
        <v>5</v>
      </c>
      <c r="AK14" s="1">
        <v>0</v>
      </c>
      <c r="AL14" s="1">
        <v>5</v>
      </c>
      <c r="AM14" s="1">
        <v>20</v>
      </c>
      <c r="AN14" s="1">
        <v>15</v>
      </c>
      <c r="AO14" s="1">
        <v>10</v>
      </c>
      <c r="AP14" s="1">
        <v>0</v>
      </c>
      <c r="AQ14" s="1">
        <v>20</v>
      </c>
      <c r="AR14" s="1">
        <v>15</v>
      </c>
      <c r="AS14" s="1">
        <v>20</v>
      </c>
      <c r="AT14" s="1">
        <v>0</v>
      </c>
      <c r="AU14" s="1">
        <v>10</v>
      </c>
      <c r="AV14" s="1">
        <v>20</v>
      </c>
      <c r="AW14" s="1">
        <v>5</v>
      </c>
      <c r="AX14" s="1">
        <v>15</v>
      </c>
      <c r="AY14" s="1">
        <v>20</v>
      </c>
      <c r="AZ14" s="1">
        <v>15</v>
      </c>
      <c r="BA14" s="1">
        <v>5</v>
      </c>
      <c r="BB14" s="1">
        <v>10</v>
      </c>
      <c r="BC14" s="1">
        <v>10</v>
      </c>
      <c r="BD14" s="1">
        <v>5</v>
      </c>
      <c r="BE14" s="1">
        <v>15</v>
      </c>
      <c r="BF14" s="1">
        <v>20</v>
      </c>
      <c r="BG14" s="1">
        <v>5</v>
      </c>
      <c r="BH14" s="1">
        <v>0</v>
      </c>
      <c r="BI14" s="1">
        <v>15</v>
      </c>
      <c r="BJ14" s="1">
        <v>10</v>
      </c>
      <c r="BK14" s="1">
        <v>5</v>
      </c>
      <c r="BL14" s="1">
        <v>10</v>
      </c>
      <c r="BM14" s="1">
        <v>15</v>
      </c>
      <c r="BN14" s="1">
        <v>10</v>
      </c>
      <c r="BO14" s="1">
        <v>5</v>
      </c>
      <c r="BP14" s="1">
        <v>15</v>
      </c>
      <c r="BQ14" s="1">
        <v>0</v>
      </c>
      <c r="BR14" s="1">
        <v>5</v>
      </c>
      <c r="BS14" s="1">
        <v>20</v>
      </c>
      <c r="BT14" s="1">
        <v>5</v>
      </c>
      <c r="BU14" s="1">
        <v>15</v>
      </c>
      <c r="BV14" s="1">
        <v>5</v>
      </c>
      <c r="BW14" s="1">
        <v>0</v>
      </c>
      <c r="BX14" s="1">
        <v>0</v>
      </c>
      <c r="BY14" s="1">
        <v>20</v>
      </c>
      <c r="BZ14" s="1">
        <v>10</v>
      </c>
      <c r="CA14" s="1">
        <v>15</v>
      </c>
      <c r="CB14" s="1">
        <v>15</v>
      </c>
      <c r="CC14" s="1">
        <v>10</v>
      </c>
      <c r="CD14" s="1">
        <v>0</v>
      </c>
      <c r="CE14" s="1">
        <v>0</v>
      </c>
      <c r="CF14" s="1">
        <v>5</v>
      </c>
      <c r="CG14" s="1">
        <v>20</v>
      </c>
      <c r="CH14" s="1">
        <v>20</v>
      </c>
      <c r="CI14" s="1">
        <v>20</v>
      </c>
      <c r="CJ14" s="1">
        <v>5</v>
      </c>
      <c r="CK14" s="1">
        <v>20</v>
      </c>
      <c r="CL14" s="1">
        <v>10</v>
      </c>
      <c r="CM14" s="1">
        <v>5</v>
      </c>
      <c r="CN14" s="1">
        <v>10</v>
      </c>
      <c r="CO14" s="1">
        <v>5</v>
      </c>
      <c r="CP14" s="1">
        <v>20</v>
      </c>
      <c r="CQ14" s="1">
        <v>10</v>
      </c>
      <c r="CR14" s="1">
        <v>10</v>
      </c>
      <c r="CS14" s="1">
        <v>10</v>
      </c>
      <c r="CT14" s="1">
        <v>5</v>
      </c>
      <c r="CU14" s="1">
        <v>15</v>
      </c>
      <c r="CV14" s="1">
        <v>20</v>
      </c>
      <c r="CW14" s="1">
        <v>10</v>
      </c>
      <c r="CX14" s="1">
        <v>15</v>
      </c>
      <c r="CY14" s="1">
        <v>20</v>
      </c>
      <c r="CZ14" s="1">
        <v>20</v>
      </c>
      <c r="DA14" s="1">
        <v>10</v>
      </c>
      <c r="DB14" s="1">
        <v>10</v>
      </c>
      <c r="DC14" s="1">
        <v>5</v>
      </c>
      <c r="DD14" s="1">
        <v>15</v>
      </c>
      <c r="DE14" s="1">
        <v>15</v>
      </c>
      <c r="DF14" s="1">
        <v>10</v>
      </c>
      <c r="DG14" s="1">
        <v>20</v>
      </c>
      <c r="DH14" s="1">
        <v>10</v>
      </c>
      <c r="DI14" s="1">
        <v>20</v>
      </c>
      <c r="DJ14" s="1">
        <v>20</v>
      </c>
      <c r="DK14" s="1">
        <v>10</v>
      </c>
      <c r="DL14" s="1">
        <v>0</v>
      </c>
      <c r="DM14" s="1">
        <v>15</v>
      </c>
      <c r="DN14" s="1">
        <v>20</v>
      </c>
      <c r="DO14" s="1">
        <v>20</v>
      </c>
      <c r="DP14" s="1">
        <v>0</v>
      </c>
      <c r="DQ14" s="1">
        <v>5</v>
      </c>
      <c r="DR14" s="1">
        <v>0</v>
      </c>
      <c r="DS14" s="1">
        <v>0</v>
      </c>
      <c r="DT14" s="1">
        <v>20</v>
      </c>
      <c r="DU14" s="1">
        <v>15</v>
      </c>
      <c r="DV14" s="1">
        <v>0</v>
      </c>
      <c r="DW14" s="1">
        <v>5</v>
      </c>
      <c r="DX14" s="1">
        <v>10</v>
      </c>
      <c r="DY14" s="1">
        <v>0</v>
      </c>
      <c r="DZ14" s="1">
        <v>0</v>
      </c>
      <c r="EA14" s="1">
        <v>5</v>
      </c>
      <c r="EB14" s="1">
        <v>15</v>
      </c>
      <c r="EC14" s="1">
        <v>0</v>
      </c>
      <c r="ED14" s="1">
        <v>0</v>
      </c>
      <c r="EE14" s="1">
        <v>15</v>
      </c>
      <c r="EF14" s="1">
        <v>5</v>
      </c>
      <c r="EG14" s="1">
        <v>0</v>
      </c>
      <c r="EH14" s="1">
        <v>15</v>
      </c>
      <c r="EI14" s="1">
        <v>0</v>
      </c>
      <c r="EJ14" s="1">
        <v>10</v>
      </c>
      <c r="EK14" s="1">
        <v>20</v>
      </c>
      <c r="EL14" s="1">
        <v>10</v>
      </c>
      <c r="EM14" s="1">
        <v>0</v>
      </c>
      <c r="EN14" s="1">
        <v>5</v>
      </c>
      <c r="EO14" s="1">
        <v>20</v>
      </c>
      <c r="EP14" s="1">
        <v>10</v>
      </c>
      <c r="EQ14" s="1">
        <v>15</v>
      </c>
      <c r="ER14" s="1">
        <v>5</v>
      </c>
      <c r="ES14" s="1">
        <v>10</v>
      </c>
      <c r="ET14" s="1">
        <v>15</v>
      </c>
      <c r="EU14" s="1">
        <v>0</v>
      </c>
      <c r="EV14" s="1">
        <v>15</v>
      </c>
      <c r="EW14" s="1">
        <v>10</v>
      </c>
      <c r="EX14" s="1">
        <v>10</v>
      </c>
      <c r="EY14" s="1">
        <v>0</v>
      </c>
      <c r="EZ14" s="1">
        <v>15</v>
      </c>
      <c r="FA14" s="1">
        <v>15</v>
      </c>
      <c r="FB14" s="1">
        <v>0</v>
      </c>
      <c r="FC14" s="1">
        <v>15</v>
      </c>
      <c r="FD14" s="1">
        <v>0</v>
      </c>
      <c r="FE14" s="1">
        <v>5</v>
      </c>
      <c r="FF14" s="1">
        <v>10</v>
      </c>
      <c r="FG14" s="1">
        <v>5</v>
      </c>
      <c r="FH14" s="1">
        <v>20</v>
      </c>
      <c r="FI14" s="1">
        <v>20</v>
      </c>
      <c r="FJ14" s="1">
        <v>20</v>
      </c>
      <c r="FK14" s="1">
        <v>0</v>
      </c>
      <c r="FL14" s="1">
        <v>15</v>
      </c>
      <c r="FM14" s="1">
        <v>5</v>
      </c>
      <c r="FN14" s="1">
        <v>5</v>
      </c>
      <c r="FO14" s="1">
        <v>5</v>
      </c>
      <c r="FP14" s="1">
        <v>5</v>
      </c>
      <c r="FQ14" s="1">
        <v>20</v>
      </c>
      <c r="FR14" s="1">
        <v>5</v>
      </c>
      <c r="FS14" s="1">
        <v>15</v>
      </c>
      <c r="FT14" s="1">
        <v>20</v>
      </c>
      <c r="FU14" s="1">
        <v>5</v>
      </c>
      <c r="FV14" s="1">
        <v>0</v>
      </c>
      <c r="FW14" s="1">
        <v>10</v>
      </c>
      <c r="FX14" s="1">
        <v>10</v>
      </c>
      <c r="FY14" s="1">
        <v>10</v>
      </c>
      <c r="FZ14" s="1">
        <v>20</v>
      </c>
      <c r="GA14" s="1">
        <v>5</v>
      </c>
      <c r="GB14" s="1">
        <v>20</v>
      </c>
      <c r="GC14" s="1">
        <v>15</v>
      </c>
      <c r="GD14" s="1">
        <v>0</v>
      </c>
      <c r="GE14" s="1">
        <v>0</v>
      </c>
      <c r="GF14" s="1">
        <v>10</v>
      </c>
      <c r="GG14" s="1">
        <v>10</v>
      </c>
      <c r="GH14" s="1">
        <v>10</v>
      </c>
      <c r="GI14" s="1">
        <v>5</v>
      </c>
      <c r="GJ14" s="1">
        <v>15</v>
      </c>
      <c r="GK14" s="1">
        <v>15</v>
      </c>
      <c r="GL14" s="1">
        <v>15</v>
      </c>
      <c r="GM14" s="1">
        <v>15</v>
      </c>
      <c r="GN14" s="1">
        <v>10</v>
      </c>
      <c r="GO14" s="1">
        <v>0</v>
      </c>
      <c r="GP14" s="1">
        <v>10</v>
      </c>
      <c r="GQ14" s="1">
        <v>15</v>
      </c>
      <c r="GR14" s="1">
        <v>10</v>
      </c>
      <c r="GS14" s="1">
        <v>15</v>
      </c>
      <c r="GT14" s="1">
        <v>20</v>
      </c>
      <c r="GU14" s="1">
        <v>0</v>
      </c>
      <c r="GV14" s="1">
        <v>20</v>
      </c>
      <c r="GW14" s="1">
        <v>5</v>
      </c>
      <c r="GX14" s="1">
        <v>10</v>
      </c>
      <c r="GY14" s="1">
        <v>5</v>
      </c>
      <c r="GZ14" s="1">
        <v>10</v>
      </c>
      <c r="HA14" s="1">
        <v>20</v>
      </c>
      <c r="HB14" s="1">
        <v>15</v>
      </c>
      <c r="HC14" s="1">
        <v>15</v>
      </c>
      <c r="HD14" s="1">
        <v>10</v>
      </c>
      <c r="HE14" s="1">
        <v>15</v>
      </c>
      <c r="HF14" s="1">
        <v>20</v>
      </c>
      <c r="HG14" s="1">
        <v>15</v>
      </c>
      <c r="HH14" s="1">
        <v>20</v>
      </c>
      <c r="HI14" s="1">
        <v>5</v>
      </c>
      <c r="HJ14" s="1">
        <v>20</v>
      </c>
      <c r="HK14" s="1">
        <v>0</v>
      </c>
      <c r="HL14" s="1">
        <v>0</v>
      </c>
      <c r="HM14" s="1">
        <v>0</v>
      </c>
      <c r="HN14" s="1">
        <v>10</v>
      </c>
      <c r="HO14" s="1">
        <v>10</v>
      </c>
      <c r="HP14" s="1">
        <v>10</v>
      </c>
      <c r="HQ14" s="1">
        <v>20</v>
      </c>
      <c r="HR14" s="1">
        <v>10</v>
      </c>
      <c r="HS14" s="1">
        <v>5</v>
      </c>
      <c r="HT14" s="1">
        <v>0</v>
      </c>
      <c r="HU14" s="1">
        <v>20</v>
      </c>
      <c r="HV14" s="1">
        <v>0</v>
      </c>
      <c r="HW14" s="1">
        <v>10</v>
      </c>
      <c r="HX14" s="1">
        <v>20</v>
      </c>
      <c r="HY14" s="1">
        <v>15</v>
      </c>
      <c r="HZ14" s="1">
        <v>5</v>
      </c>
      <c r="IA14" s="1">
        <v>10</v>
      </c>
      <c r="IB14" s="1">
        <v>10</v>
      </c>
      <c r="IC14" s="1">
        <v>5</v>
      </c>
      <c r="ID14" s="1">
        <v>5</v>
      </c>
      <c r="IE14" s="1">
        <v>15</v>
      </c>
      <c r="IF14" s="1">
        <v>10</v>
      </c>
      <c r="IG14" s="1">
        <v>10</v>
      </c>
      <c r="IH14" s="1">
        <v>0</v>
      </c>
      <c r="II14" s="1">
        <v>20</v>
      </c>
      <c r="IJ14" s="1">
        <v>20</v>
      </c>
      <c r="IK14" s="1">
        <v>0</v>
      </c>
      <c r="IL14" s="1">
        <v>20</v>
      </c>
      <c r="IM14" s="1">
        <v>5</v>
      </c>
      <c r="IN14" s="1">
        <v>20</v>
      </c>
      <c r="IO14" s="1">
        <v>20</v>
      </c>
      <c r="IP14" s="1">
        <v>0</v>
      </c>
      <c r="IQ14" s="1">
        <v>15</v>
      </c>
      <c r="IR14" s="1">
        <v>20</v>
      </c>
      <c r="IS14" s="1">
        <v>20</v>
      </c>
      <c r="IT14" s="1">
        <v>15</v>
      </c>
      <c r="IU14" s="1">
        <v>0</v>
      </c>
      <c r="IV14" s="1">
        <v>15</v>
      </c>
      <c r="IW14" s="1">
        <v>0</v>
      </c>
      <c r="IX14" s="1">
        <v>5</v>
      </c>
      <c r="IY14" s="1">
        <v>0</v>
      </c>
      <c r="IZ14" s="1">
        <v>5</v>
      </c>
      <c r="JA14" s="1">
        <v>5</v>
      </c>
      <c r="JB14" s="1">
        <v>0</v>
      </c>
      <c r="JC14" s="1">
        <v>10</v>
      </c>
      <c r="JD14" s="1">
        <v>0</v>
      </c>
      <c r="JE14" s="1">
        <v>20</v>
      </c>
      <c r="JF14" s="1">
        <v>20</v>
      </c>
      <c r="JG14" s="1">
        <v>10</v>
      </c>
      <c r="JH14" s="1">
        <v>5</v>
      </c>
      <c r="JI14" s="1">
        <v>10</v>
      </c>
      <c r="JJ14" s="1">
        <v>20</v>
      </c>
      <c r="JK14" s="1">
        <v>10</v>
      </c>
      <c r="JL14" s="1">
        <v>0</v>
      </c>
      <c r="JM14" s="1">
        <v>10</v>
      </c>
      <c r="JN14" s="1">
        <v>5</v>
      </c>
      <c r="JO14" s="1">
        <v>0</v>
      </c>
      <c r="JP14" s="1">
        <v>15</v>
      </c>
      <c r="JQ14" s="1">
        <v>20</v>
      </c>
      <c r="JR14" s="1">
        <v>20</v>
      </c>
      <c r="JS14" s="1">
        <v>10</v>
      </c>
      <c r="JT14" s="1">
        <v>0</v>
      </c>
      <c r="JU14" s="1">
        <v>15</v>
      </c>
      <c r="JV14" s="1">
        <v>0</v>
      </c>
      <c r="JW14" s="1">
        <v>20</v>
      </c>
      <c r="JX14" s="1">
        <v>0</v>
      </c>
      <c r="JY14" s="1">
        <v>15</v>
      </c>
      <c r="JZ14" s="1">
        <v>10</v>
      </c>
      <c r="KA14" s="1">
        <v>5</v>
      </c>
      <c r="KB14" s="1">
        <v>0</v>
      </c>
      <c r="KC14" s="1">
        <v>5</v>
      </c>
      <c r="KD14" s="1">
        <v>20</v>
      </c>
      <c r="KE14" s="1">
        <v>10</v>
      </c>
      <c r="KF14" s="1">
        <v>10</v>
      </c>
      <c r="KG14" s="1">
        <v>0</v>
      </c>
      <c r="KH14" s="1">
        <v>10</v>
      </c>
      <c r="KI14" s="1">
        <v>0</v>
      </c>
      <c r="KJ14" s="1">
        <v>0</v>
      </c>
      <c r="KK14" s="1">
        <v>5</v>
      </c>
      <c r="KL14" s="1">
        <v>10</v>
      </c>
      <c r="KM14" s="1">
        <v>0</v>
      </c>
      <c r="KN14" s="1">
        <v>5</v>
      </c>
      <c r="KO14" s="1">
        <v>15</v>
      </c>
      <c r="KP14" s="1">
        <v>5</v>
      </c>
      <c r="KQ14" s="1">
        <v>5</v>
      </c>
      <c r="KR14" s="1">
        <v>0</v>
      </c>
      <c r="KS14" s="1">
        <v>20</v>
      </c>
      <c r="KT14" s="1">
        <v>20</v>
      </c>
      <c r="KU14" s="1">
        <v>20</v>
      </c>
      <c r="KV14" s="1">
        <v>5</v>
      </c>
      <c r="KW14" s="1">
        <v>0</v>
      </c>
      <c r="KX14" s="1">
        <v>10</v>
      </c>
      <c r="KY14" s="1">
        <v>5</v>
      </c>
      <c r="KZ14" s="1">
        <v>5</v>
      </c>
      <c r="LA14" s="1">
        <v>0</v>
      </c>
      <c r="LB14" s="1">
        <v>15</v>
      </c>
      <c r="LC14" s="1">
        <v>5</v>
      </c>
      <c r="LD14" s="1">
        <v>15</v>
      </c>
      <c r="LE14" s="1">
        <v>15</v>
      </c>
      <c r="LF14" s="1">
        <v>20</v>
      </c>
      <c r="LG14" s="1">
        <v>0</v>
      </c>
      <c r="LH14" s="1">
        <v>15</v>
      </c>
      <c r="LI14" s="1">
        <v>0</v>
      </c>
      <c r="LJ14" s="1">
        <v>20</v>
      </c>
      <c r="LK14" s="1">
        <v>0</v>
      </c>
      <c r="LL14" s="1">
        <v>5</v>
      </c>
      <c r="LM14" s="1">
        <v>15</v>
      </c>
      <c r="LN14" s="1">
        <v>0</v>
      </c>
      <c r="LO14" s="1">
        <v>10</v>
      </c>
      <c r="LP14" s="1">
        <v>0</v>
      </c>
      <c r="LQ14" s="1">
        <v>15</v>
      </c>
      <c r="LR14" s="1">
        <v>20</v>
      </c>
      <c r="LS14" s="1">
        <v>20</v>
      </c>
      <c r="LT14" s="1">
        <v>15</v>
      </c>
      <c r="LU14" s="1">
        <v>5</v>
      </c>
      <c r="LV14" s="1">
        <v>5</v>
      </c>
      <c r="LW14" s="1">
        <v>20</v>
      </c>
      <c r="LX14" s="1">
        <v>20</v>
      </c>
      <c r="LY14" s="1">
        <v>15</v>
      </c>
      <c r="LZ14" s="1">
        <v>5</v>
      </c>
      <c r="MA14" s="1">
        <v>20</v>
      </c>
      <c r="MB14" s="1">
        <v>5</v>
      </c>
      <c r="MC14" s="1">
        <v>20</v>
      </c>
      <c r="MD14" s="1">
        <v>0</v>
      </c>
      <c r="ME14" s="1">
        <v>10</v>
      </c>
      <c r="MF14" s="1">
        <v>0</v>
      </c>
      <c r="MG14" s="1">
        <v>20</v>
      </c>
      <c r="MH14" s="1">
        <v>10</v>
      </c>
      <c r="MI14" s="1">
        <v>10</v>
      </c>
      <c r="MJ14" s="1">
        <v>20</v>
      </c>
      <c r="MK14" s="1">
        <v>20</v>
      </c>
      <c r="ML14" s="1">
        <v>5</v>
      </c>
      <c r="MM14" s="1">
        <v>20</v>
      </c>
      <c r="MN14" s="1">
        <v>15</v>
      </c>
      <c r="MO14" s="1">
        <v>20</v>
      </c>
      <c r="MP14" s="1">
        <v>15</v>
      </c>
      <c r="MQ14" s="1">
        <v>20</v>
      </c>
      <c r="MR14" s="1">
        <v>5</v>
      </c>
      <c r="MS14" s="1">
        <v>15</v>
      </c>
      <c r="MT14" s="1">
        <v>0</v>
      </c>
      <c r="MU14" s="1">
        <v>15</v>
      </c>
      <c r="MV14" s="1">
        <v>5</v>
      </c>
      <c r="MW14" s="1">
        <v>15</v>
      </c>
      <c r="MX14" s="1">
        <v>20</v>
      </c>
      <c r="MY14" s="1">
        <v>20</v>
      </c>
      <c r="MZ14" s="1">
        <v>5</v>
      </c>
      <c r="NA14" s="1">
        <v>10</v>
      </c>
      <c r="NB14" s="1">
        <v>20</v>
      </c>
      <c r="NC14" s="1">
        <v>0</v>
      </c>
      <c r="ND14" s="1">
        <v>5</v>
      </c>
      <c r="NE14" s="1">
        <v>15</v>
      </c>
      <c r="NF14" s="1">
        <v>15</v>
      </c>
      <c r="NG14" s="1">
        <v>0</v>
      </c>
      <c r="NH14" s="1">
        <v>20</v>
      </c>
      <c r="NI14" s="1">
        <v>5</v>
      </c>
      <c r="NJ14" s="1">
        <v>0</v>
      </c>
      <c r="NK14" s="1">
        <v>20</v>
      </c>
      <c r="NL14" s="1">
        <v>5</v>
      </c>
      <c r="NM14" s="1">
        <v>15</v>
      </c>
      <c r="NN14" s="1">
        <v>5</v>
      </c>
      <c r="NO14" s="1">
        <v>10</v>
      </c>
      <c r="NP14" s="1">
        <v>5</v>
      </c>
      <c r="NQ14" s="1">
        <v>10</v>
      </c>
      <c r="NR14" s="1">
        <v>5</v>
      </c>
      <c r="NS14" s="1">
        <v>10</v>
      </c>
      <c r="NT14" s="1">
        <v>15</v>
      </c>
      <c r="NU14" s="1">
        <v>20</v>
      </c>
      <c r="NV14" s="1">
        <v>10</v>
      </c>
      <c r="NW14" s="1">
        <v>10</v>
      </c>
      <c r="NX14" s="1">
        <v>15</v>
      </c>
      <c r="NY14" s="1">
        <v>10</v>
      </c>
      <c r="NZ14" s="1">
        <v>0</v>
      </c>
      <c r="OA14" s="1">
        <v>15</v>
      </c>
      <c r="OB14" s="1">
        <v>0</v>
      </c>
      <c r="OC14" s="1">
        <v>15</v>
      </c>
      <c r="OD14" s="1">
        <v>10</v>
      </c>
      <c r="OE14" s="1">
        <v>0</v>
      </c>
      <c r="OF14" s="1">
        <v>10</v>
      </c>
      <c r="OG14" s="1">
        <v>15</v>
      </c>
      <c r="OH14" s="1">
        <v>10</v>
      </c>
      <c r="OI14" s="1">
        <v>0</v>
      </c>
      <c r="OJ14" s="1">
        <v>0</v>
      </c>
      <c r="OK14" s="1">
        <v>10</v>
      </c>
      <c r="OL14" s="1">
        <v>5</v>
      </c>
      <c r="OM14" s="1">
        <v>15</v>
      </c>
      <c r="ON14" s="1">
        <v>15</v>
      </c>
      <c r="OO14" s="1">
        <v>10</v>
      </c>
      <c r="OP14" s="1">
        <v>5</v>
      </c>
      <c r="OQ14" s="1">
        <v>0</v>
      </c>
      <c r="OR14" s="1">
        <v>20</v>
      </c>
      <c r="OS14" s="1">
        <v>20</v>
      </c>
      <c r="OT14" s="1">
        <v>10</v>
      </c>
      <c r="OU14" s="1">
        <v>5</v>
      </c>
      <c r="OV14" s="1">
        <v>5</v>
      </c>
      <c r="OW14" s="1">
        <v>15</v>
      </c>
      <c r="OX14" s="1">
        <v>0</v>
      </c>
      <c r="OY14" s="1">
        <v>5</v>
      </c>
      <c r="OZ14" s="1">
        <v>20</v>
      </c>
      <c r="PA14" s="1">
        <v>0</v>
      </c>
      <c r="PB14" s="1">
        <v>0</v>
      </c>
      <c r="PC14" s="1">
        <v>10</v>
      </c>
      <c r="PD14" s="1">
        <v>5</v>
      </c>
      <c r="PE14" s="1">
        <v>10</v>
      </c>
      <c r="PF14" s="1">
        <v>5</v>
      </c>
      <c r="PG14" s="1">
        <v>15</v>
      </c>
      <c r="PH14" s="1">
        <v>10</v>
      </c>
      <c r="PI14" s="1">
        <v>10</v>
      </c>
      <c r="PJ14" s="1">
        <v>20</v>
      </c>
      <c r="PK14" s="1">
        <v>10</v>
      </c>
      <c r="PL14" s="1">
        <v>5</v>
      </c>
      <c r="PM14" s="1">
        <v>20</v>
      </c>
      <c r="PN14" s="1">
        <v>10</v>
      </c>
      <c r="PO14" s="1">
        <v>10</v>
      </c>
      <c r="PP14" s="1">
        <v>15</v>
      </c>
      <c r="PQ14" s="1">
        <v>10</v>
      </c>
      <c r="PR14" s="1">
        <v>0</v>
      </c>
      <c r="PS14" s="1">
        <v>20</v>
      </c>
      <c r="PT14" s="1">
        <v>0</v>
      </c>
      <c r="PU14" s="1">
        <v>20</v>
      </c>
      <c r="PV14" s="1">
        <v>15</v>
      </c>
      <c r="PW14" s="1">
        <v>10</v>
      </c>
      <c r="PX14" s="1">
        <v>10</v>
      </c>
      <c r="PY14" s="1">
        <v>10</v>
      </c>
      <c r="PZ14" s="1">
        <v>20</v>
      </c>
      <c r="QA14" s="1">
        <v>10</v>
      </c>
      <c r="QB14" s="1">
        <v>0</v>
      </c>
      <c r="QC14" s="1">
        <v>10</v>
      </c>
      <c r="QD14" s="1">
        <v>15</v>
      </c>
      <c r="QE14" s="1">
        <v>0</v>
      </c>
      <c r="QF14" s="1">
        <v>10</v>
      </c>
      <c r="QG14" s="1">
        <v>10</v>
      </c>
      <c r="QH14" s="1">
        <v>5</v>
      </c>
      <c r="QI14" s="1">
        <v>20</v>
      </c>
      <c r="QJ14" s="1">
        <v>0</v>
      </c>
      <c r="QK14" s="1">
        <v>5</v>
      </c>
      <c r="QL14" s="1">
        <v>15</v>
      </c>
      <c r="QM14" s="1">
        <v>20</v>
      </c>
      <c r="QN14" s="1">
        <v>0</v>
      </c>
      <c r="QO14" s="1">
        <v>10</v>
      </c>
      <c r="QP14" s="1">
        <v>0</v>
      </c>
      <c r="QQ14" s="1">
        <v>10</v>
      </c>
      <c r="QR14" s="1">
        <v>20</v>
      </c>
      <c r="QS14" s="1">
        <v>10</v>
      </c>
      <c r="QT14" s="1">
        <v>15</v>
      </c>
      <c r="QU14" s="1">
        <v>10</v>
      </c>
      <c r="QV14" s="1">
        <v>15</v>
      </c>
      <c r="QW14" s="1">
        <v>20</v>
      </c>
      <c r="QX14" s="1">
        <v>20</v>
      </c>
      <c r="QY14" s="1">
        <v>0</v>
      </c>
      <c r="QZ14" s="1">
        <v>15</v>
      </c>
      <c r="RA14" s="1">
        <v>15</v>
      </c>
      <c r="RB14" s="1">
        <v>5</v>
      </c>
      <c r="RC14" s="1">
        <v>5</v>
      </c>
      <c r="RD14" s="1">
        <v>5</v>
      </c>
      <c r="RE14" s="1">
        <v>10</v>
      </c>
      <c r="RF14" s="1">
        <v>5</v>
      </c>
      <c r="RG14" s="1">
        <v>15</v>
      </c>
      <c r="RH14" s="1">
        <v>10</v>
      </c>
      <c r="RI14" s="1">
        <v>20</v>
      </c>
      <c r="RJ14" s="1">
        <v>0</v>
      </c>
      <c r="RK14" s="1">
        <v>5</v>
      </c>
      <c r="RL14" s="1">
        <v>20</v>
      </c>
      <c r="RM14" s="1">
        <v>15</v>
      </c>
      <c r="RN14" s="1">
        <v>0</v>
      </c>
      <c r="RO14" s="1">
        <v>20</v>
      </c>
      <c r="RP14" s="1">
        <v>0</v>
      </c>
      <c r="RQ14" s="1">
        <v>5</v>
      </c>
      <c r="RR14" s="1">
        <v>15</v>
      </c>
      <c r="RS14" s="1">
        <v>0</v>
      </c>
      <c r="RT14" s="1">
        <v>20</v>
      </c>
      <c r="RU14" s="1">
        <v>5</v>
      </c>
      <c r="RV14" s="1">
        <v>5</v>
      </c>
      <c r="RW14" s="1">
        <v>20</v>
      </c>
      <c r="RX14" s="1">
        <v>20</v>
      </c>
      <c r="RY14" s="1">
        <v>0</v>
      </c>
      <c r="RZ14" s="1">
        <v>10</v>
      </c>
      <c r="SA14" s="1">
        <v>5</v>
      </c>
      <c r="SB14" s="1">
        <v>0</v>
      </c>
      <c r="SC14" s="1">
        <v>20</v>
      </c>
      <c r="SD14" s="1">
        <v>0</v>
      </c>
      <c r="SE14" s="1">
        <v>20</v>
      </c>
      <c r="SF14" s="1">
        <v>15</v>
      </c>
      <c r="SG14" s="1">
        <v>20</v>
      </c>
    </row>
    <row r="15" spans="1:501" x14ac:dyDescent="0.3">
      <c r="A15" s="3" t="s">
        <v>14</v>
      </c>
      <c r="B15" s="1">
        <v>19907.09</v>
      </c>
      <c r="C15" s="1">
        <v>21590.720000000001</v>
      </c>
      <c r="D15" s="1">
        <v>17719.13</v>
      </c>
      <c r="E15" s="1">
        <v>857.47</v>
      </c>
      <c r="F15" s="1">
        <v>19664.23</v>
      </c>
      <c r="G15" s="1">
        <v>8611.7800000000007</v>
      </c>
      <c r="H15" s="1">
        <v>13636.89</v>
      </c>
      <c r="I15" s="1">
        <v>8318.99</v>
      </c>
      <c r="J15" s="1">
        <v>4666.67</v>
      </c>
      <c r="K15" s="1">
        <v>7122.64</v>
      </c>
      <c r="L15" s="1">
        <v>19231.5</v>
      </c>
      <c r="M15" s="1">
        <v>1552.39</v>
      </c>
      <c r="N15" s="1">
        <v>25287.200000000001</v>
      </c>
      <c r="O15" s="1">
        <v>7305.04</v>
      </c>
      <c r="P15" s="1">
        <v>5715.28</v>
      </c>
      <c r="Q15" s="1">
        <v>4525.42</v>
      </c>
      <c r="R15" s="1">
        <v>433.35</v>
      </c>
      <c r="S15" s="1">
        <v>1840.94</v>
      </c>
      <c r="T15" s="1">
        <v>1683.51</v>
      </c>
      <c r="U15" s="1">
        <v>7522.69</v>
      </c>
      <c r="V15" s="1">
        <v>6730.5</v>
      </c>
      <c r="W15" s="1">
        <v>3812.82</v>
      </c>
      <c r="X15" s="1">
        <v>4482.78</v>
      </c>
      <c r="Y15" s="1">
        <v>3606.31</v>
      </c>
      <c r="Z15" s="1">
        <v>17207.96</v>
      </c>
      <c r="AA15" s="1">
        <v>3798.68</v>
      </c>
      <c r="AB15" s="1">
        <v>10257.58</v>
      </c>
      <c r="AC15" s="1">
        <v>15391.82</v>
      </c>
      <c r="AD15" s="1">
        <v>1936.65</v>
      </c>
      <c r="AE15" s="1">
        <v>314.44</v>
      </c>
      <c r="AF15" s="1">
        <v>9182.6</v>
      </c>
      <c r="AG15" s="1">
        <v>2852.81</v>
      </c>
      <c r="AH15" s="1">
        <v>18833.810000000001</v>
      </c>
      <c r="AI15" s="1">
        <v>9177.5400000000009</v>
      </c>
      <c r="AJ15" s="1">
        <v>24369.86</v>
      </c>
      <c r="AK15" s="1">
        <v>11639.5</v>
      </c>
      <c r="AL15" s="1">
        <v>3242.5</v>
      </c>
      <c r="AM15" s="1">
        <v>3849.78</v>
      </c>
      <c r="AN15" s="1">
        <v>14098.05</v>
      </c>
      <c r="AO15" s="1">
        <v>16649.55</v>
      </c>
      <c r="AP15" s="1">
        <v>25270.400000000001</v>
      </c>
      <c r="AQ15" s="1">
        <v>3877.34</v>
      </c>
      <c r="AR15" s="1">
        <v>3979.49</v>
      </c>
      <c r="AS15" s="1">
        <v>686.43</v>
      </c>
      <c r="AT15" s="1">
        <v>2764.92</v>
      </c>
      <c r="AU15" s="1">
        <v>3202.49</v>
      </c>
      <c r="AV15" s="1">
        <v>1415.94</v>
      </c>
      <c r="AW15" s="1">
        <v>11715.78</v>
      </c>
      <c r="AX15" s="1">
        <v>19165.14</v>
      </c>
      <c r="AY15" s="1">
        <v>6482.11</v>
      </c>
      <c r="AZ15" s="1">
        <v>4724.3900000000003</v>
      </c>
      <c r="BA15" s="1">
        <v>7605.28</v>
      </c>
      <c r="BB15" s="1">
        <v>11403.31</v>
      </c>
      <c r="BC15" s="1">
        <v>10286.06</v>
      </c>
      <c r="BD15" s="1">
        <v>7074.06</v>
      </c>
      <c r="BE15" s="1">
        <v>17353.87</v>
      </c>
      <c r="BF15" s="1">
        <v>7288.78</v>
      </c>
      <c r="BG15" s="1">
        <v>8137.32</v>
      </c>
      <c r="BH15" s="1">
        <v>16978.88</v>
      </c>
      <c r="BI15" s="1">
        <v>21272.1</v>
      </c>
      <c r="BJ15" s="1">
        <v>2013.23</v>
      </c>
      <c r="BK15" s="1">
        <v>21426.98</v>
      </c>
      <c r="BL15" s="1">
        <v>14286.83</v>
      </c>
      <c r="BM15" s="1">
        <v>1770.04</v>
      </c>
      <c r="BN15" s="1">
        <v>4991.78</v>
      </c>
      <c r="BO15" s="1">
        <v>28649.8</v>
      </c>
      <c r="BP15" s="1">
        <v>280.61</v>
      </c>
      <c r="BQ15" s="1">
        <v>8283.9599999999991</v>
      </c>
      <c r="BR15" s="1">
        <v>10470.790000000001</v>
      </c>
      <c r="BS15" s="1">
        <v>11558.88</v>
      </c>
      <c r="BT15" s="1">
        <v>10985.92</v>
      </c>
      <c r="BU15" s="1">
        <v>4742.59</v>
      </c>
      <c r="BV15" s="1">
        <v>2885.73</v>
      </c>
      <c r="BW15" s="1">
        <v>6590.67</v>
      </c>
      <c r="BX15" s="1">
        <v>8881.84</v>
      </c>
      <c r="BY15" s="1">
        <v>4882.72</v>
      </c>
      <c r="BZ15" s="1">
        <v>2660.26</v>
      </c>
      <c r="CA15" s="1">
        <v>6419.98</v>
      </c>
      <c r="CB15" s="1">
        <v>9740.4</v>
      </c>
      <c r="CC15" s="1">
        <v>708.07</v>
      </c>
      <c r="CD15" s="1">
        <v>21857.46</v>
      </c>
      <c r="CE15" s="1">
        <v>4510.1400000000003</v>
      </c>
      <c r="CF15" s="1">
        <v>7579.78</v>
      </c>
      <c r="CG15" s="1">
        <v>3432.58</v>
      </c>
      <c r="CH15" s="1">
        <v>2307.15</v>
      </c>
      <c r="CI15" s="1">
        <v>1659.39</v>
      </c>
      <c r="CJ15" s="1">
        <v>9131.25</v>
      </c>
      <c r="CK15" s="1">
        <v>9310.56</v>
      </c>
      <c r="CL15" s="1">
        <v>3132.05</v>
      </c>
      <c r="CM15" s="1">
        <v>6437.39</v>
      </c>
      <c r="CN15" s="1">
        <v>15167.34</v>
      </c>
      <c r="CO15" s="1">
        <v>978.49</v>
      </c>
      <c r="CP15" s="1">
        <v>13959.07</v>
      </c>
      <c r="CQ15" s="1">
        <v>5801.47</v>
      </c>
      <c r="CR15" s="1">
        <v>3695.92</v>
      </c>
      <c r="CS15" s="1">
        <v>2249.89</v>
      </c>
      <c r="CT15" s="1">
        <v>4290.3</v>
      </c>
      <c r="CU15" s="1">
        <v>4631.07</v>
      </c>
      <c r="CV15" s="1">
        <v>757.8</v>
      </c>
      <c r="CW15" s="1">
        <v>19887.27</v>
      </c>
      <c r="CX15" s="1">
        <v>11445.62</v>
      </c>
      <c r="CY15" s="1">
        <v>2974.45</v>
      </c>
      <c r="CZ15" s="1">
        <v>20105.900000000001</v>
      </c>
      <c r="DA15" s="1">
        <v>12075.79</v>
      </c>
      <c r="DB15" s="1">
        <v>814.63</v>
      </c>
      <c r="DC15" s="1">
        <v>10776.48</v>
      </c>
      <c r="DD15" s="1">
        <v>4517.79</v>
      </c>
      <c r="DE15" s="1">
        <v>959.33</v>
      </c>
      <c r="DF15" s="1">
        <v>11186.24</v>
      </c>
      <c r="DG15" s="1">
        <v>9968.83</v>
      </c>
      <c r="DH15" s="1">
        <v>1638.02</v>
      </c>
      <c r="DI15" s="1">
        <v>3553.89</v>
      </c>
      <c r="DJ15" s="1">
        <v>10837.3</v>
      </c>
      <c r="DK15" s="1">
        <v>9771.68</v>
      </c>
      <c r="DL15" s="1">
        <v>7242.18</v>
      </c>
      <c r="DM15" s="1">
        <v>5822.31</v>
      </c>
      <c r="DN15" s="1">
        <v>17062.900000000001</v>
      </c>
      <c r="DO15" s="1">
        <v>3685.94</v>
      </c>
      <c r="DP15" s="1">
        <v>26717.439999999999</v>
      </c>
      <c r="DQ15" s="1">
        <v>19248.16</v>
      </c>
      <c r="DR15" s="1">
        <v>14161.4</v>
      </c>
      <c r="DS15" s="1">
        <v>6993.65</v>
      </c>
      <c r="DT15" s="1">
        <v>5882.8</v>
      </c>
      <c r="DU15" s="1">
        <v>7358.61</v>
      </c>
      <c r="DV15" s="1">
        <v>31051.71</v>
      </c>
      <c r="DW15" s="1">
        <v>28288.87</v>
      </c>
      <c r="DX15" s="1">
        <v>9969.5300000000007</v>
      </c>
      <c r="DY15" s="1">
        <v>3958.56</v>
      </c>
      <c r="DZ15" s="1">
        <v>4865.01</v>
      </c>
      <c r="EA15" s="1">
        <v>2407.75</v>
      </c>
      <c r="EB15" s="1">
        <v>11301.73</v>
      </c>
      <c r="EC15" s="1">
        <v>12614.92</v>
      </c>
      <c r="ED15" s="1">
        <v>3990.85</v>
      </c>
      <c r="EE15" s="1">
        <v>6023.85</v>
      </c>
      <c r="EF15" s="1">
        <v>10942.06</v>
      </c>
      <c r="EG15" s="1">
        <v>10855.74</v>
      </c>
      <c r="EH15" s="1">
        <v>2247.91</v>
      </c>
      <c r="EI15" s="1">
        <v>912.67</v>
      </c>
      <c r="EJ15" s="1">
        <v>725.24</v>
      </c>
      <c r="EK15" s="1">
        <v>11409.31</v>
      </c>
      <c r="EL15" s="1">
        <v>3179.56</v>
      </c>
      <c r="EM15" s="1">
        <v>2063.0500000000002</v>
      </c>
      <c r="EN15" s="1">
        <v>24473.53</v>
      </c>
      <c r="EO15" s="1">
        <v>20087.810000000001</v>
      </c>
      <c r="EP15" s="1">
        <v>3523.12</v>
      </c>
      <c r="EQ15" s="1">
        <v>7911.36</v>
      </c>
      <c r="ER15" s="1">
        <v>10560.22</v>
      </c>
      <c r="ES15" s="1">
        <v>8692</v>
      </c>
      <c r="ET15" s="1">
        <v>19980.439999999999</v>
      </c>
      <c r="EU15" s="1">
        <v>5616.12</v>
      </c>
      <c r="EV15" s="1">
        <v>6209.68</v>
      </c>
      <c r="EW15" s="1">
        <v>2924.2</v>
      </c>
      <c r="EX15" s="1">
        <v>1899.23</v>
      </c>
      <c r="EY15" s="1">
        <v>1529.12</v>
      </c>
      <c r="EZ15" s="1">
        <v>4903.3100000000004</v>
      </c>
      <c r="FA15" s="1">
        <v>2273.12</v>
      </c>
      <c r="FB15" s="1">
        <v>8437.84</v>
      </c>
      <c r="FC15" s="1">
        <v>22753.34</v>
      </c>
      <c r="FD15" s="1">
        <v>22804.62</v>
      </c>
      <c r="FE15" s="1">
        <v>5026.34</v>
      </c>
      <c r="FF15" s="1">
        <v>8412.41</v>
      </c>
      <c r="FG15" s="1">
        <v>9329.68</v>
      </c>
      <c r="FH15" s="1">
        <v>975.38</v>
      </c>
      <c r="FI15" s="1">
        <v>922.66</v>
      </c>
      <c r="FJ15" s="1">
        <v>11899.62</v>
      </c>
      <c r="FK15" s="1">
        <v>6809.18</v>
      </c>
      <c r="FL15" s="1">
        <v>10513.77</v>
      </c>
      <c r="FM15" s="1">
        <v>1423.4</v>
      </c>
      <c r="FN15" s="1">
        <v>16402.37</v>
      </c>
      <c r="FO15" s="1">
        <v>19716.98</v>
      </c>
      <c r="FP15" s="1">
        <v>28842.080000000002</v>
      </c>
      <c r="FQ15" s="1">
        <v>22746.38</v>
      </c>
      <c r="FR15" s="1">
        <v>3869.64</v>
      </c>
      <c r="FS15" s="1">
        <v>2815.99</v>
      </c>
      <c r="FT15" s="1">
        <v>9075.8700000000008</v>
      </c>
      <c r="FU15" s="1">
        <v>7371.19</v>
      </c>
      <c r="FV15" s="1">
        <v>2329.9299999999998</v>
      </c>
      <c r="FW15" s="1">
        <v>1096.77</v>
      </c>
      <c r="FX15" s="1">
        <v>3144.91</v>
      </c>
      <c r="FY15" s="1">
        <v>15920.42</v>
      </c>
      <c r="FZ15" s="1">
        <v>9317.52</v>
      </c>
      <c r="GA15" s="1">
        <v>11563.74</v>
      </c>
      <c r="GB15" s="1">
        <v>3685.19</v>
      </c>
      <c r="GC15" s="1">
        <v>9034.44</v>
      </c>
      <c r="GD15" s="1">
        <v>6290.34</v>
      </c>
      <c r="GE15" s="1">
        <v>508.81</v>
      </c>
      <c r="GF15" s="1">
        <v>1557.37</v>
      </c>
      <c r="GG15" s="1">
        <v>2102.89</v>
      </c>
      <c r="GH15" s="1">
        <v>1806.95</v>
      </c>
      <c r="GI15" s="1">
        <v>2607.92</v>
      </c>
      <c r="GJ15" s="1">
        <v>6834.47</v>
      </c>
      <c r="GK15" s="1">
        <v>828.29</v>
      </c>
      <c r="GL15" s="1">
        <v>1687.01</v>
      </c>
      <c r="GM15" s="1">
        <v>1519.82</v>
      </c>
      <c r="GN15" s="1">
        <v>1861.11</v>
      </c>
      <c r="GO15" s="1">
        <v>20494.88</v>
      </c>
      <c r="GP15" s="1">
        <v>4522.3599999999997</v>
      </c>
      <c r="GQ15" s="1">
        <v>5214.84</v>
      </c>
      <c r="GR15" s="1">
        <v>5141.4799999999996</v>
      </c>
      <c r="GS15" s="1">
        <v>6889.51</v>
      </c>
      <c r="GT15" s="1">
        <v>14007.76</v>
      </c>
      <c r="GU15" s="1">
        <v>27652.32</v>
      </c>
      <c r="GV15" s="1">
        <v>18886.34</v>
      </c>
      <c r="GW15" s="1">
        <v>15313.32</v>
      </c>
      <c r="GX15" s="1">
        <v>20312.28</v>
      </c>
      <c r="GY15" s="1">
        <v>17313.86</v>
      </c>
      <c r="GZ15" s="1">
        <v>6190.13</v>
      </c>
      <c r="HA15" s="1">
        <v>6099.65</v>
      </c>
      <c r="HB15" s="1">
        <v>8779.5499999999993</v>
      </c>
      <c r="HC15" s="1">
        <v>24864.81</v>
      </c>
      <c r="HD15" s="1">
        <v>14222.56</v>
      </c>
      <c r="HE15" s="1">
        <v>2529.21</v>
      </c>
      <c r="HF15" s="1">
        <v>4749.6000000000004</v>
      </c>
      <c r="HG15" s="1">
        <v>5847.01</v>
      </c>
      <c r="HH15" s="1">
        <v>2533.7199999999998</v>
      </c>
      <c r="HI15" s="1">
        <v>4614.09</v>
      </c>
      <c r="HJ15" s="1">
        <v>10673.02</v>
      </c>
      <c r="HK15" s="1">
        <v>4803.26</v>
      </c>
      <c r="HL15" s="1">
        <v>8697</v>
      </c>
      <c r="HM15" s="1">
        <v>25927.84</v>
      </c>
      <c r="HN15" s="1">
        <v>7913.52</v>
      </c>
      <c r="HO15" s="1">
        <v>24618.7</v>
      </c>
      <c r="HP15" s="1">
        <v>7978.77</v>
      </c>
      <c r="HQ15" s="1">
        <v>2317.84</v>
      </c>
      <c r="HR15" s="1">
        <v>8510.42</v>
      </c>
      <c r="HS15" s="1">
        <v>2945.62</v>
      </c>
      <c r="HT15" s="1">
        <v>3467.28</v>
      </c>
      <c r="HU15" s="1">
        <v>16929.28</v>
      </c>
      <c r="HV15" s="1">
        <v>28153.599999999999</v>
      </c>
      <c r="HW15" s="1">
        <v>8622.4500000000007</v>
      </c>
      <c r="HX15" s="1">
        <v>3882.26</v>
      </c>
      <c r="HY15" s="1">
        <v>1912.92</v>
      </c>
      <c r="HZ15" s="1">
        <v>528.70000000000005</v>
      </c>
      <c r="IA15" s="1">
        <v>2043.59</v>
      </c>
      <c r="IB15" s="1">
        <v>21684.43</v>
      </c>
      <c r="IC15" s="1">
        <v>14698.76</v>
      </c>
      <c r="ID15" s="1">
        <v>2212.5</v>
      </c>
      <c r="IE15" s="1">
        <v>1934.74</v>
      </c>
      <c r="IF15" s="1">
        <v>7129.01</v>
      </c>
      <c r="IG15" s="1">
        <v>2151.1999999999998</v>
      </c>
      <c r="IH15" s="1">
        <v>11168.58</v>
      </c>
      <c r="II15" s="1">
        <v>15068.02</v>
      </c>
      <c r="IJ15" s="1">
        <v>962.45</v>
      </c>
      <c r="IK15" s="1">
        <v>2402.67</v>
      </c>
      <c r="IL15" s="1">
        <v>9628.48</v>
      </c>
      <c r="IM15" s="1">
        <v>2928.33</v>
      </c>
      <c r="IN15" s="1">
        <v>11772.71</v>
      </c>
      <c r="IO15" s="1">
        <v>14593.15</v>
      </c>
      <c r="IP15" s="1">
        <v>3942.92</v>
      </c>
      <c r="IQ15" s="1">
        <v>23767.17</v>
      </c>
      <c r="IR15" s="1">
        <v>11662.66</v>
      </c>
      <c r="IS15" s="1">
        <v>5980.16</v>
      </c>
      <c r="IT15" s="1">
        <v>10762.15</v>
      </c>
      <c r="IU15" s="1">
        <v>5423.32</v>
      </c>
      <c r="IV15" s="1">
        <v>15894.71</v>
      </c>
      <c r="IW15" s="1">
        <v>15796.32</v>
      </c>
      <c r="IX15" s="1">
        <v>685.71</v>
      </c>
      <c r="IY15" s="1">
        <v>12628.35</v>
      </c>
      <c r="IZ15" s="1">
        <v>10464.43</v>
      </c>
      <c r="JA15" s="1">
        <v>1844.86</v>
      </c>
      <c r="JB15" s="1">
        <v>1066.5</v>
      </c>
      <c r="JC15" s="1">
        <v>15575.43</v>
      </c>
      <c r="JD15" s="1">
        <v>15161.02</v>
      </c>
      <c r="JE15" s="1">
        <v>3604.16</v>
      </c>
      <c r="JF15" s="1">
        <v>14134.75</v>
      </c>
      <c r="JG15" s="1">
        <v>14724.65</v>
      </c>
      <c r="JH15" s="1">
        <v>855.74</v>
      </c>
      <c r="JI15" s="1">
        <v>2394.5</v>
      </c>
      <c r="JJ15" s="1">
        <v>12626.16</v>
      </c>
      <c r="JK15" s="1">
        <v>17264.5</v>
      </c>
      <c r="JL15" s="1">
        <v>7408.53</v>
      </c>
      <c r="JM15" s="1">
        <v>17170.46</v>
      </c>
      <c r="JN15" s="1">
        <v>2193.8200000000002</v>
      </c>
      <c r="JO15" s="1">
        <v>5032.6000000000004</v>
      </c>
      <c r="JP15" s="1">
        <v>3029.14</v>
      </c>
      <c r="JQ15" s="1">
        <v>24708.61</v>
      </c>
      <c r="JR15" s="1">
        <v>4824.43</v>
      </c>
      <c r="JS15" s="1">
        <v>3965.44</v>
      </c>
      <c r="JT15" s="1">
        <v>21449.22</v>
      </c>
      <c r="JU15" s="1">
        <v>25732.02</v>
      </c>
      <c r="JV15" s="1">
        <v>15492.2</v>
      </c>
      <c r="JW15" s="1">
        <v>409.94</v>
      </c>
      <c r="JX15" s="1">
        <v>465.54</v>
      </c>
      <c r="JY15" s="1">
        <v>8189.02</v>
      </c>
      <c r="JZ15" s="1">
        <v>1263.73</v>
      </c>
      <c r="KA15" s="1">
        <v>1258.5</v>
      </c>
      <c r="KB15" s="1">
        <v>11619.96</v>
      </c>
      <c r="KC15" s="1">
        <v>28734</v>
      </c>
      <c r="KD15" s="1">
        <v>7821.58</v>
      </c>
      <c r="KE15" s="1">
        <v>19406.810000000001</v>
      </c>
      <c r="KF15" s="1">
        <v>21554.99</v>
      </c>
      <c r="KG15" s="1">
        <v>6699.96</v>
      </c>
      <c r="KH15" s="1">
        <v>7166.18</v>
      </c>
      <c r="KI15" s="1">
        <v>2902.47</v>
      </c>
      <c r="KJ15" s="1">
        <v>619.73</v>
      </c>
      <c r="KK15" s="1">
        <v>13539.07</v>
      </c>
      <c r="KL15" s="1">
        <v>2112.3000000000002</v>
      </c>
      <c r="KM15" s="1">
        <v>35892.9</v>
      </c>
      <c r="KN15" s="1">
        <v>7321.28</v>
      </c>
      <c r="KO15" s="1">
        <v>10359.16</v>
      </c>
      <c r="KP15" s="1">
        <v>6588.4</v>
      </c>
      <c r="KQ15" s="1">
        <v>4233.32</v>
      </c>
      <c r="KR15" s="1">
        <v>1543.2</v>
      </c>
      <c r="KS15" s="1">
        <v>8152.06</v>
      </c>
      <c r="KT15" s="1">
        <v>5209.63</v>
      </c>
      <c r="KU15" s="1">
        <v>2713.41</v>
      </c>
      <c r="KV15" s="1">
        <v>7632.11</v>
      </c>
      <c r="KW15" s="1">
        <v>12572.8</v>
      </c>
      <c r="KX15" s="1">
        <v>2466.41</v>
      </c>
      <c r="KY15" s="1">
        <v>16748.77</v>
      </c>
      <c r="KZ15" s="1">
        <v>7776.74</v>
      </c>
      <c r="LA15" s="1">
        <v>2588.64</v>
      </c>
      <c r="LB15" s="1">
        <v>2763.58</v>
      </c>
      <c r="LC15" s="1">
        <v>1597.76</v>
      </c>
      <c r="LD15" s="1">
        <v>22120.54</v>
      </c>
      <c r="LE15" s="1">
        <v>16518.97</v>
      </c>
      <c r="LF15" s="1">
        <v>1261.95</v>
      </c>
      <c r="LG15" s="1">
        <v>1715.21</v>
      </c>
      <c r="LH15" s="1">
        <v>10516.88</v>
      </c>
      <c r="LI15" s="1">
        <v>18038.240000000002</v>
      </c>
      <c r="LJ15" s="1">
        <v>18946.54</v>
      </c>
      <c r="LK15" s="1">
        <v>3204.1</v>
      </c>
      <c r="LL15" s="1">
        <v>3069.25</v>
      </c>
      <c r="LM15" s="1">
        <v>26565.24</v>
      </c>
      <c r="LN15" s="1">
        <v>5111.05</v>
      </c>
      <c r="LO15" s="1">
        <v>6171.55</v>
      </c>
      <c r="LP15" s="1">
        <v>23802.6</v>
      </c>
      <c r="LQ15" s="1">
        <v>5012.16</v>
      </c>
      <c r="LR15" s="1">
        <v>2537.09</v>
      </c>
      <c r="LS15" s="1">
        <v>22279.599999999999</v>
      </c>
      <c r="LT15" s="1">
        <v>4217.87</v>
      </c>
      <c r="LU15" s="1">
        <v>2537.1799999999998</v>
      </c>
      <c r="LV15" s="1">
        <v>16028.83</v>
      </c>
      <c r="LW15" s="1">
        <v>10063.08</v>
      </c>
      <c r="LX15" s="1">
        <v>13370.56</v>
      </c>
      <c r="LY15" s="1">
        <v>957.52</v>
      </c>
      <c r="LZ15" s="1">
        <v>23270.36</v>
      </c>
      <c r="MA15" s="1">
        <v>1114.6099999999999</v>
      </c>
      <c r="MB15" s="1">
        <v>14092.34</v>
      </c>
      <c r="MC15" s="1">
        <v>10111.82</v>
      </c>
      <c r="MD15" s="1">
        <v>2567.7199999999998</v>
      </c>
      <c r="ME15" s="1">
        <v>8338.99</v>
      </c>
      <c r="MF15" s="1">
        <v>2194.5700000000002</v>
      </c>
      <c r="MG15" s="1">
        <v>8914.59</v>
      </c>
      <c r="MH15" s="1">
        <v>3262.88</v>
      </c>
      <c r="MI15" s="1">
        <v>27325.03</v>
      </c>
      <c r="MJ15" s="1">
        <v>2049.1799999999998</v>
      </c>
      <c r="MK15" s="1">
        <v>4580.21</v>
      </c>
      <c r="ML15" s="1">
        <v>18705.8</v>
      </c>
      <c r="MM15" s="1">
        <v>2966.7</v>
      </c>
      <c r="MN15" s="1">
        <v>4905.13</v>
      </c>
      <c r="MO15" s="1">
        <v>3313.66</v>
      </c>
      <c r="MP15" s="1">
        <v>10521.12</v>
      </c>
      <c r="MQ15" s="1">
        <v>2874.34</v>
      </c>
      <c r="MR15" s="1">
        <v>22511.119999999999</v>
      </c>
      <c r="MS15" s="1">
        <v>9637.24</v>
      </c>
      <c r="MT15" s="1">
        <v>10402.48</v>
      </c>
      <c r="MU15" s="1">
        <v>24351.62</v>
      </c>
      <c r="MV15" s="1">
        <v>192.37</v>
      </c>
      <c r="MW15" s="1">
        <v>9469</v>
      </c>
      <c r="MX15" s="1">
        <v>5482.25</v>
      </c>
      <c r="MY15" s="1">
        <v>4035.58</v>
      </c>
      <c r="MZ15" s="1">
        <v>479.35</v>
      </c>
      <c r="NA15" s="1">
        <v>2959.93</v>
      </c>
      <c r="NB15" s="1">
        <v>14373.84</v>
      </c>
      <c r="NC15" s="1">
        <v>16604.400000000001</v>
      </c>
      <c r="ND15" s="1">
        <v>27438.51</v>
      </c>
      <c r="NE15" s="1">
        <v>13562.91</v>
      </c>
      <c r="NF15" s="1">
        <v>22284.89</v>
      </c>
      <c r="NG15" s="1">
        <v>9771.36</v>
      </c>
      <c r="NH15" s="1">
        <v>13032.62</v>
      </c>
      <c r="NI15" s="1">
        <v>7518.34</v>
      </c>
      <c r="NJ15" s="1">
        <v>6114.3</v>
      </c>
      <c r="NK15" s="1">
        <v>6604.44</v>
      </c>
      <c r="NL15" s="1">
        <v>5694.81</v>
      </c>
      <c r="NM15" s="1">
        <v>3474.94</v>
      </c>
      <c r="NN15" s="1">
        <v>3511.2</v>
      </c>
      <c r="NO15" s="1">
        <v>27089.88</v>
      </c>
      <c r="NP15" s="1">
        <v>3715.13</v>
      </c>
      <c r="NQ15" s="1">
        <v>4612.1099999999997</v>
      </c>
      <c r="NR15" s="1">
        <v>1389.23</v>
      </c>
      <c r="NS15" s="1">
        <v>2904.34</v>
      </c>
      <c r="NT15" s="1">
        <v>3044.34</v>
      </c>
      <c r="NU15" s="1">
        <v>7742.72</v>
      </c>
      <c r="NV15" s="1">
        <v>3731.7</v>
      </c>
      <c r="NW15" s="1">
        <v>3571.88</v>
      </c>
      <c r="NX15" s="1">
        <v>9353.2000000000007</v>
      </c>
      <c r="NY15" s="1">
        <v>5488.53</v>
      </c>
      <c r="NZ15" s="1">
        <v>24215.03</v>
      </c>
      <c r="OA15" s="1">
        <v>2065.81</v>
      </c>
      <c r="OB15" s="1">
        <v>16946.52</v>
      </c>
      <c r="OC15" s="1">
        <v>3962.65</v>
      </c>
      <c r="OD15" s="1">
        <v>21551.4</v>
      </c>
      <c r="OE15" s="1">
        <v>16298.88</v>
      </c>
      <c r="OF15" s="1">
        <v>1098.56</v>
      </c>
      <c r="OG15" s="1">
        <v>12008.82</v>
      </c>
      <c r="OH15" s="1">
        <v>7172.3</v>
      </c>
      <c r="OI15" s="1">
        <v>16228.85</v>
      </c>
      <c r="OJ15" s="1">
        <v>5369.58</v>
      </c>
      <c r="OK15" s="1">
        <v>14326.31</v>
      </c>
      <c r="OL15" s="1">
        <v>1923.29</v>
      </c>
      <c r="OM15" s="1">
        <v>16087.13</v>
      </c>
      <c r="ON15" s="1">
        <v>2332.19</v>
      </c>
      <c r="OO15" s="1">
        <v>11177.53</v>
      </c>
      <c r="OP15" s="1">
        <v>5069.16</v>
      </c>
      <c r="OQ15" s="1">
        <v>2044.41</v>
      </c>
      <c r="OR15" s="1">
        <v>23159.23</v>
      </c>
      <c r="OS15" s="1">
        <v>3344.9</v>
      </c>
      <c r="OT15" s="1">
        <v>6427.45</v>
      </c>
      <c r="OU15" s="1">
        <v>6473.92</v>
      </c>
      <c r="OV15" s="1">
        <v>6172.3</v>
      </c>
      <c r="OW15" s="1">
        <v>8409.6299999999992</v>
      </c>
      <c r="OX15" s="1">
        <v>10380.719999999999</v>
      </c>
      <c r="OY15" s="1">
        <v>1158.71</v>
      </c>
      <c r="OZ15" s="1">
        <v>4992.51</v>
      </c>
      <c r="PA15" s="1">
        <v>21278.560000000001</v>
      </c>
      <c r="PB15" s="1">
        <v>3354.81</v>
      </c>
      <c r="PC15" s="1">
        <v>28120.1</v>
      </c>
      <c r="PD15" s="1">
        <v>15014.03</v>
      </c>
      <c r="PE15" s="1">
        <v>732.19</v>
      </c>
      <c r="PF15" s="1">
        <v>1273.6099999999999</v>
      </c>
      <c r="PG15" s="1">
        <v>6570.38</v>
      </c>
      <c r="PH15" s="1">
        <v>30296.43</v>
      </c>
      <c r="PI15" s="1">
        <v>15583.46</v>
      </c>
      <c r="PJ15" s="1">
        <v>7656.83</v>
      </c>
      <c r="PK15" s="1">
        <v>10626.78</v>
      </c>
      <c r="PL15" s="1">
        <v>20986.74</v>
      </c>
      <c r="PM15" s="1">
        <v>4262.18</v>
      </c>
      <c r="PN15" s="1">
        <v>2004.99</v>
      </c>
      <c r="PO15" s="1">
        <v>28163.3</v>
      </c>
      <c r="PP15" s="1">
        <v>11461.59</v>
      </c>
      <c r="PQ15" s="1">
        <v>5446.44</v>
      </c>
      <c r="PR15" s="1">
        <v>14362</v>
      </c>
      <c r="PS15" s="1">
        <v>2799.1</v>
      </c>
      <c r="PT15" s="1">
        <v>10934.34</v>
      </c>
      <c r="PU15" s="1">
        <v>9568.27</v>
      </c>
      <c r="PV15" s="1">
        <v>19357.29</v>
      </c>
      <c r="PW15" s="1">
        <v>14022.99</v>
      </c>
      <c r="PX15" s="1">
        <v>3911.27</v>
      </c>
      <c r="PY15" s="1">
        <v>3397.56</v>
      </c>
      <c r="PZ15" s="1">
        <v>5254.56</v>
      </c>
      <c r="QA15" s="1">
        <v>24054.57</v>
      </c>
      <c r="QB15" s="1">
        <v>18539.05</v>
      </c>
      <c r="QC15" s="1">
        <v>7027.99</v>
      </c>
      <c r="QD15" s="1">
        <v>19979.150000000001</v>
      </c>
      <c r="QE15" s="1">
        <v>2633.24</v>
      </c>
      <c r="QF15" s="1">
        <v>13936.36</v>
      </c>
      <c r="QG15" s="1">
        <v>16180.04</v>
      </c>
      <c r="QH15" s="1">
        <v>14185.29</v>
      </c>
      <c r="QI15" s="1">
        <v>15416.8</v>
      </c>
      <c r="QJ15" s="1">
        <v>9330.09</v>
      </c>
      <c r="QK15" s="1">
        <v>1495.86</v>
      </c>
      <c r="QL15" s="1">
        <v>11573.53</v>
      </c>
      <c r="QM15" s="1">
        <v>22979.23</v>
      </c>
      <c r="QN15" s="1">
        <v>2748.46</v>
      </c>
      <c r="QO15" s="1">
        <v>6431.29</v>
      </c>
      <c r="QP15" s="1">
        <v>7403.3</v>
      </c>
      <c r="QQ15" s="1">
        <v>26654.75</v>
      </c>
      <c r="QR15" s="1">
        <v>6230.08</v>
      </c>
      <c r="QS15" s="1">
        <v>400.84</v>
      </c>
      <c r="QT15" s="1">
        <v>2683.62</v>
      </c>
      <c r="QU15" s="1">
        <v>2080.35</v>
      </c>
      <c r="QV15" s="1">
        <v>8807.36</v>
      </c>
      <c r="QW15" s="1">
        <v>447.52</v>
      </c>
      <c r="QX15" s="1">
        <v>1886.21</v>
      </c>
      <c r="QY15" s="1">
        <v>22638.240000000002</v>
      </c>
      <c r="QZ15" s="1">
        <v>11933.05</v>
      </c>
      <c r="RA15" s="1">
        <v>14462.55</v>
      </c>
      <c r="RB15" s="1">
        <v>18740.41</v>
      </c>
      <c r="RC15" s="1">
        <v>1145.47</v>
      </c>
      <c r="RD15" s="1">
        <v>21493.16</v>
      </c>
      <c r="RE15" s="1">
        <v>11354.63</v>
      </c>
      <c r="RF15" s="1">
        <v>10893.61</v>
      </c>
      <c r="RG15" s="1">
        <v>1426.51</v>
      </c>
      <c r="RH15" s="1">
        <v>11990.35</v>
      </c>
      <c r="RI15" s="1">
        <v>5592.32</v>
      </c>
      <c r="RJ15" s="1">
        <v>5924.8</v>
      </c>
      <c r="RK15" s="1">
        <v>3187.82</v>
      </c>
      <c r="RL15" s="1">
        <v>2186.1799999999998</v>
      </c>
      <c r="RM15" s="1">
        <v>4309.5</v>
      </c>
      <c r="RN15" s="1">
        <v>9284.08</v>
      </c>
      <c r="RO15" s="1">
        <v>12164.54</v>
      </c>
      <c r="RP15" s="1">
        <v>1734.45</v>
      </c>
      <c r="RQ15" s="1">
        <v>26542.62</v>
      </c>
      <c r="RR15" s="1">
        <v>2201.23</v>
      </c>
      <c r="RS15" s="1">
        <v>6981.93</v>
      </c>
      <c r="RT15" s="1">
        <v>8803.65</v>
      </c>
      <c r="RU15" s="1">
        <v>281.8</v>
      </c>
      <c r="RV15" s="1">
        <v>19280.29</v>
      </c>
      <c r="RW15" s="1">
        <v>15893.14</v>
      </c>
      <c r="RX15" s="1">
        <v>3909.72</v>
      </c>
      <c r="RY15" s="1">
        <v>1557.8</v>
      </c>
      <c r="RZ15" s="1">
        <v>9765.19</v>
      </c>
      <c r="SA15" s="1">
        <v>2515.5500000000002</v>
      </c>
      <c r="SB15" s="1">
        <v>4787.5200000000004</v>
      </c>
      <c r="SC15" s="1">
        <v>5418.77</v>
      </c>
      <c r="SD15" s="1">
        <v>6437.75</v>
      </c>
      <c r="SE15" s="1">
        <v>15770.81</v>
      </c>
      <c r="SF15" s="1">
        <v>4695.08</v>
      </c>
      <c r="SG15" s="1">
        <v>1945.74</v>
      </c>
    </row>
    <row r="16" spans="1:501" x14ac:dyDescent="0.3">
      <c r="A16" s="7" t="s">
        <v>70</v>
      </c>
      <c r="B16" s="1">
        <f>B12*B13</f>
        <v>19907.09</v>
      </c>
      <c r="C16" s="1">
        <f>C12*C13</f>
        <v>22727.07</v>
      </c>
      <c r="D16" s="1">
        <f>D12*D13</f>
        <v>20846.04</v>
      </c>
      <c r="E16" s="1">
        <f>E12*E13</f>
        <v>1008.79</v>
      </c>
      <c r="F16" s="1">
        <f>F12*F13</f>
        <v>24580.289999999997</v>
      </c>
      <c r="G16" s="1">
        <f>G12*G13</f>
        <v>9568.6500000000015</v>
      </c>
      <c r="H16" s="1">
        <f>H12*H13</f>
        <v>15152.1</v>
      </c>
      <c r="I16" s="1">
        <f>I12*I13</f>
        <v>9243.32</v>
      </c>
      <c r="J16" s="1">
        <f>J12*J13</f>
        <v>5490.2</v>
      </c>
      <c r="K16" s="1">
        <f>K12*K13</f>
        <v>8903.3000000000011</v>
      </c>
      <c r="L16" s="1">
        <f>L12*L13</f>
        <v>19231.5</v>
      </c>
      <c r="M16" s="1">
        <f>M12*M13</f>
        <v>1634.1000000000001</v>
      </c>
      <c r="N16" s="1">
        <f>N12*N13</f>
        <v>25287.200000000001</v>
      </c>
      <c r="O16" s="1">
        <f>O12*O13</f>
        <v>8594.16</v>
      </c>
      <c r="P16" s="1">
        <f>P12*P13</f>
        <v>6350.31</v>
      </c>
      <c r="Q16" s="1">
        <f>Q12*Q13</f>
        <v>4763.6000000000004</v>
      </c>
      <c r="R16" s="1">
        <f>R12*R13</f>
        <v>509.82</v>
      </c>
      <c r="S16" s="1">
        <f>S12*S13</f>
        <v>2165.81</v>
      </c>
      <c r="T16" s="1">
        <f>T12*T13</f>
        <v>1980.6</v>
      </c>
      <c r="U16" s="1">
        <f>U12*U13</f>
        <v>7918.62</v>
      </c>
      <c r="V16" s="1">
        <f>V12*V13</f>
        <v>7084.74</v>
      </c>
      <c r="W16" s="1">
        <f>W12*W13</f>
        <v>4766.0200000000004</v>
      </c>
      <c r="X16" s="1">
        <f>X12*X13</f>
        <v>5603.48</v>
      </c>
      <c r="Y16" s="1">
        <f>Y12*Y13</f>
        <v>3606.31</v>
      </c>
      <c r="Z16" s="1">
        <f>Z12*Z13</f>
        <v>18113.64</v>
      </c>
      <c r="AA16" s="1">
        <f>AA12*AA13</f>
        <v>3998.61</v>
      </c>
      <c r="AB16" s="1">
        <f>AB12*AB13</f>
        <v>10797.45</v>
      </c>
      <c r="AC16" s="1">
        <f>AC12*AC13</f>
        <v>19239.78</v>
      </c>
      <c r="AD16" s="1">
        <f>AD12*AD13</f>
        <v>2278.41</v>
      </c>
      <c r="AE16" s="1">
        <f>AE12*AE13</f>
        <v>349.38</v>
      </c>
      <c r="AF16" s="1">
        <f>AF12*AF13</f>
        <v>11478.25</v>
      </c>
      <c r="AG16" s="1">
        <f>AG12*AG13</f>
        <v>3002.96</v>
      </c>
      <c r="AH16" s="1">
        <f>AH12*AH13</f>
        <v>23542.26</v>
      </c>
      <c r="AI16" s="1">
        <f>AI12*AI13</f>
        <v>9177.5399999999991</v>
      </c>
      <c r="AJ16" s="1">
        <f>AJ12*AJ13</f>
        <v>25652.48</v>
      </c>
      <c r="AK16" s="1">
        <f>AK12*AK13</f>
        <v>11639.5</v>
      </c>
      <c r="AL16" s="1">
        <f>AL12*AL13</f>
        <v>3413.16</v>
      </c>
      <c r="AM16" s="1">
        <f>AM12*AM13</f>
        <v>4812.22</v>
      </c>
      <c r="AN16" s="1">
        <f>AN12*AN13</f>
        <v>16585.940000000002</v>
      </c>
      <c r="AO16" s="1">
        <f>AO12*AO13</f>
        <v>18499.5</v>
      </c>
      <c r="AP16" s="1">
        <f>AP12*AP13</f>
        <v>25270.400000000001</v>
      </c>
      <c r="AQ16" s="1">
        <f>AQ12*AQ13</f>
        <v>4846.68</v>
      </c>
      <c r="AR16" s="1">
        <f>AR12*AR13</f>
        <v>4681.75</v>
      </c>
      <c r="AS16" s="1">
        <f>AS12*AS13</f>
        <v>858.04</v>
      </c>
      <c r="AT16" s="1">
        <f>AT12*AT13</f>
        <v>2764.92</v>
      </c>
      <c r="AU16" s="1">
        <f>AU12*AU13</f>
        <v>3558.32</v>
      </c>
      <c r="AV16" s="1">
        <f>AV12*AV13</f>
        <v>1769.93</v>
      </c>
      <c r="AW16" s="1">
        <f>AW12*AW13</f>
        <v>12332.4</v>
      </c>
      <c r="AX16" s="1">
        <f>AX12*AX13</f>
        <v>22547.22</v>
      </c>
      <c r="AY16" s="1">
        <f>AY12*AY13</f>
        <v>8102.64</v>
      </c>
      <c r="AZ16" s="1">
        <f>AZ12*AZ13</f>
        <v>5558.0999999999995</v>
      </c>
      <c r="BA16" s="1">
        <f>BA12*BA13</f>
        <v>8005.5599999999995</v>
      </c>
      <c r="BB16" s="1">
        <f>BB12*BB13</f>
        <v>12670.35</v>
      </c>
      <c r="BC16" s="1">
        <f>BC12*BC13</f>
        <v>11428.96</v>
      </c>
      <c r="BD16" s="1">
        <f>BD12*BD13</f>
        <v>7446.38</v>
      </c>
      <c r="BE16" s="1">
        <f>BE12*BE13</f>
        <v>20416.32</v>
      </c>
      <c r="BF16" s="1">
        <f>BF12*BF13</f>
        <v>9110.9700000000012</v>
      </c>
      <c r="BG16" s="1">
        <f>BG12*BG13</f>
        <v>8565.6</v>
      </c>
      <c r="BH16" s="1">
        <f>BH12*BH13</f>
        <v>16978.88</v>
      </c>
      <c r="BI16" s="1">
        <f>BI12*BI13</f>
        <v>25026</v>
      </c>
      <c r="BJ16" s="1">
        <f>BJ12*BJ13</f>
        <v>2236.92</v>
      </c>
      <c r="BK16" s="1">
        <f>BK12*BK13</f>
        <v>22554.720000000001</v>
      </c>
      <c r="BL16" s="1">
        <f>BL12*BL13</f>
        <v>15874.26</v>
      </c>
      <c r="BM16" s="1">
        <f>BM12*BM13</f>
        <v>2082.4</v>
      </c>
      <c r="BN16" s="1">
        <f>BN12*BN13</f>
        <v>5546.42</v>
      </c>
      <c r="BO16" s="1">
        <f>BO12*BO13</f>
        <v>30157.68</v>
      </c>
      <c r="BP16" s="1">
        <f>BP12*BP13</f>
        <v>330.13</v>
      </c>
      <c r="BQ16" s="1">
        <f>BQ12*BQ13</f>
        <v>8283.9600000000009</v>
      </c>
      <c r="BR16" s="1">
        <f>BR12*BR13</f>
        <v>11021.880000000001</v>
      </c>
      <c r="BS16" s="1">
        <f>BS12*BS13</f>
        <v>14448.6</v>
      </c>
      <c r="BT16" s="1">
        <f>BT12*BT13</f>
        <v>11564.130000000001</v>
      </c>
      <c r="BU16" s="1">
        <f>BU12*BU13</f>
        <v>5579.5199999999995</v>
      </c>
      <c r="BV16" s="1">
        <f>BV12*BV13</f>
        <v>3037.61</v>
      </c>
      <c r="BW16" s="1">
        <f>BW12*BW13</f>
        <v>6590.67</v>
      </c>
      <c r="BX16" s="1">
        <f>BX12*BX13</f>
        <v>8881.84</v>
      </c>
      <c r="BY16" s="1">
        <f>BY12*BY13</f>
        <v>6103.4000000000005</v>
      </c>
      <c r="BZ16" s="1">
        <f>BZ12*BZ13</f>
        <v>2955.84</v>
      </c>
      <c r="CA16" s="1">
        <f>CA12*CA13</f>
        <v>7552.92</v>
      </c>
      <c r="CB16" s="1">
        <f>CB12*CB13</f>
        <v>11459.300000000001</v>
      </c>
      <c r="CC16" s="1">
        <f>CC12*CC13</f>
        <v>786.75</v>
      </c>
      <c r="CD16" s="1">
        <f>CD12*CD13</f>
        <v>21857.46</v>
      </c>
      <c r="CE16" s="1">
        <f>CE12*CE13</f>
        <v>4510.1400000000003</v>
      </c>
      <c r="CF16" s="1">
        <f>CF12*CF13</f>
        <v>7978.72</v>
      </c>
      <c r="CG16" s="1">
        <f>CG12*CG13</f>
        <v>4290.72</v>
      </c>
      <c r="CH16" s="1">
        <f>CH12*CH13</f>
        <v>2883.94</v>
      </c>
      <c r="CI16" s="1">
        <f>CI12*CI13</f>
        <v>2074.2399999999998</v>
      </c>
      <c r="CJ16" s="1">
        <f>CJ12*CJ13</f>
        <v>9611.84</v>
      </c>
      <c r="CK16" s="1">
        <f>CK12*CK13</f>
        <v>11638.2</v>
      </c>
      <c r="CL16" s="1">
        <f>CL12*CL13</f>
        <v>3480.06</v>
      </c>
      <c r="CM16" s="1">
        <f>CM12*CM13</f>
        <v>6776.2</v>
      </c>
      <c r="CN16" s="1">
        <f>CN12*CN13</f>
        <v>16852.599999999999</v>
      </c>
      <c r="CO16" s="1">
        <f>CO12*CO13</f>
        <v>1029.99</v>
      </c>
      <c r="CP16" s="1">
        <f>CP12*CP13</f>
        <v>17448.84</v>
      </c>
      <c r="CQ16" s="1">
        <f>CQ12*CQ13</f>
        <v>6446.08</v>
      </c>
      <c r="CR16" s="1">
        <f>CR12*CR13</f>
        <v>4106.58</v>
      </c>
      <c r="CS16" s="1">
        <f>CS12*CS13</f>
        <v>2499.88</v>
      </c>
      <c r="CT16" s="1">
        <f>CT12*CT13</f>
        <v>4516.1100000000006</v>
      </c>
      <c r="CU16" s="1">
        <f>CU12*CU13</f>
        <v>5448.32</v>
      </c>
      <c r="CV16" s="1">
        <f>CV12*CV13</f>
        <v>947.25</v>
      </c>
      <c r="CW16" s="1">
        <f>CW12*CW13</f>
        <v>22096.97</v>
      </c>
      <c r="CX16" s="1">
        <f>CX12*CX13</f>
        <v>13465.44</v>
      </c>
      <c r="CY16" s="1">
        <f>CY12*CY13</f>
        <v>3718.06</v>
      </c>
      <c r="CZ16" s="1">
        <f>CZ12*CZ13</f>
        <v>25132.38</v>
      </c>
      <c r="DA16" s="1">
        <f>DA12*DA13</f>
        <v>13417.550000000001</v>
      </c>
      <c r="DB16" s="1">
        <f>DB12*DB13</f>
        <v>905.15</v>
      </c>
      <c r="DC16" s="1">
        <f>DC12*DC13</f>
        <v>11343.66</v>
      </c>
      <c r="DD16" s="1">
        <f>DD12*DD13</f>
        <v>5315.05</v>
      </c>
      <c r="DE16" s="1">
        <f>DE12*DE13</f>
        <v>1128.6199999999999</v>
      </c>
      <c r="DF16" s="1">
        <f>DF12*DF13</f>
        <v>12429.16</v>
      </c>
      <c r="DG16" s="1">
        <f>DG12*DG13</f>
        <v>12461.04</v>
      </c>
      <c r="DH16" s="1">
        <f>DH12*DH13</f>
        <v>1820.02</v>
      </c>
      <c r="DI16" s="1">
        <f>DI12*DI13</f>
        <v>4442.3599999999997</v>
      </c>
      <c r="DJ16" s="1">
        <f>DJ12*DJ13</f>
        <v>13546.619999999999</v>
      </c>
      <c r="DK16" s="1">
        <f>DK12*DK13</f>
        <v>10857.420000000002</v>
      </c>
      <c r="DL16" s="1">
        <f>DL12*DL13</f>
        <v>7242.18</v>
      </c>
      <c r="DM16" s="1">
        <f>DM12*DM13</f>
        <v>6849.78</v>
      </c>
      <c r="DN16" s="1">
        <f>DN12*DN13</f>
        <v>21328.62</v>
      </c>
      <c r="DO16" s="1">
        <f>DO12*DO13</f>
        <v>4607.42</v>
      </c>
      <c r="DP16" s="1">
        <f>DP12*DP13</f>
        <v>26717.439999999999</v>
      </c>
      <c r="DQ16" s="1">
        <f>DQ12*DQ13</f>
        <v>20261.22</v>
      </c>
      <c r="DR16" s="1">
        <f>DR12*DR13</f>
        <v>14161.400000000001</v>
      </c>
      <c r="DS16" s="1">
        <f>DS12*DS13</f>
        <v>6993.65</v>
      </c>
      <c r="DT16" s="1">
        <f>DT12*DT13</f>
        <v>7353.5</v>
      </c>
      <c r="DU16" s="1">
        <f>DU12*DU13</f>
        <v>8657.19</v>
      </c>
      <c r="DV16" s="1">
        <f>DV12*DV13</f>
        <v>31051.71</v>
      </c>
      <c r="DW16" s="1">
        <f>DW12*DW13</f>
        <v>29777.759999999998</v>
      </c>
      <c r="DX16" s="1">
        <f>DX12*DX13</f>
        <v>11077.26</v>
      </c>
      <c r="DY16" s="1">
        <f>DY12*DY13</f>
        <v>3958.56</v>
      </c>
      <c r="DZ16" s="1">
        <f>DZ12*DZ13</f>
        <v>4865.01</v>
      </c>
      <c r="EA16" s="1">
        <f>EA12*EA13</f>
        <v>2534.4699999999998</v>
      </c>
      <c r="EB16" s="1">
        <f>EB12*EB13</f>
        <v>13296.15</v>
      </c>
      <c r="EC16" s="1">
        <f>EC12*EC13</f>
        <v>12614.92</v>
      </c>
      <c r="ED16" s="1">
        <f>ED12*ED13</f>
        <v>3990.85</v>
      </c>
      <c r="EE16" s="1">
        <f>EE12*EE13</f>
        <v>7086.88</v>
      </c>
      <c r="EF16" s="1">
        <f>EF12*EF13</f>
        <v>11517.960000000001</v>
      </c>
      <c r="EG16" s="1">
        <f>EG12*EG13</f>
        <v>10855.74</v>
      </c>
      <c r="EH16" s="1">
        <f>EH12*EH13</f>
        <v>2644.6</v>
      </c>
      <c r="EI16" s="1">
        <f>EI12*EI13</f>
        <v>912.67</v>
      </c>
      <c r="EJ16" s="1">
        <f>EJ12*EJ13</f>
        <v>805.82</v>
      </c>
      <c r="EK16" s="1">
        <f>EK12*EK13</f>
        <v>14261.64</v>
      </c>
      <c r="EL16" s="1">
        <f>EL12*EL13</f>
        <v>3532.84</v>
      </c>
      <c r="EM16" s="1">
        <f>EM12*EM13</f>
        <v>2063.0500000000002</v>
      </c>
      <c r="EN16" s="1">
        <f>EN12*EN13</f>
        <v>25761.61</v>
      </c>
      <c r="EO16" s="1">
        <f>EO12*EO13</f>
        <v>25109.759999999998</v>
      </c>
      <c r="EP16" s="1">
        <f>EP12*EP13</f>
        <v>3914.58</v>
      </c>
      <c r="EQ16" s="1">
        <f>EQ12*EQ13</f>
        <v>9307.48</v>
      </c>
      <c r="ER16" s="1">
        <f>ER12*ER13</f>
        <v>11116.02</v>
      </c>
      <c r="ES16" s="1">
        <f>ES12*ES13</f>
        <v>9657.7800000000007</v>
      </c>
      <c r="ET16" s="1">
        <f>ET12*ET13</f>
        <v>23506.400000000001</v>
      </c>
      <c r="EU16" s="1">
        <f>EU12*EU13</f>
        <v>5616.12</v>
      </c>
      <c r="EV16" s="1">
        <f>EV12*EV13</f>
        <v>7305.5</v>
      </c>
      <c r="EW16" s="1">
        <f>EW12*EW13</f>
        <v>3249.11</v>
      </c>
      <c r="EX16" s="1">
        <f>EX12*EX13</f>
        <v>2110.2599999999998</v>
      </c>
      <c r="EY16" s="1">
        <f>EY12*EY13</f>
        <v>1529.12</v>
      </c>
      <c r="EZ16" s="1">
        <f>EZ12*EZ13</f>
        <v>5768.6</v>
      </c>
      <c r="FA16" s="1">
        <f>FA12*FA13</f>
        <v>2674.2599999999998</v>
      </c>
      <c r="FB16" s="1">
        <f>FB12*FB13</f>
        <v>8437.84</v>
      </c>
      <c r="FC16" s="1">
        <f>FC12*FC13</f>
        <v>26768.639999999999</v>
      </c>
      <c r="FD16" s="1">
        <f>FD12*FD13</f>
        <v>22804.62</v>
      </c>
      <c r="FE16" s="1">
        <f>FE12*FE13</f>
        <v>5290.88</v>
      </c>
      <c r="FF16" s="1">
        <f>FF12*FF13</f>
        <v>9347.1200000000008</v>
      </c>
      <c r="FG16" s="1">
        <f>FG12*FG13</f>
        <v>9820.7199999999993</v>
      </c>
      <c r="FH16" s="1">
        <f>FH12*FH13</f>
        <v>1219.22</v>
      </c>
      <c r="FI16" s="1">
        <f>FI12*FI13</f>
        <v>1153.32</v>
      </c>
      <c r="FJ16" s="1">
        <f>FJ12*FJ13</f>
        <v>14874.52</v>
      </c>
      <c r="FK16" s="1">
        <f>FK12*FK13</f>
        <v>6809.18</v>
      </c>
      <c r="FL16" s="1">
        <f>FL12*FL13</f>
        <v>12369.14</v>
      </c>
      <c r="FM16" s="1">
        <f>FM12*FM13</f>
        <v>1498.32</v>
      </c>
      <c r="FN16" s="1">
        <f>FN12*FN13</f>
        <v>17265.650000000001</v>
      </c>
      <c r="FO16" s="1">
        <f>FO12*FO13</f>
        <v>20754.72</v>
      </c>
      <c r="FP16" s="1">
        <f>FP12*FP13</f>
        <v>30360.080000000002</v>
      </c>
      <c r="FQ16" s="1">
        <f>FQ12*FQ13</f>
        <v>28432.98</v>
      </c>
      <c r="FR16" s="1">
        <f>FR12*FR13</f>
        <v>4073.31</v>
      </c>
      <c r="FS16" s="1">
        <f>FS12*FS13</f>
        <v>3312.93</v>
      </c>
      <c r="FT16" s="1">
        <f>FT12*FT13</f>
        <v>11344.84</v>
      </c>
      <c r="FU16" s="1">
        <f>FU12*FU13</f>
        <v>7759.15</v>
      </c>
      <c r="FV16" s="1">
        <f>FV12*FV13</f>
        <v>2329.9299999999998</v>
      </c>
      <c r="FW16" s="1">
        <f>FW12*FW13</f>
        <v>1218.6300000000001</v>
      </c>
      <c r="FX16" s="1">
        <f>FX12*FX13</f>
        <v>3494.34</v>
      </c>
      <c r="FY16" s="1">
        <f>FY12*FY13</f>
        <v>17689.36</v>
      </c>
      <c r="FZ16" s="1">
        <f>FZ12*FZ13</f>
        <v>11646.900000000001</v>
      </c>
      <c r="GA16" s="1">
        <f>GA12*GA13</f>
        <v>12172.36</v>
      </c>
      <c r="GB16" s="1">
        <f>GB12*GB13</f>
        <v>4606.4900000000007</v>
      </c>
      <c r="GC16" s="1">
        <f>GC12*GC13</f>
        <v>10628.75</v>
      </c>
      <c r="GD16" s="1">
        <f>GD12*GD13</f>
        <v>6290.34</v>
      </c>
      <c r="GE16" s="1">
        <f>GE12*GE13</f>
        <v>508.81</v>
      </c>
      <c r="GF16" s="1">
        <f>GF12*GF13</f>
        <v>1730.41</v>
      </c>
      <c r="GG16" s="1">
        <f>GG12*GG13</f>
        <v>2336.5500000000002</v>
      </c>
      <c r="GH16" s="1">
        <f>GH12*GH13</f>
        <v>2007.72</v>
      </c>
      <c r="GI16" s="1">
        <f>GI12*GI13</f>
        <v>2745.18</v>
      </c>
      <c r="GJ16" s="1">
        <f>GJ12*GJ13</f>
        <v>8040.5500000000011</v>
      </c>
      <c r="GK16" s="1">
        <f>GK12*GK13</f>
        <v>974.46</v>
      </c>
      <c r="GL16" s="1">
        <f>GL12*GL13</f>
        <v>1984.72</v>
      </c>
      <c r="GM16" s="1">
        <f>GM12*GM13</f>
        <v>1788.02</v>
      </c>
      <c r="GN16" s="1">
        <f>GN12*GN13</f>
        <v>2067.8999999999996</v>
      </c>
      <c r="GO16" s="1">
        <f>GO12*GO13</f>
        <v>20494.88</v>
      </c>
      <c r="GP16" s="1">
        <f>GP12*GP13</f>
        <v>5024.84</v>
      </c>
      <c r="GQ16" s="1">
        <f>GQ12*GQ13</f>
        <v>6135.1</v>
      </c>
      <c r="GR16" s="1">
        <f>GR12*GR13</f>
        <v>5712.76</v>
      </c>
      <c r="GS16" s="1">
        <f>GS12*GS13</f>
        <v>8105.3099999999995</v>
      </c>
      <c r="GT16" s="1">
        <f>GT12*GT13</f>
        <v>17509.7</v>
      </c>
      <c r="GU16" s="1">
        <f>GU12*GU13</f>
        <v>27652.32</v>
      </c>
      <c r="GV16" s="1">
        <f>GV12*GV13</f>
        <v>23607.919999999998</v>
      </c>
      <c r="GW16" s="1">
        <f>GW12*GW13</f>
        <v>16119.28</v>
      </c>
      <c r="GX16" s="1">
        <f>GX12*GX13</f>
        <v>22569.200000000001</v>
      </c>
      <c r="GY16" s="1">
        <f>GY12*GY13</f>
        <v>18225.12</v>
      </c>
      <c r="GZ16" s="1">
        <f>GZ12*GZ13</f>
        <v>6877.92</v>
      </c>
      <c r="HA16" s="1">
        <f>HA12*HA13</f>
        <v>7624.56</v>
      </c>
      <c r="HB16" s="1">
        <f>HB12*HB13</f>
        <v>10328.879999999999</v>
      </c>
      <c r="HC16" s="1">
        <f>HC12*HC13</f>
        <v>29252.720000000001</v>
      </c>
      <c r="HD16" s="1">
        <f>HD12*HD13</f>
        <v>15802.850000000002</v>
      </c>
      <c r="HE16" s="1">
        <f>HE12*HE13</f>
        <v>2975.54</v>
      </c>
      <c r="HF16" s="1">
        <f>HF12*HF13</f>
        <v>5937</v>
      </c>
      <c r="HG16" s="1">
        <f>HG12*HG13</f>
        <v>6878.84</v>
      </c>
      <c r="HH16" s="1">
        <f>HH12*HH13</f>
        <v>3167.1499999999996</v>
      </c>
      <c r="HI16" s="1">
        <f>HI12*HI13</f>
        <v>4856.9400000000005</v>
      </c>
      <c r="HJ16" s="1">
        <f>HJ12*HJ13</f>
        <v>13341.28</v>
      </c>
      <c r="HK16" s="1">
        <f>HK12*HK13</f>
        <v>4803.26</v>
      </c>
      <c r="HL16" s="1">
        <f>HL12*HL13</f>
        <v>8697</v>
      </c>
      <c r="HM16" s="1">
        <f>HM12*HM13</f>
        <v>25927.84</v>
      </c>
      <c r="HN16" s="1">
        <f>HN12*HN13</f>
        <v>8792.7999999999993</v>
      </c>
      <c r="HO16" s="1">
        <f>HO12*HO13</f>
        <v>27354.11</v>
      </c>
      <c r="HP16" s="1">
        <f>HP12*HP13</f>
        <v>8865.2999999999993</v>
      </c>
      <c r="HQ16" s="1">
        <f>HQ12*HQ13</f>
        <v>2897.3</v>
      </c>
      <c r="HR16" s="1">
        <f>HR12*HR13</f>
        <v>9456.0199999999986</v>
      </c>
      <c r="HS16" s="1">
        <f>HS12*HS13</f>
        <v>3100.65</v>
      </c>
      <c r="HT16" s="1">
        <f>HT12*HT13</f>
        <v>3467.2799999999997</v>
      </c>
      <c r="HU16" s="1">
        <f>HU12*HU13</f>
        <v>21161.599999999999</v>
      </c>
      <c r="HV16" s="1">
        <f>HV12*HV13</f>
        <v>28153.599999999999</v>
      </c>
      <c r="HW16" s="1">
        <f>HW12*HW13</f>
        <v>9580.5</v>
      </c>
      <c r="HX16" s="1">
        <f>HX12*HX13</f>
        <v>4852.82</v>
      </c>
      <c r="HY16" s="1">
        <f>HY12*HY13</f>
        <v>2250.4899999999998</v>
      </c>
      <c r="HZ16" s="1">
        <f>HZ12*HZ13</f>
        <v>556.53</v>
      </c>
      <c r="IA16" s="1">
        <f>IA12*IA13</f>
        <v>2270.66</v>
      </c>
      <c r="IB16" s="1">
        <f>IB12*IB13</f>
        <v>24093.81</v>
      </c>
      <c r="IC16" s="1">
        <f>IC12*IC13</f>
        <v>15472.380000000001</v>
      </c>
      <c r="ID16" s="1">
        <f>ID12*ID13</f>
        <v>2328.9500000000003</v>
      </c>
      <c r="IE16" s="1">
        <f>IE12*IE13</f>
        <v>2276.16</v>
      </c>
      <c r="IF16" s="1">
        <f>IF12*IF13</f>
        <v>7921.12</v>
      </c>
      <c r="IG16" s="1">
        <f>IG12*IG13</f>
        <v>2390.2199999999998</v>
      </c>
      <c r="IH16" s="1">
        <f>IH12*IH13</f>
        <v>11168.58</v>
      </c>
      <c r="II16" s="1">
        <f>II12*II13</f>
        <v>18835.02</v>
      </c>
      <c r="IJ16" s="1">
        <f>IJ12*IJ13</f>
        <v>1203.06</v>
      </c>
      <c r="IK16" s="1">
        <f>IK12*IK13</f>
        <v>2402.67</v>
      </c>
      <c r="IL16" s="1">
        <f>IL12*IL13</f>
        <v>12035.6</v>
      </c>
      <c r="IM16" s="1">
        <f>IM12*IM13</f>
        <v>3082.45</v>
      </c>
      <c r="IN16" s="1">
        <f>IN12*IN13</f>
        <v>14715.89</v>
      </c>
      <c r="IO16" s="1">
        <f>IO12*IO13</f>
        <v>18241.440000000002</v>
      </c>
      <c r="IP16" s="1">
        <f>IP12*IP13</f>
        <v>3942.92</v>
      </c>
      <c r="IQ16" s="1">
        <f>IQ12*IQ13</f>
        <v>27961.38</v>
      </c>
      <c r="IR16" s="1">
        <f>IR12*IR13</f>
        <v>14578.32</v>
      </c>
      <c r="IS16" s="1">
        <f>IS12*IS13</f>
        <v>7475.2</v>
      </c>
      <c r="IT16" s="1">
        <f>IT12*IT13</f>
        <v>12661.35</v>
      </c>
      <c r="IU16" s="1">
        <f>IU12*IU13</f>
        <v>5423.32</v>
      </c>
      <c r="IV16" s="1">
        <f>IV12*IV13</f>
        <v>18699.659999999996</v>
      </c>
      <c r="IW16" s="1">
        <f>IW12*IW13</f>
        <v>15796.32</v>
      </c>
      <c r="IX16" s="1">
        <f>IX12*IX13</f>
        <v>721.8</v>
      </c>
      <c r="IY16" s="1">
        <f>IY12*IY13</f>
        <v>12628.35</v>
      </c>
      <c r="IZ16" s="1">
        <f>IZ12*IZ13</f>
        <v>11015.19</v>
      </c>
      <c r="JA16" s="1">
        <f>JA12*JA13</f>
        <v>1941.96</v>
      </c>
      <c r="JB16" s="1">
        <f>JB12*JB13</f>
        <v>1066.5</v>
      </c>
      <c r="JC16" s="1">
        <f>JC12*JC13</f>
        <v>17306.03</v>
      </c>
      <c r="JD16" s="1">
        <f>JD12*JD13</f>
        <v>15161.02</v>
      </c>
      <c r="JE16" s="1">
        <f>JE12*JE13</f>
        <v>4505.2</v>
      </c>
      <c r="JF16" s="1">
        <f>JF12*JF13</f>
        <v>17668.440000000002</v>
      </c>
      <c r="JG16" s="1">
        <f>JG12*JG13</f>
        <v>16360.72</v>
      </c>
      <c r="JH16" s="1">
        <f>JH12*JH13</f>
        <v>900.78</v>
      </c>
      <c r="JI16" s="1">
        <f>JI12*JI13</f>
        <v>2660.56</v>
      </c>
      <c r="JJ16" s="1">
        <f>JJ12*JJ13</f>
        <v>15782.7</v>
      </c>
      <c r="JK16" s="1">
        <f>JK12*JK13</f>
        <v>19182.78</v>
      </c>
      <c r="JL16" s="1">
        <f>JL12*JL13</f>
        <v>7408.5300000000007</v>
      </c>
      <c r="JM16" s="1">
        <f>JM12*JM13</f>
        <v>19078.29</v>
      </c>
      <c r="JN16" s="1">
        <f>JN12*JN13</f>
        <v>2309.2799999999997</v>
      </c>
      <c r="JO16" s="1">
        <f>JO12*JO13</f>
        <v>5032.6000000000004</v>
      </c>
      <c r="JP16" s="1">
        <f>JP12*JP13</f>
        <v>3563.7000000000003</v>
      </c>
      <c r="JQ16" s="1">
        <f>JQ12*JQ13</f>
        <v>30885.759999999998</v>
      </c>
      <c r="JR16" s="1">
        <f>JR12*JR13</f>
        <v>6030.5399999999991</v>
      </c>
      <c r="JS16" s="1">
        <f>JS12*JS13</f>
        <v>4406.04</v>
      </c>
      <c r="JT16" s="1">
        <f>JT12*JT13</f>
        <v>21449.22</v>
      </c>
      <c r="JU16" s="1">
        <f>JU12*JU13</f>
        <v>30272.959999999999</v>
      </c>
      <c r="JV16" s="1">
        <f>JV12*JV13</f>
        <v>15492.2</v>
      </c>
      <c r="JW16" s="1">
        <f>JW12*JW13</f>
        <v>512.43000000000006</v>
      </c>
      <c r="JX16" s="1">
        <f>JX12*JX13</f>
        <v>465.54</v>
      </c>
      <c r="JY16" s="1">
        <f>JY12*JY13</f>
        <v>9634.14</v>
      </c>
      <c r="JZ16" s="1">
        <f>JZ12*JZ13</f>
        <v>1404.14</v>
      </c>
      <c r="KA16" s="1">
        <f>KA12*KA13</f>
        <v>1324.74</v>
      </c>
      <c r="KB16" s="1">
        <f>KB12*KB13</f>
        <v>11619.960000000001</v>
      </c>
      <c r="KC16" s="1">
        <f>KC12*KC13</f>
        <v>30246.32</v>
      </c>
      <c r="KD16" s="1">
        <f>KD12*KD13</f>
        <v>9776.9700000000012</v>
      </c>
      <c r="KE16" s="1">
        <f>KE12*KE13</f>
        <v>21563.119999999999</v>
      </c>
      <c r="KF16" s="1">
        <f>KF12*KF13</f>
        <v>23949.99</v>
      </c>
      <c r="KG16" s="1">
        <f>KG12*KG13</f>
        <v>6699.9600000000009</v>
      </c>
      <c r="KH16" s="1">
        <f>KH12*KH13</f>
        <v>7962.42</v>
      </c>
      <c r="KI16" s="1">
        <f>KI12*KI13</f>
        <v>2902.4700000000003</v>
      </c>
      <c r="KJ16" s="1">
        <f>KJ12*KJ13</f>
        <v>619.73</v>
      </c>
      <c r="KK16" s="1">
        <f>KK12*KK13</f>
        <v>14251.65</v>
      </c>
      <c r="KL16" s="1">
        <f>KL12*KL13</f>
        <v>2347</v>
      </c>
      <c r="KM16" s="1">
        <f>KM12*KM13</f>
        <v>35892.9</v>
      </c>
      <c r="KN16" s="1">
        <f>KN12*KN13</f>
        <v>7706.61</v>
      </c>
      <c r="KO16" s="1">
        <f>KO12*KO13</f>
        <v>12187.25</v>
      </c>
      <c r="KP16" s="1">
        <f>KP12*KP13</f>
        <v>6935.16</v>
      </c>
      <c r="KQ16" s="1">
        <f>KQ12*KQ13</f>
        <v>4456.13</v>
      </c>
      <c r="KR16" s="1">
        <f>KR12*KR13</f>
        <v>1543.1999999999998</v>
      </c>
      <c r="KS16" s="1">
        <f>KS12*KS13</f>
        <v>10190.08</v>
      </c>
      <c r="KT16" s="1">
        <f>KT12*KT13</f>
        <v>6512.04</v>
      </c>
      <c r="KU16" s="1">
        <f>KU12*KU13</f>
        <v>3391.76</v>
      </c>
      <c r="KV16" s="1">
        <f>KV12*KV13</f>
        <v>8033.8</v>
      </c>
      <c r="KW16" s="1">
        <f>KW12*KW13</f>
        <v>12572.8</v>
      </c>
      <c r="KX16" s="1">
        <f>KX12*KX13</f>
        <v>2740.46</v>
      </c>
      <c r="KY16" s="1">
        <f>KY12*KY13</f>
        <v>17630.28</v>
      </c>
      <c r="KZ16" s="1">
        <f>KZ12*KZ13</f>
        <v>8186.04</v>
      </c>
      <c r="LA16" s="1">
        <f>LA12*LA13</f>
        <v>2588.64</v>
      </c>
      <c r="LB16" s="1">
        <f>LB12*LB13</f>
        <v>3251.27</v>
      </c>
      <c r="LC16" s="1">
        <f>LC12*LC13</f>
        <v>1681.85</v>
      </c>
      <c r="LD16" s="1">
        <f>LD12*LD13</f>
        <v>26024.16</v>
      </c>
      <c r="LE16" s="1">
        <f>LE12*LE13</f>
        <v>19434.080000000002</v>
      </c>
      <c r="LF16" s="1">
        <f>LF12*LF13</f>
        <v>1577.44</v>
      </c>
      <c r="LG16" s="1">
        <f>LG12*LG13</f>
        <v>1715.21</v>
      </c>
      <c r="LH16" s="1">
        <f>LH12*LH13</f>
        <v>12372.8</v>
      </c>
      <c r="LI16" s="1">
        <f>LI12*LI13</f>
        <v>18038.240000000002</v>
      </c>
      <c r="LJ16" s="1">
        <f>LJ12*LJ13</f>
        <v>23683.17</v>
      </c>
      <c r="LK16" s="1">
        <f>LK12*LK13</f>
        <v>3204.1000000000004</v>
      </c>
      <c r="LL16" s="1">
        <f>LL12*LL13</f>
        <v>3230.79</v>
      </c>
      <c r="LM16" s="1">
        <f>LM12*LM13</f>
        <v>31253.22</v>
      </c>
      <c r="LN16" s="1">
        <f>LN12*LN13</f>
        <v>5111.05</v>
      </c>
      <c r="LO16" s="1">
        <f>LO12*LO13</f>
        <v>6857.28</v>
      </c>
      <c r="LP16" s="1">
        <f>LP12*LP13</f>
        <v>23802.6</v>
      </c>
      <c r="LQ16" s="1">
        <f>LQ12*LQ13</f>
        <v>5896.66</v>
      </c>
      <c r="LR16" s="1">
        <f>LR12*LR13</f>
        <v>3171.36</v>
      </c>
      <c r="LS16" s="1">
        <f>LS12*LS13</f>
        <v>27849.5</v>
      </c>
      <c r="LT16" s="1">
        <f>LT12*LT13</f>
        <v>4962.2</v>
      </c>
      <c r="LU16" s="1">
        <f>LU12*LU13</f>
        <v>2670.72</v>
      </c>
      <c r="LV16" s="1">
        <f>LV12*LV13</f>
        <v>16872.449999999997</v>
      </c>
      <c r="LW16" s="1">
        <f>LW12*LW13</f>
        <v>12578.85</v>
      </c>
      <c r="LX16" s="1">
        <f>LX12*LX13</f>
        <v>16713.2</v>
      </c>
      <c r="LY16" s="1">
        <f>LY12*LY13</f>
        <v>1126.5</v>
      </c>
      <c r="LZ16" s="1">
        <f>LZ12*LZ13</f>
        <v>24495.119999999999</v>
      </c>
      <c r="MA16" s="1">
        <f>MA12*MA13</f>
        <v>1393.26</v>
      </c>
      <c r="MB16" s="1">
        <f>MB12*MB13</f>
        <v>14834.04</v>
      </c>
      <c r="MC16" s="1">
        <f>MC12*MC13</f>
        <v>12639.78</v>
      </c>
      <c r="MD16" s="1">
        <f>MD12*MD13</f>
        <v>2567.7199999999998</v>
      </c>
      <c r="ME16" s="1">
        <f>ME12*ME13</f>
        <v>9265.5499999999993</v>
      </c>
      <c r="MF16" s="1">
        <f>MF12*MF13</f>
        <v>2194.5699999999997</v>
      </c>
      <c r="MG16" s="1">
        <f>MG12*MG13</f>
        <v>11143.24</v>
      </c>
      <c r="MH16" s="1">
        <f>MH12*MH13</f>
        <v>3625.42</v>
      </c>
      <c r="MI16" s="1">
        <f>MI12*MI13</f>
        <v>30361.14</v>
      </c>
      <c r="MJ16" s="1">
        <f>MJ12*MJ13</f>
        <v>2561.48</v>
      </c>
      <c r="MK16" s="1">
        <f>MK12*MK13</f>
        <v>5725.26</v>
      </c>
      <c r="ML16" s="1">
        <f>ML12*ML13</f>
        <v>19690.32</v>
      </c>
      <c r="MM16" s="1">
        <f>MM12*MM13</f>
        <v>3708.38</v>
      </c>
      <c r="MN16" s="1">
        <f>MN12*MN13</f>
        <v>5770.74</v>
      </c>
      <c r="MO16" s="1">
        <f>MO12*MO13</f>
        <v>4142.08</v>
      </c>
      <c r="MP16" s="1">
        <f>MP12*MP13</f>
        <v>12377.789999999999</v>
      </c>
      <c r="MQ16" s="1">
        <f>MQ12*MQ13</f>
        <v>3592.92</v>
      </c>
      <c r="MR16" s="1">
        <f>MR12*MR13</f>
        <v>23695.920000000002</v>
      </c>
      <c r="MS16" s="1">
        <f>MS12*MS13</f>
        <v>11337.93</v>
      </c>
      <c r="MT16" s="1">
        <f>MT12*MT13</f>
        <v>10402.48</v>
      </c>
      <c r="MU16" s="1">
        <f>MU12*MU13</f>
        <v>28648.959999999999</v>
      </c>
      <c r="MV16" s="1">
        <f>MV12*MV13</f>
        <v>202.49</v>
      </c>
      <c r="MW16" s="1">
        <f>MW12*MW13</f>
        <v>11140</v>
      </c>
      <c r="MX16" s="1">
        <f>MX12*MX13</f>
        <v>6852.8099999999995</v>
      </c>
      <c r="MY16" s="1">
        <f>MY12*MY13</f>
        <v>5044.4799999999996</v>
      </c>
      <c r="MZ16" s="1">
        <f>MZ12*MZ13</f>
        <v>504.58</v>
      </c>
      <c r="NA16" s="1">
        <f>NA12*NA13</f>
        <v>3288.81</v>
      </c>
      <c r="NB16" s="1">
        <f>NB12*NB13</f>
        <v>17967.3</v>
      </c>
      <c r="NC16" s="1">
        <f>NC12*NC13</f>
        <v>16604.400000000001</v>
      </c>
      <c r="ND16" s="1">
        <f>ND12*ND13</f>
        <v>28882.639999999999</v>
      </c>
      <c r="NE16" s="1">
        <f>NE12*NE13</f>
        <v>15956.36</v>
      </c>
      <c r="NF16" s="1">
        <f>NF12*NF13</f>
        <v>26217.52</v>
      </c>
      <c r="NG16" s="1">
        <f>NG12*NG13</f>
        <v>9771.36</v>
      </c>
      <c r="NH16" s="1">
        <f>NH12*NH13</f>
        <v>16290.78</v>
      </c>
      <c r="NI16" s="1">
        <f>NI12*NI13</f>
        <v>7914.04</v>
      </c>
      <c r="NJ16" s="1">
        <f>NJ12*NJ13</f>
        <v>6114.2999999999993</v>
      </c>
      <c r="NK16" s="1">
        <f>NK12*NK13</f>
        <v>8255.5499999999993</v>
      </c>
      <c r="NL16" s="1">
        <f>NL12*NL13</f>
        <v>5994.54</v>
      </c>
      <c r="NM16" s="1">
        <f>NM12*NM13</f>
        <v>4088.16</v>
      </c>
      <c r="NN16" s="1">
        <f>NN12*NN13</f>
        <v>3696</v>
      </c>
      <c r="NO16" s="1">
        <f>NO12*NO13</f>
        <v>30099.87</v>
      </c>
      <c r="NP16" s="1">
        <f>NP12*NP13</f>
        <v>3910.66</v>
      </c>
      <c r="NQ16" s="1">
        <f>NQ12*NQ13</f>
        <v>5124.57</v>
      </c>
      <c r="NR16" s="1">
        <f>NR12*NR13</f>
        <v>1462.35</v>
      </c>
      <c r="NS16" s="1">
        <f>NS12*NS13</f>
        <v>3227.04</v>
      </c>
      <c r="NT16" s="1">
        <f>NT12*NT13</f>
        <v>3581.58</v>
      </c>
      <c r="NU16" s="1">
        <f>NU12*NU13</f>
        <v>9678.4</v>
      </c>
      <c r="NV16" s="1">
        <f>NV12*NV13</f>
        <v>4146.33</v>
      </c>
      <c r="NW16" s="1">
        <f>NW12*NW13</f>
        <v>3968.76</v>
      </c>
      <c r="NX16" s="1">
        <f>NX12*NX13</f>
        <v>11003.76</v>
      </c>
      <c r="NY16" s="1">
        <f>NY12*NY13</f>
        <v>6098.37</v>
      </c>
      <c r="NZ16" s="1">
        <f>NZ12*NZ13</f>
        <v>24215.03</v>
      </c>
      <c r="OA16" s="1">
        <f>OA12*OA13</f>
        <v>2430.36</v>
      </c>
      <c r="OB16" s="1">
        <f>OB12*OB13</f>
        <v>16946.52</v>
      </c>
      <c r="OC16" s="1">
        <f>OC12*OC13</f>
        <v>4661.9400000000005</v>
      </c>
      <c r="OD16" s="1">
        <f>OD12*OD13</f>
        <v>23946</v>
      </c>
      <c r="OE16" s="1">
        <f>OE12*OE13</f>
        <v>16298.880000000001</v>
      </c>
      <c r="OF16" s="1">
        <f>OF12*OF13</f>
        <v>1220.6199999999999</v>
      </c>
      <c r="OG16" s="1">
        <f>OG12*OG13</f>
        <v>14128.02</v>
      </c>
      <c r="OH16" s="1">
        <f>OH12*OH13</f>
        <v>7969.22</v>
      </c>
      <c r="OI16" s="1">
        <f>OI12*OI13</f>
        <v>16228.85</v>
      </c>
      <c r="OJ16" s="1">
        <f>OJ12*OJ13</f>
        <v>5369.58</v>
      </c>
      <c r="OK16" s="1">
        <f>OK12*OK13</f>
        <v>15918.12</v>
      </c>
      <c r="OL16" s="1">
        <f>OL12*OL13</f>
        <v>2024.52</v>
      </c>
      <c r="OM16" s="1">
        <f>OM12*OM13</f>
        <v>18926.04</v>
      </c>
      <c r="ON16" s="1">
        <f>ON12*ON13</f>
        <v>2743.75</v>
      </c>
      <c r="OO16" s="1">
        <f>OO12*OO13</f>
        <v>12419.48</v>
      </c>
      <c r="OP16" s="1">
        <f>OP12*OP13</f>
        <v>5335.96</v>
      </c>
      <c r="OQ16" s="1">
        <f>OQ12*OQ13</f>
        <v>2044.41</v>
      </c>
      <c r="OR16" s="1">
        <f>OR12*OR13</f>
        <v>28949.040000000001</v>
      </c>
      <c r="OS16" s="1">
        <f>OS12*OS13</f>
        <v>4181.12</v>
      </c>
      <c r="OT16" s="1">
        <f>OT12*OT13</f>
        <v>7141.6100000000006</v>
      </c>
      <c r="OU16" s="1">
        <f>OU12*OU13</f>
        <v>6814.6500000000005</v>
      </c>
      <c r="OV16" s="1">
        <f>OV12*OV13</f>
        <v>6497.16</v>
      </c>
      <c r="OW16" s="1">
        <f>OW12*OW13</f>
        <v>9893.68</v>
      </c>
      <c r="OX16" s="1">
        <f>OX12*OX13</f>
        <v>10380.719999999999</v>
      </c>
      <c r="OY16" s="1">
        <f>OY12*OY13</f>
        <v>1219.7</v>
      </c>
      <c r="OZ16" s="1">
        <f>OZ12*OZ13</f>
        <v>6240.64</v>
      </c>
      <c r="PA16" s="1">
        <f>PA12*PA13</f>
        <v>21278.560000000001</v>
      </c>
      <c r="PB16" s="1">
        <f>PB12*PB13</f>
        <v>3354.81</v>
      </c>
      <c r="PC16" s="1">
        <f>PC12*PC13</f>
        <v>31244.560000000001</v>
      </c>
      <c r="PD16" s="1">
        <f>PD12*PD13</f>
        <v>15804.24</v>
      </c>
      <c r="PE16" s="1">
        <f>PE12*PE13</f>
        <v>813.54</v>
      </c>
      <c r="PF16" s="1">
        <f>PF12*PF13</f>
        <v>1340.64</v>
      </c>
      <c r="PG16" s="1">
        <f>PG12*PG13</f>
        <v>7729.86</v>
      </c>
      <c r="PH16" s="1">
        <f>PH12*PH13</f>
        <v>33662.700000000004</v>
      </c>
      <c r="PI16" s="1">
        <f>PI12*PI13</f>
        <v>17314.96</v>
      </c>
      <c r="PJ16" s="1">
        <f>PJ12*PJ13</f>
        <v>9571.0400000000009</v>
      </c>
      <c r="PK16" s="1">
        <f>PK12*PK13</f>
        <v>11807.529999999999</v>
      </c>
      <c r="PL16" s="1">
        <f>PL12*PL13</f>
        <v>22091.31</v>
      </c>
      <c r="PM16" s="1">
        <f>PM12*PM13</f>
        <v>5327.72</v>
      </c>
      <c r="PN16" s="1">
        <f>PN12*PN13</f>
        <v>2227.77</v>
      </c>
      <c r="PO16" s="1">
        <f>PO12*PO13</f>
        <v>31292.560000000001</v>
      </c>
      <c r="PP16" s="1">
        <f>PP12*PP13</f>
        <v>13484.22</v>
      </c>
      <c r="PQ16" s="1">
        <f>PQ12*PQ13</f>
        <v>6051.5999999999995</v>
      </c>
      <c r="PR16" s="1">
        <f>PR12*PR13</f>
        <v>14362</v>
      </c>
      <c r="PS16" s="1">
        <f>PS12*PS13</f>
        <v>3498.88</v>
      </c>
      <c r="PT16" s="1">
        <f>PT12*PT13</f>
        <v>10934.34</v>
      </c>
      <c r="PU16" s="1">
        <f>PU12*PU13</f>
        <v>11960.34</v>
      </c>
      <c r="PV16" s="1">
        <f>PV12*PV13</f>
        <v>22773.279999999999</v>
      </c>
      <c r="PW16" s="1">
        <f>PW12*PW13</f>
        <v>15581.099999999999</v>
      </c>
      <c r="PX16" s="1">
        <f>PX12*PX13</f>
        <v>4345.8599999999997</v>
      </c>
      <c r="PY16" s="1">
        <f>PY12*PY13</f>
        <v>3775.07</v>
      </c>
      <c r="PZ16" s="1">
        <f>PZ12*PZ13</f>
        <v>6568.2000000000007</v>
      </c>
      <c r="QA16" s="1">
        <f>QA12*QA13</f>
        <v>26727.3</v>
      </c>
      <c r="QB16" s="1">
        <f>QB12*QB13</f>
        <v>18539.05</v>
      </c>
      <c r="QC16" s="1">
        <f>QC12*QC13</f>
        <v>7808.88</v>
      </c>
      <c r="QD16" s="1">
        <f>QD12*QD13</f>
        <v>23504.880000000001</v>
      </c>
      <c r="QE16" s="1">
        <f>QE12*QE13</f>
        <v>2633.24</v>
      </c>
      <c r="QF16" s="1">
        <f>QF12*QF13</f>
        <v>15484.84</v>
      </c>
      <c r="QG16" s="1">
        <f>QG12*QG13</f>
        <v>17977.82</v>
      </c>
      <c r="QH16" s="1">
        <f>QH12*QH13</f>
        <v>14931.88</v>
      </c>
      <c r="QI16" s="1">
        <f>QI12*QI13</f>
        <v>19271</v>
      </c>
      <c r="QJ16" s="1">
        <f>QJ12*QJ13</f>
        <v>9330.09</v>
      </c>
      <c r="QK16" s="1">
        <f>QK12*QK13</f>
        <v>1574.59</v>
      </c>
      <c r="QL16" s="1">
        <f>QL12*QL13</f>
        <v>13615.920000000002</v>
      </c>
      <c r="QM16" s="1">
        <f>QM12*QM13</f>
        <v>28724.04</v>
      </c>
      <c r="QN16" s="1">
        <f>QN12*QN13</f>
        <v>2748.46</v>
      </c>
      <c r="QO16" s="1">
        <f>QO12*QO13</f>
        <v>7145.88</v>
      </c>
      <c r="QP16" s="1">
        <f>QP12*QP13</f>
        <v>7403.3</v>
      </c>
      <c r="QQ16" s="1">
        <f>QQ12*QQ13</f>
        <v>29616.39</v>
      </c>
      <c r="QR16" s="1">
        <f>QR12*QR13</f>
        <v>7787.6</v>
      </c>
      <c r="QS16" s="1">
        <f>QS12*QS13</f>
        <v>445.38</v>
      </c>
      <c r="QT16" s="1">
        <f>QT12*QT13</f>
        <v>3157.2</v>
      </c>
      <c r="QU16" s="1">
        <f>QU12*QU13</f>
        <v>2311.5</v>
      </c>
      <c r="QV16" s="1">
        <f>QV12*QV13</f>
        <v>10361.6</v>
      </c>
      <c r="QW16" s="1">
        <f>QW12*QW13</f>
        <v>559.4</v>
      </c>
      <c r="QX16" s="1">
        <f>QX12*QX13</f>
        <v>2357.7600000000002</v>
      </c>
      <c r="QY16" s="1">
        <f>QY12*QY13</f>
        <v>22638.239999999998</v>
      </c>
      <c r="QZ16" s="1">
        <f>QZ12*QZ13</f>
        <v>14038.88</v>
      </c>
      <c r="RA16" s="1">
        <f>RA12*RA13</f>
        <v>17014.77</v>
      </c>
      <c r="RB16" s="1">
        <f>RB12*RB13</f>
        <v>19726.75</v>
      </c>
      <c r="RC16" s="1">
        <f>RC12*RC13</f>
        <v>1205.76</v>
      </c>
      <c r="RD16" s="1">
        <f>RD12*RD13</f>
        <v>22624.38</v>
      </c>
      <c r="RE16" s="1">
        <f>RE12*RE13</f>
        <v>12616.25</v>
      </c>
      <c r="RF16" s="1">
        <f>RF12*RF13</f>
        <v>11466.960000000001</v>
      </c>
      <c r="RG16" s="1">
        <f>RG12*RG13</f>
        <v>1678.25</v>
      </c>
      <c r="RH16" s="1">
        <f>RH12*RH13</f>
        <v>13322.61</v>
      </c>
      <c r="RI16" s="1">
        <f>RI12*RI13</f>
        <v>6990.4</v>
      </c>
      <c r="RJ16" s="1">
        <f>RJ12*RJ13</f>
        <v>5924.8</v>
      </c>
      <c r="RK16" s="1">
        <f>RK12*RK13</f>
        <v>3355.6</v>
      </c>
      <c r="RL16" s="1">
        <f>RL12*RL13</f>
        <v>2732.73</v>
      </c>
      <c r="RM16" s="1">
        <f>RM12*RM13</f>
        <v>5070</v>
      </c>
      <c r="RN16" s="1">
        <f>RN12*RN13</f>
        <v>9284.08</v>
      </c>
      <c r="RO16" s="1">
        <f>RO12*RO13</f>
        <v>15205.679999999998</v>
      </c>
      <c r="RP16" s="1">
        <f>RP12*RP13</f>
        <v>1734.4499999999998</v>
      </c>
      <c r="RQ16" s="1">
        <f>RQ12*RQ13</f>
        <v>27939.599999999999</v>
      </c>
      <c r="RR16" s="1">
        <f>RR12*RR13</f>
        <v>2589.6799999999998</v>
      </c>
      <c r="RS16" s="1">
        <f>RS12*RS13</f>
        <v>6981.93</v>
      </c>
      <c r="RT16" s="1">
        <f>RT12*RT13</f>
        <v>11004.56</v>
      </c>
      <c r="RU16" s="1">
        <f>RU12*RU13</f>
        <v>296.63</v>
      </c>
      <c r="RV16" s="1">
        <f>RV12*RV13</f>
        <v>20295.04</v>
      </c>
      <c r="RW16" s="1">
        <f>RW12*RW13</f>
        <v>19866.419999999998</v>
      </c>
      <c r="RX16" s="1">
        <f>RX12*RX13</f>
        <v>4887.1499999999996</v>
      </c>
      <c r="RY16" s="1">
        <f>RY12*RY13</f>
        <v>1557.8</v>
      </c>
      <c r="RZ16" s="1">
        <f>RZ12*RZ13</f>
        <v>10850.21</v>
      </c>
      <c r="SA16" s="1">
        <f>SA12*SA13</f>
        <v>2647.9500000000003</v>
      </c>
      <c r="SB16" s="1">
        <f>SB12*SB13</f>
        <v>4787.5200000000004</v>
      </c>
      <c r="SC16" s="1">
        <f>SC12*SC13</f>
        <v>6773.4600000000009</v>
      </c>
      <c r="SD16" s="1">
        <f>SD12*SD13</f>
        <v>6437.75</v>
      </c>
      <c r="SE16" s="1">
        <f>SE12*SE13</f>
        <v>19713.509999999998</v>
      </c>
      <c r="SF16" s="1">
        <f>SF12*SF13</f>
        <v>5523.62</v>
      </c>
      <c r="SG16" s="1">
        <f>SG12*SG13</f>
        <v>2432.17</v>
      </c>
    </row>
    <row r="17" spans="1:501" x14ac:dyDescent="0.3">
      <c r="A17" s="8" t="s">
        <v>72</v>
      </c>
      <c r="B17" s="10">
        <f>B15*B14%</f>
        <v>0</v>
      </c>
      <c r="C17" s="10">
        <f>C15*C14%</f>
        <v>1079.5360000000001</v>
      </c>
      <c r="D17" s="10">
        <f>D15*D14%</f>
        <v>2657.8695000000002</v>
      </c>
      <c r="E17" s="10">
        <f>E15*E14%</f>
        <v>128.62049999999999</v>
      </c>
      <c r="F17" s="10">
        <f>F15*F14%</f>
        <v>3932.846</v>
      </c>
      <c r="G17" s="10">
        <f>G15*G14%</f>
        <v>861.17800000000011</v>
      </c>
      <c r="H17" s="10">
        <f>H15*H14%</f>
        <v>1363.6890000000001</v>
      </c>
      <c r="I17" s="10">
        <f>I15*I14%</f>
        <v>831.899</v>
      </c>
      <c r="J17" s="10">
        <f>J15*J14%</f>
        <v>700.00049999999999</v>
      </c>
      <c r="K17" s="10">
        <f>K15*K14%</f>
        <v>1424.5280000000002</v>
      </c>
      <c r="L17" s="10">
        <f>L15*L14%</f>
        <v>0</v>
      </c>
      <c r="M17" s="10">
        <f>M15*M14%</f>
        <v>77.619500000000016</v>
      </c>
      <c r="N17" s="10">
        <f>N15*N14%</f>
        <v>0</v>
      </c>
      <c r="O17" s="10">
        <f>O15*O14%</f>
        <v>1095.7559999999999</v>
      </c>
      <c r="P17" s="10">
        <f>P15*P14%</f>
        <v>571.52800000000002</v>
      </c>
      <c r="Q17" s="10">
        <f>Q15*Q14%</f>
        <v>226.27100000000002</v>
      </c>
      <c r="R17" s="10">
        <f>R15*R14%</f>
        <v>65.002499999999998</v>
      </c>
      <c r="S17" s="10">
        <f>S15*S14%</f>
        <v>276.14100000000002</v>
      </c>
      <c r="T17" s="10">
        <f>T15*T14%</f>
        <v>252.5265</v>
      </c>
      <c r="U17" s="10">
        <f>U15*U14%</f>
        <v>376.1345</v>
      </c>
      <c r="V17" s="10">
        <f>V15*V14%</f>
        <v>336.52500000000003</v>
      </c>
      <c r="W17" s="10">
        <f>W15*W14%</f>
        <v>762.56400000000008</v>
      </c>
      <c r="X17" s="10">
        <f>X15*X14%</f>
        <v>896.55600000000004</v>
      </c>
      <c r="Y17" s="10">
        <f>Y15*Y14%</f>
        <v>0</v>
      </c>
      <c r="Z17" s="10">
        <f>Z15*Z14%</f>
        <v>860.39800000000002</v>
      </c>
      <c r="AA17" s="10">
        <f>AA15*AA14%</f>
        <v>189.934</v>
      </c>
      <c r="AB17" s="10">
        <f>AB15*AB14%</f>
        <v>512.87900000000002</v>
      </c>
      <c r="AC17" s="10">
        <f>AC15*AC14%</f>
        <v>3078.364</v>
      </c>
      <c r="AD17" s="10">
        <f>AD15*AD14%</f>
        <v>290.4975</v>
      </c>
      <c r="AE17" s="10">
        <f>AE15*AE14%</f>
        <v>31.444000000000003</v>
      </c>
      <c r="AF17" s="10">
        <f>AF15*AF14%</f>
        <v>1836.5200000000002</v>
      </c>
      <c r="AG17" s="10">
        <f>AG15*AG14%</f>
        <v>142.6405</v>
      </c>
      <c r="AH17" s="10">
        <f>AH15*AH14%</f>
        <v>3766.7620000000006</v>
      </c>
      <c r="AI17" s="10">
        <f>AI15*AI14%</f>
        <v>0</v>
      </c>
      <c r="AJ17" s="10">
        <f>AJ15*AJ14%</f>
        <v>1218.4930000000002</v>
      </c>
      <c r="AK17" s="10">
        <f>AK15*AK14%</f>
        <v>0</v>
      </c>
      <c r="AL17" s="10">
        <f>AL15*AL14%</f>
        <v>162.125</v>
      </c>
      <c r="AM17" s="10">
        <f>AM15*AM14%</f>
        <v>769.95600000000013</v>
      </c>
      <c r="AN17" s="10">
        <f>AN15*AN14%</f>
        <v>2114.7075</v>
      </c>
      <c r="AO17" s="10">
        <f>AO15*AO14%</f>
        <v>1664.9549999999999</v>
      </c>
      <c r="AP17" s="10">
        <f>AP15*AP14%</f>
        <v>0</v>
      </c>
      <c r="AQ17" s="10">
        <f>AQ15*AQ14%</f>
        <v>775.46800000000007</v>
      </c>
      <c r="AR17" s="10">
        <f>AR15*AR14%</f>
        <v>596.92349999999999</v>
      </c>
      <c r="AS17" s="10">
        <f>AS15*AS14%</f>
        <v>137.286</v>
      </c>
      <c r="AT17" s="10">
        <f>AT15*AT14%</f>
        <v>0</v>
      </c>
      <c r="AU17" s="10">
        <f>AU15*AU14%</f>
        <v>320.24900000000002</v>
      </c>
      <c r="AV17" s="10">
        <f>AV15*AV14%</f>
        <v>283.18800000000005</v>
      </c>
      <c r="AW17" s="10">
        <f>AW15*AW14%</f>
        <v>585.7890000000001</v>
      </c>
      <c r="AX17" s="10">
        <f>AX15*AX14%</f>
        <v>2874.7709999999997</v>
      </c>
      <c r="AY17" s="10">
        <f>AY15*AY14%</f>
        <v>1296.422</v>
      </c>
      <c r="AZ17" s="10">
        <f>AZ15*AZ14%</f>
        <v>708.6585</v>
      </c>
      <c r="BA17" s="10">
        <f>BA15*BA14%</f>
        <v>380.26400000000001</v>
      </c>
      <c r="BB17" s="10">
        <f>BB15*BB14%</f>
        <v>1140.3309999999999</v>
      </c>
      <c r="BC17" s="10">
        <f>BC15*BC14%</f>
        <v>1028.606</v>
      </c>
      <c r="BD17" s="10">
        <f>BD15*BD14%</f>
        <v>353.70300000000003</v>
      </c>
      <c r="BE17" s="10">
        <f>BE15*BE14%</f>
        <v>2603.0804999999996</v>
      </c>
      <c r="BF17" s="10">
        <f>BF15*BF14%</f>
        <v>1457.7560000000001</v>
      </c>
      <c r="BG17" s="10">
        <f>BG15*BG14%</f>
        <v>406.86599999999999</v>
      </c>
      <c r="BH17" s="10">
        <f>BH15*BH14%</f>
        <v>0</v>
      </c>
      <c r="BI17" s="10">
        <f>BI15*BI14%</f>
        <v>3190.8149999999996</v>
      </c>
      <c r="BJ17" s="10">
        <f>BJ15*BJ14%</f>
        <v>201.32300000000001</v>
      </c>
      <c r="BK17" s="10">
        <f>BK15*BK14%</f>
        <v>1071.3489999999999</v>
      </c>
      <c r="BL17" s="10">
        <f>BL15*BL14%</f>
        <v>1428.683</v>
      </c>
      <c r="BM17" s="10">
        <f>BM15*BM14%</f>
        <v>265.50599999999997</v>
      </c>
      <c r="BN17" s="10">
        <f>BN15*BN14%</f>
        <v>499.178</v>
      </c>
      <c r="BO17" s="10">
        <f>BO15*BO14%</f>
        <v>1432.49</v>
      </c>
      <c r="BP17" s="10">
        <f>BP15*BP14%</f>
        <v>42.091500000000003</v>
      </c>
      <c r="BQ17" s="10">
        <f>BQ15*BQ14%</f>
        <v>0</v>
      </c>
      <c r="BR17" s="10">
        <f>BR15*BR14%</f>
        <v>523.53950000000009</v>
      </c>
      <c r="BS17" s="10">
        <f>BS15*BS14%</f>
        <v>2311.7759999999998</v>
      </c>
      <c r="BT17" s="10">
        <f>BT15*BT14%</f>
        <v>549.29600000000005</v>
      </c>
      <c r="BU17" s="10">
        <f>BU15*BU14%</f>
        <v>711.38850000000002</v>
      </c>
      <c r="BV17" s="10">
        <f>BV15*BV14%</f>
        <v>144.28650000000002</v>
      </c>
      <c r="BW17" s="10">
        <f>BW15*BW14%</f>
        <v>0</v>
      </c>
      <c r="BX17" s="10">
        <f>BX15*BX14%</f>
        <v>0</v>
      </c>
      <c r="BY17" s="10">
        <f>BY15*BY14%</f>
        <v>976.5440000000001</v>
      </c>
      <c r="BZ17" s="10">
        <f>BZ15*BZ14%</f>
        <v>266.02600000000001</v>
      </c>
      <c r="CA17" s="10">
        <f>CA15*CA14%</f>
        <v>962.99699999999984</v>
      </c>
      <c r="CB17" s="10">
        <f>CB15*CB14%</f>
        <v>1461.06</v>
      </c>
      <c r="CC17" s="10">
        <f>CC15*CC14%</f>
        <v>70.807000000000002</v>
      </c>
      <c r="CD17" s="10">
        <f>CD15*CD14%</f>
        <v>0</v>
      </c>
      <c r="CE17" s="10">
        <f>CE15*CE14%</f>
        <v>0</v>
      </c>
      <c r="CF17" s="10">
        <f>CF15*CF14%</f>
        <v>378.98900000000003</v>
      </c>
      <c r="CG17" s="10">
        <f>CG15*CG14%</f>
        <v>686.51600000000008</v>
      </c>
      <c r="CH17" s="10">
        <f>CH15*CH14%</f>
        <v>461.43000000000006</v>
      </c>
      <c r="CI17" s="10">
        <f>CI15*CI14%</f>
        <v>331.87800000000004</v>
      </c>
      <c r="CJ17" s="10">
        <f>CJ15*CJ14%</f>
        <v>456.5625</v>
      </c>
      <c r="CK17" s="10">
        <f>CK15*CK14%</f>
        <v>1862.1120000000001</v>
      </c>
      <c r="CL17" s="10">
        <f>CL15*CL14%</f>
        <v>313.20500000000004</v>
      </c>
      <c r="CM17" s="10">
        <f>CM15*CM14%</f>
        <v>321.86950000000002</v>
      </c>
      <c r="CN17" s="10">
        <f>CN15*CN14%</f>
        <v>1516.7340000000002</v>
      </c>
      <c r="CO17" s="10">
        <f>CO15*CO14%</f>
        <v>48.924500000000002</v>
      </c>
      <c r="CP17" s="10">
        <f>CP15*CP14%</f>
        <v>2791.8140000000003</v>
      </c>
      <c r="CQ17" s="10">
        <f>CQ15*CQ14%</f>
        <v>580.14700000000005</v>
      </c>
      <c r="CR17" s="10">
        <f>CR15*CR14%</f>
        <v>369.59200000000004</v>
      </c>
      <c r="CS17" s="10">
        <f>CS15*CS14%</f>
        <v>224.989</v>
      </c>
      <c r="CT17" s="10">
        <f>CT15*CT14%</f>
        <v>214.51500000000001</v>
      </c>
      <c r="CU17" s="10">
        <f>CU15*CU14%</f>
        <v>694.66049999999996</v>
      </c>
      <c r="CV17" s="10">
        <f>CV15*CV14%</f>
        <v>151.56</v>
      </c>
      <c r="CW17" s="10">
        <f>CW15*CW14%</f>
        <v>1988.7270000000001</v>
      </c>
      <c r="CX17" s="10">
        <f>CX15*CX14%</f>
        <v>1716.8430000000001</v>
      </c>
      <c r="CY17" s="10">
        <f>CY15*CY14%</f>
        <v>594.89</v>
      </c>
      <c r="CZ17" s="10">
        <f>CZ15*CZ14%</f>
        <v>4021.1800000000003</v>
      </c>
      <c r="DA17" s="10">
        <f>DA15*DA14%</f>
        <v>1207.5790000000002</v>
      </c>
      <c r="DB17" s="10">
        <f>DB15*DB14%</f>
        <v>81.463000000000008</v>
      </c>
      <c r="DC17" s="10">
        <f>DC15*DC14%</f>
        <v>538.82399999999996</v>
      </c>
      <c r="DD17" s="10">
        <f>DD15*DD14%</f>
        <v>677.66849999999999</v>
      </c>
      <c r="DE17" s="10">
        <f>DE15*DE14%</f>
        <v>143.89949999999999</v>
      </c>
      <c r="DF17" s="10">
        <f>DF15*DF14%</f>
        <v>1118.624</v>
      </c>
      <c r="DG17" s="10">
        <f>DG15*DG14%</f>
        <v>1993.7660000000001</v>
      </c>
      <c r="DH17" s="10">
        <f>DH15*DH14%</f>
        <v>163.80200000000002</v>
      </c>
      <c r="DI17" s="10">
        <f>DI15*DI14%</f>
        <v>710.77800000000002</v>
      </c>
      <c r="DJ17" s="10">
        <f>DJ15*DJ14%</f>
        <v>2167.46</v>
      </c>
      <c r="DK17" s="10">
        <f>DK15*DK14%</f>
        <v>977.16800000000012</v>
      </c>
      <c r="DL17" s="10">
        <f>DL15*DL14%</f>
        <v>0</v>
      </c>
      <c r="DM17" s="10">
        <f>DM15*DM14%</f>
        <v>873.34649999999999</v>
      </c>
      <c r="DN17" s="10">
        <f>DN15*DN14%</f>
        <v>3412.5800000000004</v>
      </c>
      <c r="DO17" s="10">
        <f>DO15*DO14%</f>
        <v>737.1880000000001</v>
      </c>
      <c r="DP17" s="10">
        <f>DP15*DP14%</f>
        <v>0</v>
      </c>
      <c r="DQ17" s="10">
        <f>DQ15*DQ14%</f>
        <v>962.40800000000002</v>
      </c>
      <c r="DR17" s="10">
        <f>DR15*DR14%</f>
        <v>0</v>
      </c>
      <c r="DS17" s="10">
        <f>DS15*DS14%</f>
        <v>0</v>
      </c>
      <c r="DT17" s="10">
        <f>DT15*DT14%</f>
        <v>1176.5600000000002</v>
      </c>
      <c r="DU17" s="10">
        <f>DU15*DU14%</f>
        <v>1103.7914999999998</v>
      </c>
      <c r="DV17" s="10">
        <f>DV15*DV14%</f>
        <v>0</v>
      </c>
      <c r="DW17" s="10">
        <f>DW15*DW14%</f>
        <v>1414.4435000000001</v>
      </c>
      <c r="DX17" s="10">
        <f>DX15*DX14%</f>
        <v>996.95300000000009</v>
      </c>
      <c r="DY17" s="10">
        <f>DY15*DY14%</f>
        <v>0</v>
      </c>
      <c r="DZ17" s="10">
        <f>DZ15*DZ14%</f>
        <v>0</v>
      </c>
      <c r="EA17" s="10">
        <f>EA15*EA14%</f>
        <v>120.3875</v>
      </c>
      <c r="EB17" s="10">
        <f>EB15*EB14%</f>
        <v>1695.2594999999999</v>
      </c>
      <c r="EC17" s="10">
        <f>EC15*EC14%</f>
        <v>0</v>
      </c>
      <c r="ED17" s="10">
        <f>ED15*ED14%</f>
        <v>0</v>
      </c>
      <c r="EE17" s="10">
        <f>EE15*EE14%</f>
        <v>903.57749999999999</v>
      </c>
      <c r="EF17" s="10">
        <f>EF15*EF14%</f>
        <v>547.10299999999995</v>
      </c>
      <c r="EG17" s="10">
        <f>EG15*EG14%</f>
        <v>0</v>
      </c>
      <c r="EH17" s="10">
        <f>EH15*EH14%</f>
        <v>337.18649999999997</v>
      </c>
      <c r="EI17" s="10">
        <f>EI15*EI14%</f>
        <v>0</v>
      </c>
      <c r="EJ17" s="10">
        <f>EJ15*EJ14%</f>
        <v>72.524000000000001</v>
      </c>
      <c r="EK17" s="10">
        <f>EK15*EK14%</f>
        <v>2281.8620000000001</v>
      </c>
      <c r="EL17" s="10">
        <f>EL15*EL14%</f>
        <v>317.95600000000002</v>
      </c>
      <c r="EM17" s="10">
        <f>EM15*EM14%</f>
        <v>0</v>
      </c>
      <c r="EN17" s="10">
        <f>EN15*EN14%</f>
        <v>1223.6765</v>
      </c>
      <c r="EO17" s="10">
        <f>EO15*EO14%</f>
        <v>4017.5620000000004</v>
      </c>
      <c r="EP17" s="10">
        <f>EP15*EP14%</f>
        <v>352.31200000000001</v>
      </c>
      <c r="EQ17" s="10">
        <f>EQ15*EQ14%</f>
        <v>1186.704</v>
      </c>
      <c r="ER17" s="10">
        <f>ER15*ER14%</f>
        <v>528.01099999999997</v>
      </c>
      <c r="ES17" s="10">
        <f>ES15*ES14%</f>
        <v>869.2</v>
      </c>
      <c r="ET17" s="10">
        <f>ET15*ET14%</f>
        <v>2997.0659999999998</v>
      </c>
      <c r="EU17" s="10">
        <f>EU15*EU14%</f>
        <v>0</v>
      </c>
      <c r="EV17" s="10">
        <f>EV15*EV14%</f>
        <v>931.452</v>
      </c>
      <c r="EW17" s="10">
        <f>EW15*EW14%</f>
        <v>292.42</v>
      </c>
      <c r="EX17" s="10">
        <f>EX15*EX14%</f>
        <v>189.923</v>
      </c>
      <c r="EY17" s="10">
        <f>EY15*EY14%</f>
        <v>0</v>
      </c>
      <c r="EZ17" s="10">
        <f>EZ15*EZ14%</f>
        <v>735.49650000000008</v>
      </c>
      <c r="FA17" s="10">
        <f>FA15*FA14%</f>
        <v>340.96799999999996</v>
      </c>
      <c r="FB17" s="10">
        <f>FB15*FB14%</f>
        <v>0</v>
      </c>
      <c r="FC17" s="10">
        <f>FC15*FC14%</f>
        <v>3413.0009999999997</v>
      </c>
      <c r="FD17" s="10">
        <f>FD15*FD14%</f>
        <v>0</v>
      </c>
      <c r="FE17" s="10">
        <f>FE15*FE14%</f>
        <v>251.31700000000001</v>
      </c>
      <c r="FF17" s="10">
        <f>FF15*FF14%</f>
        <v>841.24099999999999</v>
      </c>
      <c r="FG17" s="10">
        <f>FG15*FG14%</f>
        <v>466.48400000000004</v>
      </c>
      <c r="FH17" s="10">
        <f>FH15*FH14%</f>
        <v>195.07600000000002</v>
      </c>
      <c r="FI17" s="10">
        <f>FI15*FI14%</f>
        <v>184.53200000000001</v>
      </c>
      <c r="FJ17" s="10">
        <f>FJ15*FJ14%</f>
        <v>2379.9240000000004</v>
      </c>
      <c r="FK17" s="10">
        <f>FK15*FK14%</f>
        <v>0</v>
      </c>
      <c r="FL17" s="10">
        <f>FL15*FL14%</f>
        <v>1577.0654999999999</v>
      </c>
      <c r="FM17" s="10">
        <f>FM15*FM14%</f>
        <v>71.17</v>
      </c>
      <c r="FN17" s="10">
        <f>FN15*FN14%</f>
        <v>820.11850000000004</v>
      </c>
      <c r="FO17" s="10">
        <f>FO15*FO14%</f>
        <v>985.84900000000005</v>
      </c>
      <c r="FP17" s="10">
        <f>FP15*FP14%</f>
        <v>1442.1040000000003</v>
      </c>
      <c r="FQ17" s="10">
        <f>FQ15*FQ14%</f>
        <v>4549.2760000000007</v>
      </c>
      <c r="FR17" s="10">
        <f>FR15*FR14%</f>
        <v>193.482</v>
      </c>
      <c r="FS17" s="10">
        <f>FS15*FS14%</f>
        <v>422.39849999999996</v>
      </c>
      <c r="FT17" s="10">
        <f>FT15*FT14%</f>
        <v>1815.1740000000002</v>
      </c>
      <c r="FU17" s="10">
        <f>FU15*FU14%</f>
        <v>368.55950000000001</v>
      </c>
      <c r="FV17" s="10">
        <f>FV15*FV14%</f>
        <v>0</v>
      </c>
      <c r="FW17" s="10">
        <f>FW15*FW14%</f>
        <v>109.67700000000001</v>
      </c>
      <c r="FX17" s="10">
        <f>FX15*FX14%</f>
        <v>314.49099999999999</v>
      </c>
      <c r="FY17" s="10">
        <f>FY15*FY14%</f>
        <v>1592.0420000000001</v>
      </c>
      <c r="FZ17" s="10">
        <f>FZ15*FZ14%</f>
        <v>1863.5040000000001</v>
      </c>
      <c r="GA17" s="10">
        <f>GA15*GA14%</f>
        <v>578.18700000000001</v>
      </c>
      <c r="GB17" s="10">
        <f>GB15*GB14%</f>
        <v>737.03800000000001</v>
      </c>
      <c r="GC17" s="10">
        <f>GC15*GC14%</f>
        <v>1355.1659999999999</v>
      </c>
      <c r="GD17" s="10">
        <f>GD15*GD14%</f>
        <v>0</v>
      </c>
      <c r="GE17" s="10">
        <f>GE15*GE14%</f>
        <v>0</v>
      </c>
      <c r="GF17" s="10">
        <f>GF15*GF14%</f>
        <v>155.73699999999999</v>
      </c>
      <c r="GG17" s="10">
        <f>GG15*GG14%</f>
        <v>210.28899999999999</v>
      </c>
      <c r="GH17" s="10">
        <f>GH15*GH14%</f>
        <v>180.69500000000002</v>
      </c>
      <c r="GI17" s="10">
        <f>GI15*GI14%</f>
        <v>130.39600000000002</v>
      </c>
      <c r="GJ17" s="10">
        <f>GJ15*GJ14%</f>
        <v>1025.1704999999999</v>
      </c>
      <c r="GK17" s="10">
        <f>GK15*GK14%</f>
        <v>124.24349999999998</v>
      </c>
      <c r="GL17" s="10">
        <f>GL15*GL14%</f>
        <v>253.05149999999998</v>
      </c>
      <c r="GM17" s="10">
        <f>GM15*GM14%</f>
        <v>227.97299999999998</v>
      </c>
      <c r="GN17" s="10">
        <f>GN15*GN14%</f>
        <v>186.11099999999999</v>
      </c>
      <c r="GO17" s="10">
        <f>GO15*GO14%</f>
        <v>0</v>
      </c>
      <c r="GP17" s="10">
        <f>GP15*GP14%</f>
        <v>452.23599999999999</v>
      </c>
      <c r="GQ17" s="10">
        <f>GQ15*GQ14%</f>
        <v>782.226</v>
      </c>
      <c r="GR17" s="10">
        <f>GR15*GR14%</f>
        <v>514.14800000000002</v>
      </c>
      <c r="GS17" s="10">
        <f>GS15*GS14%</f>
        <v>1033.4265</v>
      </c>
      <c r="GT17" s="10">
        <f>GT15*GT14%</f>
        <v>2801.5520000000001</v>
      </c>
      <c r="GU17" s="10">
        <f>GU15*GU14%</f>
        <v>0</v>
      </c>
      <c r="GV17" s="10">
        <f>GV15*GV14%</f>
        <v>3777.268</v>
      </c>
      <c r="GW17" s="10">
        <f>GW15*GW14%</f>
        <v>765.66600000000005</v>
      </c>
      <c r="GX17" s="10">
        <f>GX15*GX14%</f>
        <v>2031.2280000000001</v>
      </c>
      <c r="GY17" s="10">
        <f>GY15*GY14%</f>
        <v>865.6930000000001</v>
      </c>
      <c r="GZ17" s="10">
        <f>GZ15*GZ14%</f>
        <v>619.01300000000003</v>
      </c>
      <c r="HA17" s="10">
        <f>HA15*HA14%</f>
        <v>1219.93</v>
      </c>
      <c r="HB17" s="10">
        <f>HB15*HB14%</f>
        <v>1316.9324999999999</v>
      </c>
      <c r="HC17" s="10">
        <f>HC15*HC14%</f>
        <v>3729.7215000000001</v>
      </c>
      <c r="HD17" s="10">
        <f>HD15*HD14%</f>
        <v>1422.2560000000001</v>
      </c>
      <c r="HE17" s="10">
        <f>HE15*HE14%</f>
        <v>379.38150000000002</v>
      </c>
      <c r="HF17" s="10">
        <f>HF15*HF14%</f>
        <v>949.92000000000007</v>
      </c>
      <c r="HG17" s="10">
        <f>HG15*HG14%</f>
        <v>877.05150000000003</v>
      </c>
      <c r="HH17" s="10">
        <f>HH15*HH14%</f>
        <v>506.74399999999997</v>
      </c>
      <c r="HI17" s="10">
        <f>HI15*HI14%</f>
        <v>230.70450000000002</v>
      </c>
      <c r="HJ17" s="10">
        <f>HJ15*HJ14%</f>
        <v>2134.6040000000003</v>
      </c>
      <c r="HK17" s="10">
        <f>HK15*HK14%</f>
        <v>0</v>
      </c>
      <c r="HL17" s="10">
        <f>HL15*HL14%</f>
        <v>0</v>
      </c>
      <c r="HM17" s="10">
        <f>HM15*HM14%</f>
        <v>0</v>
      </c>
      <c r="HN17" s="10">
        <f>HN15*HN14%</f>
        <v>791.35200000000009</v>
      </c>
      <c r="HO17" s="10">
        <f>HO15*HO14%</f>
        <v>2461.8700000000003</v>
      </c>
      <c r="HP17" s="10">
        <f>HP15*HP14%</f>
        <v>797.87700000000007</v>
      </c>
      <c r="HQ17" s="10">
        <f>HQ15*HQ14%</f>
        <v>463.56800000000004</v>
      </c>
      <c r="HR17" s="10">
        <f>HR15*HR14%</f>
        <v>851.04200000000003</v>
      </c>
      <c r="HS17" s="10">
        <f>HS15*HS14%</f>
        <v>147.28100000000001</v>
      </c>
      <c r="HT17" s="10">
        <f>HT15*HT14%</f>
        <v>0</v>
      </c>
      <c r="HU17" s="10">
        <f>HU15*HU14%</f>
        <v>3385.8559999999998</v>
      </c>
      <c r="HV17" s="10">
        <f>HV15*HV14%</f>
        <v>0</v>
      </c>
      <c r="HW17" s="10">
        <f>HW15*HW14%</f>
        <v>862.24500000000012</v>
      </c>
      <c r="HX17" s="10">
        <f>HX15*HX14%</f>
        <v>776.45200000000011</v>
      </c>
      <c r="HY17" s="10">
        <f>HY15*HY14%</f>
        <v>286.93799999999999</v>
      </c>
      <c r="HZ17" s="10">
        <f>HZ15*HZ14%</f>
        <v>26.435000000000002</v>
      </c>
      <c r="IA17" s="10">
        <f>IA15*IA14%</f>
        <v>204.35900000000001</v>
      </c>
      <c r="IB17" s="10">
        <f>IB15*IB14%</f>
        <v>2168.4430000000002</v>
      </c>
      <c r="IC17" s="10">
        <f>IC15*IC14%</f>
        <v>734.9380000000001</v>
      </c>
      <c r="ID17" s="10">
        <f>ID15*ID14%</f>
        <v>110.625</v>
      </c>
      <c r="IE17" s="10">
        <f>IE15*IE14%</f>
        <v>290.21100000000001</v>
      </c>
      <c r="IF17" s="10">
        <f>IF15*IF14%</f>
        <v>712.90100000000007</v>
      </c>
      <c r="IG17" s="10">
        <f>IG15*IG14%</f>
        <v>215.12</v>
      </c>
      <c r="IH17" s="10">
        <f>IH15*IH14%</f>
        <v>0</v>
      </c>
      <c r="II17" s="10">
        <f>II15*II14%</f>
        <v>3013.6040000000003</v>
      </c>
      <c r="IJ17" s="10">
        <f>IJ15*IJ14%</f>
        <v>192.49</v>
      </c>
      <c r="IK17" s="10">
        <f>IK15*IK14%</f>
        <v>0</v>
      </c>
      <c r="IL17" s="10">
        <f>IL15*IL14%</f>
        <v>1925.6959999999999</v>
      </c>
      <c r="IM17" s="10">
        <f>IM15*IM14%</f>
        <v>146.41650000000001</v>
      </c>
      <c r="IN17" s="10">
        <f>IN15*IN14%</f>
        <v>2354.5419999999999</v>
      </c>
      <c r="IO17" s="10">
        <f>IO15*IO14%</f>
        <v>2918.63</v>
      </c>
      <c r="IP17" s="10">
        <f>IP15*IP14%</f>
        <v>0</v>
      </c>
      <c r="IQ17" s="10">
        <f>IQ15*IQ14%</f>
        <v>3565.0754999999995</v>
      </c>
      <c r="IR17" s="10">
        <f>IR15*IR14%</f>
        <v>2332.5320000000002</v>
      </c>
      <c r="IS17" s="10">
        <f>IS15*IS14%</f>
        <v>1196.0319999999999</v>
      </c>
      <c r="IT17" s="10">
        <f>IT15*IT14%</f>
        <v>1614.3225</v>
      </c>
      <c r="IU17" s="10">
        <f>IU15*IU14%</f>
        <v>0</v>
      </c>
      <c r="IV17" s="10">
        <f>IV15*IV14%</f>
        <v>2384.2064999999998</v>
      </c>
      <c r="IW17" s="10">
        <f>IW15*IW14%</f>
        <v>0</v>
      </c>
      <c r="IX17" s="10">
        <f>IX15*IX14%</f>
        <v>34.285500000000006</v>
      </c>
      <c r="IY17" s="10">
        <f>IY15*IY14%</f>
        <v>0</v>
      </c>
      <c r="IZ17" s="10">
        <f>IZ15*IZ14%</f>
        <v>523.22149999999999</v>
      </c>
      <c r="JA17" s="10">
        <f>JA15*JA14%</f>
        <v>92.242999999999995</v>
      </c>
      <c r="JB17" s="10">
        <f>JB15*JB14%</f>
        <v>0</v>
      </c>
      <c r="JC17" s="10">
        <f>JC15*JC14%</f>
        <v>1557.5430000000001</v>
      </c>
      <c r="JD17" s="10">
        <f>JD15*JD14%</f>
        <v>0</v>
      </c>
      <c r="JE17" s="10">
        <f>JE15*JE14%</f>
        <v>720.83199999999999</v>
      </c>
      <c r="JF17" s="10">
        <f>JF15*JF14%</f>
        <v>2826.9500000000003</v>
      </c>
      <c r="JG17" s="10">
        <f>JG15*JG14%</f>
        <v>1472.4650000000001</v>
      </c>
      <c r="JH17" s="10">
        <f>JH15*JH14%</f>
        <v>42.787000000000006</v>
      </c>
      <c r="JI17" s="10">
        <f>JI15*JI14%</f>
        <v>239.45000000000002</v>
      </c>
      <c r="JJ17" s="10">
        <f>JJ15*JJ14%</f>
        <v>2525.232</v>
      </c>
      <c r="JK17" s="10">
        <f>JK15*JK14%</f>
        <v>1726.45</v>
      </c>
      <c r="JL17" s="10">
        <f>JL15*JL14%</f>
        <v>0</v>
      </c>
      <c r="JM17" s="10">
        <f>JM15*JM14%</f>
        <v>1717.046</v>
      </c>
      <c r="JN17" s="10">
        <f>JN15*JN14%</f>
        <v>109.69100000000002</v>
      </c>
      <c r="JO17" s="10">
        <f>JO15*JO14%</f>
        <v>0</v>
      </c>
      <c r="JP17" s="10">
        <f>JP15*JP14%</f>
        <v>454.37099999999998</v>
      </c>
      <c r="JQ17" s="10">
        <f>JQ15*JQ14%</f>
        <v>4941.7220000000007</v>
      </c>
      <c r="JR17" s="10">
        <f>JR15*JR14%</f>
        <v>964.88600000000008</v>
      </c>
      <c r="JS17" s="10">
        <f>JS15*JS14%</f>
        <v>396.54400000000004</v>
      </c>
      <c r="JT17" s="10">
        <f>JT15*JT14%</f>
        <v>0</v>
      </c>
      <c r="JU17" s="10">
        <f>JU15*JU14%</f>
        <v>3859.8029999999999</v>
      </c>
      <c r="JV17" s="10">
        <f>JV15*JV14%</f>
        <v>0</v>
      </c>
      <c r="JW17" s="10">
        <f>JW15*JW14%</f>
        <v>81.988</v>
      </c>
      <c r="JX17" s="10">
        <f>JX15*JX14%</f>
        <v>0</v>
      </c>
      <c r="JY17" s="10">
        <f>JY15*JY14%</f>
        <v>1228.3530000000001</v>
      </c>
      <c r="JZ17" s="10">
        <f>JZ15*JZ14%</f>
        <v>126.373</v>
      </c>
      <c r="KA17" s="10">
        <f>KA15*KA14%</f>
        <v>62.925000000000004</v>
      </c>
      <c r="KB17" s="10">
        <f>KB15*KB14%</f>
        <v>0</v>
      </c>
      <c r="KC17" s="10">
        <f>KC15*KC14%</f>
        <v>1436.7</v>
      </c>
      <c r="KD17" s="10">
        <f>KD15*KD14%</f>
        <v>1564.316</v>
      </c>
      <c r="KE17" s="10">
        <f>KE15*KE14%</f>
        <v>1940.6810000000003</v>
      </c>
      <c r="KF17" s="10">
        <f>KF15*KF14%</f>
        <v>2155.4990000000003</v>
      </c>
      <c r="KG17" s="10">
        <f>KG15*KG14%</f>
        <v>0</v>
      </c>
      <c r="KH17" s="10">
        <f>KH15*KH14%</f>
        <v>716.61800000000005</v>
      </c>
      <c r="KI17" s="10">
        <f>KI15*KI14%</f>
        <v>0</v>
      </c>
      <c r="KJ17" s="10">
        <f>KJ15*KJ14%</f>
        <v>0</v>
      </c>
      <c r="KK17" s="10">
        <f>KK15*KK14%</f>
        <v>676.95350000000008</v>
      </c>
      <c r="KL17" s="10">
        <f>KL15*KL14%</f>
        <v>211.23000000000002</v>
      </c>
      <c r="KM17" s="10">
        <f>KM15*KM14%</f>
        <v>0</v>
      </c>
      <c r="KN17" s="10">
        <f>KN15*KN14%</f>
        <v>366.06400000000002</v>
      </c>
      <c r="KO17" s="10">
        <f>KO15*KO14%</f>
        <v>1553.874</v>
      </c>
      <c r="KP17" s="10">
        <f>KP15*KP14%</f>
        <v>329.42</v>
      </c>
      <c r="KQ17" s="10">
        <f>KQ15*KQ14%</f>
        <v>211.666</v>
      </c>
      <c r="KR17" s="10">
        <f>KR15*KR14%</f>
        <v>0</v>
      </c>
      <c r="KS17" s="10">
        <f>KS15*KS14%</f>
        <v>1630.4120000000003</v>
      </c>
      <c r="KT17" s="10">
        <f>KT15*KT14%</f>
        <v>1041.9260000000002</v>
      </c>
      <c r="KU17" s="10">
        <f>KU15*KU14%</f>
        <v>542.68200000000002</v>
      </c>
      <c r="KV17" s="10">
        <f>KV15*KV14%</f>
        <v>381.60550000000001</v>
      </c>
      <c r="KW17" s="10">
        <f>KW15*KW14%</f>
        <v>0</v>
      </c>
      <c r="KX17" s="10">
        <f>KX15*KX14%</f>
        <v>246.64099999999999</v>
      </c>
      <c r="KY17" s="10">
        <f>KY15*KY14%</f>
        <v>837.43850000000009</v>
      </c>
      <c r="KZ17" s="10">
        <f>KZ15*KZ14%</f>
        <v>388.83699999999999</v>
      </c>
      <c r="LA17" s="10">
        <f>LA15*LA14%</f>
        <v>0</v>
      </c>
      <c r="LB17" s="10">
        <f>LB15*LB14%</f>
        <v>414.53699999999998</v>
      </c>
      <c r="LC17" s="10">
        <f>LC15*LC14%</f>
        <v>79.888000000000005</v>
      </c>
      <c r="LD17" s="10">
        <f>LD15*LD14%</f>
        <v>3318.0810000000001</v>
      </c>
      <c r="LE17" s="10">
        <f>LE15*LE14%</f>
        <v>2477.8454999999999</v>
      </c>
      <c r="LF17" s="10">
        <f>LF15*LF14%</f>
        <v>252.39000000000001</v>
      </c>
      <c r="LG17" s="10">
        <f>LG15*LG14%</f>
        <v>0</v>
      </c>
      <c r="LH17" s="10">
        <f>LH15*LH14%</f>
        <v>1577.5319999999999</v>
      </c>
      <c r="LI17" s="10">
        <f>LI15*LI14%</f>
        <v>0</v>
      </c>
      <c r="LJ17" s="10">
        <f>LJ15*LJ14%</f>
        <v>3789.3080000000004</v>
      </c>
      <c r="LK17" s="10">
        <f>LK15*LK14%</f>
        <v>0</v>
      </c>
      <c r="LL17" s="10">
        <f>LL15*LL14%</f>
        <v>153.46250000000001</v>
      </c>
      <c r="LM17" s="10">
        <f>LM15*LM14%</f>
        <v>3984.7860000000001</v>
      </c>
      <c r="LN17" s="10">
        <f>LN15*LN14%</f>
        <v>0</v>
      </c>
      <c r="LO17" s="10">
        <f>LO15*LO14%</f>
        <v>617.15500000000009</v>
      </c>
      <c r="LP17" s="10">
        <f>LP15*LP14%</f>
        <v>0</v>
      </c>
      <c r="LQ17" s="10">
        <f>LQ15*LQ14%</f>
        <v>751.82399999999996</v>
      </c>
      <c r="LR17" s="10">
        <f>LR15*LR14%</f>
        <v>507.41800000000006</v>
      </c>
      <c r="LS17" s="10">
        <f>LS15*LS14%</f>
        <v>4455.92</v>
      </c>
      <c r="LT17" s="10">
        <f>LT15*LT14%</f>
        <v>632.68049999999994</v>
      </c>
      <c r="LU17" s="10">
        <f>LU15*LU14%</f>
        <v>126.85899999999999</v>
      </c>
      <c r="LV17" s="10">
        <f>LV15*LV14%</f>
        <v>801.44150000000002</v>
      </c>
      <c r="LW17" s="10">
        <f>LW15*LW14%</f>
        <v>2012.616</v>
      </c>
      <c r="LX17" s="10">
        <f>LX15*LX14%</f>
        <v>2674.1120000000001</v>
      </c>
      <c r="LY17" s="10">
        <f>LY15*LY14%</f>
        <v>143.62799999999999</v>
      </c>
      <c r="LZ17" s="10">
        <f>LZ15*LZ14%</f>
        <v>1163.518</v>
      </c>
      <c r="MA17" s="10">
        <f>MA15*MA14%</f>
        <v>222.922</v>
      </c>
      <c r="MB17" s="10">
        <f>MB15*MB14%</f>
        <v>704.61700000000008</v>
      </c>
      <c r="MC17" s="10">
        <f>MC15*MC14%</f>
        <v>2022.364</v>
      </c>
      <c r="MD17" s="10">
        <f>MD15*MD14%</f>
        <v>0</v>
      </c>
      <c r="ME17" s="10">
        <f>ME15*ME14%</f>
        <v>833.899</v>
      </c>
      <c r="MF17" s="10">
        <f>MF15*MF14%</f>
        <v>0</v>
      </c>
      <c r="MG17" s="10">
        <f>MG15*MG14%</f>
        <v>1782.9180000000001</v>
      </c>
      <c r="MH17" s="10">
        <f>MH15*MH14%</f>
        <v>326.28800000000001</v>
      </c>
      <c r="MI17" s="10">
        <f>MI15*MI14%</f>
        <v>2732.5030000000002</v>
      </c>
      <c r="MJ17" s="10">
        <f>MJ15*MJ14%</f>
        <v>409.83600000000001</v>
      </c>
      <c r="MK17" s="10">
        <f>MK15*MK14%</f>
        <v>916.04200000000003</v>
      </c>
      <c r="ML17" s="10">
        <f>ML15*ML14%</f>
        <v>935.29</v>
      </c>
      <c r="MM17" s="10">
        <f>MM15*MM14%</f>
        <v>593.34</v>
      </c>
      <c r="MN17" s="10">
        <f>MN15*MN14%</f>
        <v>735.76949999999999</v>
      </c>
      <c r="MO17" s="10">
        <f>MO15*MO14%</f>
        <v>662.73199999999997</v>
      </c>
      <c r="MP17" s="10">
        <f>MP15*MP14%</f>
        <v>1578.1680000000001</v>
      </c>
      <c r="MQ17" s="10">
        <f>MQ15*MQ14%</f>
        <v>574.86800000000005</v>
      </c>
      <c r="MR17" s="10">
        <f>MR15*MR14%</f>
        <v>1125.556</v>
      </c>
      <c r="MS17" s="10">
        <f>MS15*MS14%</f>
        <v>1445.586</v>
      </c>
      <c r="MT17" s="10">
        <f>MT15*MT14%</f>
        <v>0</v>
      </c>
      <c r="MU17" s="10">
        <f>MU15*MU14%</f>
        <v>3652.7429999999999</v>
      </c>
      <c r="MV17" s="10">
        <f>MV15*MV14%</f>
        <v>9.6185000000000009</v>
      </c>
      <c r="MW17" s="10">
        <f>MW15*MW14%</f>
        <v>1420.35</v>
      </c>
      <c r="MX17" s="10">
        <f>MX15*MX14%</f>
        <v>1096.45</v>
      </c>
      <c r="MY17" s="10">
        <f>MY15*MY14%</f>
        <v>807.11599999999999</v>
      </c>
      <c r="MZ17" s="10">
        <f>MZ15*MZ14%</f>
        <v>23.967500000000001</v>
      </c>
      <c r="NA17" s="10">
        <f>NA15*NA14%</f>
        <v>295.99299999999999</v>
      </c>
      <c r="NB17" s="10">
        <f>NB15*NB14%</f>
        <v>2874.768</v>
      </c>
      <c r="NC17" s="10">
        <f>NC15*NC14%</f>
        <v>0</v>
      </c>
      <c r="ND17" s="10">
        <f>ND15*ND14%</f>
        <v>1371.9255000000001</v>
      </c>
      <c r="NE17" s="10">
        <f>NE15*NE14%</f>
        <v>2034.4364999999998</v>
      </c>
      <c r="NF17" s="10">
        <f>NF15*NF14%</f>
        <v>3342.7334999999998</v>
      </c>
      <c r="NG17" s="10">
        <f>NG15*NG14%</f>
        <v>0</v>
      </c>
      <c r="NH17" s="10">
        <f>NH15*NH14%</f>
        <v>2606.5240000000003</v>
      </c>
      <c r="NI17" s="10">
        <f>NI15*NI14%</f>
        <v>375.91700000000003</v>
      </c>
      <c r="NJ17" s="10">
        <f>NJ15*NJ14%</f>
        <v>0</v>
      </c>
      <c r="NK17" s="10">
        <f>NK15*NK14%</f>
        <v>1320.8879999999999</v>
      </c>
      <c r="NL17" s="10">
        <f>NL15*NL14%</f>
        <v>284.74050000000005</v>
      </c>
      <c r="NM17" s="10">
        <f>NM15*NM14%</f>
        <v>521.24099999999999</v>
      </c>
      <c r="NN17" s="10">
        <f>NN15*NN14%</f>
        <v>175.56</v>
      </c>
      <c r="NO17" s="10">
        <f>NO15*NO14%</f>
        <v>2708.9880000000003</v>
      </c>
      <c r="NP17" s="10">
        <f>NP15*NP14%</f>
        <v>185.75650000000002</v>
      </c>
      <c r="NQ17" s="10">
        <f>NQ15*NQ14%</f>
        <v>461.21100000000001</v>
      </c>
      <c r="NR17" s="10">
        <f>NR15*NR14%</f>
        <v>69.461500000000001</v>
      </c>
      <c r="NS17" s="10">
        <f>NS15*NS14%</f>
        <v>290.43400000000003</v>
      </c>
      <c r="NT17" s="10">
        <f>NT15*NT14%</f>
        <v>456.65100000000001</v>
      </c>
      <c r="NU17" s="10">
        <f>NU15*NU14%</f>
        <v>1548.5440000000001</v>
      </c>
      <c r="NV17" s="10">
        <f>NV15*NV14%</f>
        <v>373.17</v>
      </c>
      <c r="NW17" s="10">
        <f>NW15*NW14%</f>
        <v>357.18800000000005</v>
      </c>
      <c r="NX17" s="10">
        <f>NX15*NX14%</f>
        <v>1402.98</v>
      </c>
      <c r="NY17" s="10">
        <f>NY15*NY14%</f>
        <v>548.85299999999995</v>
      </c>
      <c r="NZ17" s="10">
        <f>NZ15*NZ14%</f>
        <v>0</v>
      </c>
      <c r="OA17" s="10">
        <f>OA15*OA14%</f>
        <v>309.87149999999997</v>
      </c>
      <c r="OB17" s="10">
        <f>OB15*OB14%</f>
        <v>0</v>
      </c>
      <c r="OC17" s="10">
        <f>OC15*OC14%</f>
        <v>594.39750000000004</v>
      </c>
      <c r="OD17" s="10">
        <f>OD15*OD14%</f>
        <v>2155.1400000000003</v>
      </c>
      <c r="OE17" s="10">
        <f>OE15*OE14%</f>
        <v>0</v>
      </c>
      <c r="OF17" s="10">
        <f>OF15*OF14%</f>
        <v>109.85599999999999</v>
      </c>
      <c r="OG17" s="10">
        <f>OG15*OG14%</f>
        <v>1801.3229999999999</v>
      </c>
      <c r="OH17" s="10">
        <f>OH15*OH14%</f>
        <v>717.23</v>
      </c>
      <c r="OI17" s="10">
        <f>OI15*OI14%</f>
        <v>0</v>
      </c>
      <c r="OJ17" s="10">
        <f>OJ15*OJ14%</f>
        <v>0</v>
      </c>
      <c r="OK17" s="10">
        <f>OK15*OK14%</f>
        <v>1432.6310000000001</v>
      </c>
      <c r="OL17" s="10">
        <f>OL15*OL14%</f>
        <v>96.164500000000004</v>
      </c>
      <c r="OM17" s="10">
        <f>OM15*OM14%</f>
        <v>2413.0694999999996</v>
      </c>
      <c r="ON17" s="10">
        <f>ON15*ON14%</f>
        <v>349.82850000000002</v>
      </c>
      <c r="OO17" s="10">
        <f>OO15*OO14%</f>
        <v>1117.7530000000002</v>
      </c>
      <c r="OP17" s="10">
        <f>OP15*OP14%</f>
        <v>253.458</v>
      </c>
      <c r="OQ17" s="10">
        <f>OQ15*OQ14%</f>
        <v>0</v>
      </c>
      <c r="OR17" s="10">
        <f>OR15*OR14%</f>
        <v>4631.8460000000005</v>
      </c>
      <c r="OS17" s="10">
        <f>OS15*OS14%</f>
        <v>668.98</v>
      </c>
      <c r="OT17" s="10">
        <f>OT15*OT14%</f>
        <v>642.745</v>
      </c>
      <c r="OU17" s="10">
        <f>OU15*OU14%</f>
        <v>323.69600000000003</v>
      </c>
      <c r="OV17" s="10">
        <f>OV15*OV14%</f>
        <v>308.61500000000001</v>
      </c>
      <c r="OW17" s="10">
        <f>OW15*OW14%</f>
        <v>1261.4444999999998</v>
      </c>
      <c r="OX17" s="10">
        <f>OX15*OX14%</f>
        <v>0</v>
      </c>
      <c r="OY17" s="10">
        <f>OY15*OY14%</f>
        <v>57.935500000000005</v>
      </c>
      <c r="OZ17" s="10">
        <f>OZ15*OZ14%</f>
        <v>998.50200000000007</v>
      </c>
      <c r="PA17" s="10">
        <f>PA15*PA14%</f>
        <v>0</v>
      </c>
      <c r="PB17" s="10">
        <f>PB15*PB14%</f>
        <v>0</v>
      </c>
      <c r="PC17" s="10">
        <f>PC15*PC14%</f>
        <v>2812.01</v>
      </c>
      <c r="PD17" s="10">
        <f>PD15*PD14%</f>
        <v>750.70150000000012</v>
      </c>
      <c r="PE17" s="10">
        <f>PE15*PE14%</f>
        <v>73.219000000000008</v>
      </c>
      <c r="PF17" s="10">
        <f>PF15*PF14%</f>
        <v>63.680499999999995</v>
      </c>
      <c r="PG17" s="10">
        <f>PG15*PG14%</f>
        <v>985.55700000000002</v>
      </c>
      <c r="PH17" s="10">
        <f>PH15*PH14%</f>
        <v>3029.643</v>
      </c>
      <c r="PI17" s="10">
        <f>PI15*PI14%</f>
        <v>1558.346</v>
      </c>
      <c r="PJ17" s="10">
        <f>PJ15*PJ14%</f>
        <v>1531.366</v>
      </c>
      <c r="PK17" s="10">
        <f>PK15*PK14%</f>
        <v>1062.6780000000001</v>
      </c>
      <c r="PL17" s="10">
        <f>PL15*PL14%</f>
        <v>1049.3370000000002</v>
      </c>
      <c r="PM17" s="10">
        <f>PM15*PM14%</f>
        <v>852.43600000000015</v>
      </c>
      <c r="PN17" s="10">
        <f>PN15*PN14%</f>
        <v>200.49900000000002</v>
      </c>
      <c r="PO17" s="10">
        <f>PO15*PO14%</f>
        <v>2816.33</v>
      </c>
      <c r="PP17" s="10">
        <f>PP15*PP14%</f>
        <v>1719.2384999999999</v>
      </c>
      <c r="PQ17" s="10">
        <f>PQ15*PQ14%</f>
        <v>544.64400000000001</v>
      </c>
      <c r="PR17" s="10">
        <f>PR15*PR14%</f>
        <v>0</v>
      </c>
      <c r="PS17" s="10">
        <f>PS15*PS14%</f>
        <v>559.82000000000005</v>
      </c>
      <c r="PT17" s="10">
        <f>PT15*PT14%</f>
        <v>0</v>
      </c>
      <c r="PU17" s="10">
        <f>PU15*PU14%</f>
        <v>1913.6540000000002</v>
      </c>
      <c r="PV17" s="10">
        <f>PV15*PV14%</f>
        <v>2903.5934999999999</v>
      </c>
      <c r="PW17" s="10">
        <f>PW15*PW14%</f>
        <v>1402.299</v>
      </c>
      <c r="PX17" s="10">
        <f>PX15*PX14%</f>
        <v>391.12700000000001</v>
      </c>
      <c r="PY17" s="10">
        <f>PY15*PY14%</f>
        <v>339.75600000000003</v>
      </c>
      <c r="PZ17" s="10">
        <f>PZ15*PZ14%</f>
        <v>1050.912</v>
      </c>
      <c r="QA17" s="10">
        <f>QA15*QA14%</f>
        <v>2405.4569999999999</v>
      </c>
      <c r="QB17" s="10">
        <f>QB15*QB14%</f>
        <v>0</v>
      </c>
      <c r="QC17" s="10">
        <f>QC15*QC14%</f>
        <v>702.79899999999998</v>
      </c>
      <c r="QD17" s="10">
        <f>QD15*QD14%</f>
        <v>2996.8724999999999</v>
      </c>
      <c r="QE17" s="10">
        <f>QE15*QE14%</f>
        <v>0</v>
      </c>
      <c r="QF17" s="10">
        <f>QF15*QF14%</f>
        <v>1393.6360000000002</v>
      </c>
      <c r="QG17" s="10">
        <f>QG15*QG14%</f>
        <v>1618.0040000000001</v>
      </c>
      <c r="QH17" s="10">
        <f>QH15*QH14%</f>
        <v>709.26450000000011</v>
      </c>
      <c r="QI17" s="10">
        <f>QI15*QI14%</f>
        <v>3083.36</v>
      </c>
      <c r="QJ17" s="10">
        <f>QJ15*QJ14%</f>
        <v>0</v>
      </c>
      <c r="QK17" s="10">
        <f>QK15*QK14%</f>
        <v>74.792999999999992</v>
      </c>
      <c r="QL17" s="10">
        <f>QL15*QL14%</f>
        <v>1736.0295000000001</v>
      </c>
      <c r="QM17" s="10">
        <f>QM15*QM14%</f>
        <v>4595.8460000000005</v>
      </c>
      <c r="QN17" s="10">
        <f>QN15*QN14%</f>
        <v>0</v>
      </c>
      <c r="QO17" s="10">
        <f>QO15*QO14%</f>
        <v>643.12900000000002</v>
      </c>
      <c r="QP17" s="10">
        <f>QP15*QP14%</f>
        <v>0</v>
      </c>
      <c r="QQ17" s="10">
        <f>QQ15*QQ14%</f>
        <v>2665.4750000000004</v>
      </c>
      <c r="QR17" s="10">
        <f>QR15*QR14%</f>
        <v>1246.0160000000001</v>
      </c>
      <c r="QS17" s="10">
        <f>QS15*QS14%</f>
        <v>40.084000000000003</v>
      </c>
      <c r="QT17" s="10">
        <f>QT15*QT14%</f>
        <v>402.54299999999995</v>
      </c>
      <c r="QU17" s="10">
        <f>QU15*QU14%</f>
        <v>208.035</v>
      </c>
      <c r="QV17" s="10">
        <f>QV15*QV14%</f>
        <v>1321.104</v>
      </c>
      <c r="QW17" s="10">
        <f>QW15*QW14%</f>
        <v>89.504000000000005</v>
      </c>
      <c r="QX17" s="10">
        <f>QX15*QX14%</f>
        <v>377.24200000000002</v>
      </c>
      <c r="QY17" s="10">
        <f>QY15*QY14%</f>
        <v>0</v>
      </c>
      <c r="QZ17" s="10">
        <f>QZ15*QZ14%</f>
        <v>1789.9574999999998</v>
      </c>
      <c r="RA17" s="10">
        <f>RA15*RA14%</f>
        <v>2169.3824999999997</v>
      </c>
      <c r="RB17" s="10">
        <f>RB15*RB14%</f>
        <v>937.02050000000008</v>
      </c>
      <c r="RC17" s="10">
        <f>RC15*RC14%</f>
        <v>57.273500000000006</v>
      </c>
      <c r="RD17" s="10">
        <f>RD15*RD14%</f>
        <v>1074.6580000000001</v>
      </c>
      <c r="RE17" s="10">
        <f>RE15*RE14%</f>
        <v>1135.463</v>
      </c>
      <c r="RF17" s="10">
        <f>RF15*RF14%</f>
        <v>544.68050000000005</v>
      </c>
      <c r="RG17" s="10">
        <f>RG15*RG14%</f>
        <v>213.97649999999999</v>
      </c>
      <c r="RH17" s="10">
        <f>RH15*RH14%</f>
        <v>1199.0350000000001</v>
      </c>
      <c r="RI17" s="10">
        <f>RI15*RI14%</f>
        <v>1118.4639999999999</v>
      </c>
      <c r="RJ17" s="10">
        <f>RJ15*RJ14%</f>
        <v>0</v>
      </c>
      <c r="RK17" s="10">
        <f>RK15*RK14%</f>
        <v>159.39100000000002</v>
      </c>
      <c r="RL17" s="10">
        <f>RL15*RL14%</f>
        <v>437.23599999999999</v>
      </c>
      <c r="RM17" s="10">
        <f>RM15*RM14%</f>
        <v>646.42499999999995</v>
      </c>
      <c r="RN17" s="10">
        <f>RN15*RN14%</f>
        <v>0</v>
      </c>
      <c r="RO17" s="10">
        <f>RO15*RO14%</f>
        <v>2432.9080000000004</v>
      </c>
      <c r="RP17" s="10">
        <f>RP15*RP14%</f>
        <v>0</v>
      </c>
      <c r="RQ17" s="10">
        <f>RQ15*RQ14%</f>
        <v>1327.1310000000001</v>
      </c>
      <c r="RR17" s="10">
        <f>RR15*RR14%</f>
        <v>330.18450000000001</v>
      </c>
      <c r="RS17" s="10">
        <f>RS15*RS14%</f>
        <v>0</v>
      </c>
      <c r="RT17" s="10">
        <f>RT15*RT14%</f>
        <v>1760.73</v>
      </c>
      <c r="RU17" s="10">
        <f>RU15*RU14%</f>
        <v>14.090000000000002</v>
      </c>
      <c r="RV17" s="10">
        <f>RV15*RV14%</f>
        <v>964.01450000000011</v>
      </c>
      <c r="RW17" s="10">
        <f>RW15*RW14%</f>
        <v>3178.6280000000002</v>
      </c>
      <c r="RX17" s="10">
        <f>RX15*RX14%</f>
        <v>781.94399999999996</v>
      </c>
      <c r="RY17" s="10">
        <f>RY15*RY14%</f>
        <v>0</v>
      </c>
      <c r="RZ17" s="10">
        <f>RZ15*RZ14%</f>
        <v>976.51900000000012</v>
      </c>
      <c r="SA17" s="10">
        <f>SA15*SA14%</f>
        <v>125.77750000000002</v>
      </c>
      <c r="SB17" s="10">
        <f>SB15*SB14%</f>
        <v>0</v>
      </c>
      <c r="SC17" s="10">
        <f>SC15*SC14%</f>
        <v>1083.7540000000001</v>
      </c>
      <c r="SD17" s="10">
        <f>SD15*SD14%</f>
        <v>0</v>
      </c>
      <c r="SE17" s="10">
        <f>SE15*SE14%</f>
        <v>3154.1620000000003</v>
      </c>
      <c r="SF17" s="10">
        <f>SF15*SF14%</f>
        <v>704.26199999999994</v>
      </c>
      <c r="SG17" s="10">
        <f>SG15*SG14%</f>
        <v>389.14800000000002</v>
      </c>
    </row>
    <row r="18" spans="1:501" x14ac:dyDescent="0.3">
      <c r="A18" s="8" t="s">
        <v>71</v>
      </c>
      <c r="B18" s="11">
        <f>B16-B17</f>
        <v>19907.09</v>
      </c>
      <c r="C18" s="11">
        <f>C16-C17</f>
        <v>21647.534</v>
      </c>
      <c r="D18" s="11">
        <f>D16-D17</f>
        <v>18188.1705</v>
      </c>
      <c r="E18" s="11">
        <f>E16-E17</f>
        <v>880.16949999999997</v>
      </c>
      <c r="F18" s="11">
        <f>F16-F17</f>
        <v>20647.443999999996</v>
      </c>
      <c r="G18" s="11">
        <f>G16-G17</f>
        <v>8707.4720000000016</v>
      </c>
      <c r="H18" s="11">
        <f>H16-H17</f>
        <v>13788.411</v>
      </c>
      <c r="I18" s="11">
        <f>I16-I17</f>
        <v>8411.4210000000003</v>
      </c>
      <c r="J18" s="11">
        <f>J16-J17</f>
        <v>4790.1994999999997</v>
      </c>
      <c r="K18" s="11">
        <f>K16-K17</f>
        <v>7478.7720000000008</v>
      </c>
      <c r="L18" s="11">
        <f>L16-L17</f>
        <v>19231.5</v>
      </c>
      <c r="M18" s="11">
        <f>M16-M17</f>
        <v>1556.4805000000001</v>
      </c>
      <c r="N18" s="11">
        <f>N16-N17</f>
        <v>25287.200000000001</v>
      </c>
      <c r="O18" s="11">
        <f>O16-O17</f>
        <v>7498.4040000000005</v>
      </c>
      <c r="P18" s="11">
        <f>P16-P17</f>
        <v>5778.7820000000002</v>
      </c>
      <c r="Q18" s="11">
        <f>Q16-Q17</f>
        <v>4537.3290000000006</v>
      </c>
      <c r="R18" s="11">
        <f>R16-R17</f>
        <v>444.8175</v>
      </c>
      <c r="S18" s="11">
        <f>S16-S17</f>
        <v>1889.6689999999999</v>
      </c>
      <c r="T18" s="11">
        <f>T16-T17</f>
        <v>1728.0735</v>
      </c>
      <c r="U18" s="11">
        <f>U16-U17</f>
        <v>7542.4854999999998</v>
      </c>
      <c r="V18" s="11">
        <f>V16-V17</f>
        <v>6748.2150000000001</v>
      </c>
      <c r="W18" s="11">
        <f>W16-W17</f>
        <v>4003.4560000000001</v>
      </c>
      <c r="X18" s="11">
        <f>X16-X17</f>
        <v>4706.9239999999991</v>
      </c>
      <c r="Y18" s="11">
        <f>Y16-Y17</f>
        <v>3606.31</v>
      </c>
      <c r="Z18" s="11">
        <f>Z16-Z17</f>
        <v>17253.241999999998</v>
      </c>
      <c r="AA18" s="11">
        <f>AA16-AA17</f>
        <v>3808.6759999999999</v>
      </c>
      <c r="AB18" s="11">
        <f>AB16-AB17</f>
        <v>10284.571</v>
      </c>
      <c r="AC18" s="11">
        <f>AC16-AC17</f>
        <v>16161.415999999999</v>
      </c>
      <c r="AD18" s="11">
        <f>AD16-AD17</f>
        <v>1987.9124999999999</v>
      </c>
      <c r="AE18" s="11">
        <f>AE16-AE17</f>
        <v>317.93599999999998</v>
      </c>
      <c r="AF18" s="11">
        <f>AF16-AF17</f>
        <v>9641.73</v>
      </c>
      <c r="AG18" s="11">
        <f>AG16-AG17</f>
        <v>2860.3195000000001</v>
      </c>
      <c r="AH18" s="11">
        <f>AH16-AH17</f>
        <v>19775.498</v>
      </c>
      <c r="AI18" s="11">
        <f>AI16-AI17</f>
        <v>9177.5399999999991</v>
      </c>
      <c r="AJ18" s="11">
        <f>AJ16-AJ17</f>
        <v>24433.987000000001</v>
      </c>
      <c r="AK18" s="11">
        <f>AK16-AK17</f>
        <v>11639.5</v>
      </c>
      <c r="AL18" s="11">
        <f>AL16-AL17</f>
        <v>3251.0349999999999</v>
      </c>
      <c r="AM18" s="11">
        <f>AM16-AM17</f>
        <v>4042.2640000000001</v>
      </c>
      <c r="AN18" s="11">
        <f>AN16-AN17</f>
        <v>14471.232500000002</v>
      </c>
      <c r="AO18" s="11">
        <f>AO16-AO17</f>
        <v>16834.544999999998</v>
      </c>
      <c r="AP18" s="11">
        <f>AP16-AP17</f>
        <v>25270.400000000001</v>
      </c>
      <c r="AQ18" s="11">
        <f>AQ16-AQ17</f>
        <v>4071.2120000000004</v>
      </c>
      <c r="AR18" s="11">
        <f>AR16-AR17</f>
        <v>4084.8265000000001</v>
      </c>
      <c r="AS18" s="11">
        <f>AS16-AS17</f>
        <v>720.75399999999991</v>
      </c>
      <c r="AT18" s="11">
        <f>AT16-AT17</f>
        <v>2764.92</v>
      </c>
      <c r="AU18" s="11">
        <f>AU16-AU17</f>
        <v>3238.0709999999999</v>
      </c>
      <c r="AV18" s="11">
        <f>AV16-AV17</f>
        <v>1486.742</v>
      </c>
      <c r="AW18" s="11">
        <f>AW16-AW17</f>
        <v>11746.610999999999</v>
      </c>
      <c r="AX18" s="11">
        <f>AX16-AX17</f>
        <v>19672.449000000001</v>
      </c>
      <c r="AY18" s="11">
        <f>AY16-AY17</f>
        <v>6806.2180000000008</v>
      </c>
      <c r="AZ18" s="11">
        <f>AZ16-AZ17</f>
        <v>4849.441499999999</v>
      </c>
      <c r="BA18" s="11">
        <f>BA16-BA17</f>
        <v>7625.2959999999994</v>
      </c>
      <c r="BB18" s="11">
        <f>BB16-BB17</f>
        <v>11530.019</v>
      </c>
      <c r="BC18" s="11">
        <f>BC16-BC17</f>
        <v>10400.353999999999</v>
      </c>
      <c r="BD18" s="11">
        <f>BD16-BD17</f>
        <v>7092.6769999999997</v>
      </c>
      <c r="BE18" s="11">
        <f>BE16-BE17</f>
        <v>17813.2395</v>
      </c>
      <c r="BF18" s="11">
        <f>BF16-BF17</f>
        <v>7653.2140000000009</v>
      </c>
      <c r="BG18" s="11">
        <f>BG16-BG17</f>
        <v>8158.7340000000004</v>
      </c>
      <c r="BH18" s="11">
        <f>BH16-BH17</f>
        <v>16978.88</v>
      </c>
      <c r="BI18" s="11">
        <f>BI16-BI17</f>
        <v>21835.185000000001</v>
      </c>
      <c r="BJ18" s="11">
        <f>BJ16-BJ17</f>
        <v>2035.597</v>
      </c>
      <c r="BK18" s="11">
        <f>BK16-BK17</f>
        <v>21483.371000000003</v>
      </c>
      <c r="BL18" s="11">
        <f>BL16-BL17</f>
        <v>14445.577000000001</v>
      </c>
      <c r="BM18" s="11">
        <f>BM16-BM17</f>
        <v>1816.8940000000002</v>
      </c>
      <c r="BN18" s="11">
        <f>BN16-BN17</f>
        <v>5047.2420000000002</v>
      </c>
      <c r="BO18" s="11">
        <f>BO16-BO17</f>
        <v>28725.19</v>
      </c>
      <c r="BP18" s="11">
        <f>BP16-BP17</f>
        <v>288.0385</v>
      </c>
      <c r="BQ18" s="11">
        <f>BQ16-BQ17</f>
        <v>8283.9600000000009</v>
      </c>
      <c r="BR18" s="11">
        <f>BR16-BR17</f>
        <v>10498.3405</v>
      </c>
      <c r="BS18" s="11">
        <f>BS16-BS17</f>
        <v>12136.824000000001</v>
      </c>
      <c r="BT18" s="11">
        <f>BT16-BT17</f>
        <v>11014.834000000001</v>
      </c>
      <c r="BU18" s="11">
        <f>BU16-BU17</f>
        <v>4868.1314999999995</v>
      </c>
      <c r="BV18" s="11">
        <f>BV16-BV17</f>
        <v>2893.3235</v>
      </c>
      <c r="BW18" s="11">
        <f>BW16-BW17</f>
        <v>6590.67</v>
      </c>
      <c r="BX18" s="11">
        <f>BX16-BX17</f>
        <v>8881.84</v>
      </c>
      <c r="BY18" s="11">
        <f>BY16-BY17</f>
        <v>5126.8560000000007</v>
      </c>
      <c r="BZ18" s="11">
        <f>BZ16-BZ17</f>
        <v>2689.8140000000003</v>
      </c>
      <c r="CA18" s="11">
        <f>CA16-CA17</f>
        <v>6589.9230000000007</v>
      </c>
      <c r="CB18" s="11">
        <f>CB16-CB17</f>
        <v>9998.2400000000016</v>
      </c>
      <c r="CC18" s="11">
        <f>CC16-CC17</f>
        <v>715.94299999999998</v>
      </c>
      <c r="CD18" s="11">
        <f>CD16-CD17</f>
        <v>21857.46</v>
      </c>
      <c r="CE18" s="11">
        <f>CE16-CE17</f>
        <v>4510.1400000000003</v>
      </c>
      <c r="CF18" s="11">
        <f>CF16-CF17</f>
        <v>7599.7309999999998</v>
      </c>
      <c r="CG18" s="11">
        <f>CG16-CG17</f>
        <v>3604.2040000000002</v>
      </c>
      <c r="CH18" s="11">
        <f>CH16-CH17</f>
        <v>2422.5100000000002</v>
      </c>
      <c r="CI18" s="11">
        <f>CI16-CI17</f>
        <v>1742.3619999999996</v>
      </c>
      <c r="CJ18" s="11">
        <f>CJ16-CJ17</f>
        <v>9155.2775000000001</v>
      </c>
      <c r="CK18" s="11">
        <f>CK16-CK17</f>
        <v>9776.0879999999997</v>
      </c>
      <c r="CL18" s="11">
        <f>CL16-CL17</f>
        <v>3166.855</v>
      </c>
      <c r="CM18" s="11">
        <f>CM16-CM17</f>
        <v>6454.3305</v>
      </c>
      <c r="CN18" s="11">
        <f>CN16-CN17</f>
        <v>15335.865999999998</v>
      </c>
      <c r="CO18" s="11">
        <f>CO16-CO17</f>
        <v>981.06550000000004</v>
      </c>
      <c r="CP18" s="11">
        <f>CP16-CP17</f>
        <v>14657.026</v>
      </c>
      <c r="CQ18" s="11">
        <f>CQ16-CQ17</f>
        <v>5865.933</v>
      </c>
      <c r="CR18" s="11">
        <f>CR16-CR17</f>
        <v>3736.9879999999998</v>
      </c>
      <c r="CS18" s="11">
        <f>CS16-CS17</f>
        <v>2274.8910000000001</v>
      </c>
      <c r="CT18" s="11">
        <f>CT16-CT17</f>
        <v>4301.5950000000003</v>
      </c>
      <c r="CU18" s="11">
        <f>CU16-CU17</f>
        <v>4753.6594999999998</v>
      </c>
      <c r="CV18" s="11">
        <f>CV16-CV17</f>
        <v>795.69</v>
      </c>
      <c r="CW18" s="11">
        <f>CW16-CW17</f>
        <v>20108.243000000002</v>
      </c>
      <c r="CX18" s="11">
        <f>CX16-CX17</f>
        <v>11748.597</v>
      </c>
      <c r="CY18" s="11">
        <f>CY16-CY17</f>
        <v>3123.17</v>
      </c>
      <c r="CZ18" s="11">
        <f>CZ16-CZ17</f>
        <v>21111.200000000001</v>
      </c>
      <c r="DA18" s="11">
        <f>DA16-DA17</f>
        <v>12209.971000000001</v>
      </c>
      <c r="DB18" s="11">
        <f>DB16-DB17</f>
        <v>823.68700000000001</v>
      </c>
      <c r="DC18" s="11">
        <f>DC16-DC17</f>
        <v>10804.835999999999</v>
      </c>
      <c r="DD18" s="11">
        <f>DD16-DD17</f>
        <v>4637.3815000000004</v>
      </c>
      <c r="DE18" s="11">
        <f>DE16-DE17</f>
        <v>984.7204999999999</v>
      </c>
      <c r="DF18" s="11">
        <f>DF16-DF17</f>
        <v>11310.536</v>
      </c>
      <c r="DG18" s="11">
        <f>DG16-DG17</f>
        <v>10467.274000000001</v>
      </c>
      <c r="DH18" s="11">
        <f>DH16-DH17</f>
        <v>1656.2179999999998</v>
      </c>
      <c r="DI18" s="11">
        <f>DI16-DI17</f>
        <v>3731.5819999999994</v>
      </c>
      <c r="DJ18" s="11">
        <f>DJ16-DJ17</f>
        <v>11379.16</v>
      </c>
      <c r="DK18" s="11">
        <f>DK16-DK17</f>
        <v>9880.2520000000022</v>
      </c>
      <c r="DL18" s="11">
        <f>DL16-DL17</f>
        <v>7242.18</v>
      </c>
      <c r="DM18" s="11">
        <f>DM16-DM17</f>
        <v>5976.4335000000001</v>
      </c>
      <c r="DN18" s="11">
        <f>DN16-DN17</f>
        <v>17916.039999999997</v>
      </c>
      <c r="DO18" s="11">
        <f>DO16-DO17</f>
        <v>3870.232</v>
      </c>
      <c r="DP18" s="11">
        <f>DP16-DP17</f>
        <v>26717.439999999999</v>
      </c>
      <c r="DQ18" s="11">
        <f>DQ16-DQ17</f>
        <v>19298.812000000002</v>
      </c>
      <c r="DR18" s="11">
        <f>DR16-DR17</f>
        <v>14161.400000000001</v>
      </c>
      <c r="DS18" s="11">
        <f>DS16-DS17</f>
        <v>6993.65</v>
      </c>
      <c r="DT18" s="11">
        <f>DT16-DT17</f>
        <v>6176.94</v>
      </c>
      <c r="DU18" s="11">
        <f>DU16-DU17</f>
        <v>7553.3985000000011</v>
      </c>
      <c r="DV18" s="11">
        <f>DV16-DV17</f>
        <v>31051.71</v>
      </c>
      <c r="DW18" s="11">
        <f>DW16-DW17</f>
        <v>28363.316499999997</v>
      </c>
      <c r="DX18" s="11">
        <f>DX16-DX17</f>
        <v>10080.307000000001</v>
      </c>
      <c r="DY18" s="11">
        <f>DY16-DY17</f>
        <v>3958.56</v>
      </c>
      <c r="DZ18" s="11">
        <f>DZ16-DZ17</f>
        <v>4865.01</v>
      </c>
      <c r="EA18" s="11">
        <f>EA16-EA17</f>
        <v>2414.0825</v>
      </c>
      <c r="EB18" s="11">
        <f>EB16-EB17</f>
        <v>11600.8905</v>
      </c>
      <c r="EC18" s="11">
        <f>EC16-EC17</f>
        <v>12614.92</v>
      </c>
      <c r="ED18" s="11">
        <f>ED16-ED17</f>
        <v>3990.85</v>
      </c>
      <c r="EE18" s="11">
        <f>EE16-EE17</f>
        <v>6183.3024999999998</v>
      </c>
      <c r="EF18" s="11">
        <f>EF16-EF17</f>
        <v>10970.857000000002</v>
      </c>
      <c r="EG18" s="11">
        <f>EG16-EG17</f>
        <v>10855.74</v>
      </c>
      <c r="EH18" s="11">
        <f>EH16-EH17</f>
        <v>2307.4135000000001</v>
      </c>
      <c r="EI18" s="11">
        <f>EI16-EI17</f>
        <v>912.67</v>
      </c>
      <c r="EJ18" s="11">
        <f>EJ16-EJ17</f>
        <v>733.29600000000005</v>
      </c>
      <c r="EK18" s="11">
        <f>EK16-EK17</f>
        <v>11979.777999999998</v>
      </c>
      <c r="EL18" s="11">
        <f>EL16-EL17</f>
        <v>3214.884</v>
      </c>
      <c r="EM18" s="11">
        <f>EM16-EM17</f>
        <v>2063.0500000000002</v>
      </c>
      <c r="EN18" s="11">
        <f>EN16-EN17</f>
        <v>24537.933499999999</v>
      </c>
      <c r="EO18" s="11">
        <f>EO16-EO17</f>
        <v>21092.197999999997</v>
      </c>
      <c r="EP18" s="11">
        <f>EP16-EP17</f>
        <v>3562.268</v>
      </c>
      <c r="EQ18" s="11">
        <f>EQ16-EQ17</f>
        <v>8120.7759999999998</v>
      </c>
      <c r="ER18" s="11">
        <f>ER16-ER17</f>
        <v>10588.009</v>
      </c>
      <c r="ES18" s="11">
        <f>ES16-ES17</f>
        <v>8788.58</v>
      </c>
      <c r="ET18" s="11">
        <f>ET16-ET17</f>
        <v>20509.334000000003</v>
      </c>
      <c r="EU18" s="11">
        <f>EU16-EU17</f>
        <v>5616.12</v>
      </c>
      <c r="EV18" s="11">
        <f>EV16-EV17</f>
        <v>6374.0479999999998</v>
      </c>
      <c r="EW18" s="11">
        <f>EW16-EW17</f>
        <v>2956.69</v>
      </c>
      <c r="EX18" s="11">
        <f>EX16-EX17</f>
        <v>1920.3369999999998</v>
      </c>
      <c r="EY18" s="11">
        <f>EY16-EY17</f>
        <v>1529.12</v>
      </c>
      <c r="EZ18" s="11">
        <f>EZ16-EZ17</f>
        <v>5033.1035000000002</v>
      </c>
      <c r="FA18" s="11">
        <f>FA16-FA17</f>
        <v>2333.2919999999999</v>
      </c>
      <c r="FB18" s="11">
        <f>FB16-FB17</f>
        <v>8437.84</v>
      </c>
      <c r="FC18" s="11">
        <f>FC16-FC17</f>
        <v>23355.638999999999</v>
      </c>
      <c r="FD18" s="11">
        <f>FD16-FD17</f>
        <v>22804.62</v>
      </c>
      <c r="FE18" s="11">
        <f>FE16-FE17</f>
        <v>5039.5630000000001</v>
      </c>
      <c r="FF18" s="11">
        <f>FF16-FF17</f>
        <v>8505.8790000000008</v>
      </c>
      <c r="FG18" s="11">
        <f>FG16-FG17</f>
        <v>9354.235999999999</v>
      </c>
      <c r="FH18" s="11">
        <f>FH16-FH17</f>
        <v>1024.144</v>
      </c>
      <c r="FI18" s="11">
        <f>FI16-FI17</f>
        <v>968.7879999999999</v>
      </c>
      <c r="FJ18" s="11">
        <f>FJ16-FJ17</f>
        <v>12494.596</v>
      </c>
      <c r="FK18" s="11">
        <f>FK16-FK17</f>
        <v>6809.18</v>
      </c>
      <c r="FL18" s="11">
        <f>FL16-FL17</f>
        <v>10792.074499999999</v>
      </c>
      <c r="FM18" s="11">
        <f>FM16-FM17</f>
        <v>1427.1499999999999</v>
      </c>
      <c r="FN18" s="11">
        <f>FN16-FN17</f>
        <v>16445.531500000001</v>
      </c>
      <c r="FO18" s="11">
        <f>FO16-FO17</f>
        <v>19768.871000000003</v>
      </c>
      <c r="FP18" s="11">
        <f>FP16-FP17</f>
        <v>28917.976000000002</v>
      </c>
      <c r="FQ18" s="11">
        <f>FQ16-FQ17</f>
        <v>23883.703999999998</v>
      </c>
      <c r="FR18" s="11">
        <f>FR16-FR17</f>
        <v>3879.828</v>
      </c>
      <c r="FS18" s="11">
        <f>FS16-FS17</f>
        <v>2890.5315000000001</v>
      </c>
      <c r="FT18" s="11">
        <f>FT16-FT17</f>
        <v>9529.6659999999993</v>
      </c>
      <c r="FU18" s="11">
        <f>FU16-FU17</f>
        <v>7390.5904999999993</v>
      </c>
      <c r="FV18" s="11">
        <f>FV16-FV17</f>
        <v>2329.9299999999998</v>
      </c>
      <c r="FW18" s="11">
        <f>FW16-FW17</f>
        <v>1108.9530000000002</v>
      </c>
      <c r="FX18" s="11">
        <f>FX16-FX17</f>
        <v>3179.8490000000002</v>
      </c>
      <c r="FY18" s="11">
        <f>FY16-FY17</f>
        <v>16097.318000000001</v>
      </c>
      <c r="FZ18" s="11">
        <f>FZ16-FZ17</f>
        <v>9783.3960000000006</v>
      </c>
      <c r="GA18" s="11">
        <f>GA16-GA17</f>
        <v>11594.173000000001</v>
      </c>
      <c r="GB18" s="11">
        <f>GB16-GB17</f>
        <v>3869.4520000000007</v>
      </c>
      <c r="GC18" s="11">
        <f>GC16-GC17</f>
        <v>9273.5840000000007</v>
      </c>
      <c r="GD18" s="11">
        <f>GD16-GD17</f>
        <v>6290.34</v>
      </c>
      <c r="GE18" s="11">
        <f>GE16-GE17</f>
        <v>508.81</v>
      </c>
      <c r="GF18" s="11">
        <f>GF16-GF17</f>
        <v>1574.673</v>
      </c>
      <c r="GG18" s="11">
        <f>GG16-GG17</f>
        <v>2126.2610000000004</v>
      </c>
      <c r="GH18" s="11">
        <f>GH16-GH17</f>
        <v>1827.0250000000001</v>
      </c>
      <c r="GI18" s="11">
        <f>GI16-GI17</f>
        <v>2614.7839999999997</v>
      </c>
      <c r="GJ18" s="11">
        <f>GJ16-GJ17</f>
        <v>7015.3795000000009</v>
      </c>
      <c r="GK18" s="11">
        <f>GK16-GK17</f>
        <v>850.2165</v>
      </c>
      <c r="GL18" s="11">
        <f>GL16-GL17</f>
        <v>1731.6685</v>
      </c>
      <c r="GM18" s="11">
        <f>GM16-GM17</f>
        <v>1560.047</v>
      </c>
      <c r="GN18" s="11">
        <f>GN16-GN17</f>
        <v>1881.7889999999998</v>
      </c>
      <c r="GO18" s="11">
        <f>GO16-GO17</f>
        <v>20494.88</v>
      </c>
      <c r="GP18" s="11">
        <f>GP16-GP17</f>
        <v>4572.6040000000003</v>
      </c>
      <c r="GQ18" s="11">
        <f>GQ16-GQ17</f>
        <v>5352.8740000000007</v>
      </c>
      <c r="GR18" s="11">
        <f>GR16-GR17</f>
        <v>5198.6120000000001</v>
      </c>
      <c r="GS18" s="11">
        <f>GS16-GS17</f>
        <v>7071.8834999999999</v>
      </c>
      <c r="GT18" s="11">
        <f>GT16-GT17</f>
        <v>14708.148000000001</v>
      </c>
      <c r="GU18" s="11">
        <f>GU16-GU17</f>
        <v>27652.32</v>
      </c>
      <c r="GV18" s="11">
        <f>GV16-GV17</f>
        <v>19830.651999999998</v>
      </c>
      <c r="GW18" s="11">
        <f>GW16-GW17</f>
        <v>15353.614000000001</v>
      </c>
      <c r="GX18" s="11">
        <f>GX16-GX17</f>
        <v>20537.972000000002</v>
      </c>
      <c r="GY18" s="11">
        <f>GY16-GY17</f>
        <v>17359.427</v>
      </c>
      <c r="GZ18" s="11">
        <f>GZ16-GZ17</f>
        <v>6258.9070000000002</v>
      </c>
      <c r="HA18" s="11">
        <f>HA16-HA17</f>
        <v>6404.63</v>
      </c>
      <c r="HB18" s="11">
        <f>HB16-HB17</f>
        <v>9011.9474999999984</v>
      </c>
      <c r="HC18" s="11">
        <f>HC16-HC17</f>
        <v>25522.998500000002</v>
      </c>
      <c r="HD18" s="11">
        <f>HD16-HD17</f>
        <v>14380.594000000003</v>
      </c>
      <c r="HE18" s="11">
        <f>HE16-HE17</f>
        <v>2596.1585</v>
      </c>
      <c r="HF18" s="11">
        <f>HF16-HF17</f>
        <v>4987.08</v>
      </c>
      <c r="HG18" s="11">
        <f>HG16-HG17</f>
        <v>6001.7885000000006</v>
      </c>
      <c r="HH18" s="11">
        <f>HH16-HH17</f>
        <v>2660.4059999999995</v>
      </c>
      <c r="HI18" s="11">
        <f>HI16-HI17</f>
        <v>4626.2355000000007</v>
      </c>
      <c r="HJ18" s="11">
        <f>HJ16-HJ17</f>
        <v>11206.675999999999</v>
      </c>
      <c r="HK18" s="11">
        <f>HK16-HK17</f>
        <v>4803.26</v>
      </c>
      <c r="HL18" s="11">
        <f>HL16-HL17</f>
        <v>8697</v>
      </c>
      <c r="HM18" s="11">
        <f>HM16-HM17</f>
        <v>25927.84</v>
      </c>
      <c r="HN18" s="11">
        <f>HN16-HN17</f>
        <v>8001.4479999999994</v>
      </c>
      <c r="HO18" s="11">
        <f>HO16-HO17</f>
        <v>24892.240000000002</v>
      </c>
      <c r="HP18" s="11">
        <f>HP16-HP17</f>
        <v>8067.4229999999989</v>
      </c>
      <c r="HQ18" s="11">
        <f>HQ16-HQ17</f>
        <v>2433.732</v>
      </c>
      <c r="HR18" s="11">
        <f>HR16-HR17</f>
        <v>8604.9779999999992</v>
      </c>
      <c r="HS18" s="11">
        <f>HS16-HS17</f>
        <v>2953.3690000000001</v>
      </c>
      <c r="HT18" s="11">
        <f>HT16-HT17</f>
        <v>3467.2799999999997</v>
      </c>
      <c r="HU18" s="11">
        <f>HU16-HU17</f>
        <v>17775.743999999999</v>
      </c>
      <c r="HV18" s="11">
        <f>HV16-HV17</f>
        <v>28153.599999999999</v>
      </c>
      <c r="HW18" s="11">
        <f>HW16-HW17</f>
        <v>8718.2549999999992</v>
      </c>
      <c r="HX18" s="11">
        <f>HX16-HX17</f>
        <v>4076.3679999999995</v>
      </c>
      <c r="HY18" s="11">
        <f>HY16-HY17</f>
        <v>1963.5519999999997</v>
      </c>
      <c r="HZ18" s="11">
        <f>HZ16-HZ17</f>
        <v>530.09500000000003</v>
      </c>
      <c r="IA18" s="11">
        <f>IA16-IA17</f>
        <v>2066.3009999999999</v>
      </c>
      <c r="IB18" s="11">
        <f>IB16-IB17</f>
        <v>21925.367000000002</v>
      </c>
      <c r="IC18" s="11">
        <f>IC16-IC17</f>
        <v>14737.442000000001</v>
      </c>
      <c r="ID18" s="11">
        <f>ID16-ID17</f>
        <v>2218.3250000000003</v>
      </c>
      <c r="IE18" s="11">
        <f>IE16-IE17</f>
        <v>1985.9489999999998</v>
      </c>
      <c r="IF18" s="11">
        <f>IF16-IF17</f>
        <v>7208.2190000000001</v>
      </c>
      <c r="IG18" s="11">
        <f>IG16-IG17</f>
        <v>2175.1</v>
      </c>
      <c r="IH18" s="11">
        <f>IH16-IH17</f>
        <v>11168.58</v>
      </c>
      <c r="II18" s="11">
        <f>II16-II17</f>
        <v>15821.416000000001</v>
      </c>
      <c r="IJ18" s="11">
        <f>IJ16-IJ17</f>
        <v>1010.5699999999999</v>
      </c>
      <c r="IK18" s="11">
        <f>IK16-IK17</f>
        <v>2402.67</v>
      </c>
      <c r="IL18" s="11">
        <f>IL16-IL17</f>
        <v>10109.904</v>
      </c>
      <c r="IM18" s="11">
        <f>IM16-IM17</f>
        <v>2936.0335</v>
      </c>
      <c r="IN18" s="11">
        <f>IN16-IN17</f>
        <v>12361.348</v>
      </c>
      <c r="IO18" s="11">
        <f>IO16-IO17</f>
        <v>15322.810000000001</v>
      </c>
      <c r="IP18" s="11">
        <f>IP16-IP17</f>
        <v>3942.92</v>
      </c>
      <c r="IQ18" s="11">
        <f>IQ16-IQ17</f>
        <v>24396.304500000002</v>
      </c>
      <c r="IR18" s="11">
        <f>IR16-IR17</f>
        <v>12245.788</v>
      </c>
      <c r="IS18" s="11">
        <f>IS16-IS17</f>
        <v>6279.1679999999997</v>
      </c>
      <c r="IT18" s="11">
        <f>IT16-IT17</f>
        <v>11047.0275</v>
      </c>
      <c r="IU18" s="11">
        <f>IU16-IU17</f>
        <v>5423.32</v>
      </c>
      <c r="IV18" s="11">
        <f>IV16-IV17</f>
        <v>16315.453499999996</v>
      </c>
      <c r="IW18" s="11">
        <f>IW16-IW17</f>
        <v>15796.32</v>
      </c>
      <c r="IX18" s="11">
        <f>IX16-IX17</f>
        <v>687.5145</v>
      </c>
      <c r="IY18" s="11">
        <f>IY16-IY17</f>
        <v>12628.35</v>
      </c>
      <c r="IZ18" s="11">
        <f>IZ16-IZ17</f>
        <v>10491.968500000001</v>
      </c>
      <c r="JA18" s="11">
        <f>JA16-JA17</f>
        <v>1849.7170000000001</v>
      </c>
      <c r="JB18" s="11">
        <f>JB16-JB17</f>
        <v>1066.5</v>
      </c>
      <c r="JC18" s="11">
        <f>JC16-JC17</f>
        <v>15748.486999999999</v>
      </c>
      <c r="JD18" s="11">
        <f>JD16-JD17</f>
        <v>15161.02</v>
      </c>
      <c r="JE18" s="11">
        <f>JE16-JE17</f>
        <v>3784.3679999999999</v>
      </c>
      <c r="JF18" s="11">
        <f>JF16-JF17</f>
        <v>14841.490000000002</v>
      </c>
      <c r="JG18" s="11">
        <f>JG16-JG17</f>
        <v>14888.254999999999</v>
      </c>
      <c r="JH18" s="11">
        <f>JH16-JH17</f>
        <v>857.99299999999994</v>
      </c>
      <c r="JI18" s="11">
        <f>JI16-JI17</f>
        <v>2421.11</v>
      </c>
      <c r="JJ18" s="11">
        <f>JJ16-JJ17</f>
        <v>13257.468000000001</v>
      </c>
      <c r="JK18" s="11">
        <f>JK16-JK17</f>
        <v>17456.329999999998</v>
      </c>
      <c r="JL18" s="11">
        <f>JL16-JL17</f>
        <v>7408.5300000000007</v>
      </c>
      <c r="JM18" s="11">
        <f>JM16-JM17</f>
        <v>17361.244000000002</v>
      </c>
      <c r="JN18" s="11">
        <f>JN16-JN17</f>
        <v>2199.5889999999999</v>
      </c>
      <c r="JO18" s="11">
        <f>JO16-JO17</f>
        <v>5032.6000000000004</v>
      </c>
      <c r="JP18" s="11">
        <f>JP16-JP17</f>
        <v>3109.3290000000002</v>
      </c>
      <c r="JQ18" s="11">
        <f>JQ16-JQ17</f>
        <v>25944.037999999997</v>
      </c>
      <c r="JR18" s="11">
        <f>JR16-JR17</f>
        <v>5065.6539999999986</v>
      </c>
      <c r="JS18" s="11">
        <f>JS16-JS17</f>
        <v>4009.4960000000001</v>
      </c>
      <c r="JT18" s="11">
        <f>JT16-JT17</f>
        <v>21449.22</v>
      </c>
      <c r="JU18" s="11">
        <f>JU16-JU17</f>
        <v>26413.156999999999</v>
      </c>
      <c r="JV18" s="11">
        <f>JV16-JV17</f>
        <v>15492.2</v>
      </c>
      <c r="JW18" s="11">
        <f>JW16-JW17</f>
        <v>430.44200000000006</v>
      </c>
      <c r="JX18" s="11">
        <f>JX16-JX17</f>
        <v>465.54</v>
      </c>
      <c r="JY18" s="11">
        <f>JY16-JY17</f>
        <v>8405.7870000000003</v>
      </c>
      <c r="JZ18" s="11">
        <f>JZ16-JZ17</f>
        <v>1277.7670000000001</v>
      </c>
      <c r="KA18" s="11">
        <f>KA16-KA17</f>
        <v>1261.8150000000001</v>
      </c>
      <c r="KB18" s="11">
        <f>KB16-KB17</f>
        <v>11619.960000000001</v>
      </c>
      <c r="KC18" s="11">
        <f>KC16-KC17</f>
        <v>28809.62</v>
      </c>
      <c r="KD18" s="11">
        <f>KD16-KD17</f>
        <v>8212.6540000000005</v>
      </c>
      <c r="KE18" s="11">
        <f>KE16-KE17</f>
        <v>19622.438999999998</v>
      </c>
      <c r="KF18" s="11">
        <f>KF16-KF17</f>
        <v>21794.491000000002</v>
      </c>
      <c r="KG18" s="11">
        <f>KG16-KG17</f>
        <v>6699.9600000000009</v>
      </c>
      <c r="KH18" s="11">
        <f>KH16-KH17</f>
        <v>7245.8019999999997</v>
      </c>
      <c r="KI18" s="11">
        <f>KI16-KI17</f>
        <v>2902.4700000000003</v>
      </c>
      <c r="KJ18" s="11">
        <f>KJ16-KJ17</f>
        <v>619.73</v>
      </c>
      <c r="KK18" s="11">
        <f>KK16-KK17</f>
        <v>13574.6965</v>
      </c>
      <c r="KL18" s="11">
        <f>KL16-KL17</f>
        <v>2135.77</v>
      </c>
      <c r="KM18" s="11">
        <f>KM16-KM17</f>
        <v>35892.9</v>
      </c>
      <c r="KN18" s="11">
        <f>KN16-KN17</f>
        <v>7340.5459999999994</v>
      </c>
      <c r="KO18" s="11">
        <f>KO16-KO17</f>
        <v>10633.376</v>
      </c>
      <c r="KP18" s="11">
        <f>KP16-KP17</f>
        <v>6605.74</v>
      </c>
      <c r="KQ18" s="11">
        <f>KQ16-KQ17</f>
        <v>4244.4639999999999</v>
      </c>
      <c r="KR18" s="11">
        <f>KR16-KR17</f>
        <v>1543.1999999999998</v>
      </c>
      <c r="KS18" s="11">
        <f>KS16-KS17</f>
        <v>8559.6679999999997</v>
      </c>
      <c r="KT18" s="11">
        <f>KT16-KT17</f>
        <v>5470.1139999999996</v>
      </c>
      <c r="KU18" s="11">
        <f>KU16-KU17</f>
        <v>2849.0780000000004</v>
      </c>
      <c r="KV18" s="11">
        <f>KV16-KV17</f>
        <v>7652.1945000000005</v>
      </c>
      <c r="KW18" s="11">
        <f>KW16-KW17</f>
        <v>12572.8</v>
      </c>
      <c r="KX18" s="11">
        <f>KX16-KX17</f>
        <v>2493.819</v>
      </c>
      <c r="KY18" s="11">
        <f>KY16-KY17</f>
        <v>16792.841499999999</v>
      </c>
      <c r="KZ18" s="11">
        <f>KZ16-KZ17</f>
        <v>7797.2029999999995</v>
      </c>
      <c r="LA18" s="11">
        <f>LA16-LA17</f>
        <v>2588.64</v>
      </c>
      <c r="LB18" s="11">
        <f>LB16-LB17</f>
        <v>2836.7330000000002</v>
      </c>
      <c r="LC18" s="11">
        <f>LC16-LC17</f>
        <v>1601.962</v>
      </c>
      <c r="LD18" s="11">
        <f>LD16-LD17</f>
        <v>22706.078999999998</v>
      </c>
      <c r="LE18" s="11">
        <f>LE16-LE17</f>
        <v>16956.234500000002</v>
      </c>
      <c r="LF18" s="11">
        <f>LF16-LF17</f>
        <v>1325.05</v>
      </c>
      <c r="LG18" s="11">
        <f>LG16-LG17</f>
        <v>1715.21</v>
      </c>
      <c r="LH18" s="11">
        <f>LH16-LH17</f>
        <v>10795.268</v>
      </c>
      <c r="LI18" s="11">
        <f>LI16-LI17</f>
        <v>18038.240000000002</v>
      </c>
      <c r="LJ18" s="11">
        <f>LJ16-LJ17</f>
        <v>19893.861999999997</v>
      </c>
      <c r="LK18" s="11">
        <f>LK16-LK17</f>
        <v>3204.1000000000004</v>
      </c>
      <c r="LL18" s="11">
        <f>LL16-LL17</f>
        <v>3077.3274999999999</v>
      </c>
      <c r="LM18" s="11">
        <f>LM16-LM17</f>
        <v>27268.434000000001</v>
      </c>
      <c r="LN18" s="11">
        <f>LN16-LN17</f>
        <v>5111.05</v>
      </c>
      <c r="LO18" s="11">
        <f>LO16-LO17</f>
        <v>6240.125</v>
      </c>
      <c r="LP18" s="11">
        <f>LP16-LP17</f>
        <v>23802.6</v>
      </c>
      <c r="LQ18" s="11">
        <f>LQ16-LQ17</f>
        <v>5144.8360000000002</v>
      </c>
      <c r="LR18" s="11">
        <f>LR16-LR17</f>
        <v>2663.942</v>
      </c>
      <c r="LS18" s="11">
        <f>LS16-LS17</f>
        <v>23393.58</v>
      </c>
      <c r="LT18" s="11">
        <f>LT16-LT17</f>
        <v>4329.5195000000003</v>
      </c>
      <c r="LU18" s="11">
        <f>LU16-LU17</f>
        <v>2543.8609999999999</v>
      </c>
      <c r="LV18" s="11">
        <f>LV16-LV17</f>
        <v>16071.008499999996</v>
      </c>
      <c r="LW18" s="11">
        <f>LW16-LW17</f>
        <v>10566.234</v>
      </c>
      <c r="LX18" s="11">
        <f>LX16-LX17</f>
        <v>14039.088</v>
      </c>
      <c r="LY18" s="11">
        <f>LY16-LY17</f>
        <v>982.87200000000007</v>
      </c>
      <c r="LZ18" s="11">
        <f>LZ16-LZ17</f>
        <v>23331.601999999999</v>
      </c>
      <c r="MA18" s="11">
        <f>MA16-MA17</f>
        <v>1170.338</v>
      </c>
      <c r="MB18" s="11">
        <f>MB16-MB17</f>
        <v>14129.423000000001</v>
      </c>
      <c r="MC18" s="11">
        <f>MC16-MC17</f>
        <v>10617.416000000001</v>
      </c>
      <c r="MD18" s="11">
        <f>MD16-MD17</f>
        <v>2567.7199999999998</v>
      </c>
      <c r="ME18" s="11">
        <f>ME16-ME17</f>
        <v>8431.6509999999998</v>
      </c>
      <c r="MF18" s="11">
        <f>MF16-MF17</f>
        <v>2194.5699999999997</v>
      </c>
      <c r="MG18" s="11">
        <f>MG16-MG17</f>
        <v>9360.3220000000001</v>
      </c>
      <c r="MH18" s="11">
        <f>MH16-MH17</f>
        <v>3299.1320000000001</v>
      </c>
      <c r="MI18" s="11">
        <f>MI16-MI17</f>
        <v>27628.636999999999</v>
      </c>
      <c r="MJ18" s="11">
        <f>MJ16-MJ17</f>
        <v>2151.6440000000002</v>
      </c>
      <c r="MK18" s="11">
        <f>MK16-MK17</f>
        <v>4809.2179999999998</v>
      </c>
      <c r="ML18" s="11">
        <f>ML16-ML17</f>
        <v>18755.03</v>
      </c>
      <c r="MM18" s="11">
        <f>MM16-MM17</f>
        <v>3115.04</v>
      </c>
      <c r="MN18" s="11">
        <f>MN16-MN17</f>
        <v>5034.9704999999994</v>
      </c>
      <c r="MO18" s="11">
        <f>MO16-MO17</f>
        <v>3479.348</v>
      </c>
      <c r="MP18" s="11">
        <f>MP16-MP17</f>
        <v>10799.621999999999</v>
      </c>
      <c r="MQ18" s="11">
        <f>MQ16-MQ17</f>
        <v>3018.0520000000001</v>
      </c>
      <c r="MR18" s="11">
        <f>MR16-MR17</f>
        <v>22570.364000000001</v>
      </c>
      <c r="MS18" s="11">
        <f>MS16-MS17</f>
        <v>9892.344000000001</v>
      </c>
      <c r="MT18" s="11">
        <f>MT16-MT17</f>
        <v>10402.48</v>
      </c>
      <c r="MU18" s="11">
        <f>MU16-MU17</f>
        <v>24996.217000000001</v>
      </c>
      <c r="MV18" s="11">
        <f>MV16-MV17</f>
        <v>192.8715</v>
      </c>
      <c r="MW18" s="11">
        <f>MW16-MW17</f>
        <v>9719.65</v>
      </c>
      <c r="MX18" s="11">
        <f>MX16-MX17</f>
        <v>5756.36</v>
      </c>
      <c r="MY18" s="11">
        <f>MY16-MY17</f>
        <v>4237.3639999999996</v>
      </c>
      <c r="MZ18" s="11">
        <f>MZ16-MZ17</f>
        <v>480.61249999999995</v>
      </c>
      <c r="NA18" s="11">
        <f>NA16-NA17</f>
        <v>2992.817</v>
      </c>
      <c r="NB18" s="11">
        <f>NB16-NB17</f>
        <v>15092.531999999999</v>
      </c>
      <c r="NC18" s="11">
        <f>NC16-NC17</f>
        <v>16604.400000000001</v>
      </c>
      <c r="ND18" s="11">
        <f>ND16-ND17</f>
        <v>27510.714499999998</v>
      </c>
      <c r="NE18" s="11">
        <f>NE16-NE17</f>
        <v>13921.923500000001</v>
      </c>
      <c r="NF18" s="11">
        <f>NF16-NF17</f>
        <v>22874.786500000002</v>
      </c>
      <c r="NG18" s="11">
        <f>NG16-NG17</f>
        <v>9771.36</v>
      </c>
      <c r="NH18" s="11">
        <f>NH16-NH17</f>
        <v>13684.256000000001</v>
      </c>
      <c r="NI18" s="11">
        <f>NI16-NI17</f>
        <v>7538.1229999999996</v>
      </c>
      <c r="NJ18" s="11">
        <f>NJ16-NJ17</f>
        <v>6114.2999999999993</v>
      </c>
      <c r="NK18" s="11">
        <f>NK16-NK17</f>
        <v>6934.6619999999994</v>
      </c>
      <c r="NL18" s="11">
        <f>NL16-NL17</f>
        <v>5709.7995000000001</v>
      </c>
      <c r="NM18" s="11">
        <f>NM16-NM17</f>
        <v>3566.9189999999999</v>
      </c>
      <c r="NN18" s="11">
        <f>NN16-NN17</f>
        <v>3520.44</v>
      </c>
      <c r="NO18" s="11">
        <f>NO16-NO17</f>
        <v>27390.881999999998</v>
      </c>
      <c r="NP18" s="11">
        <f>NP16-NP17</f>
        <v>3724.9034999999999</v>
      </c>
      <c r="NQ18" s="11">
        <f>NQ16-NQ17</f>
        <v>4663.3589999999995</v>
      </c>
      <c r="NR18" s="11">
        <f>NR16-NR17</f>
        <v>1392.8885</v>
      </c>
      <c r="NS18" s="11">
        <f>NS16-NS17</f>
        <v>2936.6059999999998</v>
      </c>
      <c r="NT18" s="11">
        <f>NT16-NT17</f>
        <v>3124.9290000000001</v>
      </c>
      <c r="NU18" s="11">
        <f>NU16-NU17</f>
        <v>8129.8559999999998</v>
      </c>
      <c r="NV18" s="11">
        <f>NV16-NV17</f>
        <v>3773.16</v>
      </c>
      <c r="NW18" s="11">
        <f>NW16-NW17</f>
        <v>3611.5720000000001</v>
      </c>
      <c r="NX18" s="11">
        <f>NX16-NX17</f>
        <v>9600.7800000000007</v>
      </c>
      <c r="NY18" s="11">
        <f>NY16-NY17</f>
        <v>5549.5169999999998</v>
      </c>
      <c r="NZ18" s="11">
        <f>NZ16-NZ17</f>
        <v>24215.03</v>
      </c>
      <c r="OA18" s="11">
        <f>OA16-OA17</f>
        <v>2120.4885000000004</v>
      </c>
      <c r="OB18" s="11">
        <f>OB16-OB17</f>
        <v>16946.52</v>
      </c>
      <c r="OC18" s="11">
        <f>OC16-OC17</f>
        <v>4067.5425000000005</v>
      </c>
      <c r="OD18" s="11">
        <f>OD16-OD17</f>
        <v>21790.86</v>
      </c>
      <c r="OE18" s="11">
        <f>OE16-OE17</f>
        <v>16298.880000000001</v>
      </c>
      <c r="OF18" s="11">
        <f>OF16-OF17</f>
        <v>1110.7639999999999</v>
      </c>
      <c r="OG18" s="11">
        <f>OG16-OG17</f>
        <v>12326.697</v>
      </c>
      <c r="OH18" s="11">
        <f>OH16-OH17</f>
        <v>7251.99</v>
      </c>
      <c r="OI18" s="11">
        <f>OI16-OI17</f>
        <v>16228.85</v>
      </c>
      <c r="OJ18" s="11">
        <f>OJ16-OJ17</f>
        <v>5369.58</v>
      </c>
      <c r="OK18" s="11">
        <f>OK16-OK17</f>
        <v>14485.489000000001</v>
      </c>
      <c r="OL18" s="11">
        <f>OL16-OL17</f>
        <v>1928.3554999999999</v>
      </c>
      <c r="OM18" s="11">
        <f>OM16-OM17</f>
        <v>16512.970500000003</v>
      </c>
      <c r="ON18" s="11">
        <f>ON16-ON17</f>
        <v>2393.9214999999999</v>
      </c>
      <c r="OO18" s="11">
        <f>OO16-OO17</f>
        <v>11301.726999999999</v>
      </c>
      <c r="OP18" s="11">
        <f>OP16-OP17</f>
        <v>5082.5020000000004</v>
      </c>
      <c r="OQ18" s="11">
        <f>OQ16-OQ17</f>
        <v>2044.41</v>
      </c>
      <c r="OR18" s="11">
        <f>OR16-OR17</f>
        <v>24317.194</v>
      </c>
      <c r="OS18" s="11">
        <f>OS16-OS17</f>
        <v>3512.14</v>
      </c>
      <c r="OT18" s="11">
        <f>OT16-OT17</f>
        <v>6498.8650000000007</v>
      </c>
      <c r="OU18" s="11">
        <f>OU16-OU17</f>
        <v>6490.9540000000006</v>
      </c>
      <c r="OV18" s="11">
        <f>OV16-OV17</f>
        <v>6188.5450000000001</v>
      </c>
      <c r="OW18" s="11">
        <f>OW16-OW17</f>
        <v>8632.2355000000007</v>
      </c>
      <c r="OX18" s="11">
        <f>OX16-OX17</f>
        <v>10380.719999999999</v>
      </c>
      <c r="OY18" s="11">
        <f>OY16-OY17</f>
        <v>1161.7645</v>
      </c>
      <c r="OZ18" s="11">
        <f>OZ16-OZ17</f>
        <v>5242.1379999999999</v>
      </c>
      <c r="PA18" s="11">
        <f>PA16-PA17</f>
        <v>21278.560000000001</v>
      </c>
      <c r="PB18" s="11">
        <f>PB16-PB17</f>
        <v>3354.81</v>
      </c>
      <c r="PC18" s="11">
        <f>PC16-PC17</f>
        <v>28432.550000000003</v>
      </c>
      <c r="PD18" s="11">
        <f>PD16-PD17</f>
        <v>15053.538499999999</v>
      </c>
      <c r="PE18" s="11">
        <f>PE16-PE17</f>
        <v>740.32099999999991</v>
      </c>
      <c r="PF18" s="11">
        <f>PF16-PF17</f>
        <v>1276.9595000000002</v>
      </c>
      <c r="PG18" s="11">
        <f>PG16-PG17</f>
        <v>6744.3029999999999</v>
      </c>
      <c r="PH18" s="11">
        <f>PH16-PH17</f>
        <v>30633.057000000004</v>
      </c>
      <c r="PI18" s="11">
        <f>PI16-PI17</f>
        <v>15756.614</v>
      </c>
      <c r="PJ18" s="11">
        <f>PJ16-PJ17</f>
        <v>8039.6740000000009</v>
      </c>
      <c r="PK18" s="11">
        <f>PK16-PK17</f>
        <v>10744.851999999999</v>
      </c>
      <c r="PL18" s="11">
        <f>PL16-PL17</f>
        <v>21041.973000000002</v>
      </c>
      <c r="PM18" s="11">
        <f>PM16-PM17</f>
        <v>4475.2839999999997</v>
      </c>
      <c r="PN18" s="11">
        <f>PN16-PN17</f>
        <v>2027.271</v>
      </c>
      <c r="PO18" s="11">
        <f>PO16-PO17</f>
        <v>28476.230000000003</v>
      </c>
      <c r="PP18" s="11">
        <f>PP16-PP17</f>
        <v>11764.9815</v>
      </c>
      <c r="PQ18" s="11">
        <f>PQ16-PQ17</f>
        <v>5506.9559999999992</v>
      </c>
      <c r="PR18" s="11">
        <f>PR16-PR17</f>
        <v>14362</v>
      </c>
      <c r="PS18" s="11">
        <f>PS16-PS17</f>
        <v>2939.06</v>
      </c>
      <c r="PT18" s="11">
        <f>PT16-PT17</f>
        <v>10934.34</v>
      </c>
      <c r="PU18" s="11">
        <f>PU16-PU17</f>
        <v>10046.686</v>
      </c>
      <c r="PV18" s="11">
        <f>PV16-PV17</f>
        <v>19869.6865</v>
      </c>
      <c r="PW18" s="11">
        <f>PW16-PW17</f>
        <v>14178.800999999999</v>
      </c>
      <c r="PX18" s="11">
        <f>PX16-PX17</f>
        <v>3954.7329999999997</v>
      </c>
      <c r="PY18" s="11">
        <f>PY16-PY17</f>
        <v>3435.3140000000003</v>
      </c>
      <c r="PZ18" s="11">
        <f>PZ16-PZ17</f>
        <v>5517.2880000000005</v>
      </c>
      <c r="QA18" s="11">
        <f>QA16-QA17</f>
        <v>24321.843000000001</v>
      </c>
      <c r="QB18" s="11">
        <f>QB16-QB17</f>
        <v>18539.05</v>
      </c>
      <c r="QC18" s="11">
        <f>QC16-QC17</f>
        <v>7106.0810000000001</v>
      </c>
      <c r="QD18" s="11">
        <f>QD16-QD17</f>
        <v>20508.0075</v>
      </c>
      <c r="QE18" s="11">
        <f>QE16-QE17</f>
        <v>2633.24</v>
      </c>
      <c r="QF18" s="11">
        <f>QF16-QF17</f>
        <v>14091.204</v>
      </c>
      <c r="QG18" s="11">
        <f>QG16-QG17</f>
        <v>16359.815999999999</v>
      </c>
      <c r="QH18" s="11">
        <f>QH16-QH17</f>
        <v>14222.6155</v>
      </c>
      <c r="QI18" s="11">
        <f>QI16-QI17</f>
        <v>16187.64</v>
      </c>
      <c r="QJ18" s="11">
        <f>QJ16-QJ17</f>
        <v>9330.09</v>
      </c>
      <c r="QK18" s="11">
        <f>QK16-QK17</f>
        <v>1499.797</v>
      </c>
      <c r="QL18" s="11">
        <f>QL16-QL17</f>
        <v>11879.890500000001</v>
      </c>
      <c r="QM18" s="11">
        <f>QM16-QM17</f>
        <v>24128.194</v>
      </c>
      <c r="QN18" s="11">
        <f>QN16-QN17</f>
        <v>2748.46</v>
      </c>
      <c r="QO18" s="11">
        <f>QO16-QO17</f>
        <v>6502.7510000000002</v>
      </c>
      <c r="QP18" s="11">
        <f>QP16-QP17</f>
        <v>7403.3</v>
      </c>
      <c r="QQ18" s="11">
        <f>QQ16-QQ17</f>
        <v>26950.915000000001</v>
      </c>
      <c r="QR18" s="11">
        <f>QR16-QR17</f>
        <v>6541.5840000000007</v>
      </c>
      <c r="QS18" s="11">
        <f>QS16-QS17</f>
        <v>405.29599999999999</v>
      </c>
      <c r="QT18" s="11">
        <f>QT16-QT17</f>
        <v>2754.6569999999997</v>
      </c>
      <c r="QU18" s="11">
        <f>QU16-QU17</f>
        <v>2103.4650000000001</v>
      </c>
      <c r="QV18" s="11">
        <f>QV16-QV17</f>
        <v>9040.496000000001</v>
      </c>
      <c r="QW18" s="11">
        <f>QW16-QW17</f>
        <v>469.89599999999996</v>
      </c>
      <c r="QX18" s="11">
        <f>QX16-QX17</f>
        <v>1980.5180000000003</v>
      </c>
      <c r="QY18" s="11">
        <f>QY16-QY17</f>
        <v>22638.239999999998</v>
      </c>
      <c r="QZ18" s="11">
        <f>QZ16-QZ17</f>
        <v>12248.922499999999</v>
      </c>
      <c r="RA18" s="11">
        <f>RA16-RA17</f>
        <v>14845.387500000001</v>
      </c>
      <c r="RB18" s="11">
        <f>RB16-RB17</f>
        <v>18789.729500000001</v>
      </c>
      <c r="RC18" s="11">
        <f>RC16-RC17</f>
        <v>1148.4865</v>
      </c>
      <c r="RD18" s="11">
        <f>RD16-RD17</f>
        <v>21549.722000000002</v>
      </c>
      <c r="RE18" s="11">
        <f>RE16-RE17</f>
        <v>11480.787</v>
      </c>
      <c r="RF18" s="11">
        <f>RF16-RF17</f>
        <v>10922.279500000001</v>
      </c>
      <c r="RG18" s="11">
        <f>RG16-RG17</f>
        <v>1464.2735</v>
      </c>
      <c r="RH18" s="11">
        <f>RH16-RH17</f>
        <v>12123.575000000001</v>
      </c>
      <c r="RI18" s="11">
        <f>RI16-RI17</f>
        <v>5871.9359999999997</v>
      </c>
      <c r="RJ18" s="11">
        <f>RJ16-RJ17</f>
        <v>5924.8</v>
      </c>
      <c r="RK18" s="11">
        <f>RK16-RK17</f>
        <v>3196.2089999999998</v>
      </c>
      <c r="RL18" s="11">
        <f>RL16-RL17</f>
        <v>2295.4940000000001</v>
      </c>
      <c r="RM18" s="11">
        <f>RM16-RM17</f>
        <v>4423.5749999999998</v>
      </c>
      <c r="RN18" s="11">
        <f>RN16-RN17</f>
        <v>9284.08</v>
      </c>
      <c r="RO18" s="11">
        <f>RO16-RO17</f>
        <v>12772.771999999997</v>
      </c>
      <c r="RP18" s="11">
        <f>RP16-RP17</f>
        <v>1734.4499999999998</v>
      </c>
      <c r="RQ18" s="11">
        <f>RQ16-RQ17</f>
        <v>26612.468999999997</v>
      </c>
      <c r="RR18" s="11">
        <f>RR16-RR17</f>
        <v>2259.4955</v>
      </c>
      <c r="RS18" s="11">
        <f>RS16-RS17</f>
        <v>6981.93</v>
      </c>
      <c r="RT18" s="11">
        <f>RT16-RT17</f>
        <v>9243.83</v>
      </c>
      <c r="RU18" s="11">
        <f>RU16-RU17</f>
        <v>282.54000000000002</v>
      </c>
      <c r="RV18" s="11">
        <f>RV16-RV17</f>
        <v>19331.0255</v>
      </c>
      <c r="RW18" s="11">
        <f>RW16-RW17</f>
        <v>16687.791999999998</v>
      </c>
      <c r="RX18" s="11">
        <f>RX16-RX17</f>
        <v>4105.2060000000001</v>
      </c>
      <c r="RY18" s="11">
        <f>RY16-RY17</f>
        <v>1557.8</v>
      </c>
      <c r="RZ18" s="11">
        <f>RZ16-RZ17</f>
        <v>9873.6909999999989</v>
      </c>
      <c r="SA18" s="11">
        <f>SA16-SA17</f>
        <v>2522.1725000000001</v>
      </c>
      <c r="SB18" s="11">
        <f>SB16-SB17</f>
        <v>4787.5200000000004</v>
      </c>
      <c r="SC18" s="11">
        <f>SC16-SC17</f>
        <v>5689.706000000001</v>
      </c>
      <c r="SD18" s="11">
        <f>SD16-SD17</f>
        <v>6437.75</v>
      </c>
      <c r="SE18" s="11">
        <f>SE16-SE17</f>
        <v>16559.347999999998</v>
      </c>
      <c r="SF18" s="11">
        <f>SF16-SF17</f>
        <v>4819.3580000000002</v>
      </c>
      <c r="SG18" s="11">
        <f>SG16-SG17</f>
        <v>2043.0219999999999</v>
      </c>
    </row>
    <row r="19" spans="1:501" x14ac:dyDescent="0.3">
      <c r="A19" s="12" t="s">
        <v>73</v>
      </c>
      <c r="B19" s="1" t="str">
        <f>IF(B12&gt;=5,"High","Low")</f>
        <v>High</v>
      </c>
      <c r="C19" s="1" t="str">
        <f>IF(C12&gt;=5,"High","Low")</f>
        <v>High</v>
      </c>
      <c r="D19" s="1" t="str">
        <f>IF(D12&gt;=5,"High","Low")</f>
        <v>High</v>
      </c>
      <c r="E19" s="1" t="str">
        <f>IF(E12&gt;=5,"High","Low")</f>
        <v>Low</v>
      </c>
      <c r="F19" s="1" t="str">
        <f>IF(F12&gt;=5,"High","Low")</f>
        <v>High</v>
      </c>
      <c r="G19" s="1" t="str">
        <f>IF(G12&gt;=5,"High","Low")</f>
        <v>Low</v>
      </c>
      <c r="H19" s="1" t="str">
        <f>IF(H12&gt;=5,"High","Low")</f>
        <v>High</v>
      </c>
      <c r="I19" s="1" t="str">
        <f>IF(I12&gt;=5,"High","Low")</f>
        <v>Low</v>
      </c>
      <c r="J19" s="1" t="str">
        <f>IF(J12&gt;=5,"High","Low")</f>
        <v>High</v>
      </c>
      <c r="K19" s="1" t="str">
        <f>IF(K12&gt;=5,"High","Low")</f>
        <v>High</v>
      </c>
      <c r="L19" s="1" t="str">
        <f>IF(L12&gt;=5,"High","Low")</f>
        <v>High</v>
      </c>
      <c r="M19" s="1" t="str">
        <f>IF(M12&gt;=5,"High","Low")</f>
        <v>High</v>
      </c>
      <c r="N19" s="1" t="str">
        <f>IF(N12&gt;=5,"High","Low")</f>
        <v>High</v>
      </c>
      <c r="O19" s="1" t="str">
        <f>IF(O12&gt;=5,"High","Low")</f>
        <v>High</v>
      </c>
      <c r="P19" s="1" t="str">
        <f>IF(P12&gt;=5,"High","Low")</f>
        <v>High</v>
      </c>
      <c r="Q19" s="1" t="str">
        <f>IF(Q12&gt;=5,"High","Low")</f>
        <v>High</v>
      </c>
      <c r="R19" s="1" t="str">
        <f>IF(R12&gt;=5,"High","Low")</f>
        <v>Low</v>
      </c>
      <c r="S19" s="1" t="str">
        <f>IF(S12&gt;=5,"High","Low")</f>
        <v>Low</v>
      </c>
      <c r="T19" s="1" t="str">
        <f>IF(T12&gt;=5,"High","Low")</f>
        <v>Low</v>
      </c>
      <c r="U19" s="1" t="str">
        <f>IF(U12&gt;=5,"High","Low")</f>
        <v>Low</v>
      </c>
      <c r="V19" s="1" t="str">
        <f>IF(V12&gt;=5,"High","Low")</f>
        <v>Low</v>
      </c>
      <c r="W19" s="1" t="str">
        <f>IF(W12&gt;=5,"High","Low")</f>
        <v>High</v>
      </c>
      <c r="X19" s="1" t="str">
        <f>IF(X12&gt;=5,"High","Low")</f>
        <v>Low</v>
      </c>
      <c r="Y19" s="1" t="str">
        <f>IF(Y12&gt;=5,"High","Low")</f>
        <v>Low</v>
      </c>
      <c r="Z19" s="1" t="str">
        <f>IF(Z12&gt;=5,"High","Low")</f>
        <v>High</v>
      </c>
      <c r="AA19" s="1" t="str">
        <f>IF(AA12&gt;=5,"High","Low")</f>
        <v>High</v>
      </c>
      <c r="AB19" s="1" t="str">
        <f>IF(AB12&gt;=5,"High","Low")</f>
        <v>Low</v>
      </c>
      <c r="AC19" s="1" t="str">
        <f>IF(AC12&gt;=5,"High","Low")</f>
        <v>High</v>
      </c>
      <c r="AD19" s="1" t="str">
        <f>IF(AD12&gt;=5,"High","Low")</f>
        <v>Low</v>
      </c>
      <c r="AE19" s="1" t="str">
        <f>IF(AE12&gt;=5,"High","Low")</f>
        <v>Low</v>
      </c>
      <c r="AF19" s="1" t="str">
        <f>IF(AF12&gt;=5,"High","Low")</f>
        <v>High</v>
      </c>
      <c r="AG19" s="1" t="str">
        <f>IF(AG12&gt;=5,"High","Low")</f>
        <v>Low</v>
      </c>
      <c r="AH19" s="1" t="str">
        <f>IF(AH12&gt;=5,"High","Low")</f>
        <v>High</v>
      </c>
      <c r="AI19" s="1" t="str">
        <f>IF(AI12&gt;=5,"High","Low")</f>
        <v>High</v>
      </c>
      <c r="AJ19" s="1" t="str">
        <f>IF(AJ12&gt;=5,"High","Low")</f>
        <v>High</v>
      </c>
      <c r="AK19" s="1" t="str">
        <f>IF(AK12&gt;=5,"High","Low")</f>
        <v>High</v>
      </c>
      <c r="AL19" s="1" t="str">
        <f>IF(AL12&gt;=5,"High","Low")</f>
        <v>Low</v>
      </c>
      <c r="AM19" s="1" t="str">
        <f>IF(AM12&gt;=5,"High","Low")</f>
        <v>High</v>
      </c>
      <c r="AN19" s="1" t="str">
        <f>IF(AN12&gt;=5,"High","Low")</f>
        <v>High</v>
      </c>
      <c r="AO19" s="1" t="str">
        <f>IF(AO12&gt;=5,"High","Low")</f>
        <v>High</v>
      </c>
      <c r="AP19" s="1" t="str">
        <f>IF(AP12&gt;=5,"High","Low")</f>
        <v>High</v>
      </c>
      <c r="AQ19" s="1" t="str">
        <f>IF(AQ12&gt;=5,"High","Low")</f>
        <v>Low</v>
      </c>
      <c r="AR19" s="1" t="str">
        <f>IF(AR12&gt;=5,"High","Low")</f>
        <v>High</v>
      </c>
      <c r="AS19" s="1" t="str">
        <f>IF(AS12&gt;=5,"High","Low")</f>
        <v>Low</v>
      </c>
      <c r="AT19" s="1" t="str">
        <f>IF(AT12&gt;=5,"High","Low")</f>
        <v>Low</v>
      </c>
      <c r="AU19" s="1" t="str">
        <f>IF(AU12&gt;=5,"High","Low")</f>
        <v>High</v>
      </c>
      <c r="AV19" s="1" t="str">
        <f>IF(AV12&gt;=5,"High","Low")</f>
        <v>Low</v>
      </c>
      <c r="AW19" s="1" t="str">
        <f>IF(AW12&gt;=5,"High","Low")</f>
        <v>High</v>
      </c>
      <c r="AX19" s="1" t="str">
        <f>IF(AX12&gt;=5,"High","Low")</f>
        <v>High</v>
      </c>
      <c r="AY19" s="1" t="str">
        <f>IF(AY12&gt;=5,"High","Low")</f>
        <v>High</v>
      </c>
      <c r="AZ19" s="1" t="str">
        <f>IF(AZ12&gt;=5,"High","Low")</f>
        <v>High</v>
      </c>
      <c r="BA19" s="1" t="str">
        <f>IF(BA12&gt;=5,"High","Low")</f>
        <v>Low</v>
      </c>
      <c r="BB19" s="1" t="str">
        <f>IF(BB12&gt;=5,"High","Low")</f>
        <v>High</v>
      </c>
      <c r="BC19" s="1" t="str">
        <f>IF(BC12&gt;=5,"High","Low")</f>
        <v>High</v>
      </c>
      <c r="BD19" s="1" t="str">
        <f>IF(BD12&gt;=5,"High","Low")</f>
        <v>Low</v>
      </c>
      <c r="BE19" s="1" t="str">
        <f>IF(BE12&gt;=5,"High","Low")</f>
        <v>High</v>
      </c>
      <c r="BF19" s="1" t="str">
        <f>IF(BF12&gt;=5,"High","Low")</f>
        <v>High</v>
      </c>
      <c r="BG19" s="1" t="str">
        <f>IF(BG12&gt;=5,"High","Low")</f>
        <v>High</v>
      </c>
      <c r="BH19" s="1" t="str">
        <f>IF(BH12&gt;=5,"High","Low")</f>
        <v>High</v>
      </c>
      <c r="BI19" s="1" t="str">
        <f>IF(BI12&gt;=5,"High","Low")</f>
        <v>High</v>
      </c>
      <c r="BJ19" s="1" t="str">
        <f>IF(BJ12&gt;=5,"High","Low")</f>
        <v>High</v>
      </c>
      <c r="BK19" s="1" t="str">
        <f>IF(BK12&gt;=5,"High","Low")</f>
        <v>High</v>
      </c>
      <c r="BL19" s="1" t="str">
        <f>IF(BL12&gt;=5,"High","Low")</f>
        <v>High</v>
      </c>
      <c r="BM19" s="1" t="str">
        <f>IF(BM12&gt;=5,"High","Low")</f>
        <v>Low</v>
      </c>
      <c r="BN19" s="1" t="str">
        <f>IF(BN12&gt;=5,"High","Low")</f>
        <v>Low</v>
      </c>
      <c r="BO19" s="1" t="str">
        <f>IF(BO12&gt;=5,"High","Low")</f>
        <v>High</v>
      </c>
      <c r="BP19" s="1" t="str">
        <f>IF(BP12&gt;=5,"High","Low")</f>
        <v>Low</v>
      </c>
      <c r="BQ19" s="1" t="str">
        <f>IF(BQ12&gt;=5,"High","Low")</f>
        <v>High</v>
      </c>
      <c r="BR19" s="1" t="str">
        <f>IF(BR12&gt;=5,"High","Low")</f>
        <v>High</v>
      </c>
      <c r="BS19" s="1" t="str">
        <f>IF(BS12&gt;=5,"High","Low")</f>
        <v>Low</v>
      </c>
      <c r="BT19" s="1" t="str">
        <f>IF(BT12&gt;=5,"High","Low")</f>
        <v>Low</v>
      </c>
      <c r="BU19" s="1" t="str">
        <f>IF(BU12&gt;=5,"High","Low")</f>
        <v>Low</v>
      </c>
      <c r="BV19" s="1" t="str">
        <f>IF(BV12&gt;=5,"High","Low")</f>
        <v>Low</v>
      </c>
      <c r="BW19" s="1" t="str">
        <f>IF(BW12&gt;=5,"High","Low")</f>
        <v>Low</v>
      </c>
      <c r="BX19" s="1" t="str">
        <f>IF(BX12&gt;=5,"High","Low")</f>
        <v>Low</v>
      </c>
      <c r="BY19" s="1" t="str">
        <f>IF(BY12&gt;=5,"High","Low")</f>
        <v>High</v>
      </c>
      <c r="BZ19" s="1" t="str">
        <f>IF(BZ12&gt;=5,"High","Low")</f>
        <v>Low</v>
      </c>
      <c r="CA19" s="1" t="str">
        <f>IF(CA12&gt;=5,"High","Low")</f>
        <v>High</v>
      </c>
      <c r="CB19" s="1" t="str">
        <f>IF(CB12&gt;=5,"High","Low")</f>
        <v>High</v>
      </c>
      <c r="CC19" s="1" t="str">
        <f>IF(CC12&gt;=5,"High","Low")</f>
        <v>Low</v>
      </c>
      <c r="CD19" s="1" t="str">
        <f>IF(CD12&gt;=5,"High","Low")</f>
        <v>High</v>
      </c>
      <c r="CE19" s="1" t="str">
        <f>IF(CE12&gt;=5,"High","Low")</f>
        <v>High</v>
      </c>
      <c r="CF19" s="1" t="str">
        <f>IF(CF12&gt;=5,"High","Low")</f>
        <v>High</v>
      </c>
      <c r="CG19" s="1" t="str">
        <f>IF(CG12&gt;=5,"High","Low")</f>
        <v>Low</v>
      </c>
      <c r="CH19" s="1" t="str">
        <f>IF(CH12&gt;=5,"High","Low")</f>
        <v>Low</v>
      </c>
      <c r="CI19" s="1" t="str">
        <f>IF(CI12&gt;=5,"High","Low")</f>
        <v>Low</v>
      </c>
      <c r="CJ19" s="1" t="str">
        <f>IF(CJ12&gt;=5,"High","Low")</f>
        <v>High</v>
      </c>
      <c r="CK19" s="1" t="str">
        <f>IF(CK12&gt;=5,"High","Low")</f>
        <v>Low</v>
      </c>
      <c r="CL19" s="1" t="str">
        <f>IF(CL12&gt;=5,"High","Low")</f>
        <v>Low</v>
      </c>
      <c r="CM19" s="1" t="str">
        <f>IF(CM12&gt;=5,"High","Low")</f>
        <v>High</v>
      </c>
      <c r="CN19" s="1" t="str">
        <f>IF(CN12&gt;=5,"High","Low")</f>
        <v>High</v>
      </c>
      <c r="CO19" s="1" t="str">
        <f>IF(CO12&gt;=5,"High","Low")</f>
        <v>Low</v>
      </c>
      <c r="CP19" s="1" t="str">
        <f>IF(CP12&gt;=5,"High","Low")</f>
        <v>High</v>
      </c>
      <c r="CQ19" s="1" t="str">
        <f>IF(CQ12&gt;=5,"High","Low")</f>
        <v>Low</v>
      </c>
      <c r="CR19" s="1" t="str">
        <f>IF(CR12&gt;=5,"High","Low")</f>
        <v>Low</v>
      </c>
      <c r="CS19" s="1" t="str">
        <f>IF(CS12&gt;=5,"High","Low")</f>
        <v>Low</v>
      </c>
      <c r="CT19" s="1" t="str">
        <f>IF(CT12&gt;=5,"High","Low")</f>
        <v>High</v>
      </c>
      <c r="CU19" s="1" t="str">
        <f>IF(CU12&gt;=5,"High","Low")</f>
        <v>Low</v>
      </c>
      <c r="CV19" s="1" t="str">
        <f>IF(CV12&gt;=5,"High","Low")</f>
        <v>Low</v>
      </c>
      <c r="CW19" s="1" t="str">
        <f>IF(CW12&gt;=5,"High","Low")</f>
        <v>High</v>
      </c>
      <c r="CX19" s="1" t="str">
        <f>IF(CX12&gt;=5,"High","Low")</f>
        <v>High</v>
      </c>
      <c r="CY19" s="1" t="str">
        <f>IF(CY12&gt;=5,"High","Low")</f>
        <v>Low</v>
      </c>
      <c r="CZ19" s="1" t="str">
        <f>IF(CZ12&gt;=5,"High","Low")</f>
        <v>High</v>
      </c>
      <c r="DA19" s="1" t="str">
        <f>IF(DA12&gt;=5,"High","Low")</f>
        <v>High</v>
      </c>
      <c r="DB19" s="1" t="str">
        <f>IF(DB12&gt;=5,"High","Low")</f>
        <v>High</v>
      </c>
      <c r="DC19" s="1" t="str">
        <f>IF(DC12&gt;=5,"High","Low")</f>
        <v>Low</v>
      </c>
      <c r="DD19" s="1" t="str">
        <f>IF(DD12&gt;=5,"High","Low")</f>
        <v>High</v>
      </c>
      <c r="DE19" s="1" t="str">
        <f>IF(DE12&gt;=5,"High","Low")</f>
        <v>Low</v>
      </c>
      <c r="DF19" s="1" t="str">
        <f>IF(DF12&gt;=5,"High","Low")</f>
        <v>Low</v>
      </c>
      <c r="DG19" s="1" t="str">
        <f>IF(DG12&gt;=5,"High","Low")</f>
        <v>High</v>
      </c>
      <c r="DH19" s="1" t="str">
        <f>IF(DH12&gt;=5,"High","Low")</f>
        <v>Low</v>
      </c>
      <c r="DI19" s="1" t="str">
        <f>IF(DI12&gt;=5,"High","Low")</f>
        <v>Low</v>
      </c>
      <c r="DJ19" s="1" t="str">
        <f>IF(DJ12&gt;=5,"High","Low")</f>
        <v>High</v>
      </c>
      <c r="DK19" s="1" t="str">
        <f>IF(DK12&gt;=5,"High","Low")</f>
        <v>High</v>
      </c>
      <c r="DL19" s="1" t="str">
        <f>IF(DL12&gt;=5,"High","Low")</f>
        <v>Low</v>
      </c>
      <c r="DM19" s="1" t="str">
        <f>IF(DM12&gt;=5,"High","Low")</f>
        <v>High</v>
      </c>
      <c r="DN19" s="1" t="str">
        <f>IF(DN12&gt;=5,"High","Low")</f>
        <v>High</v>
      </c>
      <c r="DO19" s="1" t="str">
        <f>IF(DO12&gt;=5,"High","Low")</f>
        <v>Low</v>
      </c>
      <c r="DP19" s="1" t="str">
        <f>IF(DP12&gt;=5,"High","Low")</f>
        <v>High</v>
      </c>
      <c r="DQ19" s="1" t="str">
        <f>IF(DQ12&gt;=5,"High","Low")</f>
        <v>High</v>
      </c>
      <c r="DR19" s="1" t="str">
        <f>IF(DR12&gt;=5,"High","Low")</f>
        <v>High</v>
      </c>
      <c r="DS19" s="1" t="str">
        <f>IF(DS12&gt;=5,"High","Low")</f>
        <v>High</v>
      </c>
      <c r="DT19" s="1" t="str">
        <f>IF(DT12&gt;=5,"High","Low")</f>
        <v>High</v>
      </c>
      <c r="DU19" s="1" t="str">
        <f>IF(DU12&gt;=5,"High","Low")</f>
        <v>High</v>
      </c>
      <c r="DV19" s="1" t="str">
        <f>IF(DV12&gt;=5,"High","Low")</f>
        <v>High</v>
      </c>
      <c r="DW19" s="1" t="str">
        <f>IF(DW12&gt;=5,"High","Low")</f>
        <v>High</v>
      </c>
      <c r="DX19" s="1" t="str">
        <f>IF(DX12&gt;=5,"High","Low")</f>
        <v>High</v>
      </c>
      <c r="DY19" s="1" t="str">
        <f>IF(DY12&gt;=5,"High","Low")</f>
        <v>High</v>
      </c>
      <c r="DZ19" s="1" t="str">
        <f>IF(DZ12&gt;=5,"High","Low")</f>
        <v>Low</v>
      </c>
      <c r="EA19" s="1" t="str">
        <f>IF(EA12&gt;=5,"High","Low")</f>
        <v>Low</v>
      </c>
      <c r="EB19" s="1" t="str">
        <f>IF(EB12&gt;=5,"High","Low")</f>
        <v>High</v>
      </c>
      <c r="EC19" s="1" t="str">
        <f>IF(EC12&gt;=5,"High","Low")</f>
        <v>Low</v>
      </c>
      <c r="ED19" s="1" t="str">
        <f>IF(ED12&gt;=5,"High","Low")</f>
        <v>Low</v>
      </c>
      <c r="EE19" s="1" t="str">
        <f>IF(EE12&gt;=5,"High","Low")</f>
        <v>High</v>
      </c>
      <c r="EF19" s="1" t="str">
        <f>IF(EF12&gt;=5,"High","Low")</f>
        <v>High</v>
      </c>
      <c r="EG19" s="1" t="str">
        <f>IF(EG12&gt;=5,"High","Low")</f>
        <v>High</v>
      </c>
      <c r="EH19" s="1" t="str">
        <f>IF(EH12&gt;=5,"High","Low")</f>
        <v>Low</v>
      </c>
      <c r="EI19" s="1" t="str">
        <f>IF(EI12&gt;=5,"High","Low")</f>
        <v>Low</v>
      </c>
      <c r="EJ19" s="1" t="str">
        <f>IF(EJ12&gt;=5,"High","Low")</f>
        <v>Low</v>
      </c>
      <c r="EK19" s="1" t="str">
        <f>IF(EK12&gt;=5,"High","Low")</f>
        <v>Low</v>
      </c>
      <c r="EL19" s="1" t="str">
        <f>IF(EL12&gt;=5,"High","Low")</f>
        <v>Low</v>
      </c>
      <c r="EM19" s="1" t="str">
        <f>IF(EM12&gt;=5,"High","Low")</f>
        <v>Low</v>
      </c>
      <c r="EN19" s="1" t="str">
        <f>IF(EN12&gt;=5,"High","Low")</f>
        <v>High</v>
      </c>
      <c r="EO19" s="1" t="str">
        <f>IF(EO12&gt;=5,"High","Low")</f>
        <v>High</v>
      </c>
      <c r="EP19" s="1" t="str">
        <f>IF(EP12&gt;=5,"High","Low")</f>
        <v>High</v>
      </c>
      <c r="EQ19" s="1" t="str">
        <f>IF(EQ12&gt;=5,"High","Low")</f>
        <v>Low</v>
      </c>
      <c r="ER19" s="1" t="str">
        <f>IF(ER12&gt;=5,"High","Low")</f>
        <v>High</v>
      </c>
      <c r="ES19" s="1" t="str">
        <f>IF(ES12&gt;=5,"High","Low")</f>
        <v>Low</v>
      </c>
      <c r="ET19" s="1" t="str">
        <f>IF(ET12&gt;=5,"High","Low")</f>
        <v>High</v>
      </c>
      <c r="EU19" s="1" t="str">
        <f>IF(EU12&gt;=5,"High","Low")</f>
        <v>Low</v>
      </c>
      <c r="EV19" s="1" t="str">
        <f>IF(EV12&gt;=5,"High","Low")</f>
        <v>High</v>
      </c>
      <c r="EW19" s="1" t="str">
        <f>IF(EW12&gt;=5,"High","Low")</f>
        <v>Low</v>
      </c>
      <c r="EX19" s="1" t="str">
        <f>IF(EX12&gt;=5,"High","Low")</f>
        <v>High</v>
      </c>
      <c r="EY19" s="1" t="str">
        <f>IF(EY12&gt;=5,"High","Low")</f>
        <v>Low</v>
      </c>
      <c r="EZ19" s="1" t="str">
        <f>IF(EZ12&gt;=5,"High","Low")</f>
        <v>Low</v>
      </c>
      <c r="FA19" s="1" t="str">
        <f>IF(FA12&gt;=5,"High","Low")</f>
        <v>High</v>
      </c>
      <c r="FB19" s="1" t="str">
        <f>IF(FB12&gt;=5,"High","Low")</f>
        <v>High</v>
      </c>
      <c r="FC19" s="1" t="str">
        <f>IF(FC12&gt;=5,"High","Low")</f>
        <v>High</v>
      </c>
      <c r="FD19" s="1" t="str">
        <f>IF(FD12&gt;=5,"High","Low")</f>
        <v>High</v>
      </c>
      <c r="FE19" s="1" t="str">
        <f>IF(FE12&gt;=5,"High","Low")</f>
        <v>Low</v>
      </c>
      <c r="FF19" s="1" t="str">
        <f>IF(FF12&gt;=5,"High","Low")</f>
        <v>High</v>
      </c>
      <c r="FG19" s="1" t="str">
        <f>IF(FG12&gt;=5,"High","Low")</f>
        <v>High</v>
      </c>
      <c r="FH19" s="1" t="str">
        <f>IF(FH12&gt;=5,"High","Low")</f>
        <v>Low</v>
      </c>
      <c r="FI19" s="1" t="str">
        <f>IF(FI12&gt;=5,"High","Low")</f>
        <v>Low</v>
      </c>
      <c r="FJ19" s="1" t="str">
        <f>IF(FJ12&gt;=5,"High","Low")</f>
        <v>Low</v>
      </c>
      <c r="FK19" s="1" t="str">
        <f>IF(FK12&gt;=5,"High","Low")</f>
        <v>High</v>
      </c>
      <c r="FL19" s="1" t="str">
        <f>IF(FL12&gt;=5,"High","Low")</f>
        <v>High</v>
      </c>
      <c r="FM19" s="1" t="str">
        <f>IF(FM12&gt;=5,"High","Low")</f>
        <v>High</v>
      </c>
      <c r="FN19" s="1" t="str">
        <f>IF(FN12&gt;=5,"High","Low")</f>
        <v>High</v>
      </c>
      <c r="FO19" s="1" t="str">
        <f>IF(FO12&gt;=5,"High","Low")</f>
        <v>High</v>
      </c>
      <c r="FP19" s="1" t="str">
        <f>IF(FP12&gt;=5,"High","Low")</f>
        <v>High</v>
      </c>
      <c r="FQ19" s="1" t="str">
        <f>IF(FQ12&gt;=5,"High","Low")</f>
        <v>High</v>
      </c>
      <c r="FR19" s="1" t="str">
        <f>IF(FR12&gt;=5,"High","Low")</f>
        <v>Low</v>
      </c>
      <c r="FS19" s="1" t="str">
        <f>IF(FS12&gt;=5,"High","Low")</f>
        <v>Low</v>
      </c>
      <c r="FT19" s="1" t="str">
        <f>IF(FT12&gt;=5,"High","Low")</f>
        <v>Low</v>
      </c>
      <c r="FU19" s="1" t="str">
        <f>IF(FU12&gt;=5,"High","Low")</f>
        <v>High</v>
      </c>
      <c r="FV19" s="1" t="str">
        <f>IF(FV12&gt;=5,"High","Low")</f>
        <v>Low</v>
      </c>
      <c r="FW19" s="1" t="str">
        <f>IF(FW12&gt;=5,"High","Low")</f>
        <v>High</v>
      </c>
      <c r="FX19" s="1" t="str">
        <f>IF(FX12&gt;=5,"High","Low")</f>
        <v>High</v>
      </c>
      <c r="FY19" s="1" t="str">
        <f>IF(FY12&gt;=5,"High","Low")</f>
        <v>High</v>
      </c>
      <c r="FZ19" s="1" t="str">
        <f>IF(FZ12&gt;=5,"High","Low")</f>
        <v>High</v>
      </c>
      <c r="GA19" s="1" t="str">
        <f>IF(GA12&gt;=5,"High","Low")</f>
        <v>Low</v>
      </c>
      <c r="GB19" s="1" t="str">
        <f>IF(GB12&gt;=5,"High","Low")</f>
        <v>High</v>
      </c>
      <c r="GC19" s="1" t="str">
        <f>IF(GC12&gt;=5,"High","Low")</f>
        <v>High</v>
      </c>
      <c r="GD19" s="1" t="str">
        <f>IF(GD12&gt;=5,"High","Low")</f>
        <v>High</v>
      </c>
      <c r="GE19" s="1" t="str">
        <f>IF(GE12&gt;=5,"High","Low")</f>
        <v>Low</v>
      </c>
      <c r="GF19" s="1" t="str">
        <f>IF(GF12&gt;=5,"High","Low")</f>
        <v>Low</v>
      </c>
      <c r="GG19" s="1" t="str">
        <f>IF(GG12&gt;=5,"High","Low")</f>
        <v>Low</v>
      </c>
      <c r="GH19" s="1" t="str">
        <f>IF(GH12&gt;=5,"High","Low")</f>
        <v>Low</v>
      </c>
      <c r="GI19" s="1" t="str">
        <f>IF(GI12&gt;=5,"High","Low")</f>
        <v>Low</v>
      </c>
      <c r="GJ19" s="1" t="str">
        <f>IF(GJ12&gt;=5,"High","Low")</f>
        <v>High</v>
      </c>
      <c r="GK19" s="1" t="str">
        <f>IF(GK12&gt;=5,"High","Low")</f>
        <v>Low</v>
      </c>
      <c r="GL19" s="1" t="str">
        <f>IF(GL12&gt;=5,"High","Low")</f>
        <v>Low</v>
      </c>
      <c r="GM19" s="1" t="str">
        <f>IF(GM12&gt;=5,"High","Low")</f>
        <v>Low</v>
      </c>
      <c r="GN19" s="1" t="str">
        <f>IF(GN12&gt;=5,"High","Low")</f>
        <v>High</v>
      </c>
      <c r="GO19" s="1" t="str">
        <f>IF(GO12&gt;=5,"High","Low")</f>
        <v>High</v>
      </c>
      <c r="GP19" s="1" t="str">
        <f>IF(GP12&gt;=5,"High","Low")</f>
        <v>Low</v>
      </c>
      <c r="GQ19" s="1" t="str">
        <f>IF(GQ12&gt;=5,"High","Low")</f>
        <v>High</v>
      </c>
      <c r="GR19" s="1" t="str">
        <f>IF(GR12&gt;=5,"High","Low")</f>
        <v>Low</v>
      </c>
      <c r="GS19" s="1" t="str">
        <f>IF(GS12&gt;=5,"High","Low")</f>
        <v>Low</v>
      </c>
      <c r="GT19" s="1" t="str">
        <f>IF(GT12&gt;=5,"High","Low")</f>
        <v>High</v>
      </c>
      <c r="GU19" s="1" t="str">
        <f>IF(GU12&gt;=5,"High","Low")</f>
        <v>High</v>
      </c>
      <c r="GV19" s="1" t="str">
        <f>IF(GV12&gt;=5,"High","Low")</f>
        <v>High</v>
      </c>
      <c r="GW19" s="1" t="str">
        <f>IF(GW12&gt;=5,"High","Low")</f>
        <v>High</v>
      </c>
      <c r="GX19" s="1" t="str">
        <f>IF(GX12&gt;=5,"High","Low")</f>
        <v>High</v>
      </c>
      <c r="GY19" s="1" t="str">
        <f>IF(GY12&gt;=5,"High","Low")</f>
        <v>High</v>
      </c>
      <c r="GZ19" s="1" t="str">
        <f>IF(GZ12&gt;=5,"High","Low")</f>
        <v>High</v>
      </c>
      <c r="HA19" s="1" t="str">
        <f>IF(HA12&gt;=5,"High","Low")</f>
        <v>High</v>
      </c>
      <c r="HB19" s="1" t="str">
        <f>IF(HB12&gt;=5,"High","Low")</f>
        <v>High</v>
      </c>
      <c r="HC19" s="1" t="str">
        <f>IF(HC12&gt;=5,"High","Low")</f>
        <v>High</v>
      </c>
      <c r="HD19" s="1" t="str">
        <f>IF(HD12&gt;=5,"High","Low")</f>
        <v>High</v>
      </c>
      <c r="HE19" s="1" t="str">
        <f>IF(HE12&gt;=5,"High","Low")</f>
        <v>Low</v>
      </c>
      <c r="HF19" s="1" t="str">
        <f>IF(HF12&gt;=5,"High","Low")</f>
        <v>Low</v>
      </c>
      <c r="HG19" s="1" t="str">
        <f>IF(HG12&gt;=5,"High","Low")</f>
        <v>Low</v>
      </c>
      <c r="HH19" s="1" t="str">
        <f>IF(HH12&gt;=5,"High","Low")</f>
        <v>High</v>
      </c>
      <c r="HI19" s="1" t="str">
        <f>IF(HI12&gt;=5,"High","Low")</f>
        <v>High</v>
      </c>
      <c r="HJ19" s="1" t="str">
        <f>IF(HJ12&gt;=5,"High","Low")</f>
        <v>Low</v>
      </c>
      <c r="HK19" s="1" t="str">
        <f>IF(HK12&gt;=5,"High","Low")</f>
        <v>Low</v>
      </c>
      <c r="HL19" s="1" t="str">
        <f>IF(HL12&gt;=5,"High","Low")</f>
        <v>High</v>
      </c>
      <c r="HM19" s="1" t="str">
        <f>IF(HM12&gt;=5,"High","Low")</f>
        <v>High</v>
      </c>
      <c r="HN19" s="1" t="str">
        <f>IF(HN12&gt;=5,"High","Low")</f>
        <v>High</v>
      </c>
      <c r="HO19" s="1" t="str">
        <f>IF(HO12&gt;=5,"High","Low")</f>
        <v>High</v>
      </c>
      <c r="HP19" s="1" t="str">
        <f>IF(HP12&gt;=5,"High","Low")</f>
        <v>High</v>
      </c>
      <c r="HQ19" s="1" t="str">
        <f>IF(HQ12&gt;=5,"High","Low")</f>
        <v>Low</v>
      </c>
      <c r="HR19" s="1" t="str">
        <f>IF(HR12&gt;=5,"High","Low")</f>
        <v>High</v>
      </c>
      <c r="HS19" s="1" t="str">
        <f>IF(HS12&gt;=5,"High","Low")</f>
        <v>High</v>
      </c>
      <c r="HT19" s="1" t="str">
        <f>IF(HT12&gt;=5,"High","Low")</f>
        <v>High</v>
      </c>
      <c r="HU19" s="1" t="str">
        <f>IF(HU12&gt;=5,"High","Low")</f>
        <v>High</v>
      </c>
      <c r="HV19" s="1" t="str">
        <f>IF(HV12&gt;=5,"High","Low")</f>
        <v>High</v>
      </c>
      <c r="HW19" s="1" t="str">
        <f>IF(HW12&gt;=5,"High","Low")</f>
        <v>Low</v>
      </c>
      <c r="HX19" s="1" t="str">
        <f>IF(HX12&gt;=5,"High","Low")</f>
        <v>High</v>
      </c>
      <c r="HY19" s="1" t="str">
        <f>IF(HY12&gt;=5,"High","Low")</f>
        <v>Low</v>
      </c>
      <c r="HZ19" s="1" t="str">
        <f>IF(HZ12&gt;=5,"High","Low")</f>
        <v>Low</v>
      </c>
      <c r="IA19" s="1" t="str">
        <f>IF(IA12&gt;=5,"High","Low")</f>
        <v>High</v>
      </c>
      <c r="IB19" s="1" t="str">
        <f>IF(IB12&gt;=5,"High","Low")</f>
        <v>High</v>
      </c>
      <c r="IC19" s="1" t="str">
        <f>IF(IC12&gt;=5,"High","Low")</f>
        <v>High</v>
      </c>
      <c r="ID19" s="1" t="str">
        <f>IF(ID12&gt;=5,"High","Low")</f>
        <v>High</v>
      </c>
      <c r="IE19" s="1" t="str">
        <f>IF(IE12&gt;=5,"High","Low")</f>
        <v>High</v>
      </c>
      <c r="IF19" s="1" t="str">
        <f>IF(IF12&gt;=5,"High","Low")</f>
        <v>Low</v>
      </c>
      <c r="IG19" s="1" t="str">
        <f>IF(IG12&gt;=5,"High","Low")</f>
        <v>High</v>
      </c>
      <c r="IH19" s="1" t="str">
        <f>IF(IH12&gt;=5,"High","Low")</f>
        <v>High</v>
      </c>
      <c r="II19" s="1" t="str">
        <f>IF(II12&gt;=5,"High","Low")</f>
        <v>High</v>
      </c>
      <c r="IJ19" s="1" t="str">
        <f>IF(IJ12&gt;=5,"High","Low")</f>
        <v>Low</v>
      </c>
      <c r="IK19" s="1" t="str">
        <f>IF(IK12&gt;=5,"High","Low")</f>
        <v>Low</v>
      </c>
      <c r="IL19" s="1" t="str">
        <f>IF(IL12&gt;=5,"High","Low")</f>
        <v>High</v>
      </c>
      <c r="IM19" s="1" t="str">
        <f>IF(IM12&gt;=5,"High","Low")</f>
        <v>Low</v>
      </c>
      <c r="IN19" s="1" t="str">
        <f>IF(IN12&gt;=5,"High","Low")</f>
        <v>High</v>
      </c>
      <c r="IO19" s="1" t="str">
        <f>IF(IO12&gt;=5,"High","Low")</f>
        <v>High</v>
      </c>
      <c r="IP19" s="1" t="str">
        <f>IF(IP12&gt;=5,"High","Low")</f>
        <v>Low</v>
      </c>
      <c r="IQ19" s="1" t="str">
        <f>IF(IQ12&gt;=5,"High","Low")</f>
        <v>High</v>
      </c>
      <c r="IR19" s="1" t="str">
        <f>IF(IR12&gt;=5,"High","Low")</f>
        <v>High</v>
      </c>
      <c r="IS19" s="1" t="str">
        <f>IF(IS12&gt;=5,"High","Low")</f>
        <v>Low</v>
      </c>
      <c r="IT19" s="1" t="str">
        <f>IF(IT12&gt;=5,"High","Low")</f>
        <v>High</v>
      </c>
      <c r="IU19" s="1" t="str">
        <f>IF(IU12&gt;=5,"High","Low")</f>
        <v>Low</v>
      </c>
      <c r="IV19" s="1" t="str">
        <f>IF(IV12&gt;=5,"High","Low")</f>
        <v>High</v>
      </c>
      <c r="IW19" s="1" t="str">
        <f>IF(IW12&gt;=5,"High","Low")</f>
        <v>High</v>
      </c>
      <c r="IX19" s="1" t="str">
        <f>IF(IX12&gt;=5,"High","Low")</f>
        <v>Low</v>
      </c>
      <c r="IY19" s="1" t="str">
        <f>IF(IY12&gt;=5,"High","Low")</f>
        <v>High</v>
      </c>
      <c r="IZ19" s="1" t="str">
        <f>IF(IZ12&gt;=5,"High","Low")</f>
        <v>High</v>
      </c>
      <c r="JA19" s="1" t="str">
        <f>IF(JA12&gt;=5,"High","Low")</f>
        <v>Low</v>
      </c>
      <c r="JB19" s="1" t="str">
        <f>IF(JB12&gt;=5,"High","Low")</f>
        <v>Low</v>
      </c>
      <c r="JC19" s="1" t="str">
        <f>IF(JC12&gt;=5,"High","Low")</f>
        <v>High</v>
      </c>
      <c r="JD19" s="1" t="str">
        <f>IF(JD12&gt;=5,"High","Low")</f>
        <v>High</v>
      </c>
      <c r="JE19" s="1" t="str">
        <f>IF(JE12&gt;=5,"High","Low")</f>
        <v>Low</v>
      </c>
      <c r="JF19" s="1" t="str">
        <f>IF(JF12&gt;=5,"High","Low")</f>
        <v>High</v>
      </c>
      <c r="JG19" s="1" t="str">
        <f>IF(JG12&gt;=5,"High","Low")</f>
        <v>High</v>
      </c>
      <c r="JH19" s="1" t="str">
        <f>IF(JH12&gt;=5,"High","Low")</f>
        <v>Low</v>
      </c>
      <c r="JI19" s="1" t="str">
        <f>IF(JI12&gt;=5,"High","Low")</f>
        <v>Low</v>
      </c>
      <c r="JJ19" s="1" t="str">
        <f>IF(JJ12&gt;=5,"High","Low")</f>
        <v>High</v>
      </c>
      <c r="JK19" s="1" t="str">
        <f>IF(JK12&gt;=5,"High","Low")</f>
        <v>High</v>
      </c>
      <c r="JL19" s="1" t="str">
        <f>IF(JL12&gt;=5,"High","Low")</f>
        <v>Low</v>
      </c>
      <c r="JM19" s="1" t="str">
        <f>IF(JM12&gt;=5,"High","Low")</f>
        <v>High</v>
      </c>
      <c r="JN19" s="1" t="str">
        <f>IF(JN12&gt;=5,"High","Low")</f>
        <v>High</v>
      </c>
      <c r="JO19" s="1" t="str">
        <f>IF(JO12&gt;=5,"High","Low")</f>
        <v>Low</v>
      </c>
      <c r="JP19" s="1" t="str">
        <f>IF(JP12&gt;=5,"High","Low")</f>
        <v>High</v>
      </c>
      <c r="JQ19" s="1" t="str">
        <f>IF(JQ12&gt;=5,"High","Low")</f>
        <v>High</v>
      </c>
      <c r="JR19" s="1" t="str">
        <f>IF(JR12&gt;=5,"High","Low")</f>
        <v>High</v>
      </c>
      <c r="JS19" s="1" t="str">
        <f>IF(JS12&gt;=5,"High","Low")</f>
        <v>High</v>
      </c>
      <c r="JT19" s="1" t="str">
        <f>IF(JT12&gt;=5,"High","Low")</f>
        <v>High</v>
      </c>
      <c r="JU19" s="1" t="str">
        <f>IF(JU12&gt;=5,"High","Low")</f>
        <v>High</v>
      </c>
      <c r="JV19" s="1" t="str">
        <f>IF(JV12&gt;=5,"High","Low")</f>
        <v>High</v>
      </c>
      <c r="JW19" s="1" t="str">
        <f>IF(JW12&gt;=5,"High","Low")</f>
        <v>Low</v>
      </c>
      <c r="JX19" s="1" t="str">
        <f>IF(JX12&gt;=5,"High","Low")</f>
        <v>Low</v>
      </c>
      <c r="JY19" s="1" t="str">
        <f>IF(JY12&gt;=5,"High","Low")</f>
        <v>High</v>
      </c>
      <c r="JZ19" s="1" t="str">
        <f>IF(JZ12&gt;=5,"High","Low")</f>
        <v>Low</v>
      </c>
      <c r="KA19" s="1" t="str">
        <f>IF(KA12&gt;=5,"High","Low")</f>
        <v>High</v>
      </c>
      <c r="KB19" s="1" t="str">
        <f>IF(KB12&gt;=5,"High","Low")</f>
        <v>High</v>
      </c>
      <c r="KC19" s="1" t="str">
        <f>IF(KC12&gt;=5,"High","Low")</f>
        <v>High</v>
      </c>
      <c r="KD19" s="1" t="str">
        <f>IF(KD12&gt;=5,"High","Low")</f>
        <v>High</v>
      </c>
      <c r="KE19" s="1" t="str">
        <f>IF(KE12&gt;=5,"High","Low")</f>
        <v>High</v>
      </c>
      <c r="KF19" s="1" t="str">
        <f>IF(KF12&gt;=5,"High","Low")</f>
        <v>High</v>
      </c>
      <c r="KG19" s="1" t="str">
        <f>IF(KG12&gt;=5,"High","Low")</f>
        <v>High</v>
      </c>
      <c r="KH19" s="1" t="str">
        <f>IF(KH12&gt;=5,"High","Low")</f>
        <v>Low</v>
      </c>
      <c r="KI19" s="1" t="str">
        <f>IF(KI12&gt;=5,"High","Low")</f>
        <v>Low</v>
      </c>
      <c r="KJ19" s="1" t="str">
        <f>IF(KJ12&gt;=5,"High","Low")</f>
        <v>Low</v>
      </c>
      <c r="KK19" s="1" t="str">
        <f>IF(KK12&gt;=5,"High","Low")</f>
        <v>High</v>
      </c>
      <c r="KL19" s="1" t="str">
        <f>IF(KL12&gt;=5,"High","Low")</f>
        <v>Low</v>
      </c>
      <c r="KM19" s="1" t="str">
        <f>IF(KM12&gt;=5,"High","Low")</f>
        <v>High</v>
      </c>
      <c r="KN19" s="1" t="str">
        <f>IF(KN12&gt;=5,"High","Low")</f>
        <v>High</v>
      </c>
      <c r="KO19" s="1" t="str">
        <f>IF(KO12&gt;=5,"High","Low")</f>
        <v>High</v>
      </c>
      <c r="KP19" s="1" t="str">
        <f>IF(KP12&gt;=5,"High","Low")</f>
        <v>Low</v>
      </c>
      <c r="KQ19" s="1" t="str">
        <f>IF(KQ12&gt;=5,"High","Low")</f>
        <v>High</v>
      </c>
      <c r="KR19" s="1" t="str">
        <f>IF(KR12&gt;=5,"High","Low")</f>
        <v>High</v>
      </c>
      <c r="KS19" s="1" t="str">
        <f>IF(KS12&gt;=5,"High","Low")</f>
        <v>Low</v>
      </c>
      <c r="KT19" s="1" t="str">
        <f>IF(KT12&gt;=5,"High","Low")</f>
        <v>Low</v>
      </c>
      <c r="KU19" s="1" t="str">
        <f>IF(KU12&gt;=5,"High","Low")</f>
        <v>Low</v>
      </c>
      <c r="KV19" s="1" t="str">
        <f>IF(KV12&gt;=5,"High","Low")</f>
        <v>Low</v>
      </c>
      <c r="KW19" s="1" t="str">
        <f>IF(KW12&gt;=5,"High","Low")</f>
        <v>Low</v>
      </c>
      <c r="KX19" s="1" t="str">
        <f>IF(KX12&gt;=5,"High","Low")</f>
        <v>Low</v>
      </c>
      <c r="KY19" s="1" t="str">
        <f>IF(KY12&gt;=5,"High","Low")</f>
        <v>High</v>
      </c>
      <c r="KZ19" s="1" t="str">
        <f>IF(KZ12&gt;=5,"High","Low")</f>
        <v>Low</v>
      </c>
      <c r="LA19" s="1" t="str">
        <f>IF(LA12&gt;=5,"High","Low")</f>
        <v>Low</v>
      </c>
      <c r="LB19" s="1" t="str">
        <f>IF(LB12&gt;=5,"High","Low")</f>
        <v>Low</v>
      </c>
      <c r="LC19" s="1" t="str">
        <f>IF(LC12&gt;=5,"High","Low")</f>
        <v>Low</v>
      </c>
      <c r="LD19" s="1" t="str">
        <f>IF(LD12&gt;=5,"High","Low")</f>
        <v>High</v>
      </c>
      <c r="LE19" s="1" t="str">
        <f>IF(LE12&gt;=5,"High","Low")</f>
        <v>High</v>
      </c>
      <c r="LF19" s="1" t="str">
        <f>IF(LF12&gt;=5,"High","Low")</f>
        <v>Low</v>
      </c>
      <c r="LG19" s="1" t="str">
        <f>IF(LG12&gt;=5,"High","Low")</f>
        <v>High</v>
      </c>
      <c r="LH19" s="1" t="str">
        <f>IF(LH12&gt;=5,"High","Low")</f>
        <v>High</v>
      </c>
      <c r="LI19" s="1" t="str">
        <f>IF(LI12&gt;=5,"High","Low")</f>
        <v>High</v>
      </c>
      <c r="LJ19" s="1" t="str">
        <f>IF(LJ12&gt;=5,"High","Low")</f>
        <v>High</v>
      </c>
      <c r="LK19" s="1" t="str">
        <f>IF(LK12&gt;=5,"High","Low")</f>
        <v>High</v>
      </c>
      <c r="LL19" s="1" t="str">
        <f>IF(LL12&gt;=5,"High","Low")</f>
        <v>Low</v>
      </c>
      <c r="LM19" s="1" t="str">
        <f>IF(LM12&gt;=5,"High","Low")</f>
        <v>High</v>
      </c>
      <c r="LN19" s="1" t="str">
        <f>IF(LN12&gt;=5,"High","Low")</f>
        <v>High</v>
      </c>
      <c r="LO19" s="1" t="str">
        <f>IF(LO12&gt;=5,"High","Low")</f>
        <v>Low</v>
      </c>
      <c r="LP19" s="1" t="str">
        <f>IF(LP12&gt;=5,"High","Low")</f>
        <v>High</v>
      </c>
      <c r="LQ19" s="1" t="str">
        <f>IF(LQ12&gt;=5,"High","Low")</f>
        <v>Low</v>
      </c>
      <c r="LR19" s="1" t="str">
        <f>IF(LR12&gt;=5,"High","Low")</f>
        <v>Low</v>
      </c>
      <c r="LS19" s="1" t="str">
        <f>IF(LS12&gt;=5,"High","Low")</f>
        <v>High</v>
      </c>
      <c r="LT19" s="1" t="str">
        <f>IF(LT12&gt;=5,"High","Low")</f>
        <v>Low</v>
      </c>
      <c r="LU19" s="1" t="str">
        <f>IF(LU12&gt;=5,"High","Low")</f>
        <v>Low</v>
      </c>
      <c r="LV19" s="1" t="str">
        <f>IF(LV12&gt;=5,"High","Low")</f>
        <v>High</v>
      </c>
      <c r="LW19" s="1" t="str">
        <f>IF(LW12&gt;=5,"High","Low")</f>
        <v>High</v>
      </c>
      <c r="LX19" s="1" t="str">
        <f>IF(LX12&gt;=5,"High","Low")</f>
        <v>High</v>
      </c>
      <c r="LY19" s="1" t="str">
        <f>IF(LY12&gt;=5,"High","Low")</f>
        <v>Low</v>
      </c>
      <c r="LZ19" s="1" t="str">
        <f>IF(LZ12&gt;=5,"High","Low")</f>
        <v>High</v>
      </c>
      <c r="MA19" s="1" t="str">
        <f>IF(MA12&gt;=5,"High","Low")</f>
        <v>Low</v>
      </c>
      <c r="MB19" s="1" t="str">
        <f>IF(MB12&gt;=5,"High","Low")</f>
        <v>Low</v>
      </c>
      <c r="MC19" s="1" t="str">
        <f>IF(MC12&gt;=5,"High","Low")</f>
        <v>High</v>
      </c>
      <c r="MD19" s="1" t="str">
        <f>IF(MD12&gt;=5,"High","Low")</f>
        <v>Low</v>
      </c>
      <c r="ME19" s="1" t="str">
        <f>IF(ME12&gt;=5,"High","Low")</f>
        <v>High</v>
      </c>
      <c r="MF19" s="1" t="str">
        <f>IF(MF12&gt;=5,"High","Low")</f>
        <v>High</v>
      </c>
      <c r="MG19" s="1" t="str">
        <f>IF(MG12&gt;=5,"High","Low")</f>
        <v>Low</v>
      </c>
      <c r="MH19" s="1" t="str">
        <f>IF(MH12&gt;=5,"High","Low")</f>
        <v>Low</v>
      </c>
      <c r="MI19" s="1" t="str">
        <f>IF(MI12&gt;=5,"High","Low")</f>
        <v>High</v>
      </c>
      <c r="MJ19" s="1" t="str">
        <f>IF(MJ12&gt;=5,"High","Low")</f>
        <v>Low</v>
      </c>
      <c r="MK19" s="1" t="str">
        <f>IF(MK12&gt;=5,"High","Low")</f>
        <v>High</v>
      </c>
      <c r="ML19" s="1" t="str">
        <f>IF(ML12&gt;=5,"High","Low")</f>
        <v>High</v>
      </c>
      <c r="MM19" s="1" t="str">
        <f>IF(MM12&gt;=5,"High","Low")</f>
        <v>Low</v>
      </c>
      <c r="MN19" s="1" t="str">
        <f>IF(MN12&gt;=5,"High","Low")</f>
        <v>Low</v>
      </c>
      <c r="MO19" s="1" t="str">
        <f>IF(MO12&gt;=5,"High","Low")</f>
        <v>Low</v>
      </c>
      <c r="MP19" s="1" t="str">
        <f>IF(MP12&gt;=5,"High","Low")</f>
        <v>High</v>
      </c>
      <c r="MQ19" s="1" t="str">
        <f>IF(MQ12&gt;=5,"High","Low")</f>
        <v>Low</v>
      </c>
      <c r="MR19" s="1" t="str">
        <f>IF(MR12&gt;=5,"High","Low")</f>
        <v>High</v>
      </c>
      <c r="MS19" s="1" t="str">
        <f>IF(MS12&gt;=5,"High","Low")</f>
        <v>High</v>
      </c>
      <c r="MT19" s="1" t="str">
        <f>IF(MT12&gt;=5,"High","Low")</f>
        <v>High</v>
      </c>
      <c r="MU19" s="1" t="str">
        <f>IF(MU12&gt;=5,"High","Low")</f>
        <v>High</v>
      </c>
      <c r="MV19" s="1" t="str">
        <f>IF(MV12&gt;=5,"High","Low")</f>
        <v>Low</v>
      </c>
      <c r="MW19" s="1" t="str">
        <f>IF(MW12&gt;=5,"High","Low")</f>
        <v>High</v>
      </c>
      <c r="MX19" s="1" t="str">
        <f>IF(MX12&gt;=5,"High","Low")</f>
        <v>Low</v>
      </c>
      <c r="MY19" s="1" t="str">
        <f>IF(MY12&gt;=5,"High","Low")</f>
        <v>High</v>
      </c>
      <c r="MZ19" s="1" t="str">
        <f>IF(MZ12&gt;=5,"High","Low")</f>
        <v>Low</v>
      </c>
      <c r="NA19" s="1" t="str">
        <f>IF(NA12&gt;=5,"High","Low")</f>
        <v>Low</v>
      </c>
      <c r="NB19" s="1" t="str">
        <f>IF(NB12&gt;=5,"High","Low")</f>
        <v>High</v>
      </c>
      <c r="NC19" s="1" t="str">
        <f>IF(NC12&gt;=5,"High","Low")</f>
        <v>High</v>
      </c>
      <c r="ND19" s="1" t="str">
        <f>IF(ND12&gt;=5,"High","Low")</f>
        <v>High</v>
      </c>
      <c r="NE19" s="1" t="str">
        <f>IF(NE12&gt;=5,"High","Low")</f>
        <v>High</v>
      </c>
      <c r="NF19" s="1" t="str">
        <f>IF(NF12&gt;=5,"High","Low")</f>
        <v>High</v>
      </c>
      <c r="NG19" s="1" t="str">
        <f>IF(NG12&gt;=5,"High","Low")</f>
        <v>High</v>
      </c>
      <c r="NH19" s="1" t="str">
        <f>IF(NH12&gt;=5,"High","Low")</f>
        <v>High</v>
      </c>
      <c r="NI19" s="1" t="str">
        <f>IF(NI12&gt;=5,"High","Low")</f>
        <v>Low</v>
      </c>
      <c r="NJ19" s="1" t="str">
        <f>IF(NJ12&gt;=5,"High","Low")</f>
        <v>High</v>
      </c>
      <c r="NK19" s="1" t="str">
        <f>IF(NK12&gt;=5,"High","Low")</f>
        <v>High</v>
      </c>
      <c r="NL19" s="1" t="str">
        <f>IF(NL12&gt;=5,"High","Low")</f>
        <v>Low</v>
      </c>
      <c r="NM19" s="1" t="str">
        <f>IF(NM12&gt;=5,"High","Low")</f>
        <v>High</v>
      </c>
      <c r="NN19" s="1" t="str">
        <f>IF(NN12&gt;=5,"High","Low")</f>
        <v>High</v>
      </c>
      <c r="NO19" s="1" t="str">
        <f>IF(NO12&gt;=5,"High","Low")</f>
        <v>High</v>
      </c>
      <c r="NP19" s="1" t="str">
        <f>IF(NP12&gt;=5,"High","Low")</f>
        <v>Low</v>
      </c>
      <c r="NQ19" s="1" t="str">
        <f>IF(NQ12&gt;=5,"High","Low")</f>
        <v>Low</v>
      </c>
      <c r="NR19" s="1" t="str">
        <f>IF(NR12&gt;=5,"High","Low")</f>
        <v>Low</v>
      </c>
      <c r="NS19" s="1" t="str">
        <f>IF(NS12&gt;=5,"High","Low")</f>
        <v>High</v>
      </c>
      <c r="NT19" s="1" t="str">
        <f>IF(NT12&gt;=5,"High","Low")</f>
        <v>Low</v>
      </c>
      <c r="NU19" s="1" t="str">
        <f>IF(NU12&gt;=5,"High","Low")</f>
        <v>High</v>
      </c>
      <c r="NV19" s="1" t="str">
        <f>IF(NV12&gt;=5,"High","Low")</f>
        <v>Low</v>
      </c>
      <c r="NW19" s="1" t="str">
        <f>IF(NW12&gt;=5,"High","Low")</f>
        <v>Low</v>
      </c>
      <c r="NX19" s="1" t="str">
        <f>IF(NX12&gt;=5,"High","Low")</f>
        <v>High</v>
      </c>
      <c r="NY19" s="1" t="str">
        <f>IF(NY12&gt;=5,"High","Low")</f>
        <v>Low</v>
      </c>
      <c r="NZ19" s="1" t="str">
        <f>IF(NZ12&gt;=5,"High","Low")</f>
        <v>High</v>
      </c>
      <c r="OA19" s="1" t="str">
        <f>IF(OA12&gt;=5,"High","Low")</f>
        <v>Low</v>
      </c>
      <c r="OB19" s="1" t="str">
        <f>IF(OB12&gt;=5,"High","Low")</f>
        <v>High</v>
      </c>
      <c r="OC19" s="1" t="str">
        <f>IF(OC12&gt;=5,"High","Low")</f>
        <v>Low</v>
      </c>
      <c r="OD19" s="1" t="str">
        <f>IF(OD12&gt;=5,"High","Low")</f>
        <v>High</v>
      </c>
      <c r="OE19" s="1" t="str">
        <f>IF(OE12&gt;=5,"High","Low")</f>
        <v>High</v>
      </c>
      <c r="OF19" s="1" t="str">
        <f>IF(OF12&gt;=5,"High","Low")</f>
        <v>Low</v>
      </c>
      <c r="OG19" s="1" t="str">
        <f>IF(OG12&gt;=5,"High","Low")</f>
        <v>High</v>
      </c>
      <c r="OH19" s="1" t="str">
        <f>IF(OH12&gt;=5,"High","Low")</f>
        <v>High</v>
      </c>
      <c r="OI19" s="1" t="str">
        <f>IF(OI12&gt;=5,"High","Low")</f>
        <v>High</v>
      </c>
      <c r="OJ19" s="1" t="str">
        <f>IF(OJ12&gt;=5,"High","Low")</f>
        <v>Low</v>
      </c>
      <c r="OK19" s="1" t="str">
        <f>IF(OK12&gt;=5,"High","Low")</f>
        <v>Low</v>
      </c>
      <c r="OL19" s="1" t="str">
        <f>IF(OL12&gt;=5,"High","Low")</f>
        <v>Low</v>
      </c>
      <c r="OM19" s="1" t="str">
        <f>IF(OM12&gt;=5,"High","Low")</f>
        <v>High</v>
      </c>
      <c r="ON19" s="1" t="str">
        <f>IF(ON12&gt;=5,"High","Low")</f>
        <v>Low</v>
      </c>
      <c r="OO19" s="1" t="str">
        <f>IF(OO12&gt;=5,"High","Low")</f>
        <v>Low</v>
      </c>
      <c r="OP19" s="1" t="str">
        <f>IF(OP12&gt;=5,"High","Low")</f>
        <v>Low</v>
      </c>
      <c r="OQ19" s="1" t="str">
        <f>IF(OQ12&gt;=5,"High","Low")</f>
        <v>Low</v>
      </c>
      <c r="OR19" s="1" t="str">
        <f>IF(OR12&gt;=5,"High","Low")</f>
        <v>High</v>
      </c>
      <c r="OS19" s="1" t="str">
        <f>IF(OS12&gt;=5,"High","Low")</f>
        <v>Low</v>
      </c>
      <c r="OT19" s="1" t="str">
        <f>IF(OT12&gt;=5,"High","Low")</f>
        <v>High</v>
      </c>
      <c r="OU19" s="1" t="str">
        <f>IF(OU12&gt;=5,"High","Low")</f>
        <v>Low</v>
      </c>
      <c r="OV19" s="1" t="str">
        <f>IF(OV12&gt;=5,"High","Low")</f>
        <v>Low</v>
      </c>
      <c r="OW19" s="1" t="str">
        <f>IF(OW12&gt;=5,"High","Low")</f>
        <v>High</v>
      </c>
      <c r="OX19" s="1" t="str">
        <f>IF(OX12&gt;=5,"High","Low")</f>
        <v>High</v>
      </c>
      <c r="OY19" s="1" t="str">
        <f>IF(OY12&gt;=5,"High","Low")</f>
        <v>Low</v>
      </c>
      <c r="OZ19" s="1" t="str">
        <f>IF(OZ12&gt;=5,"High","Low")</f>
        <v>Low</v>
      </c>
      <c r="PA19" s="1" t="str">
        <f>IF(PA12&gt;=5,"High","Low")</f>
        <v>High</v>
      </c>
      <c r="PB19" s="1" t="str">
        <f>IF(PB12&gt;=5,"High","Low")</f>
        <v>Low</v>
      </c>
      <c r="PC19" s="1" t="str">
        <f>IF(PC12&gt;=5,"High","Low")</f>
        <v>High</v>
      </c>
      <c r="PD19" s="1" t="str">
        <f>IF(PD12&gt;=5,"High","Low")</f>
        <v>High</v>
      </c>
      <c r="PE19" s="1" t="str">
        <f>IF(PE12&gt;=5,"High","Low")</f>
        <v>Low</v>
      </c>
      <c r="PF19" s="1" t="str">
        <f>IF(PF12&gt;=5,"High","Low")</f>
        <v>Low</v>
      </c>
      <c r="PG19" s="1" t="str">
        <f>IF(PG12&gt;=5,"High","Low")</f>
        <v>High</v>
      </c>
      <c r="PH19" s="1" t="str">
        <f>IF(PH12&gt;=5,"High","Low")</f>
        <v>High</v>
      </c>
      <c r="PI19" s="1" t="str">
        <f>IF(PI12&gt;=5,"High","Low")</f>
        <v>High</v>
      </c>
      <c r="PJ19" s="1" t="str">
        <f>IF(PJ12&gt;=5,"High","Low")</f>
        <v>High</v>
      </c>
      <c r="PK19" s="1" t="str">
        <f>IF(PK12&gt;=5,"High","Low")</f>
        <v>High</v>
      </c>
      <c r="PL19" s="1" t="str">
        <f>IF(PL12&gt;=5,"High","Low")</f>
        <v>High</v>
      </c>
      <c r="PM19" s="1" t="str">
        <f>IF(PM12&gt;=5,"High","Low")</f>
        <v>Low</v>
      </c>
      <c r="PN19" s="1" t="str">
        <f>IF(PN12&gt;=5,"High","Low")</f>
        <v>Low</v>
      </c>
      <c r="PO19" s="1" t="str">
        <f>IF(PO12&gt;=5,"High","Low")</f>
        <v>High</v>
      </c>
      <c r="PP19" s="1" t="str">
        <f>IF(PP12&gt;=5,"High","Low")</f>
        <v>High</v>
      </c>
      <c r="PQ19" s="1" t="str">
        <f>IF(PQ12&gt;=5,"High","Low")</f>
        <v>High</v>
      </c>
      <c r="PR19" s="1" t="str">
        <f>IF(PR12&gt;=5,"High","Low")</f>
        <v>Low</v>
      </c>
      <c r="PS19" s="1" t="str">
        <f>IF(PS12&gt;=5,"High","Low")</f>
        <v>High</v>
      </c>
      <c r="PT19" s="1" t="str">
        <f>IF(PT12&gt;=5,"High","Low")</f>
        <v>Low</v>
      </c>
      <c r="PU19" s="1" t="str">
        <f>IF(PU12&gt;=5,"High","Low")</f>
        <v>Low</v>
      </c>
      <c r="PV19" s="1" t="str">
        <f>IF(PV12&gt;=5,"High","Low")</f>
        <v>High</v>
      </c>
      <c r="PW19" s="1" t="str">
        <f>IF(PW12&gt;=5,"High","Low")</f>
        <v>High</v>
      </c>
      <c r="PX19" s="1" t="str">
        <f>IF(PX12&gt;=5,"High","Low")</f>
        <v>Low</v>
      </c>
      <c r="PY19" s="1" t="str">
        <f>IF(PY12&gt;=5,"High","Low")</f>
        <v>Low</v>
      </c>
      <c r="PZ19" s="1" t="str">
        <f>IF(PZ12&gt;=5,"High","Low")</f>
        <v>Low</v>
      </c>
      <c r="QA19" s="1" t="str">
        <f>IF(QA12&gt;=5,"High","Low")</f>
        <v>High</v>
      </c>
      <c r="QB19" s="1" t="str">
        <f>IF(QB12&gt;=5,"High","Low")</f>
        <v>High</v>
      </c>
      <c r="QC19" s="1" t="str">
        <f>IF(QC12&gt;=5,"High","Low")</f>
        <v>Low</v>
      </c>
      <c r="QD19" s="1" t="str">
        <f>IF(QD12&gt;=5,"High","Low")</f>
        <v>High</v>
      </c>
      <c r="QE19" s="1" t="str">
        <f>IF(QE12&gt;=5,"High","Low")</f>
        <v>Low</v>
      </c>
      <c r="QF19" s="1" t="str">
        <f>IF(QF12&gt;=5,"High","Low")</f>
        <v>Low</v>
      </c>
      <c r="QG19" s="1" t="str">
        <f>IF(QG12&gt;=5,"High","Low")</f>
        <v>High</v>
      </c>
      <c r="QH19" s="1" t="str">
        <f>IF(QH12&gt;=5,"High","Low")</f>
        <v>Low</v>
      </c>
      <c r="QI19" s="1" t="str">
        <f>IF(QI12&gt;=5,"High","Low")</f>
        <v>High</v>
      </c>
      <c r="QJ19" s="1" t="str">
        <f>IF(QJ12&gt;=5,"High","Low")</f>
        <v>High</v>
      </c>
      <c r="QK19" s="1" t="str">
        <f>IF(QK12&gt;=5,"High","Low")</f>
        <v>Low</v>
      </c>
      <c r="QL19" s="1" t="str">
        <f>IF(QL12&gt;=5,"High","Low")</f>
        <v>High</v>
      </c>
      <c r="QM19" s="1" t="str">
        <f>IF(QM12&gt;=5,"High","Low")</f>
        <v>High</v>
      </c>
      <c r="QN19" s="1" t="str">
        <f>IF(QN12&gt;=5,"High","Low")</f>
        <v>Low</v>
      </c>
      <c r="QO19" s="1" t="str">
        <f>IF(QO12&gt;=5,"High","Low")</f>
        <v>Low</v>
      </c>
      <c r="QP19" s="1" t="str">
        <f>IF(QP12&gt;=5,"High","Low")</f>
        <v>High</v>
      </c>
      <c r="QQ19" s="1" t="str">
        <f>IF(QQ12&gt;=5,"High","Low")</f>
        <v>High</v>
      </c>
      <c r="QR19" s="1" t="str">
        <f>IF(QR12&gt;=5,"High","Low")</f>
        <v>Low</v>
      </c>
      <c r="QS19" s="1" t="str">
        <f>IF(QS12&gt;=5,"High","Low")</f>
        <v>Low</v>
      </c>
      <c r="QT19" s="1" t="str">
        <f>IF(QT12&gt;=5,"High","Low")</f>
        <v>Low</v>
      </c>
      <c r="QU19" s="1" t="str">
        <f>IF(QU12&gt;=5,"High","Low")</f>
        <v>High</v>
      </c>
      <c r="QV19" s="1" t="str">
        <f>IF(QV12&gt;=5,"High","Low")</f>
        <v>High</v>
      </c>
      <c r="QW19" s="1" t="str">
        <f>IF(QW12&gt;=5,"High","Low")</f>
        <v>Low</v>
      </c>
      <c r="QX19" s="1" t="str">
        <f>IF(QX12&gt;=5,"High","Low")</f>
        <v>Low</v>
      </c>
      <c r="QY19" s="1" t="str">
        <f>IF(QY12&gt;=5,"High","Low")</f>
        <v>High</v>
      </c>
      <c r="QZ19" s="1" t="str">
        <f>IF(QZ12&gt;=5,"High","Low")</f>
        <v>Low</v>
      </c>
      <c r="RA19" s="1" t="str">
        <f>IF(RA12&gt;=5,"High","Low")</f>
        <v>High</v>
      </c>
      <c r="RB19" s="1" t="str">
        <f>IF(RB12&gt;=5,"High","Low")</f>
        <v>High</v>
      </c>
      <c r="RC19" s="1" t="str">
        <f>IF(RC12&gt;=5,"High","Low")</f>
        <v>High</v>
      </c>
      <c r="RD19" s="1" t="str">
        <f>IF(RD12&gt;=5,"High","Low")</f>
        <v>High</v>
      </c>
      <c r="RE19" s="1" t="str">
        <f>IF(RE12&gt;=5,"High","Low")</f>
        <v>High</v>
      </c>
      <c r="RF19" s="1" t="str">
        <f>IF(RF12&gt;=5,"High","Low")</f>
        <v>High</v>
      </c>
      <c r="RG19" s="1" t="str">
        <f>IF(RG12&gt;=5,"High","Low")</f>
        <v>Low</v>
      </c>
      <c r="RH19" s="1" t="str">
        <f>IF(RH12&gt;=5,"High","Low")</f>
        <v>High</v>
      </c>
      <c r="RI19" s="1" t="str">
        <f>IF(RI12&gt;=5,"High","Low")</f>
        <v>Low</v>
      </c>
      <c r="RJ19" s="1" t="str">
        <f>IF(RJ12&gt;=5,"High","Low")</f>
        <v>Low</v>
      </c>
      <c r="RK19" s="1" t="str">
        <f>IF(RK12&gt;=5,"High","Low")</f>
        <v>High</v>
      </c>
      <c r="RL19" s="1" t="str">
        <f>IF(RL12&gt;=5,"High","Low")</f>
        <v>Low</v>
      </c>
      <c r="RM19" s="1" t="str">
        <f>IF(RM12&gt;=5,"High","Low")</f>
        <v>High</v>
      </c>
      <c r="RN19" s="1" t="str">
        <f>IF(RN12&gt;=5,"High","Low")</f>
        <v>High</v>
      </c>
      <c r="RO19" s="1" t="str">
        <f>IF(RO12&gt;=5,"High","Low")</f>
        <v>High</v>
      </c>
      <c r="RP19" s="1" t="str">
        <f>IF(RP12&gt;=5,"High","Low")</f>
        <v>Low</v>
      </c>
      <c r="RQ19" s="1" t="str">
        <f>IF(RQ12&gt;=5,"High","Low")</f>
        <v>High</v>
      </c>
      <c r="RR19" s="1" t="str">
        <f>IF(RR12&gt;=5,"High","Low")</f>
        <v>Low</v>
      </c>
      <c r="RS19" s="1" t="str">
        <f>IF(RS12&gt;=5,"High","Low")</f>
        <v>High</v>
      </c>
      <c r="RT19" s="1" t="str">
        <f>IF(RT12&gt;=5,"High","Low")</f>
        <v>Low</v>
      </c>
      <c r="RU19" s="1" t="str">
        <f>IF(RU12&gt;=5,"High","Low")</f>
        <v>Low</v>
      </c>
      <c r="RV19" s="1" t="str">
        <f>IF(RV12&gt;=5,"High","Low")</f>
        <v>High</v>
      </c>
      <c r="RW19" s="1" t="str">
        <f>IF(RW12&gt;=5,"High","Low")</f>
        <v>High</v>
      </c>
      <c r="RX19" s="1" t="str">
        <f>IF(RX12&gt;=5,"High","Low")</f>
        <v>High</v>
      </c>
      <c r="RY19" s="1" t="str">
        <f>IF(RY12&gt;=5,"High","Low")</f>
        <v>High</v>
      </c>
      <c r="RZ19" s="1" t="str">
        <f>IF(RZ12&gt;=5,"High","Low")</f>
        <v>High</v>
      </c>
      <c r="SA19" s="1" t="str">
        <f>IF(SA12&gt;=5,"High","Low")</f>
        <v>High</v>
      </c>
      <c r="SB19" s="1" t="str">
        <f>IF(SB12&gt;=5,"High","Low")</f>
        <v>High</v>
      </c>
      <c r="SC19" s="1" t="str">
        <f>IF(SC12&gt;=5,"High","Low")</f>
        <v>High</v>
      </c>
      <c r="SD19" s="1" t="str">
        <f>IF(SD12&gt;=5,"High","Low")</f>
        <v>High</v>
      </c>
      <c r="SE19" s="1" t="str">
        <f>IF(SE12&gt;=5,"High","Low")</f>
        <v>High</v>
      </c>
      <c r="SF19" s="1" t="str">
        <f>IF(SF12&gt;=5,"High","Low")</f>
        <v>Low</v>
      </c>
      <c r="SG19" s="1" t="str">
        <f>IF(SG12&gt;=5,"High","Low")</f>
        <v>Low</v>
      </c>
    </row>
    <row r="20" spans="1:501" x14ac:dyDescent="0.3">
      <c r="A20" s="12" t="s">
        <v>74</v>
      </c>
      <c r="B20" s="1" t="str" cm="1">
        <f t="array" ref="B20">_xlfn.IFS(B12&gt;5,"High",B12=5,"mediam",B12&lt;5,"low")</f>
        <v>High</v>
      </c>
      <c r="C20" s="1" t="str" cm="1">
        <f t="array" ref="C20">_xlfn.IFS(C12&gt;5,"High",C12=5,"mediam",C12&lt;5,"low")</f>
        <v>High</v>
      </c>
      <c r="D20" s="1" t="str" cm="1">
        <f t="array" ref="D20">_xlfn.IFS(D12&gt;5,"High",D12=5,"mediam",D12&lt;5,"low")</f>
        <v>High</v>
      </c>
      <c r="E20" s="1" t="str" cm="1">
        <f t="array" ref="E20">_xlfn.IFS(E12&gt;5,"High",E12=5,"mediam",E12&lt;5,"low")</f>
        <v>low</v>
      </c>
      <c r="F20" s="1" t="str" cm="1">
        <f t="array" ref="F20">_xlfn.IFS(F12&gt;5,"High",F12=5,"mediam",F12&lt;5,"low")</f>
        <v>High</v>
      </c>
      <c r="G20" s="1" t="str" cm="1">
        <f t="array" ref="G20">_xlfn.IFS(G12&gt;5,"High",G12=5,"mediam",G12&lt;5,"low")</f>
        <v>low</v>
      </c>
      <c r="H20" s="1" t="str" cm="1">
        <f t="array" ref="H20">_xlfn.IFS(H12&gt;5,"High",H12=5,"mediam",H12&lt;5,"low")</f>
        <v>mediam</v>
      </c>
      <c r="I20" s="1" t="str" cm="1">
        <f t="array" ref="I20">_xlfn.IFS(I12&gt;5,"High",I12=5,"mediam",I12&lt;5,"low")</f>
        <v>low</v>
      </c>
      <c r="J20" s="1" t="str" cm="1">
        <f t="array" ref="J20">_xlfn.IFS(J12&gt;5,"High",J12=5,"mediam",J12&lt;5,"low")</f>
        <v>mediam</v>
      </c>
      <c r="K20" s="1" t="str" cm="1">
        <f t="array" ref="K20">_xlfn.IFS(K12&gt;5,"High",K12=5,"mediam",K12&lt;5,"low")</f>
        <v>mediam</v>
      </c>
      <c r="L20" s="1" t="str" cm="1">
        <f t="array" ref="L20">_xlfn.IFS(L12&gt;5,"High",L12=5,"mediam",L12&lt;5,"low")</f>
        <v>High</v>
      </c>
      <c r="M20" s="1" t="str" cm="1">
        <f t="array" ref="M20">_xlfn.IFS(M12&gt;5,"High",M12=5,"mediam",M12&lt;5,"low")</f>
        <v>High</v>
      </c>
      <c r="N20" s="1" t="str" cm="1">
        <f t="array" ref="N20">_xlfn.IFS(N12&gt;5,"High",N12=5,"mediam",N12&lt;5,"low")</f>
        <v>High</v>
      </c>
      <c r="O20" s="1" t="str" cm="1">
        <f t="array" ref="O20">_xlfn.IFS(O12&gt;5,"High",O12=5,"mediam",O12&lt;5,"low")</f>
        <v>High</v>
      </c>
      <c r="P20" s="1" t="str" cm="1">
        <f t="array" ref="P20">_xlfn.IFS(P12&gt;5,"High",P12=5,"mediam",P12&lt;5,"low")</f>
        <v>High</v>
      </c>
      <c r="Q20" s="1" t="str" cm="1">
        <f t="array" ref="Q20">_xlfn.IFS(Q12&gt;5,"High",Q12=5,"mediam",Q12&lt;5,"low")</f>
        <v>High</v>
      </c>
      <c r="R20" s="1" t="str" cm="1">
        <f t="array" ref="R20">_xlfn.IFS(R12&gt;5,"High",R12=5,"mediam",R12&lt;5,"low")</f>
        <v>low</v>
      </c>
      <c r="S20" s="1" t="str" cm="1">
        <f t="array" ref="S20">_xlfn.IFS(S12&gt;5,"High",S12=5,"mediam",S12&lt;5,"low")</f>
        <v>low</v>
      </c>
      <c r="T20" s="1" t="str" cm="1">
        <f t="array" ref="T20">_xlfn.IFS(T12&gt;5,"High",T12=5,"mediam",T12&lt;5,"low")</f>
        <v>low</v>
      </c>
      <c r="U20" s="1" t="str" cm="1">
        <f t="array" ref="U20">_xlfn.IFS(U12&gt;5,"High",U12=5,"mediam",U12&lt;5,"low")</f>
        <v>low</v>
      </c>
      <c r="V20" s="1" t="str" cm="1">
        <f t="array" ref="V20">_xlfn.IFS(V12&gt;5,"High",V12=5,"mediam",V12&lt;5,"low")</f>
        <v>low</v>
      </c>
      <c r="W20" s="1" t="str" cm="1">
        <f t="array" ref="W20">_xlfn.IFS(W12&gt;5,"High",W12=5,"mediam",W12&lt;5,"low")</f>
        <v>High</v>
      </c>
      <c r="X20" s="1" t="str" cm="1">
        <f t="array" ref="X20">_xlfn.IFS(X12&gt;5,"High",X12=5,"mediam",X12&lt;5,"low")</f>
        <v>low</v>
      </c>
      <c r="Y20" s="1" t="str" cm="1">
        <f t="array" ref="Y20">_xlfn.IFS(Y12&gt;5,"High",Y12=5,"mediam",Y12&lt;5,"low")</f>
        <v>low</v>
      </c>
      <c r="Z20" s="1" t="str" cm="1">
        <f t="array" ref="Z20">_xlfn.IFS(Z12&gt;5,"High",Z12=5,"mediam",Z12&lt;5,"low")</f>
        <v>High</v>
      </c>
      <c r="AA20" s="1" t="str" cm="1">
        <f t="array" ref="AA20">_xlfn.IFS(AA12&gt;5,"High",AA12=5,"mediam",AA12&lt;5,"low")</f>
        <v>High</v>
      </c>
      <c r="AB20" s="1" t="str" cm="1">
        <f t="array" ref="AB20">_xlfn.IFS(AB12&gt;5,"High",AB12=5,"mediam",AB12&lt;5,"low")</f>
        <v>low</v>
      </c>
      <c r="AC20" s="1" t="str" cm="1">
        <f t="array" ref="AC20">_xlfn.IFS(AC12&gt;5,"High",AC12=5,"mediam",AC12&lt;5,"low")</f>
        <v>High</v>
      </c>
      <c r="AD20" s="1" t="str" cm="1">
        <f t="array" ref="AD20">_xlfn.IFS(AD12&gt;5,"High",AD12=5,"mediam",AD12&lt;5,"low")</f>
        <v>low</v>
      </c>
      <c r="AE20" s="1" t="str" cm="1">
        <f t="array" ref="AE20">_xlfn.IFS(AE12&gt;5,"High",AE12=5,"mediam",AE12&lt;5,"low")</f>
        <v>low</v>
      </c>
      <c r="AF20" s="1" t="str" cm="1">
        <f t="array" ref="AF20">_xlfn.IFS(AF12&gt;5,"High",AF12=5,"mediam",AF12&lt;5,"low")</f>
        <v>mediam</v>
      </c>
      <c r="AG20" s="1" t="str" cm="1">
        <f t="array" ref="AG20">_xlfn.IFS(AG12&gt;5,"High",AG12=5,"mediam",AG12&lt;5,"low")</f>
        <v>low</v>
      </c>
      <c r="AH20" s="1" t="str" cm="1">
        <f t="array" ref="AH20">_xlfn.IFS(AH12&gt;5,"High",AH12=5,"mediam",AH12&lt;5,"low")</f>
        <v>High</v>
      </c>
      <c r="AI20" s="1" t="str" cm="1">
        <f t="array" ref="AI20">_xlfn.IFS(AI12&gt;5,"High",AI12=5,"mediam",AI12&lt;5,"low")</f>
        <v>High</v>
      </c>
      <c r="AJ20" s="1" t="str" cm="1">
        <f t="array" ref="AJ20">_xlfn.IFS(AJ12&gt;5,"High",AJ12=5,"mediam",AJ12&lt;5,"low")</f>
        <v>High</v>
      </c>
      <c r="AK20" s="1" t="str" cm="1">
        <f t="array" ref="AK20">_xlfn.IFS(AK12&gt;5,"High",AK12=5,"mediam",AK12&lt;5,"low")</f>
        <v>mediam</v>
      </c>
      <c r="AL20" s="1" t="str" cm="1">
        <f t="array" ref="AL20">_xlfn.IFS(AL12&gt;5,"High",AL12=5,"mediam",AL12&lt;5,"low")</f>
        <v>low</v>
      </c>
      <c r="AM20" s="1" t="str" cm="1">
        <f t="array" ref="AM20">_xlfn.IFS(AM12&gt;5,"High",AM12=5,"mediam",AM12&lt;5,"low")</f>
        <v>High</v>
      </c>
      <c r="AN20" s="1" t="str" cm="1">
        <f t="array" ref="AN20">_xlfn.IFS(AN12&gt;5,"High",AN12=5,"mediam",AN12&lt;5,"low")</f>
        <v>High</v>
      </c>
      <c r="AO20" s="1" t="str" cm="1">
        <f t="array" ref="AO20">_xlfn.IFS(AO12&gt;5,"High",AO12=5,"mediam",AO12&lt;5,"low")</f>
        <v>High</v>
      </c>
      <c r="AP20" s="1" t="str" cm="1">
        <f t="array" ref="AP20">_xlfn.IFS(AP12&gt;5,"High",AP12=5,"mediam",AP12&lt;5,"low")</f>
        <v>High</v>
      </c>
      <c r="AQ20" s="1" t="str" cm="1">
        <f t="array" ref="AQ20">_xlfn.IFS(AQ12&gt;5,"High",AQ12=5,"mediam",AQ12&lt;5,"low")</f>
        <v>low</v>
      </c>
      <c r="AR20" s="1" t="str" cm="1">
        <f t="array" ref="AR20">_xlfn.IFS(AR12&gt;5,"High",AR12=5,"mediam",AR12&lt;5,"low")</f>
        <v>mediam</v>
      </c>
      <c r="AS20" s="1" t="str" cm="1">
        <f t="array" ref="AS20">_xlfn.IFS(AS12&gt;5,"High",AS12=5,"mediam",AS12&lt;5,"low")</f>
        <v>low</v>
      </c>
      <c r="AT20" s="1" t="str" cm="1">
        <f t="array" ref="AT20">_xlfn.IFS(AT12&gt;5,"High",AT12=5,"mediam",AT12&lt;5,"low")</f>
        <v>low</v>
      </c>
      <c r="AU20" s="1" t="str" cm="1">
        <f t="array" ref="AU20">_xlfn.IFS(AU12&gt;5,"High",AU12=5,"mediam",AU12&lt;5,"low")</f>
        <v>High</v>
      </c>
      <c r="AV20" s="1" t="str" cm="1">
        <f t="array" ref="AV20">_xlfn.IFS(AV12&gt;5,"High",AV12=5,"mediam",AV12&lt;5,"low")</f>
        <v>low</v>
      </c>
      <c r="AW20" s="1" t="str" cm="1">
        <f t="array" ref="AW20">_xlfn.IFS(AW12&gt;5,"High",AW12=5,"mediam",AW12&lt;5,"low")</f>
        <v>mediam</v>
      </c>
      <c r="AX20" s="1" t="str" cm="1">
        <f t="array" ref="AX20">_xlfn.IFS(AX12&gt;5,"High",AX12=5,"mediam",AX12&lt;5,"low")</f>
        <v>High</v>
      </c>
      <c r="AY20" s="1" t="str" cm="1">
        <f t="array" ref="AY20">_xlfn.IFS(AY12&gt;5,"High",AY12=5,"mediam",AY12&lt;5,"low")</f>
        <v>High</v>
      </c>
      <c r="AZ20" s="1" t="str" cm="1">
        <f t="array" ref="AZ20">_xlfn.IFS(AZ12&gt;5,"High",AZ12=5,"mediam",AZ12&lt;5,"low")</f>
        <v>mediam</v>
      </c>
      <c r="BA20" s="1" t="str" cm="1">
        <f t="array" ref="BA20">_xlfn.IFS(BA12&gt;5,"High",BA12=5,"mediam",BA12&lt;5,"low")</f>
        <v>low</v>
      </c>
      <c r="BB20" s="1" t="str" cm="1">
        <f t="array" ref="BB20">_xlfn.IFS(BB12&gt;5,"High",BB12=5,"mediam",BB12&lt;5,"low")</f>
        <v>mediam</v>
      </c>
      <c r="BC20" s="1" t="str" cm="1">
        <f t="array" ref="BC20">_xlfn.IFS(BC12&gt;5,"High",BC12=5,"mediam",BC12&lt;5,"low")</f>
        <v>High</v>
      </c>
      <c r="BD20" s="1" t="str" cm="1">
        <f t="array" ref="BD20">_xlfn.IFS(BD12&gt;5,"High",BD12=5,"mediam",BD12&lt;5,"low")</f>
        <v>low</v>
      </c>
      <c r="BE20" s="1" t="str" cm="1">
        <f t="array" ref="BE20">_xlfn.IFS(BE12&gt;5,"High",BE12=5,"mediam",BE12&lt;5,"low")</f>
        <v>High</v>
      </c>
      <c r="BF20" s="1" t="str" cm="1">
        <f t="array" ref="BF20">_xlfn.IFS(BF12&gt;5,"High",BF12=5,"mediam",BF12&lt;5,"low")</f>
        <v>High</v>
      </c>
      <c r="BG20" s="1" t="str" cm="1">
        <f t="array" ref="BG20">_xlfn.IFS(BG12&gt;5,"High",BG12=5,"mediam",BG12&lt;5,"low")</f>
        <v>High</v>
      </c>
      <c r="BH20" s="1" t="str" cm="1">
        <f t="array" ref="BH20">_xlfn.IFS(BH12&gt;5,"High",BH12=5,"mediam",BH12&lt;5,"low")</f>
        <v>High</v>
      </c>
      <c r="BI20" s="1" t="str" cm="1">
        <f t="array" ref="BI20">_xlfn.IFS(BI12&gt;5,"High",BI12=5,"mediam",BI12&lt;5,"low")</f>
        <v>High</v>
      </c>
      <c r="BJ20" s="1" t="str" cm="1">
        <f t="array" ref="BJ20">_xlfn.IFS(BJ12&gt;5,"High",BJ12=5,"mediam",BJ12&lt;5,"low")</f>
        <v>High</v>
      </c>
      <c r="BK20" s="1" t="str" cm="1">
        <f t="array" ref="BK20">_xlfn.IFS(BK12&gt;5,"High",BK12=5,"mediam",BK12&lt;5,"low")</f>
        <v>High</v>
      </c>
      <c r="BL20" s="1" t="str" cm="1">
        <f t="array" ref="BL20">_xlfn.IFS(BL12&gt;5,"High",BL12=5,"mediam",BL12&lt;5,"low")</f>
        <v>High</v>
      </c>
      <c r="BM20" s="1" t="str" cm="1">
        <f t="array" ref="BM20">_xlfn.IFS(BM12&gt;5,"High",BM12=5,"mediam",BM12&lt;5,"low")</f>
        <v>low</v>
      </c>
      <c r="BN20" s="1" t="str" cm="1">
        <f t="array" ref="BN20">_xlfn.IFS(BN12&gt;5,"High",BN12=5,"mediam",BN12&lt;5,"low")</f>
        <v>low</v>
      </c>
      <c r="BO20" s="1" t="str" cm="1">
        <f t="array" ref="BO20">_xlfn.IFS(BO12&gt;5,"High",BO12=5,"mediam",BO12&lt;5,"low")</f>
        <v>High</v>
      </c>
      <c r="BP20" s="1" t="str" cm="1">
        <f t="array" ref="BP20">_xlfn.IFS(BP12&gt;5,"High",BP12=5,"mediam",BP12&lt;5,"low")</f>
        <v>low</v>
      </c>
      <c r="BQ20" s="1" t="str" cm="1">
        <f t="array" ref="BQ20">_xlfn.IFS(BQ12&gt;5,"High",BQ12=5,"mediam",BQ12&lt;5,"low")</f>
        <v>High</v>
      </c>
      <c r="BR20" s="1" t="str" cm="1">
        <f t="array" ref="BR20">_xlfn.IFS(BR12&gt;5,"High",BR12=5,"mediam",BR12&lt;5,"low")</f>
        <v>High</v>
      </c>
      <c r="BS20" s="1" t="str" cm="1">
        <f t="array" ref="BS20">_xlfn.IFS(BS12&gt;5,"High",BS12=5,"mediam",BS12&lt;5,"low")</f>
        <v>low</v>
      </c>
      <c r="BT20" s="1" t="str" cm="1">
        <f t="array" ref="BT20">_xlfn.IFS(BT12&gt;5,"High",BT12=5,"mediam",BT12&lt;5,"low")</f>
        <v>low</v>
      </c>
      <c r="BU20" s="1" t="str" cm="1">
        <f t="array" ref="BU20">_xlfn.IFS(BU12&gt;5,"High",BU12=5,"mediam",BU12&lt;5,"low")</f>
        <v>low</v>
      </c>
      <c r="BV20" s="1" t="str" cm="1">
        <f t="array" ref="BV20">_xlfn.IFS(BV12&gt;5,"High",BV12=5,"mediam",BV12&lt;5,"low")</f>
        <v>low</v>
      </c>
      <c r="BW20" s="1" t="str" cm="1">
        <f t="array" ref="BW20">_xlfn.IFS(BW12&gt;5,"High",BW12=5,"mediam",BW12&lt;5,"low")</f>
        <v>low</v>
      </c>
      <c r="BX20" s="1" t="str" cm="1">
        <f t="array" ref="BX20">_xlfn.IFS(BX12&gt;5,"High",BX12=5,"mediam",BX12&lt;5,"low")</f>
        <v>low</v>
      </c>
      <c r="BY20" s="1" t="str" cm="1">
        <f t="array" ref="BY20">_xlfn.IFS(BY12&gt;5,"High",BY12=5,"mediam",BY12&lt;5,"low")</f>
        <v>mediam</v>
      </c>
      <c r="BZ20" s="1" t="str" cm="1">
        <f t="array" ref="BZ20">_xlfn.IFS(BZ12&gt;5,"High",BZ12=5,"mediam",BZ12&lt;5,"low")</f>
        <v>low</v>
      </c>
      <c r="CA20" s="1" t="str" cm="1">
        <f t="array" ref="CA20">_xlfn.IFS(CA12&gt;5,"High",CA12=5,"mediam",CA12&lt;5,"low")</f>
        <v>High</v>
      </c>
      <c r="CB20" s="1" t="str" cm="1">
        <f t="array" ref="CB20">_xlfn.IFS(CB12&gt;5,"High",CB12=5,"mediam",CB12&lt;5,"low")</f>
        <v>mediam</v>
      </c>
      <c r="CC20" s="1" t="str" cm="1">
        <f t="array" ref="CC20">_xlfn.IFS(CC12&gt;5,"High",CC12=5,"mediam",CC12&lt;5,"low")</f>
        <v>low</v>
      </c>
      <c r="CD20" s="1" t="str" cm="1">
        <f t="array" ref="CD20">_xlfn.IFS(CD12&gt;5,"High",CD12=5,"mediam",CD12&lt;5,"low")</f>
        <v>High</v>
      </c>
      <c r="CE20" s="1" t="str" cm="1">
        <f t="array" ref="CE20">_xlfn.IFS(CE12&gt;5,"High",CE12=5,"mediam",CE12&lt;5,"low")</f>
        <v>High</v>
      </c>
      <c r="CF20" s="1" t="str" cm="1">
        <f t="array" ref="CF20">_xlfn.IFS(CF12&gt;5,"High",CF12=5,"mediam",CF12&lt;5,"low")</f>
        <v>High</v>
      </c>
      <c r="CG20" s="1" t="str" cm="1">
        <f t="array" ref="CG20">_xlfn.IFS(CG12&gt;5,"High",CG12=5,"mediam",CG12&lt;5,"low")</f>
        <v>low</v>
      </c>
      <c r="CH20" s="1" t="str" cm="1">
        <f t="array" ref="CH20">_xlfn.IFS(CH12&gt;5,"High",CH12=5,"mediam",CH12&lt;5,"low")</f>
        <v>low</v>
      </c>
      <c r="CI20" s="1" t="str" cm="1">
        <f t="array" ref="CI20">_xlfn.IFS(CI12&gt;5,"High",CI12=5,"mediam",CI12&lt;5,"low")</f>
        <v>low</v>
      </c>
      <c r="CJ20" s="1" t="str" cm="1">
        <f t="array" ref="CJ20">_xlfn.IFS(CJ12&gt;5,"High",CJ12=5,"mediam",CJ12&lt;5,"low")</f>
        <v>High</v>
      </c>
      <c r="CK20" s="1" t="str" cm="1">
        <f t="array" ref="CK20">_xlfn.IFS(CK12&gt;5,"High",CK12=5,"mediam",CK12&lt;5,"low")</f>
        <v>low</v>
      </c>
      <c r="CL20" s="1" t="str" cm="1">
        <f t="array" ref="CL20">_xlfn.IFS(CL12&gt;5,"High",CL12=5,"mediam",CL12&lt;5,"low")</f>
        <v>low</v>
      </c>
      <c r="CM20" s="1" t="str" cm="1">
        <f t="array" ref="CM20">_xlfn.IFS(CM12&gt;5,"High",CM12=5,"mediam",CM12&lt;5,"low")</f>
        <v>mediam</v>
      </c>
      <c r="CN20" s="1" t="str" cm="1">
        <f t="array" ref="CN20">_xlfn.IFS(CN12&gt;5,"High",CN12=5,"mediam",CN12&lt;5,"low")</f>
        <v>mediam</v>
      </c>
      <c r="CO20" s="1" t="str" cm="1">
        <f t="array" ref="CO20">_xlfn.IFS(CO12&gt;5,"High",CO12=5,"mediam",CO12&lt;5,"low")</f>
        <v>low</v>
      </c>
      <c r="CP20" s="1" t="str" cm="1">
        <f t="array" ref="CP20">_xlfn.IFS(CP12&gt;5,"High",CP12=5,"mediam",CP12&lt;5,"low")</f>
        <v>High</v>
      </c>
      <c r="CQ20" s="1" t="str" cm="1">
        <f t="array" ref="CQ20">_xlfn.IFS(CQ12&gt;5,"High",CQ12=5,"mediam",CQ12&lt;5,"low")</f>
        <v>low</v>
      </c>
      <c r="CR20" s="1" t="str" cm="1">
        <f t="array" ref="CR20">_xlfn.IFS(CR12&gt;5,"High",CR12=5,"mediam",CR12&lt;5,"low")</f>
        <v>low</v>
      </c>
      <c r="CS20" s="1" t="str" cm="1">
        <f t="array" ref="CS20">_xlfn.IFS(CS12&gt;5,"High",CS12=5,"mediam",CS12&lt;5,"low")</f>
        <v>low</v>
      </c>
      <c r="CT20" s="1" t="str" cm="1">
        <f t="array" ref="CT20">_xlfn.IFS(CT12&gt;5,"High",CT12=5,"mediam",CT12&lt;5,"low")</f>
        <v>High</v>
      </c>
      <c r="CU20" s="1" t="str" cm="1">
        <f t="array" ref="CU20">_xlfn.IFS(CU12&gt;5,"High",CU12=5,"mediam",CU12&lt;5,"low")</f>
        <v>low</v>
      </c>
      <c r="CV20" s="1" t="str" cm="1">
        <f t="array" ref="CV20">_xlfn.IFS(CV12&gt;5,"High",CV12=5,"mediam",CV12&lt;5,"low")</f>
        <v>low</v>
      </c>
      <c r="CW20" s="1" t="str" cm="1">
        <f t="array" ref="CW20">_xlfn.IFS(CW12&gt;5,"High",CW12=5,"mediam",CW12&lt;5,"low")</f>
        <v>High</v>
      </c>
      <c r="CX20" s="1" t="str" cm="1">
        <f t="array" ref="CX20">_xlfn.IFS(CX12&gt;5,"High",CX12=5,"mediam",CX12&lt;5,"low")</f>
        <v>High</v>
      </c>
      <c r="CY20" s="1" t="str" cm="1">
        <f t="array" ref="CY20">_xlfn.IFS(CY12&gt;5,"High",CY12=5,"mediam",CY12&lt;5,"low")</f>
        <v>low</v>
      </c>
      <c r="CZ20" s="1" t="str" cm="1">
        <f t="array" ref="CZ20">_xlfn.IFS(CZ12&gt;5,"High",CZ12=5,"mediam",CZ12&lt;5,"low")</f>
        <v>High</v>
      </c>
      <c r="DA20" s="1" t="str" cm="1">
        <f t="array" ref="DA20">_xlfn.IFS(DA12&gt;5,"High",DA12=5,"mediam",DA12&lt;5,"low")</f>
        <v>mediam</v>
      </c>
      <c r="DB20" s="1" t="str" cm="1">
        <f t="array" ref="DB20">_xlfn.IFS(DB12&gt;5,"High",DB12=5,"mediam",DB12&lt;5,"low")</f>
        <v>mediam</v>
      </c>
      <c r="DC20" s="1" t="str" cm="1">
        <f t="array" ref="DC20">_xlfn.IFS(DC12&gt;5,"High",DC12=5,"mediam",DC12&lt;5,"low")</f>
        <v>low</v>
      </c>
      <c r="DD20" s="1" t="str" cm="1">
        <f t="array" ref="DD20">_xlfn.IFS(DD12&gt;5,"High",DD12=5,"mediam",DD12&lt;5,"low")</f>
        <v>mediam</v>
      </c>
      <c r="DE20" s="1" t="str" cm="1">
        <f t="array" ref="DE20">_xlfn.IFS(DE12&gt;5,"High",DE12=5,"mediam",DE12&lt;5,"low")</f>
        <v>low</v>
      </c>
      <c r="DF20" s="1" t="str" cm="1">
        <f t="array" ref="DF20">_xlfn.IFS(DF12&gt;5,"High",DF12=5,"mediam",DF12&lt;5,"low")</f>
        <v>low</v>
      </c>
      <c r="DG20" s="1" t="str" cm="1">
        <f t="array" ref="DG20">_xlfn.IFS(DG12&gt;5,"High",DG12=5,"mediam",DG12&lt;5,"low")</f>
        <v>High</v>
      </c>
      <c r="DH20" s="1" t="str" cm="1">
        <f t="array" ref="DH20">_xlfn.IFS(DH12&gt;5,"High",DH12=5,"mediam",DH12&lt;5,"low")</f>
        <v>low</v>
      </c>
      <c r="DI20" s="1" t="str" cm="1">
        <f t="array" ref="DI20">_xlfn.IFS(DI12&gt;5,"High",DI12=5,"mediam",DI12&lt;5,"low")</f>
        <v>low</v>
      </c>
      <c r="DJ20" s="1" t="str" cm="1">
        <f t="array" ref="DJ20">_xlfn.IFS(DJ12&gt;5,"High",DJ12=5,"mediam",DJ12&lt;5,"low")</f>
        <v>High</v>
      </c>
      <c r="DK20" s="1" t="str" cm="1">
        <f t="array" ref="DK20">_xlfn.IFS(DK12&gt;5,"High",DK12=5,"mediam",DK12&lt;5,"low")</f>
        <v>High</v>
      </c>
      <c r="DL20" s="1" t="str" cm="1">
        <f t="array" ref="DL20">_xlfn.IFS(DL12&gt;5,"High",DL12=5,"mediam",DL12&lt;5,"low")</f>
        <v>low</v>
      </c>
      <c r="DM20" s="1" t="str" cm="1">
        <f t="array" ref="DM20">_xlfn.IFS(DM12&gt;5,"High",DM12=5,"mediam",DM12&lt;5,"low")</f>
        <v>High</v>
      </c>
      <c r="DN20" s="1" t="str" cm="1">
        <f t="array" ref="DN20">_xlfn.IFS(DN12&gt;5,"High",DN12=5,"mediam",DN12&lt;5,"low")</f>
        <v>High</v>
      </c>
      <c r="DO20" s="1" t="str" cm="1">
        <f t="array" ref="DO20">_xlfn.IFS(DO12&gt;5,"High",DO12=5,"mediam",DO12&lt;5,"low")</f>
        <v>low</v>
      </c>
      <c r="DP20" s="1" t="str" cm="1">
        <f t="array" ref="DP20">_xlfn.IFS(DP12&gt;5,"High",DP12=5,"mediam",DP12&lt;5,"low")</f>
        <v>High</v>
      </c>
      <c r="DQ20" s="1" t="str" cm="1">
        <f t="array" ref="DQ20">_xlfn.IFS(DQ12&gt;5,"High",DQ12=5,"mediam",DQ12&lt;5,"low")</f>
        <v>High</v>
      </c>
      <c r="DR20" s="1" t="str" cm="1">
        <f t="array" ref="DR20">_xlfn.IFS(DR12&gt;5,"High",DR12=5,"mediam",DR12&lt;5,"low")</f>
        <v>mediam</v>
      </c>
      <c r="DS20" s="1" t="str" cm="1">
        <f t="array" ref="DS20">_xlfn.IFS(DS12&gt;5,"High",DS12=5,"mediam",DS12&lt;5,"low")</f>
        <v>mediam</v>
      </c>
      <c r="DT20" s="1" t="str" cm="1">
        <f t="array" ref="DT20">_xlfn.IFS(DT12&gt;5,"High",DT12=5,"mediam",DT12&lt;5,"low")</f>
        <v>High</v>
      </c>
      <c r="DU20" s="1" t="str" cm="1">
        <f t="array" ref="DU20">_xlfn.IFS(DU12&gt;5,"High",DU12=5,"mediam",DU12&lt;5,"low")</f>
        <v>High</v>
      </c>
      <c r="DV20" s="1" t="str" cm="1">
        <f t="array" ref="DV20">_xlfn.IFS(DV12&gt;5,"High",DV12=5,"mediam",DV12&lt;5,"low")</f>
        <v>High</v>
      </c>
      <c r="DW20" s="1" t="str" cm="1">
        <f t="array" ref="DW20">_xlfn.IFS(DW12&gt;5,"High",DW12=5,"mediam",DW12&lt;5,"low")</f>
        <v>High</v>
      </c>
      <c r="DX20" s="1" t="str" cm="1">
        <f t="array" ref="DX20">_xlfn.IFS(DX12&gt;5,"High",DX12=5,"mediam",DX12&lt;5,"low")</f>
        <v>High</v>
      </c>
      <c r="DY20" s="1" t="str" cm="1">
        <f t="array" ref="DY20">_xlfn.IFS(DY12&gt;5,"High",DY12=5,"mediam",DY12&lt;5,"low")</f>
        <v>High</v>
      </c>
      <c r="DZ20" s="1" t="str" cm="1">
        <f t="array" ref="DZ20">_xlfn.IFS(DZ12&gt;5,"High",DZ12=5,"mediam",DZ12&lt;5,"low")</f>
        <v>low</v>
      </c>
      <c r="EA20" s="1" t="str" cm="1">
        <f t="array" ref="EA20">_xlfn.IFS(EA12&gt;5,"High",EA12=5,"mediam",EA12&lt;5,"low")</f>
        <v>low</v>
      </c>
      <c r="EB20" s="1" t="str" cm="1">
        <f t="array" ref="EB20">_xlfn.IFS(EB12&gt;5,"High",EB12=5,"mediam",EB12&lt;5,"low")</f>
        <v>High</v>
      </c>
      <c r="EC20" s="1" t="str" cm="1">
        <f t="array" ref="EC20">_xlfn.IFS(EC12&gt;5,"High",EC12=5,"mediam",EC12&lt;5,"low")</f>
        <v>low</v>
      </c>
      <c r="ED20" s="1" t="str" cm="1">
        <f t="array" ref="ED20">_xlfn.IFS(ED12&gt;5,"High",ED12=5,"mediam",ED12&lt;5,"low")</f>
        <v>low</v>
      </c>
      <c r="EE20" s="1" t="str" cm="1">
        <f t="array" ref="EE20">_xlfn.IFS(EE12&gt;5,"High",EE12=5,"mediam",EE12&lt;5,"low")</f>
        <v>High</v>
      </c>
      <c r="EF20" s="1" t="str" cm="1">
        <f t="array" ref="EF20">_xlfn.IFS(EF12&gt;5,"High",EF12=5,"mediam",EF12&lt;5,"low")</f>
        <v>High</v>
      </c>
      <c r="EG20" s="1" t="str" cm="1">
        <f t="array" ref="EG20">_xlfn.IFS(EG12&gt;5,"High",EG12=5,"mediam",EG12&lt;5,"low")</f>
        <v>High</v>
      </c>
      <c r="EH20" s="1" t="str" cm="1">
        <f t="array" ref="EH20">_xlfn.IFS(EH12&gt;5,"High",EH12=5,"mediam",EH12&lt;5,"low")</f>
        <v>low</v>
      </c>
      <c r="EI20" s="1" t="str" cm="1">
        <f t="array" ref="EI20">_xlfn.IFS(EI12&gt;5,"High",EI12=5,"mediam",EI12&lt;5,"low")</f>
        <v>low</v>
      </c>
      <c r="EJ20" s="1" t="str" cm="1">
        <f t="array" ref="EJ20">_xlfn.IFS(EJ12&gt;5,"High",EJ12=5,"mediam",EJ12&lt;5,"low")</f>
        <v>low</v>
      </c>
      <c r="EK20" s="1" t="str" cm="1">
        <f t="array" ref="EK20">_xlfn.IFS(EK12&gt;5,"High",EK12=5,"mediam",EK12&lt;5,"low")</f>
        <v>low</v>
      </c>
      <c r="EL20" s="1" t="str" cm="1">
        <f t="array" ref="EL20">_xlfn.IFS(EL12&gt;5,"High",EL12=5,"mediam",EL12&lt;5,"low")</f>
        <v>low</v>
      </c>
      <c r="EM20" s="1" t="str" cm="1">
        <f t="array" ref="EM20">_xlfn.IFS(EM12&gt;5,"High",EM12=5,"mediam",EM12&lt;5,"low")</f>
        <v>low</v>
      </c>
      <c r="EN20" s="1" t="str" cm="1">
        <f t="array" ref="EN20">_xlfn.IFS(EN12&gt;5,"High",EN12=5,"mediam",EN12&lt;5,"low")</f>
        <v>High</v>
      </c>
      <c r="EO20" s="1" t="str" cm="1">
        <f t="array" ref="EO20">_xlfn.IFS(EO12&gt;5,"High",EO12=5,"mediam",EO12&lt;5,"low")</f>
        <v>High</v>
      </c>
      <c r="EP20" s="1" t="str" cm="1">
        <f t="array" ref="EP20">_xlfn.IFS(EP12&gt;5,"High",EP12=5,"mediam",EP12&lt;5,"low")</f>
        <v>High</v>
      </c>
      <c r="EQ20" s="1" t="str" cm="1">
        <f t="array" ref="EQ20">_xlfn.IFS(EQ12&gt;5,"High",EQ12=5,"mediam",EQ12&lt;5,"low")</f>
        <v>low</v>
      </c>
      <c r="ER20" s="1" t="str" cm="1">
        <f t="array" ref="ER20">_xlfn.IFS(ER12&gt;5,"High",ER12=5,"mediam",ER12&lt;5,"low")</f>
        <v>High</v>
      </c>
      <c r="ES20" s="1" t="str" cm="1">
        <f t="array" ref="ES20">_xlfn.IFS(ES12&gt;5,"High",ES12=5,"mediam",ES12&lt;5,"low")</f>
        <v>low</v>
      </c>
      <c r="ET20" s="1" t="str" cm="1">
        <f t="array" ref="ET20">_xlfn.IFS(ET12&gt;5,"High",ET12=5,"mediam",ET12&lt;5,"low")</f>
        <v>High</v>
      </c>
      <c r="EU20" s="1" t="str" cm="1">
        <f t="array" ref="EU20">_xlfn.IFS(EU12&gt;5,"High",EU12=5,"mediam",EU12&lt;5,"low")</f>
        <v>low</v>
      </c>
      <c r="EV20" s="1" t="str" cm="1">
        <f t="array" ref="EV20">_xlfn.IFS(EV12&gt;5,"High",EV12=5,"mediam",EV12&lt;5,"low")</f>
        <v>mediam</v>
      </c>
      <c r="EW20" s="1" t="str" cm="1">
        <f t="array" ref="EW20">_xlfn.IFS(EW12&gt;5,"High",EW12=5,"mediam",EW12&lt;5,"low")</f>
        <v>low</v>
      </c>
      <c r="EX20" s="1" t="str" cm="1">
        <f t="array" ref="EX20">_xlfn.IFS(EX12&gt;5,"High",EX12=5,"mediam",EX12&lt;5,"low")</f>
        <v>High</v>
      </c>
      <c r="EY20" s="1" t="str" cm="1">
        <f t="array" ref="EY20">_xlfn.IFS(EY12&gt;5,"High",EY12=5,"mediam",EY12&lt;5,"low")</f>
        <v>low</v>
      </c>
      <c r="EZ20" s="1" t="str" cm="1">
        <f t="array" ref="EZ20">_xlfn.IFS(EZ12&gt;5,"High",EZ12=5,"mediam",EZ12&lt;5,"low")</f>
        <v>low</v>
      </c>
      <c r="FA20" s="1" t="str" cm="1">
        <f t="array" ref="FA20">_xlfn.IFS(FA12&gt;5,"High",FA12=5,"mediam",FA12&lt;5,"low")</f>
        <v>High</v>
      </c>
      <c r="FB20" s="1" t="str" cm="1">
        <f t="array" ref="FB20">_xlfn.IFS(FB12&gt;5,"High",FB12=5,"mediam",FB12&lt;5,"low")</f>
        <v>High</v>
      </c>
      <c r="FC20" s="1" t="str" cm="1">
        <f t="array" ref="FC20">_xlfn.IFS(FC12&gt;5,"High",FC12=5,"mediam",FC12&lt;5,"low")</f>
        <v>High</v>
      </c>
      <c r="FD20" s="1" t="str" cm="1">
        <f t="array" ref="FD20">_xlfn.IFS(FD12&gt;5,"High",FD12=5,"mediam",FD12&lt;5,"low")</f>
        <v>High</v>
      </c>
      <c r="FE20" s="1" t="str" cm="1">
        <f t="array" ref="FE20">_xlfn.IFS(FE12&gt;5,"High",FE12=5,"mediam",FE12&lt;5,"low")</f>
        <v>low</v>
      </c>
      <c r="FF20" s="1" t="str" cm="1">
        <f t="array" ref="FF20">_xlfn.IFS(FF12&gt;5,"High",FF12=5,"mediam",FF12&lt;5,"low")</f>
        <v>High</v>
      </c>
      <c r="FG20" s="1" t="str" cm="1">
        <f t="array" ref="FG20">_xlfn.IFS(FG12&gt;5,"High",FG12=5,"mediam",FG12&lt;5,"low")</f>
        <v>High</v>
      </c>
      <c r="FH20" s="1" t="str" cm="1">
        <f t="array" ref="FH20">_xlfn.IFS(FH12&gt;5,"High",FH12=5,"mediam",FH12&lt;5,"low")</f>
        <v>low</v>
      </c>
      <c r="FI20" s="1" t="str" cm="1">
        <f t="array" ref="FI20">_xlfn.IFS(FI12&gt;5,"High",FI12=5,"mediam",FI12&lt;5,"low")</f>
        <v>low</v>
      </c>
      <c r="FJ20" s="1" t="str" cm="1">
        <f t="array" ref="FJ20">_xlfn.IFS(FJ12&gt;5,"High",FJ12=5,"mediam",FJ12&lt;5,"low")</f>
        <v>low</v>
      </c>
      <c r="FK20" s="1" t="str" cm="1">
        <f t="array" ref="FK20">_xlfn.IFS(FK12&gt;5,"High",FK12=5,"mediam",FK12&lt;5,"low")</f>
        <v>High</v>
      </c>
      <c r="FL20" s="1" t="str" cm="1">
        <f t="array" ref="FL20">_xlfn.IFS(FL12&gt;5,"High",FL12=5,"mediam",FL12&lt;5,"low")</f>
        <v>High</v>
      </c>
      <c r="FM20" s="1" t="str" cm="1">
        <f t="array" ref="FM20">_xlfn.IFS(FM12&gt;5,"High",FM12=5,"mediam",FM12&lt;5,"low")</f>
        <v>High</v>
      </c>
      <c r="FN20" s="1" t="str" cm="1">
        <f t="array" ref="FN20">_xlfn.IFS(FN12&gt;5,"High",FN12=5,"mediam",FN12&lt;5,"low")</f>
        <v>mediam</v>
      </c>
      <c r="FO20" s="1" t="str" cm="1">
        <f t="array" ref="FO20">_xlfn.IFS(FO12&gt;5,"High",FO12=5,"mediam",FO12&lt;5,"low")</f>
        <v>High</v>
      </c>
      <c r="FP20" s="1" t="str" cm="1">
        <f t="array" ref="FP20">_xlfn.IFS(FP12&gt;5,"High",FP12=5,"mediam",FP12&lt;5,"low")</f>
        <v>High</v>
      </c>
      <c r="FQ20" s="1" t="str" cm="1">
        <f t="array" ref="FQ20">_xlfn.IFS(FQ12&gt;5,"High",FQ12=5,"mediam",FQ12&lt;5,"low")</f>
        <v>High</v>
      </c>
      <c r="FR20" s="1" t="str" cm="1">
        <f t="array" ref="FR20">_xlfn.IFS(FR12&gt;5,"High",FR12=5,"mediam",FR12&lt;5,"low")</f>
        <v>low</v>
      </c>
      <c r="FS20" s="1" t="str" cm="1">
        <f t="array" ref="FS20">_xlfn.IFS(FS12&gt;5,"High",FS12=5,"mediam",FS12&lt;5,"low")</f>
        <v>low</v>
      </c>
      <c r="FT20" s="1" t="str" cm="1">
        <f t="array" ref="FT20">_xlfn.IFS(FT12&gt;5,"High",FT12=5,"mediam",FT12&lt;5,"low")</f>
        <v>low</v>
      </c>
      <c r="FU20" s="1" t="str" cm="1">
        <f t="array" ref="FU20">_xlfn.IFS(FU12&gt;5,"High",FU12=5,"mediam",FU12&lt;5,"low")</f>
        <v>mediam</v>
      </c>
      <c r="FV20" s="1" t="str" cm="1">
        <f t="array" ref="FV20">_xlfn.IFS(FV12&gt;5,"High",FV12=5,"mediam",FV12&lt;5,"low")</f>
        <v>low</v>
      </c>
      <c r="FW20" s="1" t="str" cm="1">
        <f t="array" ref="FW20">_xlfn.IFS(FW12&gt;5,"High",FW12=5,"mediam",FW12&lt;5,"low")</f>
        <v>High</v>
      </c>
      <c r="FX20" s="1" t="str" cm="1">
        <f t="array" ref="FX20">_xlfn.IFS(FX12&gt;5,"High",FX12=5,"mediam",FX12&lt;5,"low")</f>
        <v>High</v>
      </c>
      <c r="FY20" s="1" t="str" cm="1">
        <f t="array" ref="FY20">_xlfn.IFS(FY12&gt;5,"High",FY12=5,"mediam",FY12&lt;5,"low")</f>
        <v>High</v>
      </c>
      <c r="FZ20" s="1" t="str" cm="1">
        <f t="array" ref="FZ20">_xlfn.IFS(FZ12&gt;5,"High",FZ12=5,"mediam",FZ12&lt;5,"low")</f>
        <v>mediam</v>
      </c>
      <c r="GA20" s="1" t="str" cm="1">
        <f t="array" ref="GA20">_xlfn.IFS(GA12&gt;5,"High",GA12=5,"mediam",GA12&lt;5,"low")</f>
        <v>low</v>
      </c>
      <c r="GB20" s="1" t="str" cm="1">
        <f t="array" ref="GB20">_xlfn.IFS(GB12&gt;5,"High",GB12=5,"mediam",GB12&lt;5,"low")</f>
        <v>High</v>
      </c>
      <c r="GC20" s="1" t="str" cm="1">
        <f t="array" ref="GC20">_xlfn.IFS(GC12&gt;5,"High",GC12=5,"mediam",GC12&lt;5,"low")</f>
        <v>mediam</v>
      </c>
      <c r="GD20" s="1" t="str" cm="1">
        <f t="array" ref="GD20">_xlfn.IFS(GD12&gt;5,"High",GD12=5,"mediam",GD12&lt;5,"low")</f>
        <v>High</v>
      </c>
      <c r="GE20" s="1" t="str" cm="1">
        <f t="array" ref="GE20">_xlfn.IFS(GE12&gt;5,"High",GE12=5,"mediam",GE12&lt;5,"low")</f>
        <v>low</v>
      </c>
      <c r="GF20" s="1" t="str" cm="1">
        <f t="array" ref="GF20">_xlfn.IFS(GF12&gt;5,"High",GF12=5,"mediam",GF12&lt;5,"low")</f>
        <v>low</v>
      </c>
      <c r="GG20" s="1" t="str" cm="1">
        <f t="array" ref="GG20">_xlfn.IFS(GG12&gt;5,"High",GG12=5,"mediam",GG12&lt;5,"low")</f>
        <v>low</v>
      </c>
      <c r="GH20" s="1" t="str" cm="1">
        <f t="array" ref="GH20">_xlfn.IFS(GH12&gt;5,"High",GH12=5,"mediam",GH12&lt;5,"low")</f>
        <v>low</v>
      </c>
      <c r="GI20" s="1" t="str" cm="1">
        <f t="array" ref="GI20">_xlfn.IFS(GI12&gt;5,"High",GI12=5,"mediam",GI12&lt;5,"low")</f>
        <v>low</v>
      </c>
      <c r="GJ20" s="1" t="str" cm="1">
        <f t="array" ref="GJ20">_xlfn.IFS(GJ12&gt;5,"High",GJ12=5,"mediam",GJ12&lt;5,"low")</f>
        <v>High</v>
      </c>
      <c r="GK20" s="1" t="str" cm="1">
        <f t="array" ref="GK20">_xlfn.IFS(GK12&gt;5,"High",GK12=5,"mediam",GK12&lt;5,"low")</f>
        <v>low</v>
      </c>
      <c r="GL20" s="1" t="str" cm="1">
        <f t="array" ref="GL20">_xlfn.IFS(GL12&gt;5,"High",GL12=5,"mediam",GL12&lt;5,"low")</f>
        <v>low</v>
      </c>
      <c r="GM20" s="1" t="str" cm="1">
        <f t="array" ref="GM20">_xlfn.IFS(GM12&gt;5,"High",GM12=5,"mediam",GM12&lt;5,"low")</f>
        <v>low</v>
      </c>
      <c r="GN20" s="1" t="str" cm="1">
        <f t="array" ref="GN20">_xlfn.IFS(GN12&gt;5,"High",GN12=5,"mediam",GN12&lt;5,"low")</f>
        <v>High</v>
      </c>
      <c r="GO20" s="1" t="str" cm="1">
        <f t="array" ref="GO20">_xlfn.IFS(GO12&gt;5,"High",GO12=5,"mediam",GO12&lt;5,"low")</f>
        <v>High</v>
      </c>
      <c r="GP20" s="1" t="str" cm="1">
        <f t="array" ref="GP20">_xlfn.IFS(GP12&gt;5,"High",GP12=5,"mediam",GP12&lt;5,"low")</f>
        <v>low</v>
      </c>
      <c r="GQ20" s="1" t="str" cm="1">
        <f t="array" ref="GQ20">_xlfn.IFS(GQ12&gt;5,"High",GQ12=5,"mediam",GQ12&lt;5,"low")</f>
        <v>mediam</v>
      </c>
      <c r="GR20" s="1" t="str" cm="1">
        <f t="array" ref="GR20">_xlfn.IFS(GR12&gt;5,"High",GR12=5,"mediam",GR12&lt;5,"low")</f>
        <v>low</v>
      </c>
      <c r="GS20" s="1" t="str" cm="1">
        <f t="array" ref="GS20">_xlfn.IFS(GS12&gt;5,"High",GS12=5,"mediam",GS12&lt;5,"low")</f>
        <v>low</v>
      </c>
      <c r="GT20" s="1" t="str" cm="1">
        <f t="array" ref="GT20">_xlfn.IFS(GT12&gt;5,"High",GT12=5,"mediam",GT12&lt;5,"low")</f>
        <v>mediam</v>
      </c>
      <c r="GU20" s="1" t="str" cm="1">
        <f t="array" ref="GU20">_xlfn.IFS(GU12&gt;5,"High",GU12=5,"mediam",GU12&lt;5,"low")</f>
        <v>High</v>
      </c>
      <c r="GV20" s="1" t="str" cm="1">
        <f t="array" ref="GV20">_xlfn.IFS(GV12&gt;5,"High",GV12=5,"mediam",GV12&lt;5,"low")</f>
        <v>High</v>
      </c>
      <c r="GW20" s="1" t="str" cm="1">
        <f t="array" ref="GW20">_xlfn.IFS(GW12&gt;5,"High",GW12=5,"mediam",GW12&lt;5,"low")</f>
        <v>High</v>
      </c>
      <c r="GX20" s="1" t="str" cm="1">
        <f t="array" ref="GX20">_xlfn.IFS(GX12&gt;5,"High",GX12=5,"mediam",GX12&lt;5,"low")</f>
        <v>High</v>
      </c>
      <c r="GY20" s="1" t="str" cm="1">
        <f t="array" ref="GY20">_xlfn.IFS(GY12&gt;5,"High",GY12=5,"mediam",GY12&lt;5,"low")</f>
        <v>High</v>
      </c>
      <c r="GZ20" s="1" t="str" cm="1">
        <f t="array" ref="GZ20">_xlfn.IFS(GZ12&gt;5,"High",GZ12=5,"mediam",GZ12&lt;5,"low")</f>
        <v>High</v>
      </c>
      <c r="HA20" s="1" t="str" cm="1">
        <f t="array" ref="HA20">_xlfn.IFS(HA12&gt;5,"High",HA12=5,"mediam",HA12&lt;5,"low")</f>
        <v>High</v>
      </c>
      <c r="HB20" s="1" t="str" cm="1">
        <f t="array" ref="HB20">_xlfn.IFS(HB12&gt;5,"High",HB12=5,"mediam",HB12&lt;5,"low")</f>
        <v>High</v>
      </c>
      <c r="HC20" s="1" t="str" cm="1">
        <f t="array" ref="HC20">_xlfn.IFS(HC12&gt;5,"High",HC12=5,"mediam",HC12&lt;5,"low")</f>
        <v>High</v>
      </c>
      <c r="HD20" s="1" t="str" cm="1">
        <f t="array" ref="HD20">_xlfn.IFS(HD12&gt;5,"High",HD12=5,"mediam",HD12&lt;5,"low")</f>
        <v>High</v>
      </c>
      <c r="HE20" s="1" t="str" cm="1">
        <f t="array" ref="HE20">_xlfn.IFS(HE12&gt;5,"High",HE12=5,"mediam",HE12&lt;5,"low")</f>
        <v>low</v>
      </c>
      <c r="HF20" s="1" t="str" cm="1">
        <f t="array" ref="HF20">_xlfn.IFS(HF12&gt;5,"High",HF12=5,"mediam",HF12&lt;5,"low")</f>
        <v>low</v>
      </c>
      <c r="HG20" s="1" t="str" cm="1">
        <f t="array" ref="HG20">_xlfn.IFS(HG12&gt;5,"High",HG12=5,"mediam",HG12&lt;5,"low")</f>
        <v>low</v>
      </c>
      <c r="HH20" s="1" t="str" cm="1">
        <f t="array" ref="HH20">_xlfn.IFS(HH12&gt;5,"High",HH12=5,"mediam",HH12&lt;5,"low")</f>
        <v>mediam</v>
      </c>
      <c r="HI20" s="1" t="str" cm="1">
        <f t="array" ref="HI20">_xlfn.IFS(HI12&gt;5,"High",HI12=5,"mediam",HI12&lt;5,"low")</f>
        <v>High</v>
      </c>
      <c r="HJ20" s="1" t="str" cm="1">
        <f t="array" ref="HJ20">_xlfn.IFS(HJ12&gt;5,"High",HJ12=5,"mediam",HJ12&lt;5,"low")</f>
        <v>low</v>
      </c>
      <c r="HK20" s="1" t="str" cm="1">
        <f t="array" ref="HK20">_xlfn.IFS(HK12&gt;5,"High",HK12=5,"mediam",HK12&lt;5,"low")</f>
        <v>low</v>
      </c>
      <c r="HL20" s="1" t="str" cm="1">
        <f t="array" ref="HL20">_xlfn.IFS(HL12&gt;5,"High",HL12=5,"mediam",HL12&lt;5,"low")</f>
        <v>High</v>
      </c>
      <c r="HM20" s="1" t="str" cm="1">
        <f t="array" ref="HM20">_xlfn.IFS(HM12&gt;5,"High",HM12=5,"mediam",HM12&lt;5,"low")</f>
        <v>High</v>
      </c>
      <c r="HN20" s="1" t="str" cm="1">
        <f t="array" ref="HN20">_xlfn.IFS(HN12&gt;5,"High",HN12=5,"mediam",HN12&lt;5,"low")</f>
        <v>High</v>
      </c>
      <c r="HO20" s="1" t="str" cm="1">
        <f t="array" ref="HO20">_xlfn.IFS(HO12&gt;5,"High",HO12=5,"mediam",HO12&lt;5,"low")</f>
        <v>High</v>
      </c>
      <c r="HP20" s="1" t="str" cm="1">
        <f t="array" ref="HP20">_xlfn.IFS(HP12&gt;5,"High",HP12=5,"mediam",HP12&lt;5,"low")</f>
        <v>High</v>
      </c>
      <c r="HQ20" s="1" t="str" cm="1">
        <f t="array" ref="HQ20">_xlfn.IFS(HQ12&gt;5,"High",HQ12=5,"mediam",HQ12&lt;5,"low")</f>
        <v>low</v>
      </c>
      <c r="HR20" s="1" t="str" cm="1">
        <f t="array" ref="HR20">_xlfn.IFS(HR12&gt;5,"High",HR12=5,"mediam",HR12&lt;5,"low")</f>
        <v>High</v>
      </c>
      <c r="HS20" s="1" t="str" cm="1">
        <f t="array" ref="HS20">_xlfn.IFS(HS12&gt;5,"High",HS12=5,"mediam",HS12&lt;5,"low")</f>
        <v>mediam</v>
      </c>
      <c r="HT20" s="1" t="str" cm="1">
        <f t="array" ref="HT20">_xlfn.IFS(HT12&gt;5,"High",HT12=5,"mediam",HT12&lt;5,"low")</f>
        <v>High</v>
      </c>
      <c r="HU20" s="1" t="str" cm="1">
        <f t="array" ref="HU20">_xlfn.IFS(HU12&gt;5,"High",HU12=5,"mediam",HU12&lt;5,"low")</f>
        <v>High</v>
      </c>
      <c r="HV20" s="1" t="str" cm="1">
        <f t="array" ref="HV20">_xlfn.IFS(HV12&gt;5,"High",HV12=5,"mediam",HV12&lt;5,"low")</f>
        <v>High</v>
      </c>
      <c r="HW20" s="1" t="str" cm="1">
        <f t="array" ref="HW20">_xlfn.IFS(HW12&gt;5,"High",HW12=5,"mediam",HW12&lt;5,"low")</f>
        <v>low</v>
      </c>
      <c r="HX20" s="1" t="str" cm="1">
        <f t="array" ref="HX20">_xlfn.IFS(HX12&gt;5,"High",HX12=5,"mediam",HX12&lt;5,"low")</f>
        <v>High</v>
      </c>
      <c r="HY20" s="1" t="str" cm="1">
        <f t="array" ref="HY20">_xlfn.IFS(HY12&gt;5,"High",HY12=5,"mediam",HY12&lt;5,"low")</f>
        <v>low</v>
      </c>
      <c r="HZ20" s="1" t="str" cm="1">
        <f t="array" ref="HZ20">_xlfn.IFS(HZ12&gt;5,"High",HZ12=5,"mediam",HZ12&lt;5,"low")</f>
        <v>low</v>
      </c>
      <c r="IA20" s="1" t="str" cm="1">
        <f t="array" ref="IA20">_xlfn.IFS(IA12&gt;5,"High",IA12=5,"mediam",IA12&lt;5,"low")</f>
        <v>High</v>
      </c>
      <c r="IB20" s="1" t="str" cm="1">
        <f t="array" ref="IB20">_xlfn.IFS(IB12&gt;5,"High",IB12=5,"mediam",IB12&lt;5,"low")</f>
        <v>High</v>
      </c>
      <c r="IC20" s="1" t="str" cm="1">
        <f t="array" ref="IC20">_xlfn.IFS(IC12&gt;5,"High",IC12=5,"mediam",IC12&lt;5,"low")</f>
        <v>High</v>
      </c>
      <c r="ID20" s="1" t="str" cm="1">
        <f t="array" ref="ID20">_xlfn.IFS(ID12&gt;5,"High",ID12=5,"mediam",ID12&lt;5,"low")</f>
        <v>mediam</v>
      </c>
      <c r="IE20" s="1" t="str" cm="1">
        <f t="array" ref="IE20">_xlfn.IFS(IE12&gt;5,"High",IE12=5,"mediam",IE12&lt;5,"low")</f>
        <v>High</v>
      </c>
      <c r="IF20" s="1" t="str" cm="1">
        <f t="array" ref="IF20">_xlfn.IFS(IF12&gt;5,"High",IF12=5,"mediam",IF12&lt;5,"low")</f>
        <v>low</v>
      </c>
      <c r="IG20" s="1" t="str" cm="1">
        <f t="array" ref="IG20">_xlfn.IFS(IG12&gt;5,"High",IG12=5,"mediam",IG12&lt;5,"low")</f>
        <v>High</v>
      </c>
      <c r="IH20" s="1" t="str" cm="1">
        <f t="array" ref="IH20">_xlfn.IFS(IH12&gt;5,"High",IH12=5,"mediam",IH12&lt;5,"low")</f>
        <v>High</v>
      </c>
      <c r="II20" s="1" t="str" cm="1">
        <f t="array" ref="II20">_xlfn.IFS(II12&gt;5,"High",II12=5,"mediam",II12&lt;5,"low")</f>
        <v>High</v>
      </c>
      <c r="IJ20" s="1" t="str" cm="1">
        <f t="array" ref="IJ20">_xlfn.IFS(IJ12&gt;5,"High",IJ12=5,"mediam",IJ12&lt;5,"low")</f>
        <v>low</v>
      </c>
      <c r="IK20" s="1" t="str" cm="1">
        <f t="array" ref="IK20">_xlfn.IFS(IK12&gt;5,"High",IK12=5,"mediam",IK12&lt;5,"low")</f>
        <v>low</v>
      </c>
      <c r="IL20" s="1" t="str" cm="1">
        <f t="array" ref="IL20">_xlfn.IFS(IL12&gt;5,"High",IL12=5,"mediam",IL12&lt;5,"low")</f>
        <v>High</v>
      </c>
      <c r="IM20" s="1" t="str" cm="1">
        <f t="array" ref="IM20">_xlfn.IFS(IM12&gt;5,"High",IM12=5,"mediam",IM12&lt;5,"low")</f>
        <v>low</v>
      </c>
      <c r="IN20" s="1" t="str" cm="1">
        <f t="array" ref="IN20">_xlfn.IFS(IN12&gt;5,"High",IN12=5,"mediam",IN12&lt;5,"low")</f>
        <v>High</v>
      </c>
      <c r="IO20" s="1" t="str" cm="1">
        <f t="array" ref="IO20">_xlfn.IFS(IO12&gt;5,"High",IO12=5,"mediam",IO12&lt;5,"low")</f>
        <v>High</v>
      </c>
      <c r="IP20" s="1" t="str" cm="1">
        <f t="array" ref="IP20">_xlfn.IFS(IP12&gt;5,"High",IP12=5,"mediam",IP12&lt;5,"low")</f>
        <v>low</v>
      </c>
      <c r="IQ20" s="1" t="str" cm="1">
        <f t="array" ref="IQ20">_xlfn.IFS(IQ12&gt;5,"High",IQ12=5,"mediam",IQ12&lt;5,"low")</f>
        <v>High</v>
      </c>
      <c r="IR20" s="1" t="str" cm="1">
        <f t="array" ref="IR20">_xlfn.IFS(IR12&gt;5,"High",IR12=5,"mediam",IR12&lt;5,"low")</f>
        <v>High</v>
      </c>
      <c r="IS20" s="1" t="str" cm="1">
        <f t="array" ref="IS20">_xlfn.IFS(IS12&gt;5,"High",IS12=5,"mediam",IS12&lt;5,"low")</f>
        <v>low</v>
      </c>
      <c r="IT20" s="1" t="str" cm="1">
        <f t="array" ref="IT20">_xlfn.IFS(IT12&gt;5,"High",IT12=5,"mediam",IT12&lt;5,"low")</f>
        <v>mediam</v>
      </c>
      <c r="IU20" s="1" t="str" cm="1">
        <f t="array" ref="IU20">_xlfn.IFS(IU12&gt;5,"High",IU12=5,"mediam",IU12&lt;5,"low")</f>
        <v>low</v>
      </c>
      <c r="IV20" s="1" t="str" cm="1">
        <f t="array" ref="IV20">_xlfn.IFS(IV12&gt;5,"High",IV12=5,"mediam",IV12&lt;5,"low")</f>
        <v>High</v>
      </c>
      <c r="IW20" s="1" t="str" cm="1">
        <f t="array" ref="IW20">_xlfn.IFS(IW12&gt;5,"High",IW12=5,"mediam",IW12&lt;5,"low")</f>
        <v>High</v>
      </c>
      <c r="IX20" s="1" t="str" cm="1">
        <f t="array" ref="IX20">_xlfn.IFS(IX12&gt;5,"High",IX12=5,"mediam",IX12&lt;5,"low")</f>
        <v>low</v>
      </c>
      <c r="IY20" s="1" t="str" cm="1">
        <f t="array" ref="IY20">_xlfn.IFS(IY12&gt;5,"High",IY12=5,"mediam",IY12&lt;5,"low")</f>
        <v>High</v>
      </c>
      <c r="IZ20" s="1" t="str" cm="1">
        <f t="array" ref="IZ20">_xlfn.IFS(IZ12&gt;5,"High",IZ12=5,"mediam",IZ12&lt;5,"low")</f>
        <v>High</v>
      </c>
      <c r="JA20" s="1" t="str" cm="1">
        <f t="array" ref="JA20">_xlfn.IFS(JA12&gt;5,"High",JA12=5,"mediam",JA12&lt;5,"low")</f>
        <v>low</v>
      </c>
      <c r="JB20" s="1" t="str" cm="1">
        <f t="array" ref="JB20">_xlfn.IFS(JB12&gt;5,"High",JB12=5,"mediam",JB12&lt;5,"low")</f>
        <v>low</v>
      </c>
      <c r="JC20" s="1" t="str" cm="1">
        <f t="array" ref="JC20">_xlfn.IFS(JC12&gt;5,"High",JC12=5,"mediam",JC12&lt;5,"low")</f>
        <v>High</v>
      </c>
      <c r="JD20" s="1" t="str" cm="1">
        <f t="array" ref="JD20">_xlfn.IFS(JD12&gt;5,"High",JD12=5,"mediam",JD12&lt;5,"low")</f>
        <v>High</v>
      </c>
      <c r="JE20" s="1" t="str" cm="1">
        <f t="array" ref="JE20">_xlfn.IFS(JE12&gt;5,"High",JE12=5,"mediam",JE12&lt;5,"low")</f>
        <v>low</v>
      </c>
      <c r="JF20" s="1" t="str" cm="1">
        <f t="array" ref="JF20">_xlfn.IFS(JF12&gt;5,"High",JF12=5,"mediam",JF12&lt;5,"low")</f>
        <v>High</v>
      </c>
      <c r="JG20" s="1" t="str" cm="1">
        <f t="array" ref="JG20">_xlfn.IFS(JG12&gt;5,"High",JG12=5,"mediam",JG12&lt;5,"low")</f>
        <v>High</v>
      </c>
      <c r="JH20" s="1" t="str" cm="1">
        <f t="array" ref="JH20">_xlfn.IFS(JH12&gt;5,"High",JH12=5,"mediam",JH12&lt;5,"low")</f>
        <v>low</v>
      </c>
      <c r="JI20" s="1" t="str" cm="1">
        <f t="array" ref="JI20">_xlfn.IFS(JI12&gt;5,"High",JI12=5,"mediam",JI12&lt;5,"low")</f>
        <v>low</v>
      </c>
      <c r="JJ20" s="1" t="str" cm="1">
        <f t="array" ref="JJ20">_xlfn.IFS(JJ12&gt;5,"High",JJ12=5,"mediam",JJ12&lt;5,"low")</f>
        <v>mediam</v>
      </c>
      <c r="JK20" s="1" t="str" cm="1">
        <f t="array" ref="JK20">_xlfn.IFS(JK12&gt;5,"High",JK12=5,"mediam",JK12&lt;5,"low")</f>
        <v>High</v>
      </c>
      <c r="JL20" s="1" t="str" cm="1">
        <f t="array" ref="JL20">_xlfn.IFS(JL12&gt;5,"High",JL12=5,"mediam",JL12&lt;5,"low")</f>
        <v>low</v>
      </c>
      <c r="JM20" s="1" t="str" cm="1">
        <f t="array" ref="JM20">_xlfn.IFS(JM12&gt;5,"High",JM12=5,"mediam",JM12&lt;5,"low")</f>
        <v>High</v>
      </c>
      <c r="JN20" s="1" t="str" cm="1">
        <f t="array" ref="JN20">_xlfn.IFS(JN12&gt;5,"High",JN12=5,"mediam",JN12&lt;5,"low")</f>
        <v>High</v>
      </c>
      <c r="JO20" s="1" t="str" cm="1">
        <f t="array" ref="JO20">_xlfn.IFS(JO12&gt;5,"High",JO12=5,"mediam",JO12&lt;5,"low")</f>
        <v>low</v>
      </c>
      <c r="JP20" s="1" t="str" cm="1">
        <f t="array" ref="JP20">_xlfn.IFS(JP12&gt;5,"High",JP12=5,"mediam",JP12&lt;5,"low")</f>
        <v>High</v>
      </c>
      <c r="JQ20" s="1" t="str" cm="1">
        <f t="array" ref="JQ20">_xlfn.IFS(JQ12&gt;5,"High",JQ12=5,"mediam",JQ12&lt;5,"low")</f>
        <v>High</v>
      </c>
      <c r="JR20" s="1" t="str" cm="1">
        <f t="array" ref="JR20">_xlfn.IFS(JR12&gt;5,"High",JR12=5,"mediam",JR12&lt;5,"low")</f>
        <v>High</v>
      </c>
      <c r="JS20" s="1" t="str" cm="1">
        <f t="array" ref="JS20">_xlfn.IFS(JS12&gt;5,"High",JS12=5,"mediam",JS12&lt;5,"low")</f>
        <v>High</v>
      </c>
      <c r="JT20" s="1" t="str" cm="1">
        <f t="array" ref="JT20">_xlfn.IFS(JT12&gt;5,"High",JT12=5,"mediam",JT12&lt;5,"low")</f>
        <v>High</v>
      </c>
      <c r="JU20" s="1" t="str" cm="1">
        <f t="array" ref="JU20">_xlfn.IFS(JU12&gt;5,"High",JU12=5,"mediam",JU12&lt;5,"low")</f>
        <v>High</v>
      </c>
      <c r="JV20" s="1" t="str" cm="1">
        <f t="array" ref="JV20">_xlfn.IFS(JV12&gt;5,"High",JV12=5,"mediam",JV12&lt;5,"low")</f>
        <v>mediam</v>
      </c>
      <c r="JW20" s="1" t="str" cm="1">
        <f t="array" ref="JW20">_xlfn.IFS(JW12&gt;5,"High",JW12=5,"mediam",JW12&lt;5,"low")</f>
        <v>low</v>
      </c>
      <c r="JX20" s="1" t="str" cm="1">
        <f t="array" ref="JX20">_xlfn.IFS(JX12&gt;5,"High",JX12=5,"mediam",JX12&lt;5,"low")</f>
        <v>low</v>
      </c>
      <c r="JY20" s="1" t="str" cm="1">
        <f t="array" ref="JY20">_xlfn.IFS(JY12&gt;5,"High",JY12=5,"mediam",JY12&lt;5,"low")</f>
        <v>High</v>
      </c>
      <c r="JZ20" s="1" t="str" cm="1">
        <f t="array" ref="JZ20">_xlfn.IFS(JZ12&gt;5,"High",JZ12=5,"mediam",JZ12&lt;5,"low")</f>
        <v>low</v>
      </c>
      <c r="KA20" s="1" t="str" cm="1">
        <f t="array" ref="KA20">_xlfn.IFS(KA12&gt;5,"High",KA12=5,"mediam",KA12&lt;5,"low")</f>
        <v>High</v>
      </c>
      <c r="KB20" s="1" t="str" cm="1">
        <f t="array" ref="KB20">_xlfn.IFS(KB12&gt;5,"High",KB12=5,"mediam",KB12&lt;5,"low")</f>
        <v>High</v>
      </c>
      <c r="KC20" s="1" t="str" cm="1">
        <f t="array" ref="KC20">_xlfn.IFS(KC12&gt;5,"High",KC12=5,"mediam",KC12&lt;5,"low")</f>
        <v>High</v>
      </c>
      <c r="KD20" s="1" t="str" cm="1">
        <f t="array" ref="KD20">_xlfn.IFS(KD12&gt;5,"High",KD12=5,"mediam",KD12&lt;5,"low")</f>
        <v>High</v>
      </c>
      <c r="KE20" s="1" t="str" cm="1">
        <f t="array" ref="KE20">_xlfn.IFS(KE12&gt;5,"High",KE12=5,"mediam",KE12&lt;5,"low")</f>
        <v>High</v>
      </c>
      <c r="KF20" s="1" t="str" cm="1">
        <f t="array" ref="KF20">_xlfn.IFS(KF12&gt;5,"High",KF12=5,"mediam",KF12&lt;5,"low")</f>
        <v>High</v>
      </c>
      <c r="KG20" s="1" t="str" cm="1">
        <f t="array" ref="KG20">_xlfn.IFS(KG12&gt;5,"High",KG12=5,"mediam",KG12&lt;5,"low")</f>
        <v>High</v>
      </c>
      <c r="KH20" s="1" t="str" cm="1">
        <f t="array" ref="KH20">_xlfn.IFS(KH12&gt;5,"High",KH12=5,"mediam",KH12&lt;5,"low")</f>
        <v>low</v>
      </c>
      <c r="KI20" s="1" t="str" cm="1">
        <f t="array" ref="KI20">_xlfn.IFS(KI12&gt;5,"High",KI12=5,"mediam",KI12&lt;5,"low")</f>
        <v>low</v>
      </c>
      <c r="KJ20" s="1" t="str" cm="1">
        <f t="array" ref="KJ20">_xlfn.IFS(KJ12&gt;5,"High",KJ12=5,"mediam",KJ12&lt;5,"low")</f>
        <v>low</v>
      </c>
      <c r="KK20" s="1" t="str" cm="1">
        <f t="array" ref="KK20">_xlfn.IFS(KK12&gt;5,"High",KK12=5,"mediam",KK12&lt;5,"low")</f>
        <v>mediam</v>
      </c>
      <c r="KL20" s="1" t="str" cm="1">
        <f t="array" ref="KL20">_xlfn.IFS(KL12&gt;5,"High",KL12=5,"mediam",KL12&lt;5,"low")</f>
        <v>low</v>
      </c>
      <c r="KM20" s="1" t="str" cm="1">
        <f t="array" ref="KM20">_xlfn.IFS(KM12&gt;5,"High",KM12=5,"mediam",KM12&lt;5,"low")</f>
        <v>High</v>
      </c>
      <c r="KN20" s="1" t="str" cm="1">
        <f t="array" ref="KN20">_xlfn.IFS(KN12&gt;5,"High",KN12=5,"mediam",KN12&lt;5,"low")</f>
        <v>High</v>
      </c>
      <c r="KO20" s="1" t="str" cm="1">
        <f t="array" ref="KO20">_xlfn.IFS(KO12&gt;5,"High",KO12=5,"mediam",KO12&lt;5,"low")</f>
        <v>mediam</v>
      </c>
      <c r="KP20" s="1" t="str" cm="1">
        <f t="array" ref="KP20">_xlfn.IFS(KP12&gt;5,"High",KP12=5,"mediam",KP12&lt;5,"low")</f>
        <v>low</v>
      </c>
      <c r="KQ20" s="1" t="str" cm="1">
        <f t="array" ref="KQ20">_xlfn.IFS(KQ12&gt;5,"High",KQ12=5,"mediam",KQ12&lt;5,"low")</f>
        <v>High</v>
      </c>
      <c r="KR20" s="1" t="str" cm="1">
        <f t="array" ref="KR20">_xlfn.IFS(KR12&gt;5,"High",KR12=5,"mediam",KR12&lt;5,"low")</f>
        <v>High</v>
      </c>
      <c r="KS20" s="1" t="str" cm="1">
        <f t="array" ref="KS20">_xlfn.IFS(KS12&gt;5,"High",KS12=5,"mediam",KS12&lt;5,"low")</f>
        <v>low</v>
      </c>
      <c r="KT20" s="1" t="str" cm="1">
        <f t="array" ref="KT20">_xlfn.IFS(KT12&gt;5,"High",KT12=5,"mediam",KT12&lt;5,"low")</f>
        <v>low</v>
      </c>
      <c r="KU20" s="1" t="str" cm="1">
        <f t="array" ref="KU20">_xlfn.IFS(KU12&gt;5,"High",KU12=5,"mediam",KU12&lt;5,"low")</f>
        <v>low</v>
      </c>
      <c r="KV20" s="1" t="str" cm="1">
        <f t="array" ref="KV20">_xlfn.IFS(KV12&gt;5,"High",KV12=5,"mediam",KV12&lt;5,"low")</f>
        <v>low</v>
      </c>
      <c r="KW20" s="1" t="str" cm="1">
        <f t="array" ref="KW20">_xlfn.IFS(KW12&gt;5,"High",KW12=5,"mediam",KW12&lt;5,"low")</f>
        <v>low</v>
      </c>
      <c r="KX20" s="1" t="str" cm="1">
        <f t="array" ref="KX20">_xlfn.IFS(KX12&gt;5,"High",KX12=5,"mediam",KX12&lt;5,"low")</f>
        <v>low</v>
      </c>
      <c r="KY20" s="1" t="str" cm="1">
        <f t="array" ref="KY20">_xlfn.IFS(KY12&gt;5,"High",KY12=5,"mediam",KY12&lt;5,"low")</f>
        <v>High</v>
      </c>
      <c r="KZ20" s="1" t="str" cm="1">
        <f t="array" ref="KZ20">_xlfn.IFS(KZ12&gt;5,"High",KZ12=5,"mediam",KZ12&lt;5,"low")</f>
        <v>low</v>
      </c>
      <c r="LA20" s="1" t="str" cm="1">
        <f t="array" ref="LA20">_xlfn.IFS(LA12&gt;5,"High",LA12=5,"mediam",LA12&lt;5,"low")</f>
        <v>low</v>
      </c>
      <c r="LB20" s="1" t="str" cm="1">
        <f t="array" ref="LB20">_xlfn.IFS(LB12&gt;5,"High",LB12=5,"mediam",LB12&lt;5,"low")</f>
        <v>low</v>
      </c>
      <c r="LC20" s="1" t="str" cm="1">
        <f t="array" ref="LC20">_xlfn.IFS(LC12&gt;5,"High",LC12=5,"mediam",LC12&lt;5,"low")</f>
        <v>low</v>
      </c>
      <c r="LD20" s="1" t="str" cm="1">
        <f t="array" ref="LD20">_xlfn.IFS(LD12&gt;5,"High",LD12=5,"mediam",LD12&lt;5,"low")</f>
        <v>High</v>
      </c>
      <c r="LE20" s="1" t="str" cm="1">
        <f t="array" ref="LE20">_xlfn.IFS(LE12&gt;5,"High",LE12=5,"mediam",LE12&lt;5,"low")</f>
        <v>High</v>
      </c>
      <c r="LF20" s="1" t="str" cm="1">
        <f t="array" ref="LF20">_xlfn.IFS(LF12&gt;5,"High",LF12=5,"mediam",LF12&lt;5,"low")</f>
        <v>low</v>
      </c>
      <c r="LG20" s="1" t="str" cm="1">
        <f t="array" ref="LG20">_xlfn.IFS(LG12&gt;5,"High",LG12=5,"mediam",LG12&lt;5,"low")</f>
        <v>High</v>
      </c>
      <c r="LH20" s="1" t="str" cm="1">
        <f t="array" ref="LH20">_xlfn.IFS(LH12&gt;5,"High",LH12=5,"mediam",LH12&lt;5,"low")</f>
        <v>High</v>
      </c>
      <c r="LI20" s="1" t="str" cm="1">
        <f t="array" ref="LI20">_xlfn.IFS(LI12&gt;5,"High",LI12=5,"mediam",LI12&lt;5,"low")</f>
        <v>High</v>
      </c>
      <c r="LJ20" s="1" t="str" cm="1">
        <f t="array" ref="LJ20">_xlfn.IFS(LJ12&gt;5,"High",LJ12=5,"mediam",LJ12&lt;5,"low")</f>
        <v>High</v>
      </c>
      <c r="LK20" s="1" t="str" cm="1">
        <f t="array" ref="LK20">_xlfn.IFS(LK12&gt;5,"High",LK12=5,"mediam",LK12&lt;5,"low")</f>
        <v>mediam</v>
      </c>
      <c r="LL20" s="1" t="str" cm="1">
        <f t="array" ref="LL20">_xlfn.IFS(LL12&gt;5,"High",LL12=5,"mediam",LL12&lt;5,"low")</f>
        <v>low</v>
      </c>
      <c r="LM20" s="1" t="str" cm="1">
        <f t="array" ref="LM20">_xlfn.IFS(LM12&gt;5,"High",LM12=5,"mediam",LM12&lt;5,"low")</f>
        <v>High</v>
      </c>
      <c r="LN20" s="1" t="str" cm="1">
        <f t="array" ref="LN20">_xlfn.IFS(LN12&gt;5,"High",LN12=5,"mediam",LN12&lt;5,"low")</f>
        <v>High</v>
      </c>
      <c r="LO20" s="1" t="str" cm="1">
        <f t="array" ref="LO20">_xlfn.IFS(LO12&gt;5,"High",LO12=5,"mediam",LO12&lt;5,"low")</f>
        <v>low</v>
      </c>
      <c r="LP20" s="1" t="str" cm="1">
        <f t="array" ref="LP20">_xlfn.IFS(LP12&gt;5,"High",LP12=5,"mediam",LP12&lt;5,"low")</f>
        <v>High</v>
      </c>
      <c r="LQ20" s="1" t="str" cm="1">
        <f t="array" ref="LQ20">_xlfn.IFS(LQ12&gt;5,"High",LQ12=5,"mediam",LQ12&lt;5,"low")</f>
        <v>low</v>
      </c>
      <c r="LR20" s="1" t="str" cm="1">
        <f t="array" ref="LR20">_xlfn.IFS(LR12&gt;5,"High",LR12=5,"mediam",LR12&lt;5,"low")</f>
        <v>low</v>
      </c>
      <c r="LS20" s="1" t="str" cm="1">
        <f t="array" ref="LS20">_xlfn.IFS(LS12&gt;5,"High",LS12=5,"mediam",LS12&lt;5,"low")</f>
        <v>High</v>
      </c>
      <c r="LT20" s="1" t="str" cm="1">
        <f t="array" ref="LT20">_xlfn.IFS(LT12&gt;5,"High",LT12=5,"mediam",LT12&lt;5,"low")</f>
        <v>low</v>
      </c>
      <c r="LU20" s="1" t="str" cm="1">
        <f t="array" ref="LU20">_xlfn.IFS(LU12&gt;5,"High",LU12=5,"mediam",LU12&lt;5,"low")</f>
        <v>low</v>
      </c>
      <c r="LV20" s="1" t="str" cm="1">
        <f t="array" ref="LV20">_xlfn.IFS(LV12&gt;5,"High",LV12=5,"mediam",LV12&lt;5,"low")</f>
        <v>mediam</v>
      </c>
      <c r="LW20" s="1" t="str" cm="1">
        <f t="array" ref="LW20">_xlfn.IFS(LW12&gt;5,"High",LW12=5,"mediam",LW12&lt;5,"low")</f>
        <v>mediam</v>
      </c>
      <c r="LX20" s="1" t="str" cm="1">
        <f t="array" ref="LX20">_xlfn.IFS(LX12&gt;5,"High",LX12=5,"mediam",LX12&lt;5,"low")</f>
        <v>High</v>
      </c>
      <c r="LY20" s="1" t="str" cm="1">
        <f t="array" ref="LY20">_xlfn.IFS(LY12&gt;5,"High",LY12=5,"mediam",LY12&lt;5,"low")</f>
        <v>low</v>
      </c>
      <c r="LZ20" s="1" t="str" cm="1">
        <f t="array" ref="LZ20">_xlfn.IFS(LZ12&gt;5,"High",LZ12=5,"mediam",LZ12&lt;5,"low")</f>
        <v>High</v>
      </c>
      <c r="MA20" s="1" t="str" cm="1">
        <f t="array" ref="MA20">_xlfn.IFS(MA12&gt;5,"High",MA12=5,"mediam",MA12&lt;5,"low")</f>
        <v>low</v>
      </c>
      <c r="MB20" s="1" t="str" cm="1">
        <f t="array" ref="MB20">_xlfn.IFS(MB12&gt;5,"High",MB12=5,"mediam",MB12&lt;5,"low")</f>
        <v>low</v>
      </c>
      <c r="MC20" s="1" t="str" cm="1">
        <f t="array" ref="MC20">_xlfn.IFS(MC12&gt;5,"High",MC12=5,"mediam",MC12&lt;5,"low")</f>
        <v>High</v>
      </c>
      <c r="MD20" s="1" t="str" cm="1">
        <f t="array" ref="MD20">_xlfn.IFS(MD12&gt;5,"High",MD12=5,"mediam",MD12&lt;5,"low")</f>
        <v>low</v>
      </c>
      <c r="ME20" s="1" t="str" cm="1">
        <f t="array" ref="ME20">_xlfn.IFS(ME12&gt;5,"High",ME12=5,"mediam",ME12&lt;5,"low")</f>
        <v>mediam</v>
      </c>
      <c r="MF20" s="1" t="str" cm="1">
        <f t="array" ref="MF20">_xlfn.IFS(MF12&gt;5,"High",MF12=5,"mediam",MF12&lt;5,"low")</f>
        <v>High</v>
      </c>
      <c r="MG20" s="1" t="str" cm="1">
        <f t="array" ref="MG20">_xlfn.IFS(MG12&gt;5,"High",MG12=5,"mediam",MG12&lt;5,"low")</f>
        <v>low</v>
      </c>
      <c r="MH20" s="1" t="str" cm="1">
        <f t="array" ref="MH20">_xlfn.IFS(MH12&gt;5,"High",MH12=5,"mediam",MH12&lt;5,"low")</f>
        <v>low</v>
      </c>
      <c r="MI20" s="1" t="str" cm="1">
        <f t="array" ref="MI20">_xlfn.IFS(MI12&gt;5,"High",MI12=5,"mediam",MI12&lt;5,"low")</f>
        <v>High</v>
      </c>
      <c r="MJ20" s="1" t="str" cm="1">
        <f t="array" ref="MJ20">_xlfn.IFS(MJ12&gt;5,"High",MJ12=5,"mediam",MJ12&lt;5,"low")</f>
        <v>low</v>
      </c>
      <c r="MK20" s="1" t="str" cm="1">
        <f t="array" ref="MK20">_xlfn.IFS(MK12&gt;5,"High",MK12=5,"mediam",MK12&lt;5,"low")</f>
        <v>High</v>
      </c>
      <c r="ML20" s="1" t="str" cm="1">
        <f t="array" ref="ML20">_xlfn.IFS(ML12&gt;5,"High",ML12=5,"mediam",ML12&lt;5,"low")</f>
        <v>High</v>
      </c>
      <c r="MM20" s="1" t="str" cm="1">
        <f t="array" ref="MM20">_xlfn.IFS(MM12&gt;5,"High",MM12=5,"mediam",MM12&lt;5,"low")</f>
        <v>low</v>
      </c>
      <c r="MN20" s="1" t="str" cm="1">
        <f t="array" ref="MN20">_xlfn.IFS(MN12&gt;5,"High",MN12=5,"mediam",MN12&lt;5,"low")</f>
        <v>low</v>
      </c>
      <c r="MO20" s="1" t="str" cm="1">
        <f t="array" ref="MO20">_xlfn.IFS(MO12&gt;5,"High",MO12=5,"mediam",MO12&lt;5,"low")</f>
        <v>low</v>
      </c>
      <c r="MP20" s="1" t="str" cm="1">
        <f t="array" ref="MP20">_xlfn.IFS(MP12&gt;5,"High",MP12=5,"mediam",MP12&lt;5,"low")</f>
        <v>High</v>
      </c>
      <c r="MQ20" s="1" t="str" cm="1">
        <f t="array" ref="MQ20">_xlfn.IFS(MQ12&gt;5,"High",MQ12=5,"mediam",MQ12&lt;5,"low")</f>
        <v>low</v>
      </c>
      <c r="MR20" s="1" t="str" cm="1">
        <f t="array" ref="MR20">_xlfn.IFS(MR12&gt;5,"High",MR12=5,"mediam",MR12&lt;5,"low")</f>
        <v>High</v>
      </c>
      <c r="MS20" s="1" t="str" cm="1">
        <f t="array" ref="MS20">_xlfn.IFS(MS12&gt;5,"High",MS12=5,"mediam",MS12&lt;5,"low")</f>
        <v>High</v>
      </c>
      <c r="MT20" s="1" t="str" cm="1">
        <f t="array" ref="MT20">_xlfn.IFS(MT12&gt;5,"High",MT12=5,"mediam",MT12&lt;5,"low")</f>
        <v>High</v>
      </c>
      <c r="MU20" s="1" t="str" cm="1">
        <f t="array" ref="MU20">_xlfn.IFS(MU12&gt;5,"High",MU12=5,"mediam",MU12&lt;5,"low")</f>
        <v>High</v>
      </c>
      <c r="MV20" s="1" t="str" cm="1">
        <f t="array" ref="MV20">_xlfn.IFS(MV12&gt;5,"High",MV12=5,"mediam",MV12&lt;5,"low")</f>
        <v>low</v>
      </c>
      <c r="MW20" s="1" t="str" cm="1">
        <f t="array" ref="MW20">_xlfn.IFS(MW12&gt;5,"High",MW12=5,"mediam",MW12&lt;5,"low")</f>
        <v>High</v>
      </c>
      <c r="MX20" s="1" t="str" cm="1">
        <f t="array" ref="MX20">_xlfn.IFS(MX12&gt;5,"High",MX12=5,"mediam",MX12&lt;5,"low")</f>
        <v>low</v>
      </c>
      <c r="MY20" s="1" t="str" cm="1">
        <f t="array" ref="MY20">_xlfn.IFS(MY12&gt;5,"High",MY12=5,"mediam",MY12&lt;5,"low")</f>
        <v>High</v>
      </c>
      <c r="MZ20" s="1" t="str" cm="1">
        <f t="array" ref="MZ20">_xlfn.IFS(MZ12&gt;5,"High",MZ12=5,"mediam",MZ12&lt;5,"low")</f>
        <v>low</v>
      </c>
      <c r="NA20" s="1" t="str" cm="1">
        <f t="array" ref="NA20">_xlfn.IFS(NA12&gt;5,"High",NA12=5,"mediam",NA12&lt;5,"low")</f>
        <v>low</v>
      </c>
      <c r="NB20" s="1" t="str" cm="1">
        <f t="array" ref="NB20">_xlfn.IFS(NB12&gt;5,"High",NB12=5,"mediam",NB12&lt;5,"low")</f>
        <v>mediam</v>
      </c>
      <c r="NC20" s="1" t="str" cm="1">
        <f t="array" ref="NC20">_xlfn.IFS(NC12&gt;5,"High",NC12=5,"mediam",NC12&lt;5,"low")</f>
        <v>mediam</v>
      </c>
      <c r="ND20" s="1" t="str" cm="1">
        <f t="array" ref="ND20">_xlfn.IFS(ND12&gt;5,"High",ND12=5,"mediam",ND12&lt;5,"low")</f>
        <v>High</v>
      </c>
      <c r="NE20" s="1" t="str" cm="1">
        <f t="array" ref="NE20">_xlfn.IFS(NE12&gt;5,"High",NE12=5,"mediam",NE12&lt;5,"low")</f>
        <v>High</v>
      </c>
      <c r="NF20" s="1" t="str" cm="1">
        <f t="array" ref="NF20">_xlfn.IFS(NF12&gt;5,"High",NF12=5,"mediam",NF12&lt;5,"low")</f>
        <v>High</v>
      </c>
      <c r="NG20" s="1" t="str" cm="1">
        <f t="array" ref="NG20">_xlfn.IFS(NG12&gt;5,"High",NG12=5,"mediam",NG12&lt;5,"low")</f>
        <v>High</v>
      </c>
      <c r="NH20" s="1" t="str" cm="1">
        <f t="array" ref="NH20">_xlfn.IFS(NH12&gt;5,"High",NH12=5,"mediam",NH12&lt;5,"low")</f>
        <v>High</v>
      </c>
      <c r="NI20" s="1" t="str" cm="1">
        <f t="array" ref="NI20">_xlfn.IFS(NI12&gt;5,"High",NI12=5,"mediam",NI12&lt;5,"low")</f>
        <v>low</v>
      </c>
      <c r="NJ20" s="1" t="str" cm="1">
        <f t="array" ref="NJ20">_xlfn.IFS(NJ12&gt;5,"High",NJ12=5,"mediam",NJ12&lt;5,"low")</f>
        <v>High</v>
      </c>
      <c r="NK20" s="1" t="str" cm="1">
        <f t="array" ref="NK20">_xlfn.IFS(NK12&gt;5,"High",NK12=5,"mediam",NK12&lt;5,"low")</f>
        <v>mediam</v>
      </c>
      <c r="NL20" s="1" t="str" cm="1">
        <f t="array" ref="NL20">_xlfn.IFS(NL12&gt;5,"High",NL12=5,"mediam",NL12&lt;5,"low")</f>
        <v>low</v>
      </c>
      <c r="NM20" s="1" t="str" cm="1">
        <f t="array" ref="NM20">_xlfn.IFS(NM12&gt;5,"High",NM12=5,"mediam",NM12&lt;5,"low")</f>
        <v>High</v>
      </c>
      <c r="NN20" s="1" t="str" cm="1">
        <f t="array" ref="NN20">_xlfn.IFS(NN12&gt;5,"High",NN12=5,"mediam",NN12&lt;5,"low")</f>
        <v>High</v>
      </c>
      <c r="NO20" s="1" t="str" cm="1">
        <f t="array" ref="NO20">_xlfn.IFS(NO12&gt;5,"High",NO12=5,"mediam",NO12&lt;5,"low")</f>
        <v>High</v>
      </c>
      <c r="NP20" s="1" t="str" cm="1">
        <f t="array" ref="NP20">_xlfn.IFS(NP12&gt;5,"High",NP12=5,"mediam",NP12&lt;5,"low")</f>
        <v>low</v>
      </c>
      <c r="NQ20" s="1" t="str" cm="1">
        <f t="array" ref="NQ20">_xlfn.IFS(NQ12&gt;5,"High",NQ12=5,"mediam",NQ12&lt;5,"low")</f>
        <v>low</v>
      </c>
      <c r="NR20" s="1" t="str" cm="1">
        <f t="array" ref="NR20">_xlfn.IFS(NR12&gt;5,"High",NR12=5,"mediam",NR12&lt;5,"low")</f>
        <v>low</v>
      </c>
      <c r="NS20" s="1" t="str" cm="1">
        <f t="array" ref="NS20">_xlfn.IFS(NS12&gt;5,"High",NS12=5,"mediam",NS12&lt;5,"low")</f>
        <v>High</v>
      </c>
      <c r="NT20" s="1" t="str" cm="1">
        <f t="array" ref="NT20">_xlfn.IFS(NT12&gt;5,"High",NT12=5,"mediam",NT12&lt;5,"low")</f>
        <v>low</v>
      </c>
      <c r="NU20" s="1" t="str" cm="1">
        <f t="array" ref="NU20">_xlfn.IFS(NU12&gt;5,"High",NU12=5,"mediam",NU12&lt;5,"low")</f>
        <v>mediam</v>
      </c>
      <c r="NV20" s="1" t="str" cm="1">
        <f t="array" ref="NV20">_xlfn.IFS(NV12&gt;5,"High",NV12=5,"mediam",NV12&lt;5,"low")</f>
        <v>low</v>
      </c>
      <c r="NW20" s="1" t="str" cm="1">
        <f t="array" ref="NW20">_xlfn.IFS(NW12&gt;5,"High",NW12=5,"mediam",NW12&lt;5,"low")</f>
        <v>low</v>
      </c>
      <c r="NX20" s="1" t="str" cm="1">
        <f t="array" ref="NX20">_xlfn.IFS(NX12&gt;5,"High",NX12=5,"mediam",NX12&lt;5,"low")</f>
        <v>High</v>
      </c>
      <c r="NY20" s="1" t="str" cm="1">
        <f t="array" ref="NY20">_xlfn.IFS(NY12&gt;5,"High",NY12=5,"mediam",NY12&lt;5,"low")</f>
        <v>low</v>
      </c>
      <c r="NZ20" s="1" t="str" cm="1">
        <f t="array" ref="NZ20">_xlfn.IFS(NZ12&gt;5,"High",NZ12=5,"mediam",NZ12&lt;5,"low")</f>
        <v>High</v>
      </c>
      <c r="OA20" s="1" t="str" cm="1">
        <f t="array" ref="OA20">_xlfn.IFS(OA12&gt;5,"High",OA12=5,"mediam",OA12&lt;5,"low")</f>
        <v>low</v>
      </c>
      <c r="OB20" s="1" t="str" cm="1">
        <f t="array" ref="OB20">_xlfn.IFS(OB12&gt;5,"High",OB12=5,"mediam",OB12&lt;5,"low")</f>
        <v>High</v>
      </c>
      <c r="OC20" s="1" t="str" cm="1">
        <f t="array" ref="OC20">_xlfn.IFS(OC12&gt;5,"High",OC12=5,"mediam",OC12&lt;5,"low")</f>
        <v>low</v>
      </c>
      <c r="OD20" s="1" t="str" cm="1">
        <f t="array" ref="OD20">_xlfn.IFS(OD12&gt;5,"High",OD12=5,"mediam",OD12&lt;5,"low")</f>
        <v>High</v>
      </c>
      <c r="OE20" s="1" t="str" cm="1">
        <f t="array" ref="OE20">_xlfn.IFS(OE12&gt;5,"High",OE12=5,"mediam",OE12&lt;5,"low")</f>
        <v>High</v>
      </c>
      <c r="OF20" s="1" t="str" cm="1">
        <f t="array" ref="OF20">_xlfn.IFS(OF12&gt;5,"High",OF12=5,"mediam",OF12&lt;5,"low")</f>
        <v>low</v>
      </c>
      <c r="OG20" s="1" t="str" cm="1">
        <f t="array" ref="OG20">_xlfn.IFS(OG12&gt;5,"High",OG12=5,"mediam",OG12&lt;5,"low")</f>
        <v>High</v>
      </c>
      <c r="OH20" s="1" t="str" cm="1">
        <f t="array" ref="OH20">_xlfn.IFS(OH12&gt;5,"High",OH12=5,"mediam",OH12&lt;5,"low")</f>
        <v>High</v>
      </c>
      <c r="OI20" s="1" t="str" cm="1">
        <f t="array" ref="OI20">_xlfn.IFS(OI12&gt;5,"High",OI12=5,"mediam",OI12&lt;5,"low")</f>
        <v>mediam</v>
      </c>
      <c r="OJ20" s="1" t="str" cm="1">
        <f t="array" ref="OJ20">_xlfn.IFS(OJ12&gt;5,"High",OJ12=5,"mediam",OJ12&lt;5,"low")</f>
        <v>low</v>
      </c>
      <c r="OK20" s="1" t="str" cm="1">
        <f t="array" ref="OK20">_xlfn.IFS(OK12&gt;5,"High",OK12=5,"mediam",OK12&lt;5,"low")</f>
        <v>low</v>
      </c>
      <c r="OL20" s="1" t="str" cm="1">
        <f t="array" ref="OL20">_xlfn.IFS(OL12&gt;5,"High",OL12=5,"mediam",OL12&lt;5,"low")</f>
        <v>low</v>
      </c>
      <c r="OM20" s="1" t="str" cm="1">
        <f t="array" ref="OM20">_xlfn.IFS(OM12&gt;5,"High",OM12=5,"mediam",OM12&lt;5,"low")</f>
        <v>High</v>
      </c>
      <c r="ON20" s="1" t="str" cm="1">
        <f t="array" ref="ON20">_xlfn.IFS(ON12&gt;5,"High",ON12=5,"mediam",ON12&lt;5,"low")</f>
        <v>low</v>
      </c>
      <c r="OO20" s="1" t="str" cm="1">
        <f t="array" ref="OO20">_xlfn.IFS(OO12&gt;5,"High",OO12=5,"mediam",OO12&lt;5,"low")</f>
        <v>low</v>
      </c>
      <c r="OP20" s="1" t="str" cm="1">
        <f t="array" ref="OP20">_xlfn.IFS(OP12&gt;5,"High",OP12=5,"mediam",OP12&lt;5,"low")</f>
        <v>low</v>
      </c>
      <c r="OQ20" s="1" t="str" cm="1">
        <f t="array" ref="OQ20">_xlfn.IFS(OQ12&gt;5,"High",OQ12=5,"mediam",OQ12&lt;5,"low")</f>
        <v>low</v>
      </c>
      <c r="OR20" s="1" t="str" cm="1">
        <f t="array" ref="OR20">_xlfn.IFS(OR12&gt;5,"High",OR12=5,"mediam",OR12&lt;5,"low")</f>
        <v>High</v>
      </c>
      <c r="OS20" s="1" t="str" cm="1">
        <f t="array" ref="OS20">_xlfn.IFS(OS12&gt;5,"High",OS12=5,"mediam",OS12&lt;5,"low")</f>
        <v>low</v>
      </c>
      <c r="OT20" s="1" t="str" cm="1">
        <f t="array" ref="OT20">_xlfn.IFS(OT12&gt;5,"High",OT12=5,"mediam",OT12&lt;5,"low")</f>
        <v>High</v>
      </c>
      <c r="OU20" s="1" t="str" cm="1">
        <f t="array" ref="OU20">_xlfn.IFS(OU12&gt;5,"High",OU12=5,"mediam",OU12&lt;5,"low")</f>
        <v>low</v>
      </c>
      <c r="OV20" s="1" t="str" cm="1">
        <f t="array" ref="OV20">_xlfn.IFS(OV12&gt;5,"High",OV12=5,"mediam",OV12&lt;5,"low")</f>
        <v>low</v>
      </c>
      <c r="OW20" s="1" t="str" cm="1">
        <f t="array" ref="OW20">_xlfn.IFS(OW12&gt;5,"High",OW12=5,"mediam",OW12&lt;5,"low")</f>
        <v>High</v>
      </c>
      <c r="OX20" s="1" t="str" cm="1">
        <f t="array" ref="OX20">_xlfn.IFS(OX12&gt;5,"High",OX12=5,"mediam",OX12&lt;5,"low")</f>
        <v>High</v>
      </c>
      <c r="OY20" s="1" t="str" cm="1">
        <f t="array" ref="OY20">_xlfn.IFS(OY12&gt;5,"High",OY12=5,"mediam",OY12&lt;5,"low")</f>
        <v>low</v>
      </c>
      <c r="OZ20" s="1" t="str" cm="1">
        <f t="array" ref="OZ20">_xlfn.IFS(OZ12&gt;5,"High",OZ12=5,"mediam",OZ12&lt;5,"low")</f>
        <v>low</v>
      </c>
      <c r="PA20" s="1" t="str" cm="1">
        <f t="array" ref="PA20">_xlfn.IFS(PA12&gt;5,"High",PA12=5,"mediam",PA12&lt;5,"low")</f>
        <v>High</v>
      </c>
      <c r="PB20" s="1" t="str" cm="1">
        <f t="array" ref="PB20">_xlfn.IFS(PB12&gt;5,"High",PB12=5,"mediam",PB12&lt;5,"low")</f>
        <v>low</v>
      </c>
      <c r="PC20" s="1" t="str" cm="1">
        <f t="array" ref="PC20">_xlfn.IFS(PC12&gt;5,"High",PC12=5,"mediam",PC12&lt;5,"low")</f>
        <v>High</v>
      </c>
      <c r="PD20" s="1" t="str" cm="1">
        <f t="array" ref="PD20">_xlfn.IFS(PD12&gt;5,"High",PD12=5,"mediam",PD12&lt;5,"low")</f>
        <v>High</v>
      </c>
      <c r="PE20" s="1" t="str" cm="1">
        <f t="array" ref="PE20">_xlfn.IFS(PE12&gt;5,"High",PE12=5,"mediam",PE12&lt;5,"low")</f>
        <v>low</v>
      </c>
      <c r="PF20" s="1" t="str" cm="1">
        <f t="array" ref="PF20">_xlfn.IFS(PF12&gt;5,"High",PF12=5,"mediam",PF12&lt;5,"low")</f>
        <v>low</v>
      </c>
      <c r="PG20" s="1" t="str" cm="1">
        <f t="array" ref="PG20">_xlfn.IFS(PG12&gt;5,"High",PG12=5,"mediam",PG12&lt;5,"low")</f>
        <v>High</v>
      </c>
      <c r="PH20" s="1" t="str" cm="1">
        <f t="array" ref="PH20">_xlfn.IFS(PH12&gt;5,"High",PH12=5,"mediam",PH12&lt;5,"low")</f>
        <v>High</v>
      </c>
      <c r="PI20" s="1" t="str" cm="1">
        <f t="array" ref="PI20">_xlfn.IFS(PI12&gt;5,"High",PI12=5,"mediam",PI12&lt;5,"low")</f>
        <v>High</v>
      </c>
      <c r="PJ20" s="1" t="str" cm="1">
        <f t="array" ref="PJ20">_xlfn.IFS(PJ12&gt;5,"High",PJ12=5,"mediam",PJ12&lt;5,"low")</f>
        <v>High</v>
      </c>
      <c r="PK20" s="1" t="str" cm="1">
        <f t="array" ref="PK20">_xlfn.IFS(PK12&gt;5,"High",PK12=5,"mediam",PK12&lt;5,"low")</f>
        <v>High</v>
      </c>
      <c r="PL20" s="1" t="str" cm="1">
        <f t="array" ref="PL20">_xlfn.IFS(PL12&gt;5,"High",PL12=5,"mediam",PL12&lt;5,"low")</f>
        <v>High</v>
      </c>
      <c r="PM20" s="1" t="str" cm="1">
        <f t="array" ref="PM20">_xlfn.IFS(PM12&gt;5,"High",PM12=5,"mediam",PM12&lt;5,"low")</f>
        <v>low</v>
      </c>
      <c r="PN20" s="1" t="str" cm="1">
        <f t="array" ref="PN20">_xlfn.IFS(PN12&gt;5,"High",PN12=5,"mediam",PN12&lt;5,"low")</f>
        <v>low</v>
      </c>
      <c r="PO20" s="1" t="str" cm="1">
        <f t="array" ref="PO20">_xlfn.IFS(PO12&gt;5,"High",PO12=5,"mediam",PO12&lt;5,"low")</f>
        <v>High</v>
      </c>
      <c r="PP20" s="1" t="str" cm="1">
        <f t="array" ref="PP20">_xlfn.IFS(PP12&gt;5,"High",PP12=5,"mediam",PP12&lt;5,"low")</f>
        <v>High</v>
      </c>
      <c r="PQ20" s="1" t="str" cm="1">
        <f t="array" ref="PQ20">_xlfn.IFS(PQ12&gt;5,"High",PQ12=5,"mediam",PQ12&lt;5,"low")</f>
        <v>High</v>
      </c>
      <c r="PR20" s="1" t="str" cm="1">
        <f t="array" ref="PR20">_xlfn.IFS(PR12&gt;5,"High",PR12=5,"mediam",PR12&lt;5,"low")</f>
        <v>low</v>
      </c>
      <c r="PS20" s="1" t="str" cm="1">
        <f t="array" ref="PS20">_xlfn.IFS(PS12&gt;5,"High",PS12=5,"mediam",PS12&lt;5,"low")</f>
        <v>High</v>
      </c>
      <c r="PT20" s="1" t="str" cm="1">
        <f t="array" ref="PT20">_xlfn.IFS(PT12&gt;5,"High",PT12=5,"mediam",PT12&lt;5,"low")</f>
        <v>low</v>
      </c>
      <c r="PU20" s="1" t="str" cm="1">
        <f t="array" ref="PU20">_xlfn.IFS(PU12&gt;5,"High",PU12=5,"mediam",PU12&lt;5,"low")</f>
        <v>low</v>
      </c>
      <c r="PV20" s="1" t="str" cm="1">
        <f t="array" ref="PV20">_xlfn.IFS(PV12&gt;5,"High",PV12=5,"mediam",PV12&lt;5,"low")</f>
        <v>High</v>
      </c>
      <c r="PW20" s="1" t="str" cm="1">
        <f t="array" ref="PW20">_xlfn.IFS(PW12&gt;5,"High",PW12=5,"mediam",PW12&lt;5,"low")</f>
        <v>mediam</v>
      </c>
      <c r="PX20" s="1" t="str" cm="1">
        <f t="array" ref="PX20">_xlfn.IFS(PX12&gt;5,"High",PX12=5,"mediam",PX12&lt;5,"low")</f>
        <v>low</v>
      </c>
      <c r="PY20" s="1" t="str" cm="1">
        <f t="array" ref="PY20">_xlfn.IFS(PY12&gt;5,"High",PY12=5,"mediam",PY12&lt;5,"low")</f>
        <v>low</v>
      </c>
      <c r="PZ20" s="1" t="str" cm="1">
        <f t="array" ref="PZ20">_xlfn.IFS(PZ12&gt;5,"High",PZ12=5,"mediam",PZ12&lt;5,"low")</f>
        <v>low</v>
      </c>
      <c r="QA20" s="1" t="str" cm="1">
        <f t="array" ref="QA20">_xlfn.IFS(QA12&gt;5,"High",QA12=5,"mediam",QA12&lt;5,"low")</f>
        <v>High</v>
      </c>
      <c r="QB20" s="1" t="str" cm="1">
        <f t="array" ref="QB20">_xlfn.IFS(QB12&gt;5,"High",QB12=5,"mediam",QB12&lt;5,"low")</f>
        <v>mediam</v>
      </c>
      <c r="QC20" s="1" t="str" cm="1">
        <f t="array" ref="QC20">_xlfn.IFS(QC12&gt;5,"High",QC12=5,"mediam",QC12&lt;5,"low")</f>
        <v>low</v>
      </c>
      <c r="QD20" s="1" t="str" cm="1">
        <f t="array" ref="QD20">_xlfn.IFS(QD12&gt;5,"High",QD12=5,"mediam",QD12&lt;5,"low")</f>
        <v>High</v>
      </c>
      <c r="QE20" s="1" t="str" cm="1">
        <f t="array" ref="QE20">_xlfn.IFS(QE12&gt;5,"High",QE12=5,"mediam",QE12&lt;5,"low")</f>
        <v>low</v>
      </c>
      <c r="QF20" s="1" t="str" cm="1">
        <f t="array" ref="QF20">_xlfn.IFS(QF12&gt;5,"High",QF12=5,"mediam",QF12&lt;5,"low")</f>
        <v>low</v>
      </c>
      <c r="QG20" s="1" t="str" cm="1">
        <f t="array" ref="QG20">_xlfn.IFS(QG12&gt;5,"High",QG12=5,"mediam",QG12&lt;5,"low")</f>
        <v>High</v>
      </c>
      <c r="QH20" s="1" t="str" cm="1">
        <f t="array" ref="QH20">_xlfn.IFS(QH12&gt;5,"High",QH12=5,"mediam",QH12&lt;5,"low")</f>
        <v>low</v>
      </c>
      <c r="QI20" s="1" t="str" cm="1">
        <f t="array" ref="QI20">_xlfn.IFS(QI12&gt;5,"High",QI12=5,"mediam",QI12&lt;5,"low")</f>
        <v>High</v>
      </c>
      <c r="QJ20" s="1" t="str" cm="1">
        <f t="array" ref="QJ20">_xlfn.IFS(QJ12&gt;5,"High",QJ12=5,"mediam",QJ12&lt;5,"low")</f>
        <v>High</v>
      </c>
      <c r="QK20" s="1" t="str" cm="1">
        <f t="array" ref="QK20">_xlfn.IFS(QK12&gt;5,"High",QK12=5,"mediam",QK12&lt;5,"low")</f>
        <v>low</v>
      </c>
      <c r="QL20" s="1" t="str" cm="1">
        <f t="array" ref="QL20">_xlfn.IFS(QL12&gt;5,"High",QL12=5,"mediam",QL12&lt;5,"low")</f>
        <v>High</v>
      </c>
      <c r="QM20" s="1" t="str" cm="1">
        <f t="array" ref="QM20">_xlfn.IFS(QM12&gt;5,"High",QM12=5,"mediam",QM12&lt;5,"low")</f>
        <v>High</v>
      </c>
      <c r="QN20" s="1" t="str" cm="1">
        <f t="array" ref="QN20">_xlfn.IFS(QN12&gt;5,"High",QN12=5,"mediam",QN12&lt;5,"low")</f>
        <v>low</v>
      </c>
      <c r="QO20" s="1" t="str" cm="1">
        <f t="array" ref="QO20">_xlfn.IFS(QO12&gt;5,"High",QO12=5,"mediam",QO12&lt;5,"low")</f>
        <v>low</v>
      </c>
      <c r="QP20" s="1" t="str" cm="1">
        <f t="array" ref="QP20">_xlfn.IFS(QP12&gt;5,"High",QP12=5,"mediam",QP12&lt;5,"low")</f>
        <v>mediam</v>
      </c>
      <c r="QQ20" s="1" t="str" cm="1">
        <f t="array" ref="QQ20">_xlfn.IFS(QQ12&gt;5,"High",QQ12=5,"mediam",QQ12&lt;5,"low")</f>
        <v>High</v>
      </c>
      <c r="QR20" s="1" t="str" cm="1">
        <f t="array" ref="QR20">_xlfn.IFS(QR12&gt;5,"High",QR12=5,"mediam",QR12&lt;5,"low")</f>
        <v>low</v>
      </c>
      <c r="QS20" s="1" t="str" cm="1">
        <f t="array" ref="QS20">_xlfn.IFS(QS12&gt;5,"High",QS12=5,"mediam",QS12&lt;5,"low")</f>
        <v>low</v>
      </c>
      <c r="QT20" s="1" t="str" cm="1">
        <f t="array" ref="QT20">_xlfn.IFS(QT12&gt;5,"High",QT12=5,"mediam",QT12&lt;5,"low")</f>
        <v>low</v>
      </c>
      <c r="QU20" s="1" t="str" cm="1">
        <f t="array" ref="QU20">_xlfn.IFS(QU12&gt;5,"High",QU12=5,"mediam",QU12&lt;5,"low")</f>
        <v>High</v>
      </c>
      <c r="QV20" s="1" t="str" cm="1">
        <f t="array" ref="QV20">_xlfn.IFS(QV12&gt;5,"High",QV12=5,"mediam",QV12&lt;5,"low")</f>
        <v>mediam</v>
      </c>
      <c r="QW20" s="1" t="str" cm="1">
        <f t="array" ref="QW20">_xlfn.IFS(QW12&gt;5,"High",QW12=5,"mediam",QW12&lt;5,"low")</f>
        <v>low</v>
      </c>
      <c r="QX20" s="1" t="str" cm="1">
        <f t="array" ref="QX20">_xlfn.IFS(QX12&gt;5,"High",QX12=5,"mediam",QX12&lt;5,"low")</f>
        <v>low</v>
      </c>
      <c r="QY20" s="1" t="str" cm="1">
        <f t="array" ref="QY20">_xlfn.IFS(QY12&gt;5,"High",QY12=5,"mediam",QY12&lt;5,"low")</f>
        <v>High</v>
      </c>
      <c r="QZ20" s="1" t="str" cm="1">
        <f t="array" ref="QZ20">_xlfn.IFS(QZ12&gt;5,"High",QZ12=5,"mediam",QZ12&lt;5,"low")</f>
        <v>low</v>
      </c>
      <c r="RA20" s="1" t="str" cm="1">
        <f t="array" ref="RA20">_xlfn.IFS(RA12&gt;5,"High",RA12=5,"mediam",RA12&lt;5,"low")</f>
        <v>High</v>
      </c>
      <c r="RB20" s="1" t="str" cm="1">
        <f t="array" ref="RB20">_xlfn.IFS(RB12&gt;5,"High",RB12=5,"mediam",RB12&lt;5,"low")</f>
        <v>mediam</v>
      </c>
      <c r="RC20" s="1" t="str" cm="1">
        <f t="array" ref="RC20">_xlfn.IFS(RC12&gt;5,"High",RC12=5,"mediam",RC12&lt;5,"low")</f>
        <v>High</v>
      </c>
      <c r="RD20" s="1" t="str" cm="1">
        <f t="array" ref="RD20">_xlfn.IFS(RD12&gt;5,"High",RD12=5,"mediam",RD12&lt;5,"low")</f>
        <v>High</v>
      </c>
      <c r="RE20" s="1" t="str" cm="1">
        <f t="array" ref="RE20">_xlfn.IFS(RE12&gt;5,"High",RE12=5,"mediam",RE12&lt;5,"low")</f>
        <v>mediam</v>
      </c>
      <c r="RF20" s="1" t="str" cm="1">
        <f t="array" ref="RF20">_xlfn.IFS(RF12&gt;5,"High",RF12=5,"mediam",RF12&lt;5,"low")</f>
        <v>High</v>
      </c>
      <c r="RG20" s="1" t="str" cm="1">
        <f t="array" ref="RG20">_xlfn.IFS(RG12&gt;5,"High",RG12=5,"mediam",RG12&lt;5,"low")</f>
        <v>low</v>
      </c>
      <c r="RH20" s="1" t="str" cm="1">
        <f t="array" ref="RH20">_xlfn.IFS(RH12&gt;5,"High",RH12=5,"mediam",RH12&lt;5,"low")</f>
        <v>High</v>
      </c>
      <c r="RI20" s="1" t="str" cm="1">
        <f t="array" ref="RI20">_xlfn.IFS(RI12&gt;5,"High",RI12=5,"mediam",RI12&lt;5,"low")</f>
        <v>low</v>
      </c>
      <c r="RJ20" s="1" t="str" cm="1">
        <f t="array" ref="RJ20">_xlfn.IFS(RJ12&gt;5,"High",RJ12=5,"mediam",RJ12&lt;5,"low")</f>
        <v>low</v>
      </c>
      <c r="RK20" s="1" t="str" cm="1">
        <f t="array" ref="RK20">_xlfn.IFS(RK12&gt;5,"High",RK12=5,"mediam",RK12&lt;5,"low")</f>
        <v>mediam</v>
      </c>
      <c r="RL20" s="1" t="str" cm="1">
        <f t="array" ref="RL20">_xlfn.IFS(RL12&gt;5,"High",RL12=5,"mediam",RL12&lt;5,"low")</f>
        <v>low</v>
      </c>
      <c r="RM20" s="1" t="str" cm="1">
        <f t="array" ref="RM20">_xlfn.IFS(RM12&gt;5,"High",RM12=5,"mediam",RM12&lt;5,"low")</f>
        <v>High</v>
      </c>
      <c r="RN20" s="1" t="str" cm="1">
        <f t="array" ref="RN20">_xlfn.IFS(RN12&gt;5,"High",RN12=5,"mediam",RN12&lt;5,"low")</f>
        <v>High</v>
      </c>
      <c r="RO20" s="1" t="str" cm="1">
        <f t="array" ref="RO20">_xlfn.IFS(RO12&gt;5,"High",RO12=5,"mediam",RO12&lt;5,"low")</f>
        <v>High</v>
      </c>
      <c r="RP20" s="1" t="str" cm="1">
        <f t="array" ref="RP20">_xlfn.IFS(RP12&gt;5,"High",RP12=5,"mediam",RP12&lt;5,"low")</f>
        <v>low</v>
      </c>
      <c r="RQ20" s="1" t="str" cm="1">
        <f t="array" ref="RQ20">_xlfn.IFS(RQ12&gt;5,"High",RQ12=5,"mediam",RQ12&lt;5,"low")</f>
        <v>High</v>
      </c>
      <c r="RR20" s="1" t="str" cm="1">
        <f t="array" ref="RR20">_xlfn.IFS(RR12&gt;5,"High",RR12=5,"mediam",RR12&lt;5,"low")</f>
        <v>low</v>
      </c>
      <c r="RS20" s="1" t="str" cm="1">
        <f t="array" ref="RS20">_xlfn.IFS(RS12&gt;5,"High",RS12=5,"mediam",RS12&lt;5,"low")</f>
        <v>High</v>
      </c>
      <c r="RT20" s="1" t="str" cm="1">
        <f t="array" ref="RT20">_xlfn.IFS(RT12&gt;5,"High",RT12=5,"mediam",RT12&lt;5,"low")</f>
        <v>low</v>
      </c>
      <c r="RU20" s="1" t="str" cm="1">
        <f t="array" ref="RU20">_xlfn.IFS(RU12&gt;5,"High",RU12=5,"mediam",RU12&lt;5,"low")</f>
        <v>low</v>
      </c>
      <c r="RV20" s="1" t="str" cm="1">
        <f t="array" ref="RV20">_xlfn.IFS(RV12&gt;5,"High",RV12=5,"mediam",RV12&lt;5,"low")</f>
        <v>High</v>
      </c>
      <c r="RW20" s="1" t="str" cm="1">
        <f t="array" ref="RW20">_xlfn.IFS(RW12&gt;5,"High",RW12=5,"mediam",RW12&lt;5,"low")</f>
        <v>High</v>
      </c>
      <c r="RX20" s="1" t="str" cm="1">
        <f t="array" ref="RX20">_xlfn.IFS(RX12&gt;5,"High",RX12=5,"mediam",RX12&lt;5,"low")</f>
        <v>mediam</v>
      </c>
      <c r="RY20" s="1" t="str" cm="1">
        <f t="array" ref="RY20">_xlfn.IFS(RY12&gt;5,"High",RY12=5,"mediam",RY12&lt;5,"low")</f>
        <v>mediam</v>
      </c>
      <c r="RZ20" s="1" t="str" cm="1">
        <f t="array" ref="RZ20">_xlfn.IFS(RZ12&gt;5,"High",RZ12=5,"mediam",RZ12&lt;5,"low")</f>
        <v>High</v>
      </c>
      <c r="SA20" s="1" t="str" cm="1">
        <f t="array" ref="SA20">_xlfn.IFS(SA12&gt;5,"High",SA12=5,"mediam",SA12&lt;5,"low")</f>
        <v>mediam</v>
      </c>
      <c r="SB20" s="1" t="str" cm="1">
        <f t="array" ref="SB20">_xlfn.IFS(SB12&gt;5,"High",SB12=5,"mediam",SB12&lt;5,"low")</f>
        <v>High</v>
      </c>
      <c r="SC20" s="1" t="str" cm="1">
        <f t="array" ref="SC20">_xlfn.IFS(SC12&gt;5,"High",SC12=5,"mediam",SC12&lt;5,"low")</f>
        <v>High</v>
      </c>
      <c r="SD20" s="1" t="str" cm="1">
        <f t="array" ref="SD20">_xlfn.IFS(SD12&gt;5,"High",SD12=5,"mediam",SD12&lt;5,"low")</f>
        <v>mediam</v>
      </c>
      <c r="SE20" s="1" t="str" cm="1">
        <f t="array" ref="SE20">_xlfn.IFS(SE12&gt;5,"High",SE12=5,"mediam",SE12&lt;5,"low")</f>
        <v>High</v>
      </c>
      <c r="SF20" s="1" t="str" cm="1">
        <f t="array" ref="SF20">_xlfn.IFS(SF12&gt;5,"High",SF12=5,"mediam",SF12&lt;5,"low")</f>
        <v>low</v>
      </c>
      <c r="SG20" s="1" t="str" cm="1">
        <f t="array" ref="SG20">_xlfn.IFS(SG12&gt;5,"High",SG12=5,"mediam",SG12&lt;5,"low")</f>
        <v>low</v>
      </c>
    </row>
    <row r="21" spans="1:501" x14ac:dyDescent="0.3">
      <c r="A21" s="12" t="s">
        <v>75</v>
      </c>
      <c r="B21" s="1" t="str">
        <f>IF(B12&gt;5,"High",IF(B12=A22,"Low"))</f>
        <v>High</v>
      </c>
      <c r="C21" s="1" t="str">
        <f>IF(C12&gt;5,"High",IF(C12="Mediam","Low"))</f>
        <v>High</v>
      </c>
      <c r="D21" s="1" t="str">
        <f>IF(D12&gt;5,"High",IF(D12="Mediam","Low"))</f>
        <v>High</v>
      </c>
      <c r="E21" s="1" t="b">
        <f>IF(E12&gt;5,"High",IF(E12="Mediam","Low"))</f>
        <v>0</v>
      </c>
      <c r="F21" s="1" t="str">
        <f>IF(F12&gt;5,"High",IF(F12="Mediam","Low"))</f>
        <v>High</v>
      </c>
      <c r="G21" s="1" t="b">
        <f>IF(G12&gt;5,"High",IF(G12="Mediam","Low"))</f>
        <v>0</v>
      </c>
      <c r="H21" s="1" t="b">
        <f>IF(H12&gt;5,"High",IF(H12="Mediam","Low"))</f>
        <v>0</v>
      </c>
      <c r="I21" s="1" t="b">
        <f>IF(I12&gt;5,"High",IF(I12="Mediam","Low"))</f>
        <v>0</v>
      </c>
      <c r="J21" s="1" t="b">
        <f>IF(J12&gt;5,"High",IF(J12="Mediam","Low"))</f>
        <v>0</v>
      </c>
      <c r="K21" s="1" t="b">
        <f>IF(K12&gt;5,"High",IF(K12="Mediam","Low"))</f>
        <v>0</v>
      </c>
      <c r="L21" s="1" t="str">
        <f>IF(L12&gt;5,"High",IF(L12="Mediam","Low"))</f>
        <v>High</v>
      </c>
      <c r="M21" s="1" t="str">
        <f>IF(M12&gt;5,"High",IF(M12="Mediam","Low"))</f>
        <v>High</v>
      </c>
      <c r="N21" s="1" t="str">
        <f>IF(N12&gt;5,"High",IF(N12="Mediam","Low"))</f>
        <v>High</v>
      </c>
      <c r="O21" s="1" t="str">
        <f>IF(O12&gt;5,"High",IF(O12="Mediam","Low"))</f>
        <v>High</v>
      </c>
      <c r="P21" s="1" t="str">
        <f>IF(P12&gt;5,"High",IF(P12="Mediam","Low"))</f>
        <v>High</v>
      </c>
      <c r="Q21" s="1" t="str">
        <f>IF(Q12&gt;5,"High",IF(Q12="Mediam","Low"))</f>
        <v>High</v>
      </c>
      <c r="R21" s="1" t="b">
        <f>IF(R12&gt;5,"High",IF(R12="Mediam","Low"))</f>
        <v>0</v>
      </c>
      <c r="S21" s="1" t="b">
        <f>IF(S12&gt;5,"High",IF(S12="Mediam","Low"))</f>
        <v>0</v>
      </c>
      <c r="T21" s="1" t="b">
        <f>IF(T12&gt;5,"High",IF(T12="Mediam","Low"))</f>
        <v>0</v>
      </c>
      <c r="U21" s="1" t="b">
        <f>IF(U12&gt;5,"High",IF(U12="Mediam","Low"))</f>
        <v>0</v>
      </c>
      <c r="V21" s="1" t="b">
        <f>IF(V12&gt;5,"High",IF(V12="Mediam","Low"))</f>
        <v>0</v>
      </c>
      <c r="W21" s="1" t="str">
        <f>IF(W12&gt;5,"High",IF(W12="Mediam","Low"))</f>
        <v>High</v>
      </c>
      <c r="X21" s="1" t="b">
        <f>IF(X12&gt;5,"High",IF(X12="Mediam","Low"))</f>
        <v>0</v>
      </c>
      <c r="Y21" s="1" t="b">
        <f>IF(Y12&gt;5,"High",IF(Y12="Mediam","Low"))</f>
        <v>0</v>
      </c>
      <c r="Z21" s="1" t="str">
        <f>IF(Z12&gt;5,"High",IF(Z12="Mediam","Low"))</f>
        <v>High</v>
      </c>
      <c r="AA21" s="1" t="str">
        <f>IF(AA12&gt;5,"High",IF(AA12="Mediam","Low"))</f>
        <v>High</v>
      </c>
      <c r="AB21" s="1" t="b">
        <f>IF(AB12&gt;5,"High",IF(AB12="Mediam","Low"))</f>
        <v>0</v>
      </c>
      <c r="AC21" s="1" t="str">
        <f>IF(AC12&gt;5,"High",IF(AC12="Mediam","Low"))</f>
        <v>High</v>
      </c>
      <c r="AD21" s="1" t="b">
        <f>IF(AD12&gt;5,"High",IF(AD12="Mediam","Low"))</f>
        <v>0</v>
      </c>
      <c r="AE21" s="1" t="b">
        <f>IF(AE12&gt;5,"High",IF(AE12="Mediam","Low"))</f>
        <v>0</v>
      </c>
      <c r="AF21" s="1" t="b">
        <f>IF(AF12&gt;5,"High",IF(AF12="Mediam","Low"))</f>
        <v>0</v>
      </c>
      <c r="AG21" s="1" t="b">
        <f>IF(AG12&gt;5,"High",IF(AG12="Mediam","Low"))</f>
        <v>0</v>
      </c>
      <c r="AH21" s="1" t="str">
        <f>IF(AH12&gt;5,"High",IF(AH12="Mediam","Low"))</f>
        <v>High</v>
      </c>
      <c r="AI21" s="1" t="str">
        <f>IF(AI12&gt;5,"High",IF(AI12="Mediam","Low"))</f>
        <v>High</v>
      </c>
      <c r="AJ21" s="1" t="str">
        <f>IF(AJ12&gt;5,"High",IF(AJ12="Mediam","Low"))</f>
        <v>High</v>
      </c>
      <c r="AK21" s="1" t="b">
        <f>IF(AK12&gt;5,"High",IF(AK12="Mediam","Low"))</f>
        <v>0</v>
      </c>
      <c r="AL21" s="1" t="b">
        <f>IF(AL12&gt;5,"High",IF(AL12="Mediam","Low"))</f>
        <v>0</v>
      </c>
      <c r="AM21" s="1" t="str">
        <f>IF(AM12&gt;5,"High",IF(AM12="Mediam","Low"))</f>
        <v>High</v>
      </c>
      <c r="AN21" s="1" t="str">
        <f>IF(AN12&gt;5,"High",IF(AN12="Mediam","Low"))</f>
        <v>High</v>
      </c>
      <c r="AO21" s="1" t="str">
        <f>IF(AO12&gt;5,"High",IF(AO12="Mediam","Low"))</f>
        <v>High</v>
      </c>
      <c r="AP21" s="1" t="str">
        <f>IF(AP12&gt;5,"High",IF(AP12="Mediam","Low"))</f>
        <v>High</v>
      </c>
      <c r="AQ21" s="1" t="b">
        <f>IF(AQ12&gt;5,"High",IF(AQ12="Mediam","Low"))</f>
        <v>0</v>
      </c>
      <c r="AR21" s="1" t="b">
        <f>IF(AR12&gt;5,"High",IF(AR12="Mediam","Low"))</f>
        <v>0</v>
      </c>
      <c r="AS21" s="1" t="b">
        <f>IF(AS12&gt;5,"High",IF(AS12="Mediam","Low"))</f>
        <v>0</v>
      </c>
      <c r="AT21" s="1" t="b">
        <f>IF(AT12&gt;5,"High",IF(AT12="Mediam","Low"))</f>
        <v>0</v>
      </c>
      <c r="AU21" s="1" t="str">
        <f>IF(AU12&gt;5,"High",IF(AU12="Mediam","Low"))</f>
        <v>High</v>
      </c>
      <c r="AV21" s="1" t="b">
        <f>IF(AV12&gt;5,"High",IF(AV12="Mediam","Low"))</f>
        <v>0</v>
      </c>
      <c r="AW21" s="1" t="b">
        <f>IF(AW12&gt;5,"High",IF(AW12="Mediam","Low"))</f>
        <v>0</v>
      </c>
      <c r="AX21" s="1" t="str">
        <f>IF(AX12&gt;5,"High",IF(AX12="Mediam","Low"))</f>
        <v>High</v>
      </c>
      <c r="AY21" s="1" t="str">
        <f>IF(AY12&gt;5,"High",IF(AY12="Mediam","Low"))</f>
        <v>High</v>
      </c>
      <c r="AZ21" s="1" t="b">
        <f>IF(AZ12&gt;5,"High",IF(AZ12="Mediam","Low"))</f>
        <v>0</v>
      </c>
      <c r="BA21" s="1" t="b">
        <f>IF(BA12&gt;5,"High",IF(BA12="Mediam","Low"))</f>
        <v>0</v>
      </c>
      <c r="BB21" s="1" t="b">
        <f>IF(BB12&gt;5,"High",IF(BB12="Mediam","Low"))</f>
        <v>0</v>
      </c>
      <c r="BC21" s="1" t="str">
        <f>IF(BC12&gt;5,"High",IF(BC12="Mediam","Low"))</f>
        <v>High</v>
      </c>
      <c r="BD21" s="1" t="b">
        <f>IF(BD12&gt;5,"High",IF(BD12="Mediam","Low"))</f>
        <v>0</v>
      </c>
      <c r="BE21" s="1" t="str">
        <f>IF(BE12&gt;5,"High",IF(BE12="Mediam","Low"))</f>
        <v>High</v>
      </c>
      <c r="BF21" s="1" t="str">
        <f>IF(BF12&gt;5,"High",IF(BF12="Mediam","Low"))</f>
        <v>High</v>
      </c>
      <c r="BG21" s="1" t="str">
        <f>IF(BG12&gt;5,"High",IF(BG12="Mediam","Low"))</f>
        <v>High</v>
      </c>
      <c r="BH21" s="1" t="str">
        <f>IF(BH12&gt;5,"High",IF(BH12="Mediam","Low"))</f>
        <v>High</v>
      </c>
      <c r="BI21" s="1" t="str">
        <f>IF(BI12&gt;5,"High",IF(BI12="Mediam","Low"))</f>
        <v>High</v>
      </c>
      <c r="BJ21" s="1" t="str">
        <f>IF(BJ12&gt;5,"High",IF(BJ12="Mediam","Low"))</f>
        <v>High</v>
      </c>
      <c r="BK21" s="1" t="str">
        <f>IF(BK12&gt;5,"High",IF(BK12="Mediam","Low"))</f>
        <v>High</v>
      </c>
      <c r="BL21" s="1" t="str">
        <f>IF(BL12&gt;5,"High",IF(BL12="Mediam","Low"))</f>
        <v>High</v>
      </c>
      <c r="BM21" s="1" t="b">
        <f>IF(BM12&gt;5,"High",IF(BM12="Mediam","Low"))</f>
        <v>0</v>
      </c>
      <c r="BN21" s="1" t="b">
        <f>IF(BN12&gt;5,"High",IF(BN12="Mediam","Low"))</f>
        <v>0</v>
      </c>
      <c r="BO21" s="1" t="str">
        <f>IF(BO12&gt;5,"High",IF(BO12="Mediam","Low"))</f>
        <v>High</v>
      </c>
      <c r="BP21" s="1" t="b">
        <f>IF(BP12&gt;5,"High",IF(BP12="Mediam","Low"))</f>
        <v>0</v>
      </c>
      <c r="BQ21" s="1" t="str">
        <f>IF(BQ12&gt;5,"High",IF(BQ12="Mediam","Low"))</f>
        <v>High</v>
      </c>
      <c r="BR21" s="1" t="str">
        <f>IF(BR12&gt;5,"High",IF(BR12="Mediam","Low"))</f>
        <v>High</v>
      </c>
      <c r="BS21" s="1" t="b">
        <f>IF(BS12&gt;5,"High",IF(BS12="Mediam","Low"))</f>
        <v>0</v>
      </c>
      <c r="BT21" s="1" t="b">
        <f>IF(BT12&gt;5,"High",IF(BT12="Mediam","Low"))</f>
        <v>0</v>
      </c>
      <c r="BU21" s="1" t="b">
        <f>IF(BU12&gt;5,"High",IF(BU12="Mediam","Low"))</f>
        <v>0</v>
      </c>
      <c r="BV21" s="1" t="b">
        <f>IF(BV12&gt;5,"High",IF(BV12="Mediam","Low"))</f>
        <v>0</v>
      </c>
      <c r="BW21" s="1" t="b">
        <f>IF(BW12&gt;5,"High",IF(BW12="Mediam","Low"))</f>
        <v>0</v>
      </c>
      <c r="BX21" s="1" t="b">
        <f>IF(BX12&gt;5,"High",IF(BX12="Mediam","Low"))</f>
        <v>0</v>
      </c>
      <c r="BY21" s="1" t="b">
        <f>IF(BY12&gt;5,"High",IF(BY12="Mediam","Low"))</f>
        <v>0</v>
      </c>
      <c r="BZ21" s="1" t="b">
        <f>IF(BZ12&gt;5,"High",IF(BZ12="Mediam","Low"))</f>
        <v>0</v>
      </c>
      <c r="CA21" s="1" t="str">
        <f>IF(CA12&gt;5,"High",IF(CA12="Mediam","Low"))</f>
        <v>High</v>
      </c>
      <c r="CB21" s="1" t="b">
        <f>IF(CB12&gt;5,"High",IF(CB12="Mediam","Low"))</f>
        <v>0</v>
      </c>
      <c r="CC21" s="1" t="b">
        <f>IF(CC12&gt;5,"High",IF(CC12="Mediam","Low"))</f>
        <v>0</v>
      </c>
      <c r="CD21" s="1" t="str">
        <f>IF(CD12&gt;5,"High",IF(CD12="Mediam","Low"))</f>
        <v>High</v>
      </c>
      <c r="CE21" s="1" t="str">
        <f>IF(CE12&gt;5,"High",IF(CE12="Mediam","Low"))</f>
        <v>High</v>
      </c>
      <c r="CF21" s="1" t="str">
        <f>IF(CF12&gt;5,"High",IF(CF12="Mediam","Low"))</f>
        <v>High</v>
      </c>
      <c r="CG21" s="1" t="b">
        <f>IF(CG12&gt;5,"High",IF(CG12="Mediam","Low"))</f>
        <v>0</v>
      </c>
      <c r="CH21" s="1" t="b">
        <f>IF(CH12&gt;5,"High",IF(CH12="Mediam","Low"))</f>
        <v>0</v>
      </c>
      <c r="CI21" s="1" t="b">
        <f>IF(CI12&gt;5,"High",IF(CI12="Mediam","Low"))</f>
        <v>0</v>
      </c>
      <c r="CJ21" s="1" t="str">
        <f>IF(CJ12&gt;5,"High",IF(CJ12="Mediam","Low"))</f>
        <v>High</v>
      </c>
      <c r="CK21" s="1" t="b">
        <f>IF(CK12&gt;5,"High",IF(CK12="Mediam","Low"))</f>
        <v>0</v>
      </c>
      <c r="CL21" s="1" t="b">
        <f>IF(CL12&gt;5,"High",IF(CL12="Mediam","Low"))</f>
        <v>0</v>
      </c>
      <c r="CM21" s="1" t="b">
        <f>IF(CM12&gt;5,"High",IF(CM12="Mediam","Low"))</f>
        <v>0</v>
      </c>
      <c r="CN21" s="1" t="b">
        <f>IF(CN12&gt;5,"High",IF(CN12="Mediam","Low"))</f>
        <v>0</v>
      </c>
      <c r="CO21" s="1" t="b">
        <f>IF(CO12&gt;5,"High",IF(CO12="Mediam","Low"))</f>
        <v>0</v>
      </c>
      <c r="CP21" s="1" t="str">
        <f>IF(CP12&gt;5,"High",IF(CP12="Mediam","Low"))</f>
        <v>High</v>
      </c>
      <c r="CQ21" s="1" t="b">
        <f>IF(CQ12&gt;5,"High",IF(CQ12="Mediam","Low"))</f>
        <v>0</v>
      </c>
      <c r="CR21" s="1" t="b">
        <f>IF(CR12&gt;5,"High",IF(CR12="Mediam","Low"))</f>
        <v>0</v>
      </c>
      <c r="CS21" s="1" t="b">
        <f>IF(CS12&gt;5,"High",IF(CS12="Mediam","Low"))</f>
        <v>0</v>
      </c>
      <c r="CT21" s="1" t="str">
        <f>IF(CT12&gt;5,"High",IF(CT12="Mediam","Low"))</f>
        <v>High</v>
      </c>
      <c r="CU21" s="1" t="b">
        <f>IF(CU12&gt;5,"High",IF(CU12="Mediam","Low"))</f>
        <v>0</v>
      </c>
      <c r="CV21" s="1" t="b">
        <f>IF(CV12&gt;5,"High",IF(CV12="Mediam","Low"))</f>
        <v>0</v>
      </c>
      <c r="CW21" s="1" t="str">
        <f>IF(CW12&gt;5,"High",IF(CW12="Mediam","Low"))</f>
        <v>High</v>
      </c>
      <c r="CX21" s="1" t="str">
        <f>IF(CX12&gt;5,"High",IF(CX12="Mediam","Low"))</f>
        <v>High</v>
      </c>
      <c r="CY21" s="1" t="b">
        <f>IF(CY12&gt;5,"High",IF(CY12="Mediam","Low"))</f>
        <v>0</v>
      </c>
      <c r="CZ21" s="1" t="str">
        <f>IF(CZ12&gt;5,"High",IF(CZ12="Mediam","Low"))</f>
        <v>High</v>
      </c>
      <c r="DA21" s="1" t="b">
        <f>IF(DA12&gt;5,"High",IF(DA12="Mediam","Low"))</f>
        <v>0</v>
      </c>
      <c r="DB21" s="1" t="b">
        <f>IF(DB12&gt;5,"High",IF(DB12="Mediam","Low"))</f>
        <v>0</v>
      </c>
      <c r="DC21" s="1" t="b">
        <f>IF(DC12&gt;5,"High",IF(DC12="Mediam","Low"))</f>
        <v>0</v>
      </c>
      <c r="DD21" s="1" t="b">
        <f>IF(DD12&gt;5,"High",IF(DD12="Mediam","Low"))</f>
        <v>0</v>
      </c>
      <c r="DE21" s="1" t="b">
        <f>IF(DE12&gt;5,"High",IF(DE12="Mediam","Low"))</f>
        <v>0</v>
      </c>
      <c r="DF21" s="1" t="b">
        <f>IF(DF12&gt;5,"High",IF(DF12="Mediam","Low"))</f>
        <v>0</v>
      </c>
      <c r="DG21" s="1" t="str">
        <f>IF(DG12&gt;5,"High",IF(DG12="Mediam","Low"))</f>
        <v>High</v>
      </c>
      <c r="DH21" s="1" t="b">
        <f>IF(DH12&gt;5,"High",IF(DH12="Mediam","Low"))</f>
        <v>0</v>
      </c>
      <c r="DI21" s="1" t="b">
        <f>IF(DI12&gt;5,"High",IF(DI12="Mediam","Low"))</f>
        <v>0</v>
      </c>
      <c r="DJ21" s="1" t="str">
        <f>IF(DJ12&gt;5,"High",IF(DJ12="Mediam","Low"))</f>
        <v>High</v>
      </c>
      <c r="DK21" s="1" t="str">
        <f>IF(DK12&gt;5,"High",IF(DK12="Mediam","Low"))</f>
        <v>High</v>
      </c>
      <c r="DL21" s="1" t="b">
        <f>IF(DL12&gt;5,"High",IF(DL12="Mediam","Low"))</f>
        <v>0</v>
      </c>
      <c r="DM21" s="1" t="str">
        <f>IF(DM12&gt;5,"High",IF(DM12="Mediam","Low"))</f>
        <v>High</v>
      </c>
      <c r="DN21" s="1" t="str">
        <f>IF(DN12&gt;5,"High",IF(DN12="Mediam","Low"))</f>
        <v>High</v>
      </c>
      <c r="DO21" s="1" t="b">
        <f>IF(DO12&gt;5,"High",IF(DO12="Mediam","Low"))</f>
        <v>0</v>
      </c>
      <c r="DP21" s="1" t="str">
        <f>IF(DP12&gt;5,"High",IF(DP12="Mediam","Low"))</f>
        <v>High</v>
      </c>
      <c r="DQ21" s="1" t="str">
        <f>IF(DQ12&gt;5,"High",IF(DQ12="Mediam","Low"))</f>
        <v>High</v>
      </c>
      <c r="DR21" s="1" t="b">
        <f>IF(DR12&gt;5,"High",IF(DR12="Mediam","Low"))</f>
        <v>0</v>
      </c>
      <c r="DS21" s="1" t="b">
        <f>IF(DS12&gt;5,"High",IF(DS12="Mediam","Low"))</f>
        <v>0</v>
      </c>
      <c r="DT21" s="1" t="str">
        <f>IF(DT12&gt;5,"High",IF(DT12="Mediam","Low"))</f>
        <v>High</v>
      </c>
      <c r="DU21" s="1" t="str">
        <f>IF(DU12&gt;5,"High",IF(DU12="Mediam","Low"))</f>
        <v>High</v>
      </c>
      <c r="DV21" s="1" t="str">
        <f>IF(DV12&gt;5,"High",IF(DV12="Mediam","Low"))</f>
        <v>High</v>
      </c>
      <c r="DW21" s="1" t="str">
        <f>IF(DW12&gt;5,"High",IF(DW12="Mediam","Low"))</f>
        <v>High</v>
      </c>
      <c r="DX21" s="1" t="str">
        <f>IF(DX12&gt;5,"High",IF(DX12="Mediam","Low"))</f>
        <v>High</v>
      </c>
      <c r="DY21" s="1" t="str">
        <f>IF(DY12&gt;5,"High",IF(DY12="Mediam","Low"))</f>
        <v>High</v>
      </c>
      <c r="DZ21" s="1" t="b">
        <f>IF(DZ12&gt;5,"High",IF(DZ12="Mediam","Low"))</f>
        <v>0</v>
      </c>
      <c r="EA21" s="1" t="b">
        <f>IF(EA12&gt;5,"High",IF(EA12="Mediam","Low"))</f>
        <v>0</v>
      </c>
      <c r="EB21" s="1" t="str">
        <f>IF(EB12&gt;5,"High",IF(EB12="Mediam","Low"))</f>
        <v>High</v>
      </c>
      <c r="EC21" s="1" t="b">
        <f>IF(EC12&gt;5,"High",IF(EC12="Mediam","Low"))</f>
        <v>0</v>
      </c>
      <c r="ED21" s="1" t="b">
        <f>IF(ED12&gt;5,"High",IF(ED12="Mediam","Low"))</f>
        <v>0</v>
      </c>
      <c r="EE21" s="1" t="str">
        <f>IF(EE12&gt;5,"High",IF(EE12="Mediam","Low"))</f>
        <v>High</v>
      </c>
      <c r="EF21" s="1" t="str">
        <f>IF(EF12&gt;5,"High",IF(EF12="Mediam","Low"))</f>
        <v>High</v>
      </c>
      <c r="EG21" s="1" t="str">
        <f>IF(EG12&gt;5,"High",IF(EG12="Mediam","Low"))</f>
        <v>High</v>
      </c>
      <c r="EH21" s="1" t="b">
        <f>IF(EH12&gt;5,"High",IF(EH12="Mediam","Low"))</f>
        <v>0</v>
      </c>
      <c r="EI21" s="1" t="b">
        <f>IF(EI12&gt;5,"High",IF(EI12="Mediam","Low"))</f>
        <v>0</v>
      </c>
      <c r="EJ21" s="1" t="b">
        <f>IF(EJ12&gt;5,"High",IF(EJ12="Mediam","Low"))</f>
        <v>0</v>
      </c>
      <c r="EK21" s="1" t="b">
        <f>IF(EK12&gt;5,"High",IF(EK12="Mediam","Low"))</f>
        <v>0</v>
      </c>
      <c r="EL21" s="1" t="b">
        <f>IF(EL12&gt;5,"High",IF(EL12="Mediam","Low"))</f>
        <v>0</v>
      </c>
      <c r="EM21" s="1" t="b">
        <f>IF(EM12&gt;5,"High",IF(EM12="Mediam","Low"))</f>
        <v>0</v>
      </c>
      <c r="EN21" s="1" t="str">
        <f>IF(EN12&gt;5,"High",IF(EN12="Mediam","Low"))</f>
        <v>High</v>
      </c>
      <c r="EO21" s="1" t="str">
        <f>IF(EO12&gt;5,"High",IF(EO12="Mediam","Low"))</f>
        <v>High</v>
      </c>
      <c r="EP21" s="1" t="str">
        <f>IF(EP12&gt;5,"High",IF(EP12="Mediam","Low"))</f>
        <v>High</v>
      </c>
      <c r="EQ21" s="1" t="b">
        <f>IF(EQ12&gt;5,"High",IF(EQ12="Mediam","Low"))</f>
        <v>0</v>
      </c>
      <c r="ER21" s="1" t="str">
        <f>IF(ER12&gt;5,"High",IF(ER12="Mediam","Low"))</f>
        <v>High</v>
      </c>
      <c r="ES21" s="1" t="b">
        <f>IF(ES12&gt;5,"High",IF(ES12="Mediam","Low"))</f>
        <v>0</v>
      </c>
      <c r="ET21" s="1" t="str">
        <f>IF(ET12&gt;5,"High",IF(ET12="Mediam","Low"))</f>
        <v>High</v>
      </c>
      <c r="EU21" s="1" t="b">
        <f>IF(EU12&gt;5,"High",IF(EU12="Mediam","Low"))</f>
        <v>0</v>
      </c>
      <c r="EV21" s="1" t="b">
        <f>IF(EV12&gt;5,"High",IF(EV12="Mediam","Low"))</f>
        <v>0</v>
      </c>
      <c r="EW21" s="1" t="b">
        <f>IF(EW12&gt;5,"High",IF(EW12="Mediam","Low"))</f>
        <v>0</v>
      </c>
      <c r="EX21" s="1" t="str">
        <f>IF(EX12&gt;5,"High",IF(EX12="Mediam","Low"))</f>
        <v>High</v>
      </c>
      <c r="EY21" s="1" t="b">
        <f>IF(EY12&gt;5,"High",IF(EY12="Mediam","Low"))</f>
        <v>0</v>
      </c>
      <c r="EZ21" s="1" t="b">
        <f>IF(EZ12&gt;5,"High",IF(EZ12="Mediam","Low"))</f>
        <v>0</v>
      </c>
      <c r="FA21" s="1" t="str">
        <f>IF(FA12&gt;5,"High",IF(FA12="Mediam","Low"))</f>
        <v>High</v>
      </c>
      <c r="FB21" s="1" t="str">
        <f>IF(FB12&gt;5,"High",IF(FB12="Mediam","Low"))</f>
        <v>High</v>
      </c>
      <c r="FC21" s="1" t="str">
        <f>IF(FC12&gt;5,"High",IF(FC12="Mediam","Low"))</f>
        <v>High</v>
      </c>
      <c r="FD21" s="1" t="str">
        <f>IF(FD12&gt;5,"High",IF(FD12="Mediam","Low"))</f>
        <v>High</v>
      </c>
      <c r="FE21" s="1" t="b">
        <f>IF(FE12&gt;5,"High",IF(FE12="Mediam","Low"))</f>
        <v>0</v>
      </c>
      <c r="FF21" s="1" t="str">
        <f>IF(FF12&gt;5,"High",IF(FF12="Mediam","Low"))</f>
        <v>High</v>
      </c>
      <c r="FG21" s="1" t="str">
        <f>IF(FG12&gt;5,"High",IF(FG12="Mediam","Low"))</f>
        <v>High</v>
      </c>
      <c r="FH21" s="1" t="b">
        <f>IF(FH12&gt;5,"High",IF(FH12="Mediam","Low"))</f>
        <v>0</v>
      </c>
      <c r="FI21" s="1" t="b">
        <f>IF(FI12&gt;5,"High",IF(FI12="Mediam","Low"))</f>
        <v>0</v>
      </c>
      <c r="FJ21" s="1" t="b">
        <f>IF(FJ12&gt;5,"High",IF(FJ12="Mediam","Low"))</f>
        <v>0</v>
      </c>
      <c r="FK21" s="1" t="str">
        <f>IF(FK12&gt;5,"High",IF(FK12="Mediam","Low"))</f>
        <v>High</v>
      </c>
      <c r="FL21" s="1" t="str">
        <f>IF(FL12&gt;5,"High",IF(FL12="Mediam","Low"))</f>
        <v>High</v>
      </c>
      <c r="FM21" s="1" t="str">
        <f>IF(FM12&gt;5,"High",IF(FM12="Mediam","Low"))</f>
        <v>High</v>
      </c>
      <c r="FN21" s="1" t="b">
        <f>IF(FN12&gt;5,"High",IF(FN12="Mediam","Low"))</f>
        <v>0</v>
      </c>
      <c r="FO21" s="1" t="str">
        <f>IF(FO12&gt;5,"High",IF(FO12="Mediam","Low"))</f>
        <v>High</v>
      </c>
      <c r="FP21" s="1" t="str">
        <f>IF(FP12&gt;5,"High",IF(FP12="Mediam","Low"))</f>
        <v>High</v>
      </c>
      <c r="FQ21" s="1" t="str">
        <f>IF(FQ12&gt;5,"High",IF(FQ12="Mediam","Low"))</f>
        <v>High</v>
      </c>
      <c r="FR21" s="1" t="b">
        <f>IF(FR12&gt;5,"High",IF(FR12="Mediam","Low"))</f>
        <v>0</v>
      </c>
      <c r="FS21" s="1" t="b">
        <f>IF(FS12&gt;5,"High",IF(FS12="Mediam","Low"))</f>
        <v>0</v>
      </c>
      <c r="FT21" s="1" t="b">
        <f>IF(FT12&gt;5,"High",IF(FT12="Mediam","Low"))</f>
        <v>0</v>
      </c>
      <c r="FU21" s="1" t="b">
        <f>IF(FU12&gt;5,"High",IF(FU12="Mediam","Low"))</f>
        <v>0</v>
      </c>
      <c r="FV21" s="1" t="b">
        <f>IF(FV12&gt;5,"High",IF(FV12="Mediam","Low"))</f>
        <v>0</v>
      </c>
      <c r="FW21" s="1" t="str">
        <f>IF(FW12&gt;5,"High",IF(FW12="Mediam","Low"))</f>
        <v>High</v>
      </c>
      <c r="FX21" s="1" t="str">
        <f>IF(FX12&gt;5,"High",IF(FX12="Mediam","Low"))</f>
        <v>High</v>
      </c>
      <c r="FY21" s="1" t="str">
        <f>IF(FY12&gt;5,"High",IF(FY12="Mediam","Low"))</f>
        <v>High</v>
      </c>
      <c r="FZ21" s="1" t="b">
        <f>IF(FZ12&gt;5,"High",IF(FZ12="Mediam","Low"))</f>
        <v>0</v>
      </c>
      <c r="GA21" s="1" t="b">
        <f>IF(GA12&gt;5,"High",IF(GA12="Mediam","Low"))</f>
        <v>0</v>
      </c>
      <c r="GB21" s="1" t="str">
        <f>IF(GB12&gt;5,"High",IF(GB12="Mediam","Low"))</f>
        <v>High</v>
      </c>
      <c r="GC21" s="1" t="b">
        <f>IF(GC12&gt;5,"High",IF(GC12="Mediam","Low"))</f>
        <v>0</v>
      </c>
      <c r="GD21" s="1" t="str">
        <f>IF(GD12&gt;5,"High",IF(GD12="Mediam","Low"))</f>
        <v>High</v>
      </c>
      <c r="GE21" s="1" t="b">
        <f>IF(GE12&gt;5,"High",IF(GE12="Mediam","Low"))</f>
        <v>0</v>
      </c>
      <c r="GF21" s="1" t="b">
        <f>IF(GF12&gt;5,"High",IF(GF12="Mediam","Low"))</f>
        <v>0</v>
      </c>
      <c r="GG21" s="1" t="b">
        <f>IF(GG12&gt;5,"High",IF(GG12="Mediam","Low"))</f>
        <v>0</v>
      </c>
      <c r="GH21" s="1" t="b">
        <f>IF(GH12&gt;5,"High",IF(GH12="Mediam","Low"))</f>
        <v>0</v>
      </c>
      <c r="GI21" s="1" t="b">
        <f>IF(GI12&gt;5,"High",IF(GI12="Mediam","Low"))</f>
        <v>0</v>
      </c>
      <c r="GJ21" s="1" t="str">
        <f>IF(GJ12&gt;5,"High",IF(GJ12="Mediam","Low"))</f>
        <v>High</v>
      </c>
      <c r="GK21" s="1" t="b">
        <f>IF(GK12&gt;5,"High",IF(GK12="Mediam","Low"))</f>
        <v>0</v>
      </c>
      <c r="GL21" s="1" t="b">
        <f>IF(GL12&gt;5,"High",IF(GL12="Mediam","Low"))</f>
        <v>0</v>
      </c>
      <c r="GM21" s="1" t="b">
        <f>IF(GM12&gt;5,"High",IF(GM12="Mediam","Low"))</f>
        <v>0</v>
      </c>
      <c r="GN21" s="1" t="str">
        <f>IF(GN12&gt;5,"High",IF(GN12="Mediam","Low"))</f>
        <v>High</v>
      </c>
      <c r="GO21" s="1" t="str">
        <f>IF(GO12&gt;5,"High",IF(GO12="Mediam","Low"))</f>
        <v>High</v>
      </c>
      <c r="GP21" s="1" t="b">
        <f>IF(GP12&gt;5,"High",IF(GP12="Mediam","Low"))</f>
        <v>0</v>
      </c>
      <c r="GQ21" s="1" t="b">
        <f>IF(GQ12&gt;5,"High",IF(GQ12="Mediam","Low"))</f>
        <v>0</v>
      </c>
      <c r="GR21" s="1" t="b">
        <f>IF(GR12&gt;5,"High",IF(GR12="Mediam","Low"))</f>
        <v>0</v>
      </c>
      <c r="GS21" s="1" t="b">
        <f>IF(GS12&gt;5,"High",IF(GS12="Mediam","Low"))</f>
        <v>0</v>
      </c>
      <c r="GT21" s="1" t="b">
        <f>IF(GT12&gt;5,"High",IF(GT12="Mediam","Low"))</f>
        <v>0</v>
      </c>
      <c r="GU21" s="1" t="str">
        <f>IF(GU12&gt;5,"High",IF(GU12="Mediam","Low"))</f>
        <v>High</v>
      </c>
      <c r="GV21" s="1" t="str">
        <f>IF(GV12&gt;5,"High",IF(GV12="Mediam","Low"))</f>
        <v>High</v>
      </c>
      <c r="GW21" s="1" t="str">
        <f>IF(GW12&gt;5,"High",IF(GW12="Mediam","Low"))</f>
        <v>High</v>
      </c>
      <c r="GX21" s="1" t="str">
        <f>IF(GX12&gt;5,"High",IF(GX12="Mediam","Low"))</f>
        <v>High</v>
      </c>
      <c r="GY21" s="1" t="str">
        <f>IF(GY12&gt;5,"High",IF(GY12="Mediam","Low"))</f>
        <v>High</v>
      </c>
      <c r="GZ21" s="1" t="str">
        <f>IF(GZ12&gt;5,"High",IF(GZ12="Mediam","Low"))</f>
        <v>High</v>
      </c>
      <c r="HA21" s="1" t="str">
        <f>IF(HA12&gt;5,"High",IF(HA12="Mediam","Low"))</f>
        <v>High</v>
      </c>
      <c r="HB21" s="1" t="str">
        <f>IF(HB12&gt;5,"High",IF(HB12="Mediam","Low"))</f>
        <v>High</v>
      </c>
      <c r="HC21" s="1" t="str">
        <f>IF(HC12&gt;5,"High",IF(HC12="Mediam","Low"))</f>
        <v>High</v>
      </c>
      <c r="HD21" s="1" t="str">
        <f>IF(HD12&gt;5,"High",IF(HD12="Mediam","Low"))</f>
        <v>High</v>
      </c>
      <c r="HE21" s="1" t="b">
        <f>IF(HE12&gt;5,"High",IF(HE12="Mediam","Low"))</f>
        <v>0</v>
      </c>
      <c r="HF21" s="1" t="b">
        <f>IF(HF12&gt;5,"High",IF(HF12="Mediam","Low"))</f>
        <v>0</v>
      </c>
      <c r="HG21" s="1" t="b">
        <f>IF(HG12&gt;5,"High",IF(HG12="Mediam","Low"))</f>
        <v>0</v>
      </c>
      <c r="HH21" s="1" t="b">
        <f>IF(HH12&gt;5,"High",IF(HH12="Mediam","Low"))</f>
        <v>0</v>
      </c>
      <c r="HI21" s="1" t="str">
        <f>IF(HI12&gt;5,"High",IF(HI12="Mediam","Low"))</f>
        <v>High</v>
      </c>
      <c r="HJ21" s="1" t="b">
        <f>IF(HJ12&gt;5,"High",IF(HJ12="Mediam","Low"))</f>
        <v>0</v>
      </c>
      <c r="HK21" s="1" t="b">
        <f>IF(HK12&gt;5,"High",IF(HK12="Mediam","Low"))</f>
        <v>0</v>
      </c>
      <c r="HL21" s="1" t="str">
        <f>IF(HL12&gt;5,"High",IF(HL12="Mediam","Low"))</f>
        <v>High</v>
      </c>
      <c r="HM21" s="1" t="str">
        <f>IF(HM12&gt;5,"High",IF(HM12="Mediam","Low"))</f>
        <v>High</v>
      </c>
      <c r="HN21" s="1" t="str">
        <f>IF(HN12&gt;5,"High",IF(HN12="Mediam","Low"))</f>
        <v>High</v>
      </c>
      <c r="HO21" s="1" t="str">
        <f>IF(HO12&gt;5,"High",IF(HO12="Mediam","Low"))</f>
        <v>High</v>
      </c>
      <c r="HP21" s="1" t="str">
        <f>IF(HP12&gt;5,"High",IF(HP12="Mediam","Low"))</f>
        <v>High</v>
      </c>
      <c r="HQ21" s="1" t="b">
        <f>IF(HQ12&gt;5,"High",IF(HQ12="Mediam","Low"))</f>
        <v>0</v>
      </c>
      <c r="HR21" s="1" t="str">
        <f>IF(HR12&gt;5,"High",IF(HR12="Mediam","Low"))</f>
        <v>High</v>
      </c>
      <c r="HS21" s="1" t="b">
        <f>IF(HS12&gt;5,"High",IF(HS12="Mediam","Low"))</f>
        <v>0</v>
      </c>
      <c r="HT21" s="1" t="str">
        <f>IF(HT12&gt;5,"High",IF(HT12="Mediam","Low"))</f>
        <v>High</v>
      </c>
      <c r="HU21" s="1" t="str">
        <f>IF(HU12&gt;5,"High",IF(HU12="Mediam","Low"))</f>
        <v>High</v>
      </c>
      <c r="HV21" s="1" t="str">
        <f>IF(HV12&gt;5,"High",IF(HV12="Mediam","Low"))</f>
        <v>High</v>
      </c>
      <c r="HW21" s="1" t="b">
        <f>IF(HW12&gt;5,"High",IF(HW12="Mediam","Low"))</f>
        <v>0</v>
      </c>
      <c r="HX21" s="1" t="str">
        <f>IF(HX12&gt;5,"High",IF(HX12="Mediam","Low"))</f>
        <v>High</v>
      </c>
      <c r="HY21" s="1" t="b">
        <f>IF(HY12&gt;5,"High",IF(HY12="Mediam","Low"))</f>
        <v>0</v>
      </c>
      <c r="HZ21" s="1" t="b">
        <f>IF(HZ12&gt;5,"High",IF(HZ12="Mediam","Low"))</f>
        <v>0</v>
      </c>
      <c r="IA21" s="1" t="str">
        <f>IF(IA12&gt;5,"High",IF(IA12="Mediam","Low"))</f>
        <v>High</v>
      </c>
      <c r="IB21" s="1" t="str">
        <f>IF(IB12&gt;5,"High",IF(IB12="Mediam","Low"))</f>
        <v>High</v>
      </c>
      <c r="IC21" s="1" t="str">
        <f>IF(IC12&gt;5,"High",IF(IC12="Mediam","Low"))</f>
        <v>High</v>
      </c>
      <c r="ID21" s="1" t="b">
        <f>IF(ID12&gt;5,"High",IF(ID12="Mediam","Low"))</f>
        <v>0</v>
      </c>
      <c r="IE21" s="1" t="str">
        <f>IF(IE12&gt;5,"High",IF(IE12="Mediam","Low"))</f>
        <v>High</v>
      </c>
      <c r="IF21" s="1" t="b">
        <f>IF(IF12&gt;5,"High",IF(IF12="Mediam","Low"))</f>
        <v>0</v>
      </c>
      <c r="IG21" s="1" t="str">
        <f>IF(IG12&gt;5,"High",IF(IG12="Mediam","Low"))</f>
        <v>High</v>
      </c>
      <c r="IH21" s="1" t="str">
        <f>IF(IH12&gt;5,"High",IF(IH12="Mediam","Low"))</f>
        <v>High</v>
      </c>
      <c r="II21" s="1" t="str">
        <f>IF(II12&gt;5,"High",IF(II12="Mediam","Low"))</f>
        <v>High</v>
      </c>
      <c r="IJ21" s="1" t="b">
        <f>IF(IJ12&gt;5,"High",IF(IJ12="Mediam","Low"))</f>
        <v>0</v>
      </c>
      <c r="IK21" s="1" t="b">
        <f>IF(IK12&gt;5,"High",IF(IK12="Mediam","Low"))</f>
        <v>0</v>
      </c>
      <c r="IL21" s="1" t="str">
        <f>IF(IL12&gt;5,"High",IF(IL12="Mediam","Low"))</f>
        <v>High</v>
      </c>
      <c r="IM21" s="1" t="b">
        <f>IF(IM12&gt;5,"High",IF(IM12="Mediam","Low"))</f>
        <v>0</v>
      </c>
      <c r="IN21" s="1" t="str">
        <f>IF(IN12&gt;5,"High",IF(IN12="Mediam","Low"))</f>
        <v>High</v>
      </c>
      <c r="IO21" s="1" t="str">
        <f>IF(IO12&gt;5,"High",IF(IO12="Mediam","Low"))</f>
        <v>High</v>
      </c>
      <c r="IP21" s="1" t="b">
        <f>IF(IP12&gt;5,"High",IF(IP12="Mediam","Low"))</f>
        <v>0</v>
      </c>
      <c r="IQ21" s="1" t="str">
        <f>IF(IQ12&gt;5,"High",IF(IQ12="Mediam","Low"))</f>
        <v>High</v>
      </c>
      <c r="IR21" s="1" t="str">
        <f>IF(IR12&gt;5,"High",IF(IR12="Mediam","Low"))</f>
        <v>High</v>
      </c>
      <c r="IS21" s="1" t="b">
        <f>IF(IS12&gt;5,"High",IF(IS12="Mediam","Low"))</f>
        <v>0</v>
      </c>
      <c r="IT21" s="1" t="b">
        <f>IF(IT12&gt;5,"High",IF(IT12="Mediam","Low"))</f>
        <v>0</v>
      </c>
      <c r="IU21" s="1" t="b">
        <f>IF(IU12&gt;5,"High",IF(IU12="Mediam","Low"))</f>
        <v>0</v>
      </c>
      <c r="IV21" s="1" t="str">
        <f>IF(IV12&gt;5,"High",IF(IV12="Mediam","Low"))</f>
        <v>High</v>
      </c>
      <c r="IW21" s="1" t="str">
        <f>IF(IW12&gt;5,"High",IF(IW12="Mediam","Low"))</f>
        <v>High</v>
      </c>
      <c r="IX21" s="1" t="b">
        <f>IF(IX12&gt;5,"High",IF(IX12="Mediam","Low"))</f>
        <v>0</v>
      </c>
      <c r="IY21" s="1" t="str">
        <f>IF(IY12&gt;5,"High",IF(IY12="Mediam","Low"))</f>
        <v>High</v>
      </c>
      <c r="IZ21" s="1" t="str">
        <f>IF(IZ12&gt;5,"High",IF(IZ12="Mediam","Low"))</f>
        <v>High</v>
      </c>
      <c r="JA21" s="1" t="b">
        <f>IF(JA12&gt;5,"High",IF(JA12="Mediam","Low"))</f>
        <v>0</v>
      </c>
      <c r="JB21" s="1" t="b">
        <f>IF(JB12&gt;5,"High",IF(JB12="Mediam","Low"))</f>
        <v>0</v>
      </c>
      <c r="JC21" s="1" t="str">
        <f>IF(JC12&gt;5,"High",IF(JC12="Mediam","Low"))</f>
        <v>High</v>
      </c>
      <c r="JD21" s="1" t="str">
        <f>IF(JD12&gt;5,"High",IF(JD12="Mediam","Low"))</f>
        <v>High</v>
      </c>
      <c r="JE21" s="1" t="b">
        <f>IF(JE12&gt;5,"High",IF(JE12="Mediam","Low"))</f>
        <v>0</v>
      </c>
      <c r="JF21" s="1" t="str">
        <f>IF(JF12&gt;5,"High",IF(JF12="Mediam","Low"))</f>
        <v>High</v>
      </c>
      <c r="JG21" s="1" t="str">
        <f>IF(JG12&gt;5,"High",IF(JG12="Mediam","Low"))</f>
        <v>High</v>
      </c>
      <c r="JH21" s="1" t="b">
        <f>IF(JH12&gt;5,"High",IF(JH12="Mediam","Low"))</f>
        <v>0</v>
      </c>
      <c r="JI21" s="1" t="b">
        <f>IF(JI12&gt;5,"High",IF(JI12="Mediam","Low"))</f>
        <v>0</v>
      </c>
      <c r="JJ21" s="1" t="b">
        <f>IF(JJ12&gt;5,"High",IF(JJ12="Mediam","Low"))</f>
        <v>0</v>
      </c>
      <c r="JK21" s="1" t="str">
        <f>IF(JK12&gt;5,"High",IF(JK12="Mediam","Low"))</f>
        <v>High</v>
      </c>
      <c r="JL21" s="1" t="b">
        <f>IF(JL12&gt;5,"High",IF(JL12="Mediam","Low"))</f>
        <v>0</v>
      </c>
      <c r="JM21" s="1" t="str">
        <f>IF(JM12&gt;5,"High",IF(JM12="Mediam","Low"))</f>
        <v>High</v>
      </c>
      <c r="JN21" s="1" t="str">
        <f>IF(JN12&gt;5,"High",IF(JN12="Mediam","Low"))</f>
        <v>High</v>
      </c>
      <c r="JO21" s="1" t="b">
        <f>IF(JO12&gt;5,"High",IF(JO12="Mediam","Low"))</f>
        <v>0</v>
      </c>
      <c r="JP21" s="1" t="str">
        <f>IF(JP12&gt;5,"High",IF(JP12="Mediam","Low"))</f>
        <v>High</v>
      </c>
      <c r="JQ21" s="1" t="str">
        <f>IF(JQ12&gt;5,"High",IF(JQ12="Mediam","Low"))</f>
        <v>High</v>
      </c>
      <c r="JR21" s="1" t="str">
        <f>IF(JR12&gt;5,"High",IF(JR12="Mediam","Low"))</f>
        <v>High</v>
      </c>
      <c r="JS21" s="1" t="str">
        <f>IF(JS12&gt;5,"High",IF(JS12="Mediam","Low"))</f>
        <v>High</v>
      </c>
      <c r="JT21" s="1" t="str">
        <f>IF(JT12&gt;5,"High",IF(JT12="Mediam","Low"))</f>
        <v>High</v>
      </c>
      <c r="JU21" s="1" t="str">
        <f>IF(JU12&gt;5,"High",IF(JU12="Mediam","Low"))</f>
        <v>High</v>
      </c>
      <c r="JV21" s="1" t="b">
        <f>IF(JV12&gt;5,"High",IF(JV12="Mediam","Low"))</f>
        <v>0</v>
      </c>
      <c r="JW21" s="1" t="b">
        <f>IF(JW12&gt;5,"High",IF(JW12="Mediam","Low"))</f>
        <v>0</v>
      </c>
      <c r="JX21" s="1" t="b">
        <f>IF(JX12&gt;5,"High",IF(JX12="Mediam","Low"))</f>
        <v>0</v>
      </c>
      <c r="JY21" s="1" t="str">
        <f>IF(JY12&gt;5,"High",IF(JY12="Mediam","Low"))</f>
        <v>High</v>
      </c>
      <c r="JZ21" s="1" t="b">
        <f>IF(JZ12&gt;5,"High",IF(JZ12="Mediam","Low"))</f>
        <v>0</v>
      </c>
      <c r="KA21" s="1" t="str">
        <f>IF(KA12&gt;5,"High",IF(KA12="Mediam","Low"))</f>
        <v>High</v>
      </c>
      <c r="KB21" s="1" t="str">
        <f>IF(KB12&gt;5,"High",IF(KB12="Mediam","Low"))</f>
        <v>High</v>
      </c>
      <c r="KC21" s="1" t="str">
        <f>IF(KC12&gt;5,"High",IF(KC12="Mediam","Low"))</f>
        <v>High</v>
      </c>
      <c r="KD21" s="1" t="str">
        <f>IF(KD12&gt;5,"High",IF(KD12="Mediam","Low"))</f>
        <v>High</v>
      </c>
      <c r="KE21" s="1" t="str">
        <f>IF(KE12&gt;5,"High",IF(KE12="Mediam","Low"))</f>
        <v>High</v>
      </c>
      <c r="KF21" s="1" t="str">
        <f>IF(KF12&gt;5,"High",IF(KF12="Mediam","Low"))</f>
        <v>High</v>
      </c>
      <c r="KG21" s="1" t="str">
        <f>IF(KG12&gt;5,"High",IF(KG12="Mediam","Low"))</f>
        <v>High</v>
      </c>
      <c r="KH21" s="1" t="b">
        <f>IF(KH12&gt;5,"High",IF(KH12="Mediam","Low"))</f>
        <v>0</v>
      </c>
      <c r="KI21" s="1" t="b">
        <f>IF(KI12&gt;5,"High",IF(KI12="Mediam","Low"))</f>
        <v>0</v>
      </c>
      <c r="KJ21" s="1" t="b">
        <f>IF(KJ12&gt;5,"High",IF(KJ12="Mediam","Low"))</f>
        <v>0</v>
      </c>
      <c r="KK21" s="1" t="b">
        <f>IF(KK12&gt;5,"High",IF(KK12="Mediam","Low"))</f>
        <v>0</v>
      </c>
      <c r="KL21" s="1" t="b">
        <f>IF(KL12&gt;5,"High",IF(KL12="Mediam","Low"))</f>
        <v>0</v>
      </c>
      <c r="KM21" s="1" t="str">
        <f>IF(KM12&gt;5,"High",IF(KM12="Mediam","Low"))</f>
        <v>High</v>
      </c>
      <c r="KN21" s="1" t="str">
        <f>IF(KN12&gt;5,"High",IF(KN12="Mediam","Low"))</f>
        <v>High</v>
      </c>
      <c r="KO21" s="1" t="b">
        <f>IF(KO12&gt;5,"High",IF(KO12="Mediam","Low"))</f>
        <v>0</v>
      </c>
      <c r="KP21" s="1" t="b">
        <f>IF(KP12&gt;5,"High",IF(KP12="Mediam","Low"))</f>
        <v>0</v>
      </c>
      <c r="KQ21" s="1" t="str">
        <f>IF(KQ12&gt;5,"High",IF(KQ12="Mediam","Low"))</f>
        <v>High</v>
      </c>
      <c r="KR21" s="1" t="str">
        <f>IF(KR12&gt;5,"High",IF(KR12="Mediam","Low"))</f>
        <v>High</v>
      </c>
      <c r="KS21" s="1" t="b">
        <f>IF(KS12&gt;5,"High",IF(KS12="Mediam","Low"))</f>
        <v>0</v>
      </c>
      <c r="KT21" s="1" t="b">
        <f>IF(KT12&gt;5,"High",IF(KT12="Mediam","Low"))</f>
        <v>0</v>
      </c>
      <c r="KU21" s="1" t="b">
        <f>IF(KU12&gt;5,"High",IF(KU12="Mediam","Low"))</f>
        <v>0</v>
      </c>
      <c r="KV21" s="1" t="b">
        <f>IF(KV12&gt;5,"High",IF(KV12="Mediam","Low"))</f>
        <v>0</v>
      </c>
      <c r="KW21" s="1" t="b">
        <f>IF(KW12&gt;5,"High",IF(KW12="Mediam","Low"))</f>
        <v>0</v>
      </c>
      <c r="KX21" s="1" t="b">
        <f>IF(KX12&gt;5,"High",IF(KX12="Mediam","Low"))</f>
        <v>0</v>
      </c>
      <c r="KY21" s="1" t="str">
        <f>IF(KY12&gt;5,"High",IF(KY12="Mediam","Low"))</f>
        <v>High</v>
      </c>
      <c r="KZ21" s="1" t="b">
        <f>IF(KZ12&gt;5,"High",IF(KZ12="Mediam","Low"))</f>
        <v>0</v>
      </c>
      <c r="LA21" s="1" t="b">
        <f>IF(LA12&gt;5,"High",IF(LA12="Mediam","Low"))</f>
        <v>0</v>
      </c>
      <c r="LB21" s="1" t="b">
        <f>IF(LB12&gt;5,"High",IF(LB12="Mediam","Low"))</f>
        <v>0</v>
      </c>
      <c r="LC21" s="1" t="b">
        <f>IF(LC12&gt;5,"High",IF(LC12="Mediam","Low"))</f>
        <v>0</v>
      </c>
      <c r="LD21" s="1" t="str">
        <f>IF(LD12&gt;5,"High",IF(LD12="Mediam","Low"))</f>
        <v>High</v>
      </c>
      <c r="LE21" s="1" t="str">
        <f>IF(LE12&gt;5,"High",IF(LE12="Mediam","Low"))</f>
        <v>High</v>
      </c>
      <c r="LF21" s="1" t="b">
        <f>IF(LF12&gt;5,"High",IF(LF12="Mediam","Low"))</f>
        <v>0</v>
      </c>
      <c r="LG21" s="1" t="str">
        <f>IF(LG12&gt;5,"High",IF(LG12="Mediam","Low"))</f>
        <v>High</v>
      </c>
      <c r="LH21" s="1" t="str">
        <f>IF(LH12&gt;5,"High",IF(LH12="Mediam","Low"))</f>
        <v>High</v>
      </c>
      <c r="LI21" s="1" t="str">
        <f>IF(LI12&gt;5,"High",IF(LI12="Mediam","Low"))</f>
        <v>High</v>
      </c>
      <c r="LJ21" s="1" t="str">
        <f>IF(LJ12&gt;5,"High",IF(LJ12="Mediam","Low"))</f>
        <v>High</v>
      </c>
      <c r="LK21" s="1" t="b">
        <f>IF(LK12&gt;5,"High",IF(LK12="Mediam","Low"))</f>
        <v>0</v>
      </c>
      <c r="LL21" s="1" t="b">
        <f>IF(LL12&gt;5,"High",IF(LL12="Mediam","Low"))</f>
        <v>0</v>
      </c>
      <c r="LM21" s="1" t="str">
        <f>IF(LM12&gt;5,"High",IF(LM12="Mediam","Low"))</f>
        <v>High</v>
      </c>
      <c r="LN21" s="1" t="str">
        <f>IF(LN12&gt;5,"High",IF(LN12="Mediam","Low"))</f>
        <v>High</v>
      </c>
      <c r="LO21" s="1" t="b">
        <f>IF(LO12&gt;5,"High",IF(LO12="Mediam","Low"))</f>
        <v>0</v>
      </c>
      <c r="LP21" s="1" t="str">
        <f>IF(LP12&gt;5,"High",IF(LP12="Mediam","Low"))</f>
        <v>High</v>
      </c>
      <c r="LQ21" s="1" t="b">
        <f>IF(LQ12&gt;5,"High",IF(LQ12="Mediam","Low"))</f>
        <v>0</v>
      </c>
      <c r="LR21" s="1" t="b">
        <f>IF(LR12&gt;5,"High",IF(LR12="Mediam","Low"))</f>
        <v>0</v>
      </c>
      <c r="LS21" s="1" t="str">
        <f>IF(LS12&gt;5,"High",IF(LS12="Mediam","Low"))</f>
        <v>High</v>
      </c>
      <c r="LT21" s="1" t="b">
        <f>IF(LT12&gt;5,"High",IF(LT12="Mediam","Low"))</f>
        <v>0</v>
      </c>
      <c r="LU21" s="1" t="b">
        <f>IF(LU12&gt;5,"High",IF(LU12="Mediam","Low"))</f>
        <v>0</v>
      </c>
      <c r="LV21" s="1" t="b">
        <f>IF(LV12&gt;5,"High",IF(LV12="Mediam","Low"))</f>
        <v>0</v>
      </c>
      <c r="LW21" s="1" t="b">
        <f>IF(LW12&gt;5,"High",IF(LW12="Mediam","Low"))</f>
        <v>0</v>
      </c>
      <c r="LX21" s="1" t="str">
        <f>IF(LX12&gt;5,"High",IF(LX12="Mediam","Low"))</f>
        <v>High</v>
      </c>
      <c r="LY21" s="1" t="b">
        <f>IF(LY12&gt;5,"High",IF(LY12="Mediam","Low"))</f>
        <v>0</v>
      </c>
      <c r="LZ21" s="1" t="str">
        <f>IF(LZ12&gt;5,"High",IF(LZ12="Mediam","Low"))</f>
        <v>High</v>
      </c>
      <c r="MA21" s="1" t="b">
        <f>IF(MA12&gt;5,"High",IF(MA12="Mediam","Low"))</f>
        <v>0</v>
      </c>
      <c r="MB21" s="1" t="b">
        <f>IF(MB12&gt;5,"High",IF(MB12="Mediam","Low"))</f>
        <v>0</v>
      </c>
      <c r="MC21" s="1" t="str">
        <f>IF(MC12&gt;5,"High",IF(MC12="Mediam","Low"))</f>
        <v>High</v>
      </c>
      <c r="MD21" s="1" t="b">
        <f>IF(MD12&gt;5,"High",IF(MD12="Mediam","Low"))</f>
        <v>0</v>
      </c>
      <c r="ME21" s="1" t="b">
        <f>IF(ME12&gt;5,"High",IF(ME12="Mediam","Low"))</f>
        <v>0</v>
      </c>
      <c r="MF21" s="1" t="str">
        <f>IF(MF12&gt;5,"High",IF(MF12="Mediam","Low"))</f>
        <v>High</v>
      </c>
      <c r="MG21" s="1" t="b">
        <f>IF(MG12&gt;5,"High",IF(MG12="Mediam","Low"))</f>
        <v>0</v>
      </c>
      <c r="MH21" s="1" t="b">
        <f>IF(MH12&gt;5,"High",IF(MH12="Mediam","Low"))</f>
        <v>0</v>
      </c>
      <c r="MI21" s="1" t="str">
        <f>IF(MI12&gt;5,"High",IF(MI12="Mediam","Low"))</f>
        <v>High</v>
      </c>
      <c r="MJ21" s="1" t="b">
        <f>IF(MJ12&gt;5,"High",IF(MJ12="Mediam","Low"))</f>
        <v>0</v>
      </c>
      <c r="MK21" s="1" t="str">
        <f>IF(MK12&gt;5,"High",IF(MK12="Mediam","Low"))</f>
        <v>High</v>
      </c>
      <c r="ML21" s="1" t="str">
        <f>IF(ML12&gt;5,"High",IF(ML12="Mediam","Low"))</f>
        <v>High</v>
      </c>
      <c r="MM21" s="1" t="b">
        <f>IF(MM12&gt;5,"High",IF(MM12="Mediam","Low"))</f>
        <v>0</v>
      </c>
      <c r="MN21" s="1" t="b">
        <f>IF(MN12&gt;5,"High",IF(MN12="Mediam","Low"))</f>
        <v>0</v>
      </c>
      <c r="MO21" s="1" t="b">
        <f>IF(MO12&gt;5,"High",IF(MO12="Mediam","Low"))</f>
        <v>0</v>
      </c>
      <c r="MP21" s="1" t="str">
        <f>IF(MP12&gt;5,"High",IF(MP12="Mediam","Low"))</f>
        <v>High</v>
      </c>
      <c r="MQ21" s="1" t="b">
        <f>IF(MQ12&gt;5,"High",IF(MQ12="Mediam","Low"))</f>
        <v>0</v>
      </c>
      <c r="MR21" s="1" t="str">
        <f>IF(MR12&gt;5,"High",IF(MR12="Mediam","Low"))</f>
        <v>High</v>
      </c>
      <c r="MS21" s="1" t="str">
        <f>IF(MS12&gt;5,"High",IF(MS12="Mediam","Low"))</f>
        <v>High</v>
      </c>
      <c r="MT21" s="1" t="str">
        <f>IF(MT12&gt;5,"High",IF(MT12="Mediam","Low"))</f>
        <v>High</v>
      </c>
      <c r="MU21" s="1" t="str">
        <f>IF(MU12&gt;5,"High",IF(MU12="Mediam","Low"))</f>
        <v>High</v>
      </c>
      <c r="MV21" s="1" t="b">
        <f>IF(MV12&gt;5,"High",IF(MV12="Mediam","Low"))</f>
        <v>0</v>
      </c>
      <c r="MW21" s="1" t="str">
        <f>IF(MW12&gt;5,"High",IF(MW12="Mediam","Low"))</f>
        <v>High</v>
      </c>
      <c r="MX21" s="1" t="b">
        <f>IF(MX12&gt;5,"High",IF(MX12="Mediam","Low"))</f>
        <v>0</v>
      </c>
      <c r="MY21" s="1" t="str">
        <f>IF(MY12&gt;5,"High",IF(MY12="Mediam","Low"))</f>
        <v>High</v>
      </c>
      <c r="MZ21" s="1" t="b">
        <f>IF(MZ12&gt;5,"High",IF(MZ12="Mediam","Low"))</f>
        <v>0</v>
      </c>
      <c r="NA21" s="1" t="b">
        <f>IF(NA12&gt;5,"High",IF(NA12="Mediam","Low"))</f>
        <v>0</v>
      </c>
      <c r="NB21" s="1" t="b">
        <f>IF(NB12&gt;5,"High",IF(NB12="Mediam","Low"))</f>
        <v>0</v>
      </c>
      <c r="NC21" s="1" t="b">
        <f>IF(NC12&gt;5,"High",IF(NC12="Mediam","Low"))</f>
        <v>0</v>
      </c>
      <c r="ND21" s="1" t="str">
        <f>IF(ND12&gt;5,"High",IF(ND12="Mediam","Low"))</f>
        <v>High</v>
      </c>
      <c r="NE21" s="1" t="str">
        <f>IF(NE12&gt;5,"High",IF(NE12="Mediam","Low"))</f>
        <v>High</v>
      </c>
      <c r="NF21" s="1" t="str">
        <f>IF(NF12&gt;5,"High",IF(NF12="Mediam","Low"))</f>
        <v>High</v>
      </c>
      <c r="NG21" s="1" t="str">
        <f>IF(NG12&gt;5,"High",IF(NG12="Mediam","Low"))</f>
        <v>High</v>
      </c>
      <c r="NH21" s="1" t="str">
        <f>IF(NH12&gt;5,"High",IF(NH12="Mediam","Low"))</f>
        <v>High</v>
      </c>
      <c r="NI21" s="1" t="b">
        <f>IF(NI12&gt;5,"High",IF(NI12="Mediam","Low"))</f>
        <v>0</v>
      </c>
      <c r="NJ21" s="1" t="str">
        <f>IF(NJ12&gt;5,"High",IF(NJ12="Mediam","Low"))</f>
        <v>High</v>
      </c>
      <c r="NK21" s="1" t="b">
        <f>IF(NK12&gt;5,"High",IF(NK12="Mediam","Low"))</f>
        <v>0</v>
      </c>
      <c r="NL21" s="1" t="b">
        <f>IF(NL12&gt;5,"High",IF(NL12="Mediam","Low"))</f>
        <v>0</v>
      </c>
      <c r="NM21" s="1" t="str">
        <f>IF(NM12&gt;5,"High",IF(NM12="Mediam","Low"))</f>
        <v>High</v>
      </c>
      <c r="NN21" s="1" t="str">
        <f>IF(NN12&gt;5,"High",IF(NN12="Mediam","Low"))</f>
        <v>High</v>
      </c>
      <c r="NO21" s="1" t="str">
        <f>IF(NO12&gt;5,"High",IF(NO12="Mediam","Low"))</f>
        <v>High</v>
      </c>
      <c r="NP21" s="1" t="b">
        <f>IF(NP12&gt;5,"High",IF(NP12="Mediam","Low"))</f>
        <v>0</v>
      </c>
      <c r="NQ21" s="1" t="b">
        <f>IF(NQ12&gt;5,"High",IF(NQ12="Mediam","Low"))</f>
        <v>0</v>
      </c>
      <c r="NR21" s="1" t="b">
        <f>IF(NR12&gt;5,"High",IF(NR12="Mediam","Low"))</f>
        <v>0</v>
      </c>
      <c r="NS21" s="1" t="str">
        <f>IF(NS12&gt;5,"High",IF(NS12="Mediam","Low"))</f>
        <v>High</v>
      </c>
      <c r="NT21" s="1" t="b">
        <f>IF(NT12&gt;5,"High",IF(NT12="Mediam","Low"))</f>
        <v>0</v>
      </c>
      <c r="NU21" s="1" t="b">
        <f>IF(NU12&gt;5,"High",IF(NU12="Mediam","Low"))</f>
        <v>0</v>
      </c>
      <c r="NV21" s="1" t="b">
        <f>IF(NV12&gt;5,"High",IF(NV12="Mediam","Low"))</f>
        <v>0</v>
      </c>
      <c r="NW21" s="1" t="b">
        <f>IF(NW12&gt;5,"High",IF(NW12="Mediam","Low"))</f>
        <v>0</v>
      </c>
      <c r="NX21" s="1" t="str">
        <f>IF(NX12&gt;5,"High",IF(NX12="Mediam","Low"))</f>
        <v>High</v>
      </c>
      <c r="NY21" s="1" t="b">
        <f>IF(NY12&gt;5,"High",IF(NY12="Mediam","Low"))</f>
        <v>0</v>
      </c>
      <c r="NZ21" s="1" t="str">
        <f>IF(NZ12&gt;5,"High",IF(NZ12="Mediam","Low"))</f>
        <v>High</v>
      </c>
      <c r="OA21" s="1" t="b">
        <f>IF(OA12&gt;5,"High",IF(OA12="Mediam","Low"))</f>
        <v>0</v>
      </c>
      <c r="OB21" s="1" t="str">
        <f>IF(OB12&gt;5,"High",IF(OB12="Mediam","Low"))</f>
        <v>High</v>
      </c>
      <c r="OC21" s="1" t="b">
        <f>IF(OC12&gt;5,"High",IF(OC12="Mediam","Low"))</f>
        <v>0</v>
      </c>
      <c r="OD21" s="1" t="str">
        <f>IF(OD12&gt;5,"High",IF(OD12="Mediam","Low"))</f>
        <v>High</v>
      </c>
      <c r="OE21" s="1" t="str">
        <f>IF(OE12&gt;5,"High",IF(OE12="Mediam","Low"))</f>
        <v>High</v>
      </c>
      <c r="OF21" s="1" t="b">
        <f>IF(OF12&gt;5,"High",IF(OF12="Mediam","Low"))</f>
        <v>0</v>
      </c>
      <c r="OG21" s="1" t="str">
        <f>IF(OG12&gt;5,"High",IF(OG12="Mediam","Low"))</f>
        <v>High</v>
      </c>
      <c r="OH21" s="1" t="str">
        <f>IF(OH12&gt;5,"High",IF(OH12="Mediam","Low"))</f>
        <v>High</v>
      </c>
      <c r="OI21" s="1" t="b">
        <f>IF(OI12&gt;5,"High",IF(OI12="Mediam","Low"))</f>
        <v>0</v>
      </c>
      <c r="OJ21" s="1" t="b">
        <f>IF(OJ12&gt;5,"High",IF(OJ12="Mediam","Low"))</f>
        <v>0</v>
      </c>
      <c r="OK21" s="1" t="b">
        <f>IF(OK12&gt;5,"High",IF(OK12="Mediam","Low"))</f>
        <v>0</v>
      </c>
      <c r="OL21" s="1" t="b">
        <f>IF(OL12&gt;5,"High",IF(OL12="Mediam","Low"))</f>
        <v>0</v>
      </c>
      <c r="OM21" s="1" t="str">
        <f>IF(OM12&gt;5,"High",IF(OM12="Mediam","Low"))</f>
        <v>High</v>
      </c>
      <c r="ON21" s="1" t="b">
        <f>IF(ON12&gt;5,"High",IF(ON12="Mediam","Low"))</f>
        <v>0</v>
      </c>
      <c r="OO21" s="1" t="b">
        <f>IF(OO12&gt;5,"High",IF(OO12="Mediam","Low"))</f>
        <v>0</v>
      </c>
      <c r="OP21" s="1" t="b">
        <f>IF(OP12&gt;5,"High",IF(OP12="Mediam","Low"))</f>
        <v>0</v>
      </c>
      <c r="OQ21" s="1" t="b">
        <f>IF(OQ12&gt;5,"High",IF(OQ12="Mediam","Low"))</f>
        <v>0</v>
      </c>
      <c r="OR21" s="1" t="str">
        <f>IF(OR12&gt;5,"High",IF(OR12="Mediam","Low"))</f>
        <v>High</v>
      </c>
      <c r="OS21" s="1" t="b">
        <f>IF(OS12&gt;5,"High",IF(OS12="Mediam","Low"))</f>
        <v>0</v>
      </c>
      <c r="OT21" s="1" t="str">
        <f>IF(OT12&gt;5,"High",IF(OT12="Mediam","Low"))</f>
        <v>High</v>
      </c>
      <c r="OU21" s="1" t="b">
        <f>IF(OU12&gt;5,"High",IF(OU12="Mediam","Low"))</f>
        <v>0</v>
      </c>
      <c r="OV21" s="1" t="b">
        <f>IF(OV12&gt;5,"High",IF(OV12="Mediam","Low"))</f>
        <v>0</v>
      </c>
      <c r="OW21" s="1" t="str">
        <f>IF(OW12&gt;5,"High",IF(OW12="Mediam","Low"))</f>
        <v>High</v>
      </c>
      <c r="OX21" s="1" t="str">
        <f>IF(OX12&gt;5,"High",IF(OX12="Mediam","Low"))</f>
        <v>High</v>
      </c>
      <c r="OY21" s="1" t="b">
        <f>IF(OY12&gt;5,"High",IF(OY12="Mediam","Low"))</f>
        <v>0</v>
      </c>
      <c r="OZ21" s="1" t="b">
        <f>IF(OZ12&gt;5,"High",IF(OZ12="Mediam","Low"))</f>
        <v>0</v>
      </c>
      <c r="PA21" s="1" t="str">
        <f>IF(PA12&gt;5,"High",IF(PA12="Mediam","Low"))</f>
        <v>High</v>
      </c>
      <c r="PB21" s="1" t="b">
        <f>IF(PB12&gt;5,"High",IF(PB12="Mediam","Low"))</f>
        <v>0</v>
      </c>
      <c r="PC21" s="1" t="str">
        <f>IF(PC12&gt;5,"High",IF(PC12="Mediam","Low"))</f>
        <v>High</v>
      </c>
      <c r="PD21" s="1" t="str">
        <f>IF(PD12&gt;5,"High",IF(PD12="Mediam","Low"))</f>
        <v>High</v>
      </c>
      <c r="PE21" s="1" t="b">
        <f>IF(PE12&gt;5,"High",IF(PE12="Mediam","Low"))</f>
        <v>0</v>
      </c>
      <c r="PF21" s="1" t="b">
        <f>IF(PF12&gt;5,"High",IF(PF12="Mediam","Low"))</f>
        <v>0</v>
      </c>
      <c r="PG21" s="1" t="str">
        <f>IF(PG12&gt;5,"High",IF(PG12="Mediam","Low"))</f>
        <v>High</v>
      </c>
      <c r="PH21" s="1" t="str">
        <f>IF(PH12&gt;5,"High",IF(PH12="Mediam","Low"))</f>
        <v>High</v>
      </c>
      <c r="PI21" s="1" t="str">
        <f>IF(PI12&gt;5,"High",IF(PI12="Mediam","Low"))</f>
        <v>High</v>
      </c>
      <c r="PJ21" s="1" t="str">
        <f>IF(PJ12&gt;5,"High",IF(PJ12="Mediam","Low"))</f>
        <v>High</v>
      </c>
      <c r="PK21" s="1" t="str">
        <f>IF(PK12&gt;5,"High",IF(PK12="Mediam","Low"))</f>
        <v>High</v>
      </c>
      <c r="PL21" s="1" t="str">
        <f>IF(PL12&gt;5,"High",IF(PL12="Mediam","Low"))</f>
        <v>High</v>
      </c>
      <c r="PM21" s="1" t="b">
        <f>IF(PM12&gt;5,"High",IF(PM12="Mediam","Low"))</f>
        <v>0</v>
      </c>
      <c r="PN21" s="1" t="b">
        <f>IF(PN12&gt;5,"High",IF(PN12="Mediam","Low"))</f>
        <v>0</v>
      </c>
      <c r="PO21" s="1" t="str">
        <f>IF(PO12&gt;5,"High",IF(PO12="Mediam","Low"))</f>
        <v>High</v>
      </c>
      <c r="PP21" s="1" t="str">
        <f>IF(PP12&gt;5,"High",IF(PP12="Mediam","Low"))</f>
        <v>High</v>
      </c>
      <c r="PQ21" s="1" t="str">
        <f>IF(PQ12&gt;5,"High",IF(PQ12="Mediam","Low"))</f>
        <v>High</v>
      </c>
      <c r="PR21" s="1" t="b">
        <f>IF(PR12&gt;5,"High",IF(PR12="Mediam","Low"))</f>
        <v>0</v>
      </c>
      <c r="PS21" s="1" t="str">
        <f>IF(PS12&gt;5,"High",IF(PS12="Mediam","Low"))</f>
        <v>High</v>
      </c>
      <c r="PT21" s="1" t="b">
        <f>IF(PT12&gt;5,"High",IF(PT12="Mediam","Low"))</f>
        <v>0</v>
      </c>
      <c r="PU21" s="1" t="b">
        <f>IF(PU12&gt;5,"High",IF(PU12="Mediam","Low"))</f>
        <v>0</v>
      </c>
      <c r="PV21" s="1" t="str">
        <f>IF(PV12&gt;5,"High",IF(PV12="Mediam","Low"))</f>
        <v>High</v>
      </c>
      <c r="PW21" s="1" t="b">
        <f>IF(PW12&gt;5,"High",IF(PW12="Mediam","Low"))</f>
        <v>0</v>
      </c>
      <c r="PX21" s="1" t="b">
        <f>IF(PX12&gt;5,"High",IF(PX12="Mediam","Low"))</f>
        <v>0</v>
      </c>
      <c r="PY21" s="1" t="b">
        <f>IF(PY12&gt;5,"High",IF(PY12="Mediam","Low"))</f>
        <v>0</v>
      </c>
      <c r="PZ21" s="1" t="b">
        <f>IF(PZ12&gt;5,"High",IF(PZ12="Mediam","Low"))</f>
        <v>0</v>
      </c>
      <c r="QA21" s="1" t="str">
        <f>IF(QA12&gt;5,"High",IF(QA12="Mediam","Low"))</f>
        <v>High</v>
      </c>
      <c r="QB21" s="1" t="b">
        <f>IF(QB12&gt;5,"High",IF(QB12="Mediam","Low"))</f>
        <v>0</v>
      </c>
      <c r="QC21" s="1" t="b">
        <f>IF(QC12&gt;5,"High",IF(QC12="Mediam","Low"))</f>
        <v>0</v>
      </c>
      <c r="QD21" s="1" t="str">
        <f>IF(QD12&gt;5,"High",IF(QD12="Mediam","Low"))</f>
        <v>High</v>
      </c>
      <c r="QE21" s="1" t="b">
        <f>IF(QE12&gt;5,"High",IF(QE12="Mediam","Low"))</f>
        <v>0</v>
      </c>
      <c r="QF21" s="1" t="b">
        <f>IF(QF12&gt;5,"High",IF(QF12="Mediam","Low"))</f>
        <v>0</v>
      </c>
      <c r="QG21" s="1" t="str">
        <f>IF(QG12&gt;5,"High",IF(QG12="Mediam","Low"))</f>
        <v>High</v>
      </c>
      <c r="QH21" s="1" t="b">
        <f>IF(QH12&gt;5,"High",IF(QH12="Mediam","Low"))</f>
        <v>0</v>
      </c>
      <c r="QI21" s="1" t="str">
        <f>IF(QI12&gt;5,"High",IF(QI12="Mediam","Low"))</f>
        <v>High</v>
      </c>
      <c r="QJ21" s="1" t="str">
        <f>IF(QJ12&gt;5,"High",IF(QJ12="Mediam","Low"))</f>
        <v>High</v>
      </c>
      <c r="QK21" s="1" t="b">
        <f>IF(QK12&gt;5,"High",IF(QK12="Mediam","Low"))</f>
        <v>0</v>
      </c>
      <c r="QL21" s="1" t="str">
        <f>IF(QL12&gt;5,"High",IF(QL12="Mediam","Low"))</f>
        <v>High</v>
      </c>
      <c r="QM21" s="1" t="str">
        <f>IF(QM12&gt;5,"High",IF(QM12="Mediam","Low"))</f>
        <v>High</v>
      </c>
      <c r="QN21" s="1" t="b">
        <f>IF(QN12&gt;5,"High",IF(QN12="Mediam","Low"))</f>
        <v>0</v>
      </c>
      <c r="QO21" s="1" t="b">
        <f>IF(QO12&gt;5,"High",IF(QO12="Mediam","Low"))</f>
        <v>0</v>
      </c>
      <c r="QP21" s="1" t="b">
        <f>IF(QP12&gt;5,"High",IF(QP12="Mediam","Low"))</f>
        <v>0</v>
      </c>
      <c r="QQ21" s="1" t="str">
        <f>IF(QQ12&gt;5,"High",IF(QQ12="Mediam","Low"))</f>
        <v>High</v>
      </c>
      <c r="QR21" s="1" t="b">
        <f>IF(QR12&gt;5,"High",IF(QR12="Mediam","Low"))</f>
        <v>0</v>
      </c>
      <c r="QS21" s="1" t="b">
        <f>IF(QS12&gt;5,"High",IF(QS12="Mediam","Low"))</f>
        <v>0</v>
      </c>
      <c r="QT21" s="1" t="b">
        <f>IF(QT12&gt;5,"High",IF(QT12="Mediam","Low"))</f>
        <v>0</v>
      </c>
      <c r="QU21" s="1" t="str">
        <f>IF(QU12&gt;5,"High",IF(QU12="Mediam","Low"))</f>
        <v>High</v>
      </c>
      <c r="QV21" s="1" t="b">
        <f>IF(QV12&gt;5,"High",IF(QV12="Mediam","Low"))</f>
        <v>0</v>
      </c>
      <c r="QW21" s="1" t="b">
        <f>IF(QW12&gt;5,"High",IF(QW12="Mediam","Low"))</f>
        <v>0</v>
      </c>
      <c r="QX21" s="1" t="b">
        <f>IF(QX12&gt;5,"High",IF(QX12="Mediam","Low"))</f>
        <v>0</v>
      </c>
      <c r="QY21" s="1" t="str">
        <f>IF(QY12&gt;5,"High",IF(QY12="Mediam","Low"))</f>
        <v>High</v>
      </c>
      <c r="QZ21" s="1" t="b">
        <f>IF(QZ12&gt;5,"High",IF(QZ12="Mediam","Low"))</f>
        <v>0</v>
      </c>
      <c r="RA21" s="1" t="str">
        <f>IF(RA12&gt;5,"High",IF(RA12="Mediam","Low"))</f>
        <v>High</v>
      </c>
      <c r="RB21" s="1" t="b">
        <f>IF(RB12&gt;5,"High",IF(RB12="Mediam","Low"))</f>
        <v>0</v>
      </c>
      <c r="RC21" s="1" t="str">
        <f>IF(RC12&gt;5,"High",IF(RC12="Mediam","Low"))</f>
        <v>High</v>
      </c>
      <c r="RD21" s="1" t="str">
        <f>IF(RD12&gt;5,"High",IF(RD12="Mediam","Low"))</f>
        <v>High</v>
      </c>
      <c r="RE21" s="1" t="b">
        <f>IF(RE12&gt;5,"High",IF(RE12="Mediam","Low"))</f>
        <v>0</v>
      </c>
      <c r="RF21" s="1" t="str">
        <f>IF(RF12&gt;5,"High",IF(RF12="Mediam","Low"))</f>
        <v>High</v>
      </c>
      <c r="RG21" s="1" t="b">
        <f>IF(RG12&gt;5,"High",IF(RG12="Mediam","Low"))</f>
        <v>0</v>
      </c>
      <c r="RH21" s="1" t="str">
        <f>IF(RH12&gt;5,"High",IF(RH12="Mediam","Low"))</f>
        <v>High</v>
      </c>
      <c r="RI21" s="1" t="b">
        <f>IF(RI12&gt;5,"High",IF(RI12="Mediam","Low"))</f>
        <v>0</v>
      </c>
      <c r="RJ21" s="1" t="b">
        <f>IF(RJ12&gt;5,"High",IF(RJ12="Mediam","Low"))</f>
        <v>0</v>
      </c>
      <c r="RK21" s="1" t="b">
        <f>IF(RK12&gt;5,"High",IF(RK12="Mediam","Low"))</f>
        <v>0</v>
      </c>
      <c r="RL21" s="1" t="b">
        <f>IF(RL12&gt;5,"High",IF(RL12="Mediam","Low"))</f>
        <v>0</v>
      </c>
      <c r="RM21" s="1" t="str">
        <f>IF(RM12&gt;5,"High",IF(RM12="Mediam","Low"))</f>
        <v>High</v>
      </c>
      <c r="RN21" s="1" t="str">
        <f>IF(RN12&gt;5,"High",IF(RN12="Mediam","Low"))</f>
        <v>High</v>
      </c>
      <c r="RO21" s="1" t="str">
        <f>IF(RO12&gt;5,"High",IF(RO12="Mediam","Low"))</f>
        <v>High</v>
      </c>
      <c r="RP21" s="1" t="b">
        <f>IF(RP12&gt;5,"High",IF(RP12="Mediam","Low"))</f>
        <v>0</v>
      </c>
      <c r="RQ21" s="1" t="str">
        <f>IF(RQ12&gt;5,"High",IF(RQ12="Mediam","Low"))</f>
        <v>High</v>
      </c>
      <c r="RR21" s="1" t="b">
        <f>IF(RR12&gt;5,"High",IF(RR12="Mediam","Low"))</f>
        <v>0</v>
      </c>
      <c r="RS21" s="1" t="str">
        <f>IF(RS12&gt;5,"High",IF(RS12="Mediam","Low"))</f>
        <v>High</v>
      </c>
      <c r="RT21" s="1" t="b">
        <f>IF(RT12&gt;5,"High",IF(RT12="Mediam","Low"))</f>
        <v>0</v>
      </c>
      <c r="RU21" s="1" t="b">
        <f>IF(RU12&gt;5,"High",IF(RU12="Mediam","Low"))</f>
        <v>0</v>
      </c>
      <c r="RV21" s="1" t="str">
        <f>IF(RV12&gt;5,"High",IF(RV12="Mediam","Low"))</f>
        <v>High</v>
      </c>
      <c r="RW21" s="1" t="str">
        <f>IF(RW12&gt;5,"High",IF(RW12="Mediam","Low"))</f>
        <v>High</v>
      </c>
      <c r="RX21" s="1" t="b">
        <f>IF(RX12&gt;5,"High",IF(RX12="Mediam","Low"))</f>
        <v>0</v>
      </c>
      <c r="RY21" s="1" t="b">
        <f>IF(RY12&gt;5,"High",IF(RY12="Mediam","Low"))</f>
        <v>0</v>
      </c>
      <c r="RZ21" s="1" t="str">
        <f>IF(RZ12&gt;5,"High",IF(RZ12="Mediam","Low"))</f>
        <v>High</v>
      </c>
      <c r="SA21" s="1" t="b">
        <f>IF(SA12&gt;5,"High",IF(SA12="Mediam","Low"))</f>
        <v>0</v>
      </c>
      <c r="SB21" s="1" t="str">
        <f>IF(SB12&gt;5,"High",IF(SB12="Mediam","Low"))</f>
        <v>High</v>
      </c>
      <c r="SC21" s="1" t="str">
        <f>IF(SC12&gt;5,"High",IF(SC12="Mediam","Low"))</f>
        <v>High</v>
      </c>
      <c r="SD21" s="1" t="b">
        <f>IF(SD12&gt;5,"High",IF(SD12="Mediam","Low"))</f>
        <v>0</v>
      </c>
      <c r="SE21" s="1" t="str">
        <f>IF(SE12&gt;5,"High",IF(SE12="Mediam","Low"))</f>
        <v>High</v>
      </c>
      <c r="SF21" s="1" t="b">
        <f>IF(SF12&gt;5,"High",IF(SF12="Mediam","Low"))</f>
        <v>0</v>
      </c>
      <c r="SG21" s="1" t="b">
        <f>IF(SG12&gt;5,"High",IF(SG12="Mediam","Low"))</f>
        <v>0</v>
      </c>
    </row>
    <row r="24" spans="1:501" x14ac:dyDescent="0.3">
      <c r="E24" s="4" t="s">
        <v>0</v>
      </c>
      <c r="F24" s="3" t="s">
        <v>5</v>
      </c>
    </row>
    <row r="25" spans="1:501" x14ac:dyDescent="0.3">
      <c r="E25" s="5">
        <v>10001</v>
      </c>
      <c r="F25" t="str">
        <f>HLOOKUP(E25,A1:SG21,6,FALSE)</f>
        <v>Delhi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3EF7E-58AD-468B-B495-F83F689E4CA7}">
  <dimension ref="A1:AK501"/>
  <sheetViews>
    <sheetView topLeftCell="K1" workbookViewId="0">
      <selection activeCell="D19" sqref="A1:U501"/>
    </sheetView>
  </sheetViews>
  <sheetFormatPr defaultRowHeight="14.4" x14ac:dyDescent="0.3"/>
  <cols>
    <col min="1" max="1" width="8" bestFit="1" customWidth="1"/>
    <col min="2" max="2" width="11.33203125" bestFit="1" customWidth="1"/>
    <col min="3" max="4" width="10.33203125" bestFit="1" customWidth="1"/>
    <col min="5" max="5" width="9.77734375" bestFit="1" customWidth="1"/>
    <col min="6" max="6" width="11.44140625" bestFit="1" customWidth="1"/>
    <col min="7" max="7" width="12.5546875" bestFit="1" customWidth="1"/>
    <col min="8" max="8" width="15.88671875" bestFit="1" customWidth="1"/>
    <col min="9" max="9" width="15.77734375" bestFit="1" customWidth="1"/>
    <col min="10" max="10" width="13.21875" bestFit="1" customWidth="1"/>
    <col min="11" max="11" width="7" bestFit="1" customWidth="1"/>
    <col min="12" max="12" width="9.44140625" bestFit="1" customWidth="1"/>
    <col min="13" max="13" width="9.109375" bestFit="1" customWidth="1"/>
    <col min="14" max="14" width="10.21875" bestFit="1" customWidth="1"/>
    <col min="15" max="15" width="9" bestFit="1" customWidth="1"/>
    <col min="16" max="16" width="9.77734375" bestFit="1" customWidth="1"/>
    <col min="17" max="17" width="15.77734375" bestFit="1" customWidth="1"/>
    <col min="18" max="18" width="18.21875" bestFit="1" customWidth="1"/>
    <col min="19" max="19" width="9.5546875" bestFit="1" customWidth="1"/>
    <col min="20" max="20" width="10.77734375" bestFit="1" customWidth="1"/>
    <col min="21" max="21" width="11" bestFit="1" customWidth="1"/>
    <col min="23" max="23" width="65.21875" customWidth="1"/>
    <col min="24" max="24" width="18.33203125" bestFit="1" customWidth="1"/>
    <col min="35" max="35" width="12" customWidth="1"/>
    <col min="36" max="36" width="12.109375" customWidth="1"/>
  </cols>
  <sheetData>
    <row r="1" spans="1:37" x14ac:dyDescent="0.3">
      <c r="A1" s="4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7" t="s">
        <v>70</v>
      </c>
      <c r="Q1" s="8" t="s">
        <v>72</v>
      </c>
      <c r="R1" s="8" t="s">
        <v>71</v>
      </c>
      <c r="S1" s="12" t="s">
        <v>73</v>
      </c>
      <c r="T1" s="12" t="s">
        <v>74</v>
      </c>
      <c r="U1" s="12" t="s">
        <v>75</v>
      </c>
    </row>
    <row r="2" spans="1:37" x14ac:dyDescent="0.3">
      <c r="A2" s="5">
        <v>10001</v>
      </c>
      <c r="B2" s="1">
        <v>1102</v>
      </c>
      <c r="C2" s="2">
        <v>45197</v>
      </c>
      <c r="D2" s="2">
        <v>45203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  <c r="L2" s="1">
        <v>7</v>
      </c>
      <c r="M2" s="1">
        <v>2843.87</v>
      </c>
      <c r="N2" s="1">
        <v>0</v>
      </c>
      <c r="O2" s="1">
        <v>19907.09</v>
      </c>
      <c r="P2" s="1">
        <f>L2*M2</f>
        <v>19907.09</v>
      </c>
      <c r="Q2" s="10">
        <f>O2*N2%</f>
        <v>0</v>
      </c>
      <c r="R2" s="11">
        <f>P2-Q2</f>
        <v>19907.09</v>
      </c>
      <c r="S2" s="1" t="str">
        <f>IF(L2&gt;=5,"High","Low")</f>
        <v>High</v>
      </c>
      <c r="T2" s="1" t="str" cm="1">
        <f t="array" ref="T2">_xlfn.IFS(L2&gt;5,"High",L2=5,"mediam",L2&lt;5,"low")</f>
        <v>High</v>
      </c>
      <c r="U2" s="1" t="str">
        <f>IF(L2&gt;5,"High",IF(L2=V1,"Low"))</f>
        <v>High</v>
      </c>
    </row>
    <row r="3" spans="1:37" x14ac:dyDescent="0.3">
      <c r="A3" s="5">
        <v>10002</v>
      </c>
      <c r="B3" s="1">
        <v>1435</v>
      </c>
      <c r="C3" s="2">
        <v>45199</v>
      </c>
      <c r="D3" s="2">
        <v>45203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>
        <v>9</v>
      </c>
      <c r="M3" s="1">
        <v>2525.23</v>
      </c>
      <c r="N3" s="1">
        <v>5</v>
      </c>
      <c r="O3" s="1">
        <v>21590.720000000001</v>
      </c>
      <c r="P3" s="1">
        <f t="shared" ref="P3:P66" si="0">L3*M3</f>
        <v>22727.07</v>
      </c>
      <c r="Q3" s="10">
        <f t="shared" ref="Q3:Q66" si="1">O3*N3%</f>
        <v>1079.5360000000001</v>
      </c>
      <c r="R3" s="11">
        <f t="shared" ref="R3:R66" si="2">P3-Q3</f>
        <v>21647.534</v>
      </c>
      <c r="S3" s="1" t="str">
        <f t="shared" ref="S3:S66" si="3">IF(L3&gt;=5,"High","Low")</f>
        <v>High</v>
      </c>
      <c r="T3" s="1" t="str" cm="1">
        <f t="array" ref="T3">_xlfn.IFS(L3&gt;5,"High",L3=5,"mediam",L3&lt;5,"low")</f>
        <v>High</v>
      </c>
      <c r="U3" s="1" t="str">
        <f t="shared" ref="U3:U7" si="4">IF(L3&gt;5,"High",IF(L3="Mediam","Low"))</f>
        <v>High</v>
      </c>
      <c r="X3">
        <v>1</v>
      </c>
      <c r="Y3" t="s">
        <v>140</v>
      </c>
    </row>
    <row r="4" spans="1:37" x14ac:dyDescent="0.3">
      <c r="A4" s="5">
        <v>10003</v>
      </c>
      <c r="B4" s="1">
        <v>1860</v>
      </c>
      <c r="C4" s="2">
        <v>45109</v>
      </c>
      <c r="D4" s="2">
        <v>45114</v>
      </c>
      <c r="E4" s="1" t="s">
        <v>15</v>
      </c>
      <c r="F4" s="1" t="s">
        <v>29</v>
      </c>
      <c r="G4" s="1" t="s">
        <v>30</v>
      </c>
      <c r="H4" s="1" t="s">
        <v>25</v>
      </c>
      <c r="I4" s="1" t="s">
        <v>31</v>
      </c>
      <c r="J4" s="1" t="s">
        <v>32</v>
      </c>
      <c r="K4" s="1" t="s">
        <v>33</v>
      </c>
      <c r="L4" s="1">
        <v>6</v>
      </c>
      <c r="M4" s="1">
        <v>3474.34</v>
      </c>
      <c r="N4" s="1">
        <v>15</v>
      </c>
      <c r="O4" s="1">
        <v>17719.13</v>
      </c>
      <c r="P4" s="1">
        <f t="shared" si="0"/>
        <v>20846.04</v>
      </c>
      <c r="Q4" s="10">
        <f t="shared" si="1"/>
        <v>2657.8695000000002</v>
      </c>
      <c r="R4" s="11">
        <f t="shared" si="2"/>
        <v>18188.1705</v>
      </c>
      <c r="S4" s="1" t="str">
        <f t="shared" si="3"/>
        <v>High</v>
      </c>
      <c r="T4" s="1" t="str" cm="1">
        <f t="array" ref="T4">_xlfn.IFS(L4&gt;5,"High",L4=5,"mediam",L4&lt;5,"low")</f>
        <v>High</v>
      </c>
      <c r="U4" s="1" t="str">
        <f t="shared" si="4"/>
        <v>High</v>
      </c>
      <c r="X4">
        <v>2</v>
      </c>
      <c r="Y4" t="s">
        <v>141</v>
      </c>
      <c r="AB4" t="s">
        <v>142</v>
      </c>
      <c r="AK4" t="s">
        <v>143</v>
      </c>
    </row>
    <row r="5" spans="1:37" x14ac:dyDescent="0.3">
      <c r="A5" s="5">
        <v>10004</v>
      </c>
      <c r="B5" s="1">
        <v>1270</v>
      </c>
      <c r="C5" s="2">
        <v>45079</v>
      </c>
      <c r="D5" s="2">
        <v>45087</v>
      </c>
      <c r="E5" s="1" t="s">
        <v>34</v>
      </c>
      <c r="F5" s="1" t="s">
        <v>29</v>
      </c>
      <c r="G5" s="1" t="s">
        <v>24</v>
      </c>
      <c r="H5" s="1" t="s">
        <v>35</v>
      </c>
      <c r="I5" s="1" t="s">
        <v>26</v>
      </c>
      <c r="J5" s="1" t="s">
        <v>36</v>
      </c>
      <c r="K5" s="1" t="s">
        <v>21</v>
      </c>
      <c r="L5" s="1">
        <v>1</v>
      </c>
      <c r="M5" s="1">
        <v>1008.79</v>
      </c>
      <c r="N5" s="1">
        <v>15</v>
      </c>
      <c r="O5" s="1">
        <v>857.47</v>
      </c>
      <c r="P5" s="1">
        <f t="shared" si="0"/>
        <v>1008.79</v>
      </c>
      <c r="Q5" s="10">
        <f t="shared" si="1"/>
        <v>128.62049999999999</v>
      </c>
      <c r="R5" s="11">
        <f t="shared" si="2"/>
        <v>880.16949999999997</v>
      </c>
      <c r="S5" s="1" t="str">
        <f t="shared" si="3"/>
        <v>Low</v>
      </c>
      <c r="T5" s="1" t="str" cm="1">
        <f t="array" ref="T5">_xlfn.IFS(L5&gt;5,"High",L5=5,"mediam",L5&lt;5,"low")</f>
        <v>low</v>
      </c>
      <c r="U5" s="1" t="b">
        <f t="shared" si="4"/>
        <v>0</v>
      </c>
      <c r="X5" t="s">
        <v>144</v>
      </c>
    </row>
    <row r="6" spans="1:37" x14ac:dyDescent="0.3">
      <c r="A6" s="5">
        <v>10005</v>
      </c>
      <c r="B6" s="1">
        <v>1106</v>
      </c>
      <c r="C6" s="2">
        <v>45241</v>
      </c>
      <c r="D6" s="2">
        <v>45244</v>
      </c>
      <c r="E6" s="1" t="s">
        <v>37</v>
      </c>
      <c r="F6" s="1" t="s">
        <v>38</v>
      </c>
      <c r="G6" s="1" t="s">
        <v>30</v>
      </c>
      <c r="H6" s="1" t="s">
        <v>18</v>
      </c>
      <c r="I6" s="1" t="s">
        <v>31</v>
      </c>
      <c r="J6" s="1" t="s">
        <v>39</v>
      </c>
      <c r="K6" s="1" t="s">
        <v>21</v>
      </c>
      <c r="L6" s="1">
        <v>7</v>
      </c>
      <c r="M6" s="1">
        <v>3511.47</v>
      </c>
      <c r="N6" s="1">
        <v>20</v>
      </c>
      <c r="O6" s="1">
        <v>19664.23</v>
      </c>
      <c r="P6" s="1">
        <f t="shared" si="0"/>
        <v>24580.289999999997</v>
      </c>
      <c r="Q6" s="10">
        <f t="shared" si="1"/>
        <v>3932.846</v>
      </c>
      <c r="R6" s="11">
        <f t="shared" si="2"/>
        <v>20647.443999999996</v>
      </c>
      <c r="S6" s="1" t="str">
        <f t="shared" si="3"/>
        <v>High</v>
      </c>
      <c r="T6" s="1" t="str" cm="1">
        <f t="array" ref="T6">_xlfn.IFS(L6&gt;5,"High",L6=5,"mediam",L6&lt;5,"low")</f>
        <v>High</v>
      </c>
      <c r="U6" s="1" t="str">
        <f t="shared" si="4"/>
        <v>High</v>
      </c>
      <c r="X6" t="s">
        <v>145</v>
      </c>
    </row>
    <row r="7" spans="1:37" x14ac:dyDescent="0.3">
      <c r="A7" s="5">
        <v>10006</v>
      </c>
      <c r="B7" s="1">
        <v>1071</v>
      </c>
      <c r="C7" s="2">
        <v>45260</v>
      </c>
      <c r="D7" s="2">
        <v>45263</v>
      </c>
      <c r="E7" s="1" t="s">
        <v>40</v>
      </c>
      <c r="F7" s="1" t="s">
        <v>41</v>
      </c>
      <c r="G7" s="1" t="s">
        <v>24</v>
      </c>
      <c r="H7" s="1" t="s">
        <v>42</v>
      </c>
      <c r="I7" s="1" t="s">
        <v>19</v>
      </c>
      <c r="J7" s="1" t="s">
        <v>43</v>
      </c>
      <c r="K7" s="1" t="s">
        <v>33</v>
      </c>
      <c r="L7" s="1">
        <v>3</v>
      </c>
      <c r="M7" s="1">
        <v>3189.55</v>
      </c>
      <c r="N7" s="1">
        <v>10</v>
      </c>
      <c r="O7" s="1">
        <v>8611.7800000000007</v>
      </c>
      <c r="P7" s="1">
        <f t="shared" si="0"/>
        <v>9568.6500000000015</v>
      </c>
      <c r="Q7" s="10">
        <f t="shared" si="1"/>
        <v>861.17800000000011</v>
      </c>
      <c r="R7" s="11">
        <f t="shared" si="2"/>
        <v>8707.4720000000016</v>
      </c>
      <c r="S7" s="1" t="str">
        <f t="shared" si="3"/>
        <v>Low</v>
      </c>
      <c r="T7" s="1" t="str" cm="1">
        <f t="array" ref="T7">_xlfn.IFS(L7&gt;5,"High",L7=5,"mediam",L7&lt;5,"low")</f>
        <v>low</v>
      </c>
      <c r="U7" s="1" t="b">
        <f t="shared" si="4"/>
        <v>0</v>
      </c>
      <c r="X7" t="s">
        <v>146</v>
      </c>
    </row>
    <row r="8" spans="1:37" x14ac:dyDescent="0.3">
      <c r="A8" s="5">
        <v>10007</v>
      </c>
      <c r="B8" s="1">
        <v>1700</v>
      </c>
      <c r="C8" s="2">
        <v>45050</v>
      </c>
      <c r="D8" s="2">
        <v>45054</v>
      </c>
      <c r="E8" s="1" t="s">
        <v>34</v>
      </c>
      <c r="F8" s="1" t="s">
        <v>41</v>
      </c>
      <c r="G8" s="1" t="s">
        <v>17</v>
      </c>
      <c r="H8" s="1" t="s">
        <v>44</v>
      </c>
      <c r="I8" s="1" t="s">
        <v>31</v>
      </c>
      <c r="J8" s="1" t="s">
        <v>32</v>
      </c>
      <c r="K8" s="1" t="s">
        <v>45</v>
      </c>
      <c r="L8" s="1">
        <v>5</v>
      </c>
      <c r="M8" s="1">
        <v>3030.42</v>
      </c>
      <c r="N8" s="1">
        <v>10</v>
      </c>
      <c r="O8" s="1">
        <v>13636.89</v>
      </c>
      <c r="P8" s="1">
        <f t="shared" si="0"/>
        <v>15152.1</v>
      </c>
      <c r="Q8" s="10">
        <f t="shared" si="1"/>
        <v>1363.6890000000001</v>
      </c>
      <c r="R8" s="11">
        <f t="shared" si="2"/>
        <v>13788.411</v>
      </c>
      <c r="S8" s="1" t="str">
        <f t="shared" si="3"/>
        <v>High</v>
      </c>
      <c r="T8" s="1" t="str" cm="1">
        <f t="array" ref="T8">_xlfn.IFS(L8&gt;5,"High",L8=5,"mediam",L8&lt;5,"low")</f>
        <v>mediam</v>
      </c>
      <c r="U8" s="1" t="b">
        <f>IF(L8&gt;5,"High",IF(L8="Mediam","Low"))</f>
        <v>0</v>
      </c>
      <c r="W8">
        <v>6</v>
      </c>
      <c r="X8" t="s">
        <v>147</v>
      </c>
    </row>
    <row r="9" spans="1:37" x14ac:dyDescent="0.3">
      <c r="A9" s="5">
        <v>10008</v>
      </c>
      <c r="B9" s="1">
        <v>1020</v>
      </c>
      <c r="C9" s="2">
        <v>45040</v>
      </c>
      <c r="D9" s="2">
        <v>45041</v>
      </c>
      <c r="E9" s="1" t="s">
        <v>46</v>
      </c>
      <c r="F9" s="1" t="s">
        <v>16</v>
      </c>
      <c r="G9" s="1" t="s">
        <v>24</v>
      </c>
      <c r="H9" s="1" t="s">
        <v>18</v>
      </c>
      <c r="I9" s="1" t="s">
        <v>31</v>
      </c>
      <c r="J9" s="1" t="s">
        <v>32</v>
      </c>
      <c r="K9" s="1" t="s">
        <v>47</v>
      </c>
      <c r="L9" s="1">
        <v>4</v>
      </c>
      <c r="M9" s="1">
        <v>2310.83</v>
      </c>
      <c r="N9" s="1">
        <v>10</v>
      </c>
      <c r="O9" s="1">
        <v>8318.99</v>
      </c>
      <c r="P9" s="1">
        <f t="shared" si="0"/>
        <v>9243.32</v>
      </c>
      <c r="Q9" s="10">
        <f t="shared" si="1"/>
        <v>831.899</v>
      </c>
      <c r="R9" s="11">
        <f t="shared" si="2"/>
        <v>8411.4210000000003</v>
      </c>
      <c r="S9" s="1" t="str">
        <f t="shared" si="3"/>
        <v>Low</v>
      </c>
      <c r="T9" s="1" t="str" cm="1">
        <f t="array" ref="T9">_xlfn.IFS(L9&gt;5,"High",L9=5,"mediam",L9&lt;5,"low")</f>
        <v>low</v>
      </c>
      <c r="U9" s="1" t="b">
        <f t="shared" ref="U9:U72" si="5">IF(L9&gt;5,"High",IF(L9="Mediam","Low"))</f>
        <v>0</v>
      </c>
    </row>
    <row r="10" spans="1:37" x14ac:dyDescent="0.3">
      <c r="A10" s="5">
        <v>10009</v>
      </c>
      <c r="B10" s="1">
        <v>1614</v>
      </c>
      <c r="C10" s="2">
        <v>45204</v>
      </c>
      <c r="D10" s="2">
        <v>45213</v>
      </c>
      <c r="E10" s="1" t="s">
        <v>15</v>
      </c>
      <c r="F10" s="1" t="s">
        <v>29</v>
      </c>
      <c r="G10" s="1" t="s">
        <v>24</v>
      </c>
      <c r="H10" s="1" t="s">
        <v>25</v>
      </c>
      <c r="I10" s="1" t="s">
        <v>31</v>
      </c>
      <c r="J10" s="1" t="s">
        <v>48</v>
      </c>
      <c r="K10" s="1" t="s">
        <v>28</v>
      </c>
      <c r="L10" s="1">
        <v>5</v>
      </c>
      <c r="M10" s="1">
        <v>1098.04</v>
      </c>
      <c r="N10" s="1">
        <v>15</v>
      </c>
      <c r="O10" s="1">
        <v>4666.67</v>
      </c>
      <c r="P10" s="1">
        <f t="shared" si="0"/>
        <v>5490.2</v>
      </c>
      <c r="Q10" s="10">
        <f t="shared" si="1"/>
        <v>700.00049999999999</v>
      </c>
      <c r="R10" s="11">
        <f t="shared" si="2"/>
        <v>4790.1994999999997</v>
      </c>
      <c r="S10" s="1" t="str">
        <f t="shared" si="3"/>
        <v>High</v>
      </c>
      <c r="T10" s="1" t="str" cm="1">
        <f t="array" ref="T10">_xlfn.IFS(L10&gt;5,"High",L10=5,"mediam",L10&lt;5,"low")</f>
        <v>mediam</v>
      </c>
      <c r="U10" s="1" t="b">
        <f t="shared" si="5"/>
        <v>0</v>
      </c>
    </row>
    <row r="11" spans="1:37" x14ac:dyDescent="0.3">
      <c r="A11" s="5">
        <v>10010</v>
      </c>
      <c r="B11" s="1">
        <v>1121</v>
      </c>
      <c r="C11" s="2">
        <v>45139</v>
      </c>
      <c r="D11" s="2">
        <v>45147</v>
      </c>
      <c r="E11" s="1" t="s">
        <v>34</v>
      </c>
      <c r="F11" s="1" t="s">
        <v>38</v>
      </c>
      <c r="G11" s="1" t="s">
        <v>24</v>
      </c>
      <c r="H11" s="1" t="s">
        <v>35</v>
      </c>
      <c r="I11" s="1" t="s">
        <v>49</v>
      </c>
      <c r="J11" s="1" t="s">
        <v>50</v>
      </c>
      <c r="K11" s="1" t="s">
        <v>47</v>
      </c>
      <c r="L11" s="1">
        <v>5</v>
      </c>
      <c r="M11" s="1">
        <v>1780.66</v>
      </c>
      <c r="N11" s="1">
        <v>20</v>
      </c>
      <c r="O11" s="1">
        <v>7122.64</v>
      </c>
      <c r="P11" s="1">
        <f t="shared" si="0"/>
        <v>8903.3000000000011</v>
      </c>
      <c r="Q11" s="10">
        <f t="shared" si="1"/>
        <v>1424.5280000000002</v>
      </c>
      <c r="R11" s="11">
        <f t="shared" si="2"/>
        <v>7478.7720000000008</v>
      </c>
      <c r="S11" s="1" t="str">
        <f t="shared" si="3"/>
        <v>High</v>
      </c>
      <c r="T11" s="1" t="str" cm="1">
        <f t="array" ref="T11">_xlfn.IFS(L11&gt;5,"High",L11=5,"mediam",L11&lt;5,"low")</f>
        <v>mediam</v>
      </c>
      <c r="U11" s="1" t="b">
        <f t="shared" si="5"/>
        <v>0</v>
      </c>
    </row>
    <row r="12" spans="1:37" ht="18" thickBot="1" x14ac:dyDescent="0.4">
      <c r="A12" s="5">
        <v>10011</v>
      </c>
      <c r="B12" s="1">
        <v>1466</v>
      </c>
      <c r="C12" s="2">
        <v>45098</v>
      </c>
      <c r="D12" s="2">
        <v>45106</v>
      </c>
      <c r="E12" s="1" t="s">
        <v>34</v>
      </c>
      <c r="F12" s="1" t="s">
        <v>38</v>
      </c>
      <c r="G12" s="1" t="s">
        <v>17</v>
      </c>
      <c r="H12" s="1" t="s">
        <v>35</v>
      </c>
      <c r="I12" s="1" t="s">
        <v>49</v>
      </c>
      <c r="J12" s="1" t="s">
        <v>50</v>
      </c>
      <c r="K12" s="1" t="s">
        <v>33</v>
      </c>
      <c r="L12" s="1">
        <v>6</v>
      </c>
      <c r="M12" s="1">
        <v>3205.25</v>
      </c>
      <c r="N12" s="1">
        <v>0</v>
      </c>
      <c r="O12" s="1">
        <v>19231.5</v>
      </c>
      <c r="P12" s="1">
        <f t="shared" si="0"/>
        <v>19231.5</v>
      </c>
      <c r="Q12" s="10">
        <f t="shared" si="1"/>
        <v>0</v>
      </c>
      <c r="R12" s="11">
        <f t="shared" si="2"/>
        <v>19231.5</v>
      </c>
      <c r="S12" s="1" t="str">
        <f t="shared" si="3"/>
        <v>High</v>
      </c>
      <c r="T12" s="1" t="str" cm="1">
        <f t="array" ref="T12">_xlfn.IFS(L12&gt;5,"High",L12=5,"mediam",L12&lt;5,"low")</f>
        <v>High</v>
      </c>
      <c r="U12" s="1" t="str">
        <f t="shared" si="5"/>
        <v>High</v>
      </c>
      <c r="W12" s="18" t="s">
        <v>148</v>
      </c>
      <c r="X12" s="18" t="str">
        <f>IF(N2&gt;10%, "Heavy Discount", "Normal Discount")</f>
        <v>Normal Discount</v>
      </c>
    </row>
    <row r="13" spans="1:37" ht="18.600000000000001" thickTop="1" thickBot="1" x14ac:dyDescent="0.4">
      <c r="A13" s="5">
        <v>10012</v>
      </c>
      <c r="B13" s="1">
        <v>1214</v>
      </c>
      <c r="C13" s="2">
        <v>45214</v>
      </c>
      <c r="D13" s="2">
        <v>45220</v>
      </c>
      <c r="E13" s="1" t="s">
        <v>46</v>
      </c>
      <c r="F13" s="1" t="s">
        <v>23</v>
      </c>
      <c r="G13" s="1" t="s">
        <v>24</v>
      </c>
      <c r="H13" s="1" t="s">
        <v>44</v>
      </c>
      <c r="I13" s="1" t="s">
        <v>49</v>
      </c>
      <c r="J13" s="1" t="s">
        <v>51</v>
      </c>
      <c r="K13" s="1" t="s">
        <v>21</v>
      </c>
      <c r="L13" s="1">
        <v>6</v>
      </c>
      <c r="M13" s="1">
        <v>272.35000000000002</v>
      </c>
      <c r="N13" s="1">
        <v>5</v>
      </c>
      <c r="O13" s="1">
        <v>1552.39</v>
      </c>
      <c r="P13" s="1">
        <f t="shared" si="0"/>
        <v>1634.1000000000001</v>
      </c>
      <c r="Q13" s="10">
        <f t="shared" si="1"/>
        <v>77.619500000000016</v>
      </c>
      <c r="R13" s="11">
        <f t="shared" si="2"/>
        <v>1556.4805000000001</v>
      </c>
      <c r="S13" s="1" t="str">
        <f t="shared" si="3"/>
        <v>High</v>
      </c>
      <c r="T13" s="1" t="str" cm="1">
        <f t="array" ref="T13">_xlfn.IFS(L13&gt;5,"High",L13=5,"mediam",L13&lt;5,"low")</f>
        <v>High</v>
      </c>
      <c r="U13" s="1" t="str">
        <f t="shared" si="5"/>
        <v>High</v>
      </c>
      <c r="W13" s="18"/>
      <c r="X13" s="18"/>
    </row>
    <row r="14" spans="1:37" ht="18.600000000000001" thickTop="1" thickBot="1" x14ac:dyDescent="0.4">
      <c r="A14" s="5">
        <v>10013</v>
      </c>
      <c r="B14" s="1">
        <v>1330</v>
      </c>
      <c r="C14" s="2">
        <v>45100</v>
      </c>
      <c r="D14" s="2">
        <v>45107</v>
      </c>
      <c r="E14" s="1" t="s">
        <v>16</v>
      </c>
      <c r="F14" s="1" t="s">
        <v>23</v>
      </c>
      <c r="G14" s="1" t="s">
        <v>17</v>
      </c>
      <c r="H14" s="1" t="s">
        <v>35</v>
      </c>
      <c r="I14" s="1" t="s">
        <v>19</v>
      </c>
      <c r="J14" s="1" t="s">
        <v>43</v>
      </c>
      <c r="K14" s="1" t="s">
        <v>21</v>
      </c>
      <c r="L14" s="1">
        <v>8</v>
      </c>
      <c r="M14" s="1">
        <v>3160.9</v>
      </c>
      <c r="N14" s="1">
        <v>0</v>
      </c>
      <c r="O14" s="1">
        <v>25287.200000000001</v>
      </c>
      <c r="P14" s="1">
        <f t="shared" si="0"/>
        <v>25287.200000000001</v>
      </c>
      <c r="Q14" s="10">
        <f t="shared" si="1"/>
        <v>0</v>
      </c>
      <c r="R14" s="11">
        <f t="shared" si="2"/>
        <v>25287.200000000001</v>
      </c>
      <c r="S14" s="1" t="str">
        <f t="shared" si="3"/>
        <v>High</v>
      </c>
      <c r="T14" s="1" t="str" cm="1">
        <f t="array" ref="T14">_xlfn.IFS(L14&gt;5,"High",L14=5,"mediam",L14&lt;5,"low")</f>
        <v>High</v>
      </c>
      <c r="U14" s="1" t="str">
        <f t="shared" si="5"/>
        <v>High</v>
      </c>
      <c r="W14" s="18" t="s">
        <v>149</v>
      </c>
      <c r="X14" s="18" t="str">
        <f>IF(O2&gt;7000, "Excellent sales", IF(O2&gt;4000, "Good", "Average"))</f>
        <v>Excellent sales</v>
      </c>
    </row>
    <row r="15" spans="1:37" ht="18.600000000000001" thickTop="1" thickBot="1" x14ac:dyDescent="0.4">
      <c r="A15" s="5">
        <v>10014</v>
      </c>
      <c r="B15" s="1">
        <v>1458</v>
      </c>
      <c r="C15" s="2">
        <v>45039</v>
      </c>
      <c r="D15" s="2">
        <v>45045</v>
      </c>
      <c r="E15" s="1" t="s">
        <v>37</v>
      </c>
      <c r="F15" s="1" t="s">
        <v>38</v>
      </c>
      <c r="G15" s="1" t="s">
        <v>30</v>
      </c>
      <c r="H15" s="1" t="s">
        <v>35</v>
      </c>
      <c r="I15" s="1" t="s">
        <v>26</v>
      </c>
      <c r="J15" s="1" t="s">
        <v>36</v>
      </c>
      <c r="K15" s="1" t="s">
        <v>28</v>
      </c>
      <c r="L15" s="1">
        <v>8</v>
      </c>
      <c r="M15" s="1">
        <v>1074.27</v>
      </c>
      <c r="N15" s="1">
        <v>15</v>
      </c>
      <c r="O15" s="1">
        <v>7305.04</v>
      </c>
      <c r="P15" s="1">
        <f t="shared" si="0"/>
        <v>8594.16</v>
      </c>
      <c r="Q15" s="10">
        <f t="shared" si="1"/>
        <v>1095.7559999999999</v>
      </c>
      <c r="R15" s="11">
        <f t="shared" si="2"/>
        <v>7498.4040000000005</v>
      </c>
      <c r="S15" s="1" t="str">
        <f t="shared" si="3"/>
        <v>High</v>
      </c>
      <c r="T15" s="1" t="str" cm="1">
        <f t="array" ref="T15">_xlfn.IFS(L15&gt;5,"High",L15=5,"mediam",L15&lt;5,"low")</f>
        <v>High</v>
      </c>
      <c r="U15" s="1" t="str">
        <f t="shared" si="5"/>
        <v>High</v>
      </c>
      <c r="W15" s="18"/>
      <c r="X15" s="18"/>
    </row>
    <row r="16" spans="1:37" ht="18.600000000000001" thickTop="1" thickBot="1" x14ac:dyDescent="0.4">
      <c r="A16" s="5">
        <v>10015</v>
      </c>
      <c r="B16" s="1">
        <v>1087</v>
      </c>
      <c r="C16" s="2">
        <v>45048</v>
      </c>
      <c r="D16" s="2">
        <v>45057</v>
      </c>
      <c r="E16" s="1" t="s">
        <v>40</v>
      </c>
      <c r="F16" s="1" t="s">
        <v>23</v>
      </c>
      <c r="G16" s="1" t="s">
        <v>24</v>
      </c>
      <c r="H16" s="1" t="s">
        <v>18</v>
      </c>
      <c r="I16" s="1" t="s">
        <v>52</v>
      </c>
      <c r="J16" s="1" t="s">
        <v>53</v>
      </c>
      <c r="K16" s="1" t="s">
        <v>21</v>
      </c>
      <c r="L16" s="1">
        <v>9</v>
      </c>
      <c r="M16" s="1">
        <v>705.59</v>
      </c>
      <c r="N16" s="1">
        <v>10</v>
      </c>
      <c r="O16" s="1">
        <v>5715.28</v>
      </c>
      <c r="P16" s="1">
        <f t="shared" si="0"/>
        <v>6350.31</v>
      </c>
      <c r="Q16" s="10">
        <f t="shared" si="1"/>
        <v>571.52800000000002</v>
      </c>
      <c r="R16" s="11">
        <f t="shared" si="2"/>
        <v>5778.7820000000002</v>
      </c>
      <c r="S16" s="1" t="str">
        <f t="shared" si="3"/>
        <v>High</v>
      </c>
      <c r="T16" s="1" t="str" cm="1">
        <f t="array" ref="T16">_xlfn.IFS(L16&gt;5,"High",L16=5,"mediam",L16&lt;5,"low")</f>
        <v>High</v>
      </c>
      <c r="U16" s="1" t="str">
        <f t="shared" si="5"/>
        <v>High</v>
      </c>
      <c r="W16" s="18" t="s">
        <v>150</v>
      </c>
      <c r="X16" s="18">
        <f>SUMIF(I2:I51, "Electronics", O2:O51)</f>
        <v>61479.619999999995</v>
      </c>
    </row>
    <row r="17" spans="1:24" ht="18.600000000000001" thickTop="1" thickBot="1" x14ac:dyDescent="0.4">
      <c r="A17" s="5">
        <v>10016</v>
      </c>
      <c r="B17" s="1">
        <v>1372</v>
      </c>
      <c r="C17" s="2">
        <v>44958</v>
      </c>
      <c r="D17" s="2">
        <v>44961</v>
      </c>
      <c r="E17" s="1" t="s">
        <v>22</v>
      </c>
      <c r="F17" s="1" t="s">
        <v>29</v>
      </c>
      <c r="G17" s="1" t="s">
        <v>17</v>
      </c>
      <c r="H17" s="1" t="s">
        <v>42</v>
      </c>
      <c r="I17" s="1" t="s">
        <v>31</v>
      </c>
      <c r="J17" s="1" t="s">
        <v>39</v>
      </c>
      <c r="K17" s="1" t="s">
        <v>21</v>
      </c>
      <c r="L17" s="1">
        <v>8</v>
      </c>
      <c r="M17" s="1">
        <v>595.45000000000005</v>
      </c>
      <c r="N17" s="1">
        <v>5</v>
      </c>
      <c r="O17" s="1">
        <v>4525.42</v>
      </c>
      <c r="P17" s="1">
        <f t="shared" si="0"/>
        <v>4763.6000000000004</v>
      </c>
      <c r="Q17" s="10">
        <f t="shared" si="1"/>
        <v>226.27100000000002</v>
      </c>
      <c r="R17" s="11">
        <f t="shared" si="2"/>
        <v>4537.3290000000006</v>
      </c>
      <c r="S17" s="1" t="str">
        <f t="shared" si="3"/>
        <v>High</v>
      </c>
      <c r="T17" s="1" t="str" cm="1">
        <f t="array" ref="T17">_xlfn.IFS(L17&gt;5,"High",L17=5,"mediam",L17&lt;5,"low")</f>
        <v>High</v>
      </c>
      <c r="U17" s="1" t="str">
        <f t="shared" si="5"/>
        <v>High</v>
      </c>
      <c r="W17" s="18"/>
      <c r="X17" s="18"/>
    </row>
    <row r="18" spans="1:24" ht="18.600000000000001" thickTop="1" thickBot="1" x14ac:dyDescent="0.4">
      <c r="A18" s="5">
        <v>10017</v>
      </c>
      <c r="B18" s="1">
        <v>1099</v>
      </c>
      <c r="C18" s="2">
        <v>45148</v>
      </c>
      <c r="D18" s="2">
        <v>45151</v>
      </c>
      <c r="E18" s="1" t="s">
        <v>16</v>
      </c>
      <c r="F18" s="1" t="s">
        <v>54</v>
      </c>
      <c r="G18" s="1" t="s">
        <v>17</v>
      </c>
      <c r="H18" s="1" t="s">
        <v>44</v>
      </c>
      <c r="I18" s="1" t="s">
        <v>31</v>
      </c>
      <c r="J18" s="1" t="s">
        <v>39</v>
      </c>
      <c r="K18" s="1" t="s">
        <v>28</v>
      </c>
      <c r="L18" s="1">
        <v>2</v>
      </c>
      <c r="M18" s="1">
        <v>254.91</v>
      </c>
      <c r="N18" s="1">
        <v>15</v>
      </c>
      <c r="O18" s="1">
        <v>433.35</v>
      </c>
      <c r="P18" s="1">
        <f t="shared" si="0"/>
        <v>509.82</v>
      </c>
      <c r="Q18" s="10">
        <f t="shared" si="1"/>
        <v>65.002499999999998</v>
      </c>
      <c r="R18" s="11">
        <f t="shared" si="2"/>
        <v>444.8175</v>
      </c>
      <c r="S18" s="1" t="str">
        <f t="shared" si="3"/>
        <v>Low</v>
      </c>
      <c r="T18" s="1" t="str" cm="1">
        <f t="array" ref="T18">_xlfn.IFS(L18&gt;5,"High",L18=5,"mediam",L18&lt;5,"low")</f>
        <v>low</v>
      </c>
      <c r="U18" s="1" t="b">
        <f t="shared" si="5"/>
        <v>0</v>
      </c>
      <c r="W18" s="18" t="s">
        <v>151</v>
      </c>
      <c r="X18" s="18">
        <f>SUMIFS(O2:O51, I2:I51, "Electronics", G2:G51, "Website")</f>
        <v>31119.119999999995</v>
      </c>
    </row>
    <row r="19" spans="1:24" ht="18.600000000000001" thickTop="1" thickBot="1" x14ac:dyDescent="0.4">
      <c r="A19" s="5">
        <v>10018</v>
      </c>
      <c r="B19" s="1">
        <v>1871</v>
      </c>
      <c r="C19" s="2">
        <v>45045</v>
      </c>
      <c r="D19" s="2">
        <v>45048</v>
      </c>
      <c r="E19" s="1" t="s">
        <v>15</v>
      </c>
      <c r="F19" s="1" t="s">
        <v>29</v>
      </c>
      <c r="G19" s="1" t="s">
        <v>24</v>
      </c>
      <c r="H19" s="1" t="s">
        <v>18</v>
      </c>
      <c r="I19" s="1" t="s">
        <v>19</v>
      </c>
      <c r="J19" s="1" t="s">
        <v>55</v>
      </c>
      <c r="K19" s="1" t="s">
        <v>28</v>
      </c>
      <c r="L19" s="1">
        <v>1</v>
      </c>
      <c r="M19" s="1">
        <v>2165.81</v>
      </c>
      <c r="N19" s="1">
        <v>15</v>
      </c>
      <c r="O19" s="1">
        <v>1840.94</v>
      </c>
      <c r="P19" s="1">
        <f t="shared" si="0"/>
        <v>2165.81</v>
      </c>
      <c r="Q19" s="10">
        <f t="shared" si="1"/>
        <v>276.14100000000002</v>
      </c>
      <c r="R19" s="11">
        <f t="shared" si="2"/>
        <v>1889.6689999999999</v>
      </c>
      <c r="S19" s="1" t="str">
        <f t="shared" si="3"/>
        <v>Low</v>
      </c>
      <c r="T19" s="1" t="str" cm="1">
        <f t="array" ref="T19">_xlfn.IFS(L19&gt;5,"High",L19=5,"mediam",L19&lt;5,"low")</f>
        <v>low</v>
      </c>
      <c r="U19" s="1" t="b">
        <f t="shared" si="5"/>
        <v>0</v>
      </c>
      <c r="W19" s="18"/>
      <c r="X19" s="18"/>
    </row>
    <row r="20" spans="1:24" ht="18.600000000000001" thickTop="1" thickBot="1" x14ac:dyDescent="0.4">
      <c r="A20" s="5">
        <v>10019</v>
      </c>
      <c r="B20" s="1">
        <v>1663</v>
      </c>
      <c r="C20" s="2">
        <v>44965</v>
      </c>
      <c r="D20" s="2">
        <v>44968</v>
      </c>
      <c r="E20" s="1" t="s">
        <v>34</v>
      </c>
      <c r="F20" s="1" t="s">
        <v>38</v>
      </c>
      <c r="G20" s="1" t="s">
        <v>30</v>
      </c>
      <c r="H20" s="1" t="s">
        <v>42</v>
      </c>
      <c r="I20" s="1" t="s">
        <v>31</v>
      </c>
      <c r="J20" s="1" t="s">
        <v>39</v>
      </c>
      <c r="K20" s="1" t="s">
        <v>33</v>
      </c>
      <c r="L20" s="1">
        <v>2</v>
      </c>
      <c r="M20" s="1">
        <v>990.3</v>
      </c>
      <c r="N20" s="1">
        <v>15</v>
      </c>
      <c r="O20" s="1">
        <v>1683.51</v>
      </c>
      <c r="P20" s="1">
        <f t="shared" si="0"/>
        <v>1980.6</v>
      </c>
      <c r="Q20" s="10">
        <f t="shared" si="1"/>
        <v>252.5265</v>
      </c>
      <c r="R20" s="11">
        <f t="shared" si="2"/>
        <v>1728.0735</v>
      </c>
      <c r="S20" s="1" t="str">
        <f t="shared" si="3"/>
        <v>Low</v>
      </c>
      <c r="T20" s="1" t="str" cm="1">
        <f t="array" ref="T20">_xlfn.IFS(L20&gt;5,"High",L20=5,"mediam",L20&lt;5,"low")</f>
        <v>low</v>
      </c>
      <c r="U20" s="1" t="b">
        <f t="shared" si="5"/>
        <v>0</v>
      </c>
      <c r="W20" s="18" t="s">
        <v>152</v>
      </c>
      <c r="X20" s="18">
        <f>COUNTIF(I2:I51, "Beauty")</f>
        <v>4</v>
      </c>
    </row>
    <row r="21" spans="1:24" ht="18.600000000000001" thickTop="1" thickBot="1" x14ac:dyDescent="0.4">
      <c r="A21" s="5">
        <v>10020</v>
      </c>
      <c r="B21" s="1">
        <v>1130</v>
      </c>
      <c r="C21" s="2">
        <v>45194</v>
      </c>
      <c r="D21" s="2">
        <v>45203</v>
      </c>
      <c r="E21" s="1" t="s">
        <v>46</v>
      </c>
      <c r="F21" s="1" t="s">
        <v>38</v>
      </c>
      <c r="G21" s="1" t="s">
        <v>17</v>
      </c>
      <c r="H21" s="1" t="s">
        <v>18</v>
      </c>
      <c r="I21" s="1" t="s">
        <v>49</v>
      </c>
      <c r="J21" s="1" t="s">
        <v>51</v>
      </c>
      <c r="K21" s="1" t="s">
        <v>21</v>
      </c>
      <c r="L21" s="1">
        <v>2</v>
      </c>
      <c r="M21" s="1">
        <v>3959.31</v>
      </c>
      <c r="N21" s="1">
        <v>5</v>
      </c>
      <c r="O21" s="1">
        <v>7522.69</v>
      </c>
      <c r="P21" s="1">
        <f t="shared" si="0"/>
        <v>7918.62</v>
      </c>
      <c r="Q21" s="10">
        <f t="shared" si="1"/>
        <v>376.1345</v>
      </c>
      <c r="R21" s="11">
        <f t="shared" si="2"/>
        <v>7542.4854999999998</v>
      </c>
      <c r="S21" s="1" t="str">
        <f t="shared" si="3"/>
        <v>Low</v>
      </c>
      <c r="T21" s="1" t="str" cm="1">
        <f t="array" ref="T21">_xlfn.IFS(L21&gt;5,"High",L21=5,"mediam",L21&lt;5,"low")</f>
        <v>low</v>
      </c>
      <c r="U21" s="1" t="b">
        <f t="shared" si="5"/>
        <v>0</v>
      </c>
      <c r="W21" s="18"/>
      <c r="X21" s="18"/>
    </row>
    <row r="22" spans="1:24" ht="18.600000000000001" thickTop="1" thickBot="1" x14ac:dyDescent="0.4">
      <c r="A22" s="5">
        <v>10021</v>
      </c>
      <c r="B22" s="1">
        <v>1661</v>
      </c>
      <c r="C22" s="2">
        <v>45159</v>
      </c>
      <c r="D22" s="2">
        <v>45163</v>
      </c>
      <c r="E22" s="1" t="s">
        <v>46</v>
      </c>
      <c r="F22" s="1" t="s">
        <v>29</v>
      </c>
      <c r="G22" s="1" t="s">
        <v>24</v>
      </c>
      <c r="H22" s="1" t="s">
        <v>18</v>
      </c>
      <c r="I22" s="1" t="s">
        <v>52</v>
      </c>
      <c r="J22" s="1" t="s">
        <v>56</v>
      </c>
      <c r="K22" s="1" t="s">
        <v>21</v>
      </c>
      <c r="L22" s="1">
        <v>3</v>
      </c>
      <c r="M22" s="1">
        <v>2361.58</v>
      </c>
      <c r="N22" s="1">
        <v>5</v>
      </c>
      <c r="O22" s="1">
        <v>6730.5</v>
      </c>
      <c r="P22" s="1">
        <f t="shared" si="0"/>
        <v>7084.74</v>
      </c>
      <c r="Q22" s="10">
        <f t="shared" si="1"/>
        <v>336.52500000000003</v>
      </c>
      <c r="R22" s="11">
        <f t="shared" si="2"/>
        <v>6748.2150000000001</v>
      </c>
      <c r="S22" s="1" t="str">
        <f t="shared" si="3"/>
        <v>Low</v>
      </c>
      <c r="T22" s="1" t="str" cm="1">
        <f t="array" ref="T22">_xlfn.IFS(L22&gt;5,"High",L22=5,"mediam",L22&lt;5,"low")</f>
        <v>low</v>
      </c>
      <c r="U22" s="1" t="b">
        <f t="shared" si="5"/>
        <v>0</v>
      </c>
      <c r="W22" s="18" t="s">
        <v>153</v>
      </c>
      <c r="X22" s="18">
        <f>COUNTIF(N2:N501,"&lt;15")</f>
        <v>301</v>
      </c>
    </row>
    <row r="23" spans="1:24" ht="15" thickTop="1" x14ac:dyDescent="0.3">
      <c r="A23" s="5">
        <v>10022</v>
      </c>
      <c r="B23" s="1">
        <v>1308</v>
      </c>
      <c r="C23" s="2">
        <v>44944</v>
      </c>
      <c r="D23" s="2">
        <v>44951</v>
      </c>
      <c r="E23" s="1" t="s">
        <v>37</v>
      </c>
      <c r="F23" s="1" t="s">
        <v>23</v>
      </c>
      <c r="G23" s="1" t="s">
        <v>30</v>
      </c>
      <c r="H23" s="1" t="s">
        <v>35</v>
      </c>
      <c r="I23" s="1" t="s">
        <v>57</v>
      </c>
      <c r="J23" s="1" t="s">
        <v>58</v>
      </c>
      <c r="K23" s="1" t="s">
        <v>33</v>
      </c>
      <c r="L23" s="1">
        <v>7</v>
      </c>
      <c r="M23" s="1">
        <v>680.86</v>
      </c>
      <c r="N23" s="1">
        <v>20</v>
      </c>
      <c r="O23" s="1">
        <v>3812.82</v>
      </c>
      <c r="P23" s="1">
        <f t="shared" si="0"/>
        <v>4766.0200000000004</v>
      </c>
      <c r="Q23" s="10">
        <f t="shared" si="1"/>
        <v>762.56400000000008</v>
      </c>
      <c r="R23" s="11">
        <f t="shared" si="2"/>
        <v>4003.4560000000001</v>
      </c>
      <c r="S23" s="1" t="str">
        <f t="shared" si="3"/>
        <v>High</v>
      </c>
      <c r="T23" s="1" t="str" cm="1">
        <f t="array" ref="T23">_xlfn.IFS(L23&gt;5,"High",L23=5,"mediam",L23&lt;5,"low")</f>
        <v>High</v>
      </c>
      <c r="U23" s="1" t="str">
        <f t="shared" si="5"/>
        <v>High</v>
      </c>
    </row>
    <row r="24" spans="1:24" x14ac:dyDescent="0.3">
      <c r="A24" s="5">
        <v>10023</v>
      </c>
      <c r="B24" s="1">
        <v>1769</v>
      </c>
      <c r="C24" s="2">
        <v>45075</v>
      </c>
      <c r="D24" s="2">
        <v>45084</v>
      </c>
      <c r="E24" s="1" t="s">
        <v>16</v>
      </c>
      <c r="F24" s="1" t="s">
        <v>23</v>
      </c>
      <c r="G24" s="1" t="s">
        <v>17</v>
      </c>
      <c r="H24" s="1" t="s">
        <v>42</v>
      </c>
      <c r="I24" s="1" t="s">
        <v>31</v>
      </c>
      <c r="J24" s="1" t="s">
        <v>32</v>
      </c>
      <c r="K24" s="1" t="s">
        <v>45</v>
      </c>
      <c r="L24" s="1">
        <v>2</v>
      </c>
      <c r="M24" s="1">
        <v>2801.74</v>
      </c>
      <c r="N24" s="1">
        <v>20</v>
      </c>
      <c r="O24" s="1">
        <v>4482.78</v>
      </c>
      <c r="P24" s="1">
        <f t="shared" si="0"/>
        <v>5603.48</v>
      </c>
      <c r="Q24" s="10">
        <f t="shared" si="1"/>
        <v>896.55600000000004</v>
      </c>
      <c r="R24" s="11">
        <f t="shared" si="2"/>
        <v>4706.9239999999991</v>
      </c>
      <c r="S24" s="1" t="str">
        <f t="shared" si="3"/>
        <v>Low</v>
      </c>
      <c r="T24" s="1" t="str" cm="1">
        <f t="array" ref="T24">_xlfn.IFS(L24&gt;5,"High",L24=5,"mediam",L24&lt;5,"low")</f>
        <v>low</v>
      </c>
      <c r="U24" s="1" t="b">
        <f t="shared" si="5"/>
        <v>0</v>
      </c>
    </row>
    <row r="25" spans="1:24" x14ac:dyDescent="0.3">
      <c r="A25" s="5">
        <v>10024</v>
      </c>
      <c r="B25" s="1">
        <v>1343</v>
      </c>
      <c r="C25" s="2">
        <v>45075</v>
      </c>
      <c r="D25" s="2">
        <v>45082</v>
      </c>
      <c r="E25" s="1" t="s">
        <v>22</v>
      </c>
      <c r="F25" s="1" t="s">
        <v>41</v>
      </c>
      <c r="G25" s="1" t="s">
        <v>17</v>
      </c>
      <c r="H25" s="1" t="s">
        <v>44</v>
      </c>
      <c r="I25" s="1" t="s">
        <v>49</v>
      </c>
      <c r="J25" s="1" t="s">
        <v>51</v>
      </c>
      <c r="K25" s="1" t="s">
        <v>45</v>
      </c>
      <c r="L25" s="1">
        <v>1</v>
      </c>
      <c r="M25" s="1">
        <v>3606.31</v>
      </c>
      <c r="N25" s="1">
        <v>0</v>
      </c>
      <c r="O25" s="1">
        <v>3606.31</v>
      </c>
      <c r="P25" s="1">
        <f t="shared" si="0"/>
        <v>3606.31</v>
      </c>
      <c r="Q25" s="10">
        <f t="shared" si="1"/>
        <v>0</v>
      </c>
      <c r="R25" s="11">
        <f t="shared" si="2"/>
        <v>3606.31</v>
      </c>
      <c r="S25" s="1" t="str">
        <f t="shared" si="3"/>
        <v>Low</v>
      </c>
      <c r="T25" s="1" t="str" cm="1">
        <f t="array" ref="T25">_xlfn.IFS(L25&gt;5,"High",L25=5,"mediam",L25&lt;5,"low")</f>
        <v>low</v>
      </c>
      <c r="U25" s="1" t="b">
        <f t="shared" si="5"/>
        <v>0</v>
      </c>
    </row>
    <row r="26" spans="1:24" x14ac:dyDescent="0.3">
      <c r="A26" s="5">
        <v>10025</v>
      </c>
      <c r="B26" s="1">
        <v>1491</v>
      </c>
      <c r="C26" s="2">
        <v>45052</v>
      </c>
      <c r="D26" s="2">
        <v>45061</v>
      </c>
      <c r="E26" s="1" t="s">
        <v>37</v>
      </c>
      <c r="F26" s="1" t="s">
        <v>38</v>
      </c>
      <c r="G26" s="1" t="s">
        <v>30</v>
      </c>
      <c r="H26" s="1" t="s">
        <v>44</v>
      </c>
      <c r="I26" s="1" t="s">
        <v>57</v>
      </c>
      <c r="J26" s="1" t="s">
        <v>59</v>
      </c>
      <c r="K26" s="1" t="s">
        <v>45</v>
      </c>
      <c r="L26" s="1">
        <v>6</v>
      </c>
      <c r="M26" s="1">
        <v>3018.94</v>
      </c>
      <c r="N26" s="1">
        <v>5</v>
      </c>
      <c r="O26" s="1">
        <v>17207.96</v>
      </c>
      <c r="P26" s="1">
        <f t="shared" si="0"/>
        <v>18113.64</v>
      </c>
      <c r="Q26" s="10">
        <f t="shared" si="1"/>
        <v>860.39800000000002</v>
      </c>
      <c r="R26" s="11">
        <f t="shared" si="2"/>
        <v>17253.241999999998</v>
      </c>
      <c r="S26" s="1" t="str">
        <f t="shared" si="3"/>
        <v>High</v>
      </c>
      <c r="T26" s="1" t="str" cm="1">
        <f t="array" ref="T26">_xlfn.IFS(L26&gt;5,"High",L26=5,"mediam",L26&lt;5,"low")</f>
        <v>High</v>
      </c>
      <c r="U26" s="1" t="str">
        <f t="shared" si="5"/>
        <v>High</v>
      </c>
    </row>
    <row r="27" spans="1:24" x14ac:dyDescent="0.3">
      <c r="A27" s="5">
        <v>10026</v>
      </c>
      <c r="B27" s="1">
        <v>1413</v>
      </c>
      <c r="C27" s="2">
        <v>45228</v>
      </c>
      <c r="D27" s="2">
        <v>45231</v>
      </c>
      <c r="E27" s="1" t="s">
        <v>34</v>
      </c>
      <c r="F27" s="1" t="s">
        <v>16</v>
      </c>
      <c r="G27" s="1" t="s">
        <v>30</v>
      </c>
      <c r="H27" s="1" t="s">
        <v>42</v>
      </c>
      <c r="I27" s="1" t="s">
        <v>52</v>
      </c>
      <c r="J27" s="1" t="s">
        <v>60</v>
      </c>
      <c r="K27" s="1" t="s">
        <v>33</v>
      </c>
      <c r="L27" s="1">
        <v>9</v>
      </c>
      <c r="M27" s="1">
        <v>444.29</v>
      </c>
      <c r="N27" s="1">
        <v>5</v>
      </c>
      <c r="O27" s="1">
        <v>3798.68</v>
      </c>
      <c r="P27" s="1">
        <f t="shared" si="0"/>
        <v>3998.61</v>
      </c>
      <c r="Q27" s="10">
        <f t="shared" si="1"/>
        <v>189.934</v>
      </c>
      <c r="R27" s="11">
        <f t="shared" si="2"/>
        <v>3808.6759999999999</v>
      </c>
      <c r="S27" s="1" t="str">
        <f t="shared" si="3"/>
        <v>High</v>
      </c>
      <c r="T27" s="1" t="str" cm="1">
        <f t="array" ref="T27">_xlfn.IFS(L27&gt;5,"High",L27=5,"mediam",L27&lt;5,"low")</f>
        <v>High</v>
      </c>
      <c r="U27" s="1" t="str">
        <f t="shared" si="5"/>
        <v>High</v>
      </c>
    </row>
    <row r="28" spans="1:24" x14ac:dyDescent="0.3">
      <c r="A28" s="5">
        <v>10027</v>
      </c>
      <c r="B28" s="1">
        <v>1805</v>
      </c>
      <c r="C28" s="2">
        <v>45286</v>
      </c>
      <c r="D28" s="2">
        <v>45290</v>
      </c>
      <c r="E28" s="1" t="s">
        <v>37</v>
      </c>
      <c r="F28" s="1" t="s">
        <v>41</v>
      </c>
      <c r="G28" s="1" t="s">
        <v>24</v>
      </c>
      <c r="H28" s="1" t="s">
        <v>35</v>
      </c>
      <c r="I28" s="1" t="s">
        <v>57</v>
      </c>
      <c r="J28" s="1" t="s">
        <v>58</v>
      </c>
      <c r="K28" s="1" t="s">
        <v>21</v>
      </c>
      <c r="L28" s="1">
        <v>3</v>
      </c>
      <c r="M28" s="1">
        <v>3599.15</v>
      </c>
      <c r="N28" s="1">
        <v>5</v>
      </c>
      <c r="O28" s="1">
        <v>10257.58</v>
      </c>
      <c r="P28" s="1">
        <f t="shared" si="0"/>
        <v>10797.45</v>
      </c>
      <c r="Q28" s="10">
        <f t="shared" si="1"/>
        <v>512.87900000000002</v>
      </c>
      <c r="R28" s="11">
        <f t="shared" si="2"/>
        <v>10284.571</v>
      </c>
      <c r="S28" s="1" t="str">
        <f t="shared" si="3"/>
        <v>Low</v>
      </c>
      <c r="T28" s="1" t="str" cm="1">
        <f t="array" ref="T28">_xlfn.IFS(L28&gt;5,"High",L28=5,"mediam",L28&lt;5,"low")</f>
        <v>low</v>
      </c>
      <c r="U28" s="1" t="b">
        <f t="shared" si="5"/>
        <v>0</v>
      </c>
    </row>
    <row r="29" spans="1:24" x14ac:dyDescent="0.3">
      <c r="A29" s="5">
        <v>10028</v>
      </c>
      <c r="B29" s="1">
        <v>1385</v>
      </c>
      <c r="C29" s="2">
        <v>45164</v>
      </c>
      <c r="D29" s="2">
        <v>45172</v>
      </c>
      <c r="E29" s="1" t="s">
        <v>40</v>
      </c>
      <c r="F29" s="1" t="s">
        <v>23</v>
      </c>
      <c r="G29" s="1" t="s">
        <v>24</v>
      </c>
      <c r="H29" s="1" t="s">
        <v>25</v>
      </c>
      <c r="I29" s="1" t="s">
        <v>49</v>
      </c>
      <c r="J29" s="1" t="s">
        <v>51</v>
      </c>
      <c r="K29" s="1" t="s">
        <v>33</v>
      </c>
      <c r="L29" s="1">
        <v>6</v>
      </c>
      <c r="M29" s="1">
        <v>3206.63</v>
      </c>
      <c r="N29" s="1">
        <v>20</v>
      </c>
      <c r="O29" s="1">
        <v>15391.82</v>
      </c>
      <c r="P29" s="1">
        <f t="shared" si="0"/>
        <v>19239.78</v>
      </c>
      <c r="Q29" s="10">
        <f t="shared" si="1"/>
        <v>3078.364</v>
      </c>
      <c r="R29" s="11">
        <f t="shared" si="2"/>
        <v>16161.415999999999</v>
      </c>
      <c r="S29" s="1" t="str">
        <f t="shared" si="3"/>
        <v>High</v>
      </c>
      <c r="T29" s="1" t="str" cm="1">
        <f t="array" ref="T29">_xlfn.IFS(L29&gt;5,"High",L29=5,"mediam",L29&lt;5,"low")</f>
        <v>High</v>
      </c>
      <c r="U29" s="1" t="str">
        <f t="shared" si="5"/>
        <v>High</v>
      </c>
    </row>
    <row r="30" spans="1:24" x14ac:dyDescent="0.3">
      <c r="A30" s="5">
        <v>10029</v>
      </c>
      <c r="B30" s="1">
        <v>1191</v>
      </c>
      <c r="C30" s="2">
        <v>45061</v>
      </c>
      <c r="D30" s="2">
        <v>45067</v>
      </c>
      <c r="E30" s="1" t="s">
        <v>46</v>
      </c>
      <c r="F30" s="1" t="s">
        <v>29</v>
      </c>
      <c r="G30" s="1" t="s">
        <v>17</v>
      </c>
      <c r="H30" s="1" t="s">
        <v>18</v>
      </c>
      <c r="I30" s="1" t="s">
        <v>26</v>
      </c>
      <c r="J30" s="1" t="s">
        <v>27</v>
      </c>
      <c r="K30" s="1" t="s">
        <v>33</v>
      </c>
      <c r="L30" s="1">
        <v>3</v>
      </c>
      <c r="M30" s="1">
        <v>759.47</v>
      </c>
      <c r="N30" s="1">
        <v>15</v>
      </c>
      <c r="O30" s="1">
        <v>1936.65</v>
      </c>
      <c r="P30" s="1">
        <f t="shared" si="0"/>
        <v>2278.41</v>
      </c>
      <c r="Q30" s="10">
        <f t="shared" si="1"/>
        <v>290.4975</v>
      </c>
      <c r="R30" s="11">
        <f t="shared" si="2"/>
        <v>1987.9124999999999</v>
      </c>
      <c r="S30" s="1" t="str">
        <f t="shared" si="3"/>
        <v>Low</v>
      </c>
      <c r="T30" s="1" t="str" cm="1">
        <f t="array" ref="T30">_xlfn.IFS(L30&gt;5,"High",L30=5,"mediam",L30&lt;5,"low")</f>
        <v>low</v>
      </c>
      <c r="U30" s="1" t="b">
        <f t="shared" si="5"/>
        <v>0</v>
      </c>
    </row>
    <row r="31" spans="1:24" x14ac:dyDescent="0.3">
      <c r="A31" s="5">
        <v>10030</v>
      </c>
      <c r="B31" s="1">
        <v>1955</v>
      </c>
      <c r="C31" s="2">
        <v>45077</v>
      </c>
      <c r="D31" s="2">
        <v>45082</v>
      </c>
      <c r="E31" s="1" t="s">
        <v>46</v>
      </c>
      <c r="F31" s="1" t="s">
        <v>23</v>
      </c>
      <c r="G31" s="1" t="s">
        <v>30</v>
      </c>
      <c r="H31" s="1" t="s">
        <v>35</v>
      </c>
      <c r="I31" s="1" t="s">
        <v>26</v>
      </c>
      <c r="J31" s="1" t="s">
        <v>61</v>
      </c>
      <c r="K31" s="1" t="s">
        <v>45</v>
      </c>
      <c r="L31" s="1">
        <v>1</v>
      </c>
      <c r="M31" s="1">
        <v>349.38</v>
      </c>
      <c r="N31" s="1">
        <v>10</v>
      </c>
      <c r="O31" s="1">
        <v>314.44</v>
      </c>
      <c r="P31" s="1">
        <f t="shared" si="0"/>
        <v>349.38</v>
      </c>
      <c r="Q31" s="10">
        <f t="shared" si="1"/>
        <v>31.444000000000003</v>
      </c>
      <c r="R31" s="11">
        <f t="shared" si="2"/>
        <v>317.93599999999998</v>
      </c>
      <c r="S31" s="1" t="str">
        <f t="shared" si="3"/>
        <v>Low</v>
      </c>
      <c r="T31" s="1" t="str" cm="1">
        <f t="array" ref="T31">_xlfn.IFS(L31&gt;5,"High",L31=5,"mediam",L31&lt;5,"low")</f>
        <v>low</v>
      </c>
      <c r="U31" s="1" t="b">
        <f t="shared" si="5"/>
        <v>0</v>
      </c>
    </row>
    <row r="32" spans="1:24" x14ac:dyDescent="0.3">
      <c r="A32" s="5">
        <v>10031</v>
      </c>
      <c r="B32" s="1">
        <v>1276</v>
      </c>
      <c r="C32" s="2">
        <v>45162</v>
      </c>
      <c r="D32" s="2">
        <v>45166</v>
      </c>
      <c r="E32" s="1" t="s">
        <v>15</v>
      </c>
      <c r="F32" s="1" t="s">
        <v>29</v>
      </c>
      <c r="G32" s="1" t="s">
        <v>30</v>
      </c>
      <c r="H32" s="1" t="s">
        <v>42</v>
      </c>
      <c r="I32" s="1" t="s">
        <v>57</v>
      </c>
      <c r="J32" s="1" t="s">
        <v>62</v>
      </c>
      <c r="K32" s="1" t="s">
        <v>47</v>
      </c>
      <c r="L32" s="1">
        <v>5</v>
      </c>
      <c r="M32" s="1">
        <v>2295.65</v>
      </c>
      <c r="N32" s="1">
        <v>20</v>
      </c>
      <c r="O32" s="1">
        <v>9182.6</v>
      </c>
      <c r="P32" s="1">
        <f t="shared" si="0"/>
        <v>11478.25</v>
      </c>
      <c r="Q32" s="10">
        <f t="shared" si="1"/>
        <v>1836.5200000000002</v>
      </c>
      <c r="R32" s="11">
        <f t="shared" si="2"/>
        <v>9641.73</v>
      </c>
      <c r="S32" s="1" t="str">
        <f t="shared" si="3"/>
        <v>High</v>
      </c>
      <c r="T32" s="1" t="str" cm="1">
        <f t="array" ref="T32">_xlfn.IFS(L32&gt;5,"High",L32=5,"mediam",L32&lt;5,"low")</f>
        <v>mediam</v>
      </c>
      <c r="U32" s="1" t="b">
        <f t="shared" si="5"/>
        <v>0</v>
      </c>
    </row>
    <row r="33" spans="1:21" x14ac:dyDescent="0.3">
      <c r="A33" s="5">
        <v>10032</v>
      </c>
      <c r="B33" s="1">
        <v>1160</v>
      </c>
      <c r="C33" s="2">
        <v>45150</v>
      </c>
      <c r="D33" s="2">
        <v>45158</v>
      </c>
      <c r="E33" s="1" t="s">
        <v>15</v>
      </c>
      <c r="F33" s="1" t="s">
        <v>41</v>
      </c>
      <c r="G33" s="1" t="s">
        <v>30</v>
      </c>
      <c r="H33" s="1" t="s">
        <v>18</v>
      </c>
      <c r="I33" s="1" t="s">
        <v>19</v>
      </c>
      <c r="J33" s="1" t="s">
        <v>43</v>
      </c>
      <c r="K33" s="1" t="s">
        <v>21</v>
      </c>
      <c r="L33" s="1">
        <v>4</v>
      </c>
      <c r="M33" s="1">
        <v>750.74</v>
      </c>
      <c r="N33" s="1">
        <v>5</v>
      </c>
      <c r="O33" s="1">
        <v>2852.81</v>
      </c>
      <c r="P33" s="1">
        <f t="shared" si="0"/>
        <v>3002.96</v>
      </c>
      <c r="Q33" s="10">
        <f t="shared" si="1"/>
        <v>142.6405</v>
      </c>
      <c r="R33" s="11">
        <f t="shared" si="2"/>
        <v>2860.3195000000001</v>
      </c>
      <c r="S33" s="1" t="str">
        <f t="shared" si="3"/>
        <v>Low</v>
      </c>
      <c r="T33" s="1" t="str" cm="1">
        <f t="array" ref="T33">_xlfn.IFS(L33&gt;5,"High",L33=5,"mediam",L33&lt;5,"low")</f>
        <v>low</v>
      </c>
      <c r="U33" s="1" t="b">
        <f t="shared" si="5"/>
        <v>0</v>
      </c>
    </row>
    <row r="34" spans="1:21" x14ac:dyDescent="0.3">
      <c r="A34" s="5">
        <v>10033</v>
      </c>
      <c r="B34" s="1">
        <v>1459</v>
      </c>
      <c r="C34" s="2">
        <v>45129</v>
      </c>
      <c r="D34" s="2">
        <v>45130</v>
      </c>
      <c r="E34" s="1" t="s">
        <v>22</v>
      </c>
      <c r="F34" s="1" t="s">
        <v>38</v>
      </c>
      <c r="G34" s="1" t="s">
        <v>17</v>
      </c>
      <c r="H34" s="1" t="s">
        <v>44</v>
      </c>
      <c r="I34" s="1" t="s">
        <v>57</v>
      </c>
      <c r="J34" s="1" t="s">
        <v>59</v>
      </c>
      <c r="K34" s="1" t="s">
        <v>45</v>
      </c>
      <c r="L34" s="1">
        <v>7</v>
      </c>
      <c r="M34" s="1">
        <v>3363.18</v>
      </c>
      <c r="N34" s="1">
        <v>20</v>
      </c>
      <c r="O34" s="1">
        <v>18833.810000000001</v>
      </c>
      <c r="P34" s="1">
        <f t="shared" si="0"/>
        <v>23542.26</v>
      </c>
      <c r="Q34" s="10">
        <f t="shared" si="1"/>
        <v>3766.7620000000006</v>
      </c>
      <c r="R34" s="11">
        <f t="shared" si="2"/>
        <v>19775.498</v>
      </c>
      <c r="S34" s="1" t="str">
        <f t="shared" si="3"/>
        <v>High</v>
      </c>
      <c r="T34" s="1" t="str" cm="1">
        <f t="array" ref="T34">_xlfn.IFS(L34&gt;5,"High",L34=5,"mediam",L34&lt;5,"low")</f>
        <v>High</v>
      </c>
      <c r="U34" s="1" t="str">
        <f t="shared" si="5"/>
        <v>High</v>
      </c>
    </row>
    <row r="35" spans="1:21" x14ac:dyDescent="0.3">
      <c r="A35" s="5">
        <v>10034</v>
      </c>
      <c r="B35" s="1">
        <v>1313</v>
      </c>
      <c r="C35" s="2">
        <v>45182</v>
      </c>
      <c r="D35" s="2">
        <v>45191</v>
      </c>
      <c r="E35" s="1" t="s">
        <v>34</v>
      </c>
      <c r="F35" s="1" t="s">
        <v>23</v>
      </c>
      <c r="G35" s="1" t="s">
        <v>30</v>
      </c>
      <c r="H35" s="1" t="s">
        <v>25</v>
      </c>
      <c r="I35" s="1" t="s">
        <v>31</v>
      </c>
      <c r="J35" s="1" t="s">
        <v>48</v>
      </c>
      <c r="K35" s="1" t="s">
        <v>47</v>
      </c>
      <c r="L35" s="1">
        <v>6</v>
      </c>
      <c r="M35" s="1">
        <v>1529.59</v>
      </c>
      <c r="N35" s="1">
        <v>0</v>
      </c>
      <c r="O35" s="1">
        <v>9177.5400000000009</v>
      </c>
      <c r="P35" s="1">
        <f t="shared" si="0"/>
        <v>9177.5399999999991</v>
      </c>
      <c r="Q35" s="10">
        <f t="shared" si="1"/>
        <v>0</v>
      </c>
      <c r="R35" s="11">
        <f t="shared" si="2"/>
        <v>9177.5399999999991</v>
      </c>
      <c r="S35" s="1" t="str">
        <f t="shared" si="3"/>
        <v>High</v>
      </c>
      <c r="T35" s="1" t="str" cm="1">
        <f t="array" ref="T35">_xlfn.IFS(L35&gt;5,"High",L35=5,"mediam",L35&lt;5,"low")</f>
        <v>High</v>
      </c>
      <c r="U35" s="1" t="str">
        <f t="shared" si="5"/>
        <v>High</v>
      </c>
    </row>
    <row r="36" spans="1:21" x14ac:dyDescent="0.3">
      <c r="A36" s="5">
        <v>10035</v>
      </c>
      <c r="B36" s="1">
        <v>1021</v>
      </c>
      <c r="C36" s="2">
        <v>45012</v>
      </c>
      <c r="D36" s="2">
        <v>45013</v>
      </c>
      <c r="E36" s="1" t="s">
        <v>40</v>
      </c>
      <c r="F36" s="1" t="s">
        <v>29</v>
      </c>
      <c r="G36" s="1" t="s">
        <v>30</v>
      </c>
      <c r="H36" s="1" t="s">
        <v>44</v>
      </c>
      <c r="I36" s="1" t="s">
        <v>31</v>
      </c>
      <c r="J36" s="1" t="s">
        <v>48</v>
      </c>
      <c r="K36" s="1" t="s">
        <v>47</v>
      </c>
      <c r="L36" s="1">
        <v>7</v>
      </c>
      <c r="M36" s="1">
        <v>3664.64</v>
      </c>
      <c r="N36" s="1">
        <v>5</v>
      </c>
      <c r="O36" s="1">
        <v>24369.86</v>
      </c>
      <c r="P36" s="1">
        <f t="shared" si="0"/>
        <v>25652.48</v>
      </c>
      <c r="Q36" s="10">
        <f t="shared" si="1"/>
        <v>1218.4930000000002</v>
      </c>
      <c r="R36" s="11">
        <f t="shared" si="2"/>
        <v>24433.987000000001</v>
      </c>
      <c r="S36" s="1" t="str">
        <f t="shared" si="3"/>
        <v>High</v>
      </c>
      <c r="T36" s="1" t="str" cm="1">
        <f t="array" ref="T36">_xlfn.IFS(L36&gt;5,"High",L36=5,"mediam",L36&lt;5,"low")</f>
        <v>High</v>
      </c>
      <c r="U36" s="1" t="str">
        <f t="shared" si="5"/>
        <v>High</v>
      </c>
    </row>
    <row r="37" spans="1:21" x14ac:dyDescent="0.3">
      <c r="A37" s="5">
        <v>10036</v>
      </c>
      <c r="B37" s="1">
        <v>1252</v>
      </c>
      <c r="C37" s="2">
        <v>45076</v>
      </c>
      <c r="D37" s="2">
        <v>45084</v>
      </c>
      <c r="E37" s="1" t="s">
        <v>16</v>
      </c>
      <c r="F37" s="1" t="s">
        <v>38</v>
      </c>
      <c r="G37" s="1" t="s">
        <v>17</v>
      </c>
      <c r="H37" s="1" t="s">
        <v>42</v>
      </c>
      <c r="I37" s="1" t="s">
        <v>26</v>
      </c>
      <c r="J37" s="1" t="s">
        <v>27</v>
      </c>
      <c r="K37" s="1" t="s">
        <v>28</v>
      </c>
      <c r="L37" s="1">
        <v>5</v>
      </c>
      <c r="M37" s="1">
        <v>2327.9</v>
      </c>
      <c r="N37" s="1">
        <v>0</v>
      </c>
      <c r="O37" s="1">
        <v>11639.5</v>
      </c>
      <c r="P37" s="1">
        <f t="shared" si="0"/>
        <v>11639.5</v>
      </c>
      <c r="Q37" s="10">
        <f t="shared" si="1"/>
        <v>0</v>
      </c>
      <c r="R37" s="11">
        <f t="shared" si="2"/>
        <v>11639.5</v>
      </c>
      <c r="S37" s="1" t="str">
        <f t="shared" si="3"/>
        <v>High</v>
      </c>
      <c r="T37" s="1" t="str" cm="1">
        <f t="array" ref="T37">_xlfn.IFS(L37&gt;5,"High",L37=5,"mediam",L37&lt;5,"low")</f>
        <v>mediam</v>
      </c>
      <c r="U37" s="1" t="b">
        <f t="shared" si="5"/>
        <v>0</v>
      </c>
    </row>
    <row r="38" spans="1:21" x14ac:dyDescent="0.3">
      <c r="A38" s="5">
        <v>10037</v>
      </c>
      <c r="B38" s="1">
        <v>1747</v>
      </c>
      <c r="C38" s="2">
        <v>45161</v>
      </c>
      <c r="D38" s="2">
        <v>45165</v>
      </c>
      <c r="E38" s="1" t="s">
        <v>37</v>
      </c>
      <c r="F38" s="1" t="s">
        <v>16</v>
      </c>
      <c r="G38" s="1" t="s">
        <v>24</v>
      </c>
      <c r="H38" s="1" t="s">
        <v>18</v>
      </c>
      <c r="I38" s="1" t="s">
        <v>19</v>
      </c>
      <c r="J38" s="1" t="s">
        <v>55</v>
      </c>
      <c r="K38" s="1" t="s">
        <v>21</v>
      </c>
      <c r="L38" s="1">
        <v>4</v>
      </c>
      <c r="M38" s="1">
        <v>853.29</v>
      </c>
      <c r="N38" s="1">
        <v>5</v>
      </c>
      <c r="O38" s="1">
        <v>3242.5</v>
      </c>
      <c r="P38" s="1">
        <f t="shared" si="0"/>
        <v>3413.16</v>
      </c>
      <c r="Q38" s="10">
        <f t="shared" si="1"/>
        <v>162.125</v>
      </c>
      <c r="R38" s="11">
        <f t="shared" si="2"/>
        <v>3251.0349999999999</v>
      </c>
      <c r="S38" s="1" t="str">
        <f t="shared" si="3"/>
        <v>Low</v>
      </c>
      <c r="T38" s="1" t="str" cm="1">
        <f t="array" ref="T38">_xlfn.IFS(L38&gt;5,"High",L38=5,"mediam",L38&lt;5,"low")</f>
        <v>low</v>
      </c>
      <c r="U38" s="1" t="b">
        <f t="shared" si="5"/>
        <v>0</v>
      </c>
    </row>
    <row r="39" spans="1:21" x14ac:dyDescent="0.3">
      <c r="A39" s="5">
        <v>10038</v>
      </c>
      <c r="B39" s="1">
        <v>1856</v>
      </c>
      <c r="C39" s="2">
        <v>45271</v>
      </c>
      <c r="D39" s="2">
        <v>45280</v>
      </c>
      <c r="E39" s="1" t="s">
        <v>22</v>
      </c>
      <c r="F39" s="1" t="s">
        <v>29</v>
      </c>
      <c r="G39" s="1" t="s">
        <v>24</v>
      </c>
      <c r="H39" s="1" t="s">
        <v>42</v>
      </c>
      <c r="I39" s="1" t="s">
        <v>49</v>
      </c>
      <c r="J39" s="1" t="s">
        <v>63</v>
      </c>
      <c r="K39" s="1" t="s">
        <v>47</v>
      </c>
      <c r="L39" s="1">
        <v>7</v>
      </c>
      <c r="M39" s="1">
        <v>687.46</v>
      </c>
      <c r="N39" s="1">
        <v>20</v>
      </c>
      <c r="O39" s="1">
        <v>3849.78</v>
      </c>
      <c r="P39" s="1">
        <f t="shared" si="0"/>
        <v>4812.22</v>
      </c>
      <c r="Q39" s="10">
        <f t="shared" si="1"/>
        <v>769.95600000000013</v>
      </c>
      <c r="R39" s="11">
        <f t="shared" si="2"/>
        <v>4042.2640000000001</v>
      </c>
      <c r="S39" s="1" t="str">
        <f t="shared" si="3"/>
        <v>High</v>
      </c>
      <c r="T39" s="1" t="str" cm="1">
        <f t="array" ref="T39">_xlfn.IFS(L39&gt;5,"High",L39=5,"mediam",L39&lt;5,"low")</f>
        <v>High</v>
      </c>
      <c r="U39" s="1" t="str">
        <f t="shared" si="5"/>
        <v>High</v>
      </c>
    </row>
    <row r="40" spans="1:21" x14ac:dyDescent="0.3">
      <c r="A40" s="5">
        <v>10039</v>
      </c>
      <c r="B40" s="1">
        <v>1560</v>
      </c>
      <c r="C40" s="2">
        <v>44948</v>
      </c>
      <c r="D40" s="2">
        <v>44953</v>
      </c>
      <c r="E40" s="1" t="s">
        <v>34</v>
      </c>
      <c r="F40" s="1" t="s">
        <v>41</v>
      </c>
      <c r="G40" s="1" t="s">
        <v>17</v>
      </c>
      <c r="H40" s="1" t="s">
        <v>18</v>
      </c>
      <c r="I40" s="1" t="s">
        <v>31</v>
      </c>
      <c r="J40" s="1" t="s">
        <v>48</v>
      </c>
      <c r="K40" s="1" t="s">
        <v>45</v>
      </c>
      <c r="L40" s="1">
        <v>7</v>
      </c>
      <c r="M40" s="1">
        <v>2369.42</v>
      </c>
      <c r="N40" s="1">
        <v>15</v>
      </c>
      <c r="O40" s="1">
        <v>14098.05</v>
      </c>
      <c r="P40" s="1">
        <f t="shared" si="0"/>
        <v>16585.940000000002</v>
      </c>
      <c r="Q40" s="10">
        <f t="shared" si="1"/>
        <v>2114.7075</v>
      </c>
      <c r="R40" s="11">
        <f t="shared" si="2"/>
        <v>14471.232500000002</v>
      </c>
      <c r="S40" s="1" t="str">
        <f t="shared" si="3"/>
        <v>High</v>
      </c>
      <c r="T40" s="1" t="str" cm="1">
        <f t="array" ref="T40">_xlfn.IFS(L40&gt;5,"High",L40=5,"mediam",L40&lt;5,"low")</f>
        <v>High</v>
      </c>
      <c r="U40" s="1" t="str">
        <f t="shared" si="5"/>
        <v>High</v>
      </c>
    </row>
    <row r="41" spans="1:21" x14ac:dyDescent="0.3">
      <c r="A41" s="5">
        <v>10040</v>
      </c>
      <c r="B41" s="1">
        <v>1474</v>
      </c>
      <c r="C41" s="2">
        <v>45274</v>
      </c>
      <c r="D41" s="2">
        <v>45277</v>
      </c>
      <c r="E41" s="1" t="s">
        <v>15</v>
      </c>
      <c r="F41" s="1" t="s">
        <v>16</v>
      </c>
      <c r="G41" s="1" t="s">
        <v>30</v>
      </c>
      <c r="H41" s="1" t="s">
        <v>35</v>
      </c>
      <c r="I41" s="1" t="s">
        <v>26</v>
      </c>
      <c r="J41" s="1" t="s">
        <v>27</v>
      </c>
      <c r="K41" s="1" t="s">
        <v>28</v>
      </c>
      <c r="L41" s="1">
        <v>6</v>
      </c>
      <c r="M41" s="1">
        <v>3083.25</v>
      </c>
      <c r="N41" s="1">
        <v>10</v>
      </c>
      <c r="O41" s="1">
        <v>16649.55</v>
      </c>
      <c r="P41" s="1">
        <f t="shared" si="0"/>
        <v>18499.5</v>
      </c>
      <c r="Q41" s="10">
        <f t="shared" si="1"/>
        <v>1664.9549999999999</v>
      </c>
      <c r="R41" s="11">
        <f t="shared" si="2"/>
        <v>16834.544999999998</v>
      </c>
      <c r="S41" s="1" t="str">
        <f t="shared" si="3"/>
        <v>High</v>
      </c>
      <c r="T41" s="1" t="str" cm="1">
        <f t="array" ref="T41">_xlfn.IFS(L41&gt;5,"High",L41=5,"mediam",L41&lt;5,"low")</f>
        <v>High</v>
      </c>
      <c r="U41" s="1" t="str">
        <f t="shared" si="5"/>
        <v>High</v>
      </c>
    </row>
    <row r="42" spans="1:21" x14ac:dyDescent="0.3">
      <c r="A42" s="5">
        <v>10041</v>
      </c>
      <c r="B42" s="1">
        <v>1058</v>
      </c>
      <c r="C42" s="2">
        <v>45211</v>
      </c>
      <c r="D42" s="2">
        <v>45220</v>
      </c>
      <c r="E42" s="1" t="s">
        <v>37</v>
      </c>
      <c r="F42" s="1" t="s">
        <v>16</v>
      </c>
      <c r="G42" s="1" t="s">
        <v>17</v>
      </c>
      <c r="H42" s="1" t="s">
        <v>25</v>
      </c>
      <c r="I42" s="1" t="s">
        <v>52</v>
      </c>
      <c r="J42" s="1" t="s">
        <v>64</v>
      </c>
      <c r="K42" s="1" t="s">
        <v>21</v>
      </c>
      <c r="L42" s="1">
        <v>8</v>
      </c>
      <c r="M42" s="1">
        <v>3158.8</v>
      </c>
      <c r="N42" s="1">
        <v>0</v>
      </c>
      <c r="O42" s="1">
        <v>25270.400000000001</v>
      </c>
      <c r="P42" s="1">
        <f t="shared" si="0"/>
        <v>25270.400000000001</v>
      </c>
      <c r="Q42" s="10">
        <f t="shared" si="1"/>
        <v>0</v>
      </c>
      <c r="R42" s="11">
        <f t="shared" si="2"/>
        <v>25270.400000000001</v>
      </c>
      <c r="S42" s="1" t="str">
        <f t="shared" si="3"/>
        <v>High</v>
      </c>
      <c r="T42" s="1" t="str" cm="1">
        <f t="array" ref="T42">_xlfn.IFS(L42&gt;5,"High",L42=5,"mediam",L42&lt;5,"low")</f>
        <v>High</v>
      </c>
      <c r="U42" s="1" t="str">
        <f t="shared" si="5"/>
        <v>High</v>
      </c>
    </row>
    <row r="43" spans="1:21" x14ac:dyDescent="0.3">
      <c r="A43" s="5">
        <v>10042</v>
      </c>
      <c r="B43" s="1">
        <v>1510</v>
      </c>
      <c r="C43" s="2">
        <v>45195</v>
      </c>
      <c r="D43" s="2">
        <v>45204</v>
      </c>
      <c r="E43" s="1" t="s">
        <v>15</v>
      </c>
      <c r="F43" s="1" t="s">
        <v>54</v>
      </c>
      <c r="G43" s="1" t="s">
        <v>24</v>
      </c>
      <c r="H43" s="1" t="s">
        <v>35</v>
      </c>
      <c r="I43" s="1" t="s">
        <v>26</v>
      </c>
      <c r="J43" s="1" t="s">
        <v>27</v>
      </c>
      <c r="K43" s="1" t="s">
        <v>33</v>
      </c>
      <c r="L43" s="1">
        <v>4</v>
      </c>
      <c r="M43" s="1">
        <v>1211.67</v>
      </c>
      <c r="N43" s="1">
        <v>20</v>
      </c>
      <c r="O43" s="1">
        <v>3877.34</v>
      </c>
      <c r="P43" s="1">
        <f t="shared" si="0"/>
        <v>4846.68</v>
      </c>
      <c r="Q43" s="10">
        <f t="shared" si="1"/>
        <v>775.46800000000007</v>
      </c>
      <c r="R43" s="11">
        <f t="shared" si="2"/>
        <v>4071.2120000000004</v>
      </c>
      <c r="S43" s="1" t="str">
        <f t="shared" si="3"/>
        <v>Low</v>
      </c>
      <c r="T43" s="1" t="str" cm="1">
        <f t="array" ref="T43">_xlfn.IFS(L43&gt;5,"High",L43=5,"mediam",L43&lt;5,"low")</f>
        <v>low</v>
      </c>
      <c r="U43" s="1" t="b">
        <f t="shared" si="5"/>
        <v>0</v>
      </c>
    </row>
    <row r="44" spans="1:21" x14ac:dyDescent="0.3">
      <c r="A44" s="5">
        <v>10043</v>
      </c>
      <c r="B44" s="1">
        <v>1681</v>
      </c>
      <c r="C44" s="2">
        <v>45184</v>
      </c>
      <c r="D44" s="2">
        <v>45188</v>
      </c>
      <c r="E44" s="1" t="s">
        <v>37</v>
      </c>
      <c r="F44" s="1" t="s">
        <v>23</v>
      </c>
      <c r="G44" s="1" t="s">
        <v>24</v>
      </c>
      <c r="H44" s="1" t="s">
        <v>35</v>
      </c>
      <c r="I44" s="1" t="s">
        <v>31</v>
      </c>
      <c r="J44" s="1" t="s">
        <v>48</v>
      </c>
      <c r="K44" s="1" t="s">
        <v>45</v>
      </c>
      <c r="L44" s="1">
        <v>5</v>
      </c>
      <c r="M44" s="1">
        <v>936.35</v>
      </c>
      <c r="N44" s="1">
        <v>15</v>
      </c>
      <c r="O44" s="1">
        <v>3979.49</v>
      </c>
      <c r="P44" s="1">
        <f t="shared" si="0"/>
        <v>4681.75</v>
      </c>
      <c r="Q44" s="10">
        <f t="shared" si="1"/>
        <v>596.92349999999999</v>
      </c>
      <c r="R44" s="11">
        <f t="shared" si="2"/>
        <v>4084.8265000000001</v>
      </c>
      <c r="S44" s="1" t="str">
        <f t="shared" si="3"/>
        <v>High</v>
      </c>
      <c r="T44" s="1" t="str" cm="1">
        <f t="array" ref="T44">_xlfn.IFS(L44&gt;5,"High",L44=5,"mediam",L44&lt;5,"low")</f>
        <v>mediam</v>
      </c>
      <c r="U44" s="1" t="b">
        <f t="shared" si="5"/>
        <v>0</v>
      </c>
    </row>
    <row r="45" spans="1:21" x14ac:dyDescent="0.3">
      <c r="A45" s="5">
        <v>10044</v>
      </c>
      <c r="B45" s="1">
        <v>1475</v>
      </c>
      <c r="C45" s="2">
        <v>44955</v>
      </c>
      <c r="D45" s="2">
        <v>44959</v>
      </c>
      <c r="E45" s="1" t="s">
        <v>16</v>
      </c>
      <c r="F45" s="1" t="s">
        <v>29</v>
      </c>
      <c r="G45" s="1" t="s">
        <v>17</v>
      </c>
      <c r="H45" s="1" t="s">
        <v>42</v>
      </c>
      <c r="I45" s="1" t="s">
        <v>31</v>
      </c>
      <c r="J45" s="1" t="s">
        <v>48</v>
      </c>
      <c r="K45" s="1" t="s">
        <v>47</v>
      </c>
      <c r="L45" s="1">
        <v>4</v>
      </c>
      <c r="M45" s="1">
        <v>214.51</v>
      </c>
      <c r="N45" s="1">
        <v>20</v>
      </c>
      <c r="O45" s="1">
        <v>686.43</v>
      </c>
      <c r="P45" s="1">
        <f t="shared" si="0"/>
        <v>858.04</v>
      </c>
      <c r="Q45" s="10">
        <f t="shared" si="1"/>
        <v>137.286</v>
      </c>
      <c r="R45" s="11">
        <f t="shared" si="2"/>
        <v>720.75399999999991</v>
      </c>
      <c r="S45" s="1" t="str">
        <f t="shared" si="3"/>
        <v>Low</v>
      </c>
      <c r="T45" s="1" t="str" cm="1">
        <f t="array" ref="T45">_xlfn.IFS(L45&gt;5,"High",L45=5,"mediam",L45&lt;5,"low")</f>
        <v>low</v>
      </c>
      <c r="U45" s="1" t="b">
        <f t="shared" si="5"/>
        <v>0</v>
      </c>
    </row>
    <row r="46" spans="1:21" x14ac:dyDescent="0.3">
      <c r="A46" s="5">
        <v>10045</v>
      </c>
      <c r="B46" s="1">
        <v>1699</v>
      </c>
      <c r="C46" s="2">
        <v>45139</v>
      </c>
      <c r="D46" s="2">
        <v>45147</v>
      </c>
      <c r="E46" s="1" t="s">
        <v>34</v>
      </c>
      <c r="F46" s="1" t="s">
        <v>16</v>
      </c>
      <c r="G46" s="1" t="s">
        <v>17</v>
      </c>
      <c r="H46" s="1" t="s">
        <v>25</v>
      </c>
      <c r="I46" s="1" t="s">
        <v>26</v>
      </c>
      <c r="J46" s="1" t="s">
        <v>61</v>
      </c>
      <c r="K46" s="1" t="s">
        <v>47</v>
      </c>
      <c r="L46" s="1">
        <v>1</v>
      </c>
      <c r="M46" s="1">
        <v>2764.92</v>
      </c>
      <c r="N46" s="1">
        <v>0</v>
      </c>
      <c r="O46" s="1">
        <v>2764.92</v>
      </c>
      <c r="P46" s="1">
        <f t="shared" si="0"/>
        <v>2764.92</v>
      </c>
      <c r="Q46" s="10">
        <f t="shared" si="1"/>
        <v>0</v>
      </c>
      <c r="R46" s="11">
        <f t="shared" si="2"/>
        <v>2764.92</v>
      </c>
      <c r="S46" s="1" t="str">
        <f t="shared" si="3"/>
        <v>Low</v>
      </c>
      <c r="T46" s="1" t="str" cm="1">
        <f t="array" ref="T46">_xlfn.IFS(L46&gt;5,"High",L46=5,"mediam",L46&lt;5,"low")</f>
        <v>low</v>
      </c>
      <c r="U46" s="1" t="b">
        <f t="shared" si="5"/>
        <v>0</v>
      </c>
    </row>
    <row r="47" spans="1:21" x14ac:dyDescent="0.3">
      <c r="A47" s="5">
        <v>10046</v>
      </c>
      <c r="B47" s="1">
        <v>1975</v>
      </c>
      <c r="C47" s="2">
        <v>45209</v>
      </c>
      <c r="D47" s="2">
        <v>45211</v>
      </c>
      <c r="E47" s="1" t="s">
        <v>37</v>
      </c>
      <c r="F47" s="1" t="s">
        <v>54</v>
      </c>
      <c r="G47" s="1" t="s">
        <v>24</v>
      </c>
      <c r="H47" s="1" t="s">
        <v>18</v>
      </c>
      <c r="I47" s="1" t="s">
        <v>49</v>
      </c>
      <c r="J47" s="1" t="s">
        <v>51</v>
      </c>
      <c r="K47" s="1" t="s">
        <v>45</v>
      </c>
      <c r="L47" s="1">
        <v>8</v>
      </c>
      <c r="M47" s="1">
        <v>444.79</v>
      </c>
      <c r="N47" s="1">
        <v>10</v>
      </c>
      <c r="O47" s="1">
        <v>3202.49</v>
      </c>
      <c r="P47" s="1">
        <f t="shared" si="0"/>
        <v>3558.32</v>
      </c>
      <c r="Q47" s="10">
        <f t="shared" si="1"/>
        <v>320.24900000000002</v>
      </c>
      <c r="R47" s="11">
        <f t="shared" si="2"/>
        <v>3238.0709999999999</v>
      </c>
      <c r="S47" s="1" t="str">
        <f t="shared" si="3"/>
        <v>High</v>
      </c>
      <c r="T47" s="1" t="str" cm="1">
        <f t="array" ref="T47">_xlfn.IFS(L47&gt;5,"High",L47=5,"mediam",L47&lt;5,"low")</f>
        <v>High</v>
      </c>
      <c r="U47" s="1" t="str">
        <f t="shared" si="5"/>
        <v>High</v>
      </c>
    </row>
    <row r="48" spans="1:21" x14ac:dyDescent="0.3">
      <c r="A48" s="5">
        <v>10047</v>
      </c>
      <c r="B48" s="1">
        <v>1782</v>
      </c>
      <c r="C48" s="2">
        <v>44976</v>
      </c>
      <c r="D48" s="2">
        <v>44985</v>
      </c>
      <c r="E48" s="1" t="s">
        <v>40</v>
      </c>
      <c r="F48" s="1" t="s">
        <v>41</v>
      </c>
      <c r="G48" s="1" t="s">
        <v>17</v>
      </c>
      <c r="H48" s="1" t="s">
        <v>18</v>
      </c>
      <c r="I48" s="1" t="s">
        <v>57</v>
      </c>
      <c r="J48" s="1" t="s">
        <v>62</v>
      </c>
      <c r="K48" s="1" t="s">
        <v>47</v>
      </c>
      <c r="L48" s="1">
        <v>1</v>
      </c>
      <c r="M48" s="1">
        <v>1769.93</v>
      </c>
      <c r="N48" s="1">
        <v>20</v>
      </c>
      <c r="O48" s="1">
        <v>1415.94</v>
      </c>
      <c r="P48" s="1">
        <f t="shared" si="0"/>
        <v>1769.93</v>
      </c>
      <c r="Q48" s="10">
        <f t="shared" si="1"/>
        <v>283.18800000000005</v>
      </c>
      <c r="R48" s="11">
        <f t="shared" si="2"/>
        <v>1486.742</v>
      </c>
      <c r="S48" s="1" t="str">
        <f t="shared" si="3"/>
        <v>Low</v>
      </c>
      <c r="T48" s="1" t="str" cm="1">
        <f t="array" ref="T48">_xlfn.IFS(L48&gt;5,"High",L48=5,"mediam",L48&lt;5,"low")</f>
        <v>low</v>
      </c>
      <c r="U48" s="1" t="b">
        <f t="shared" si="5"/>
        <v>0</v>
      </c>
    </row>
    <row r="49" spans="1:21" x14ac:dyDescent="0.3">
      <c r="A49" s="5">
        <v>10048</v>
      </c>
      <c r="B49" s="1">
        <v>1189</v>
      </c>
      <c r="C49" s="2">
        <v>45021</v>
      </c>
      <c r="D49" s="2">
        <v>45027</v>
      </c>
      <c r="E49" s="1" t="s">
        <v>22</v>
      </c>
      <c r="F49" s="1" t="s">
        <v>38</v>
      </c>
      <c r="G49" s="1" t="s">
        <v>24</v>
      </c>
      <c r="H49" s="1" t="s">
        <v>44</v>
      </c>
      <c r="I49" s="1" t="s">
        <v>31</v>
      </c>
      <c r="J49" s="1" t="s">
        <v>65</v>
      </c>
      <c r="K49" s="1" t="s">
        <v>28</v>
      </c>
      <c r="L49" s="1">
        <v>5</v>
      </c>
      <c r="M49" s="1">
        <v>2466.48</v>
      </c>
      <c r="N49" s="1">
        <v>5</v>
      </c>
      <c r="O49" s="1">
        <v>11715.78</v>
      </c>
      <c r="P49" s="1">
        <f t="shared" si="0"/>
        <v>12332.4</v>
      </c>
      <c r="Q49" s="10">
        <f t="shared" si="1"/>
        <v>585.7890000000001</v>
      </c>
      <c r="R49" s="11">
        <f t="shared" si="2"/>
        <v>11746.610999999999</v>
      </c>
      <c r="S49" s="1" t="str">
        <f t="shared" si="3"/>
        <v>High</v>
      </c>
      <c r="T49" s="1" t="str" cm="1">
        <f t="array" ref="T49">_xlfn.IFS(L49&gt;5,"High",L49=5,"mediam",L49&lt;5,"low")</f>
        <v>mediam</v>
      </c>
      <c r="U49" s="1" t="b">
        <f t="shared" si="5"/>
        <v>0</v>
      </c>
    </row>
    <row r="50" spans="1:21" x14ac:dyDescent="0.3">
      <c r="A50" s="5">
        <v>10049</v>
      </c>
      <c r="B50" s="1">
        <v>1957</v>
      </c>
      <c r="C50" s="2">
        <v>45014</v>
      </c>
      <c r="D50" s="2">
        <v>45023</v>
      </c>
      <c r="E50" s="1" t="s">
        <v>46</v>
      </c>
      <c r="F50" s="1" t="s">
        <v>29</v>
      </c>
      <c r="G50" s="1" t="s">
        <v>17</v>
      </c>
      <c r="H50" s="1" t="s">
        <v>18</v>
      </c>
      <c r="I50" s="1" t="s">
        <v>26</v>
      </c>
      <c r="J50" s="1" t="s">
        <v>27</v>
      </c>
      <c r="K50" s="1" t="s">
        <v>21</v>
      </c>
      <c r="L50" s="1">
        <v>6</v>
      </c>
      <c r="M50" s="1">
        <v>3757.87</v>
      </c>
      <c r="N50" s="1">
        <v>15</v>
      </c>
      <c r="O50" s="1">
        <v>19165.14</v>
      </c>
      <c r="P50" s="1">
        <f t="shared" si="0"/>
        <v>22547.22</v>
      </c>
      <c r="Q50" s="10">
        <f t="shared" si="1"/>
        <v>2874.7709999999997</v>
      </c>
      <c r="R50" s="11">
        <f t="shared" si="2"/>
        <v>19672.449000000001</v>
      </c>
      <c r="S50" s="1" t="str">
        <f t="shared" si="3"/>
        <v>High</v>
      </c>
      <c r="T50" s="1" t="str" cm="1">
        <f t="array" ref="T50">_xlfn.IFS(L50&gt;5,"High",L50=5,"mediam",L50&lt;5,"low")</f>
        <v>High</v>
      </c>
      <c r="U50" s="1" t="str">
        <f t="shared" si="5"/>
        <v>High</v>
      </c>
    </row>
    <row r="51" spans="1:21" x14ac:dyDescent="0.3">
      <c r="A51" s="5">
        <v>10050</v>
      </c>
      <c r="B51" s="1">
        <v>1686</v>
      </c>
      <c r="C51" s="2">
        <v>44970</v>
      </c>
      <c r="D51" s="2">
        <v>44978</v>
      </c>
      <c r="E51" s="1" t="s">
        <v>40</v>
      </c>
      <c r="F51" s="1" t="s">
        <v>16</v>
      </c>
      <c r="G51" s="1" t="s">
        <v>17</v>
      </c>
      <c r="H51" s="1" t="s">
        <v>42</v>
      </c>
      <c r="I51" s="1" t="s">
        <v>26</v>
      </c>
      <c r="J51" s="1" t="s">
        <v>61</v>
      </c>
      <c r="K51" s="1" t="s">
        <v>28</v>
      </c>
      <c r="L51" s="1">
        <v>6</v>
      </c>
      <c r="M51" s="1">
        <v>1350.44</v>
      </c>
      <c r="N51" s="1">
        <v>20</v>
      </c>
      <c r="O51" s="1">
        <v>6482.11</v>
      </c>
      <c r="P51" s="1">
        <f t="shared" si="0"/>
        <v>8102.64</v>
      </c>
      <c r="Q51" s="10">
        <f t="shared" si="1"/>
        <v>1296.422</v>
      </c>
      <c r="R51" s="11">
        <f t="shared" si="2"/>
        <v>6806.2180000000008</v>
      </c>
      <c r="S51" s="1" t="str">
        <f t="shared" si="3"/>
        <v>High</v>
      </c>
      <c r="T51" s="1" t="str" cm="1">
        <f t="array" ref="T51">_xlfn.IFS(L51&gt;5,"High",L51=5,"mediam",L51&lt;5,"low")</f>
        <v>High</v>
      </c>
      <c r="U51" s="1" t="str">
        <f t="shared" si="5"/>
        <v>High</v>
      </c>
    </row>
    <row r="52" spans="1:21" x14ac:dyDescent="0.3">
      <c r="A52" s="5">
        <v>10051</v>
      </c>
      <c r="B52" s="1">
        <v>1957</v>
      </c>
      <c r="C52" s="2">
        <v>45204</v>
      </c>
      <c r="D52" s="2">
        <v>45211</v>
      </c>
      <c r="E52" s="1" t="s">
        <v>40</v>
      </c>
      <c r="F52" s="1" t="s">
        <v>23</v>
      </c>
      <c r="G52" s="1" t="s">
        <v>17</v>
      </c>
      <c r="H52" s="1" t="s">
        <v>35</v>
      </c>
      <c r="I52" s="1" t="s">
        <v>19</v>
      </c>
      <c r="J52" s="1" t="s">
        <v>66</v>
      </c>
      <c r="K52" s="1" t="s">
        <v>47</v>
      </c>
      <c r="L52" s="1">
        <v>5</v>
      </c>
      <c r="M52" s="1">
        <v>1111.6199999999999</v>
      </c>
      <c r="N52" s="1">
        <v>15</v>
      </c>
      <c r="O52" s="1">
        <v>4724.3900000000003</v>
      </c>
      <c r="P52" s="1">
        <f t="shared" si="0"/>
        <v>5558.0999999999995</v>
      </c>
      <c r="Q52" s="10">
        <f t="shared" si="1"/>
        <v>708.6585</v>
      </c>
      <c r="R52" s="11">
        <f t="shared" si="2"/>
        <v>4849.441499999999</v>
      </c>
      <c r="S52" s="1" t="str">
        <f t="shared" si="3"/>
        <v>High</v>
      </c>
      <c r="T52" s="1" t="str" cm="1">
        <f t="array" ref="T52">_xlfn.IFS(L52&gt;5,"High",L52=5,"mediam",L52&lt;5,"low")</f>
        <v>mediam</v>
      </c>
      <c r="U52" s="1" t="b">
        <f t="shared" si="5"/>
        <v>0</v>
      </c>
    </row>
    <row r="53" spans="1:21" x14ac:dyDescent="0.3">
      <c r="A53" s="5">
        <v>10052</v>
      </c>
      <c r="B53" s="1">
        <v>1562</v>
      </c>
      <c r="C53" s="2">
        <v>45097</v>
      </c>
      <c r="D53" s="2">
        <v>45098</v>
      </c>
      <c r="E53" s="1" t="s">
        <v>22</v>
      </c>
      <c r="F53" s="1" t="s">
        <v>54</v>
      </c>
      <c r="G53" s="1" t="s">
        <v>24</v>
      </c>
      <c r="H53" s="1" t="s">
        <v>35</v>
      </c>
      <c r="I53" s="1" t="s">
        <v>57</v>
      </c>
      <c r="J53" s="1" t="s">
        <v>62</v>
      </c>
      <c r="K53" s="1" t="s">
        <v>33</v>
      </c>
      <c r="L53" s="1">
        <v>3</v>
      </c>
      <c r="M53" s="1">
        <v>2668.52</v>
      </c>
      <c r="N53" s="1">
        <v>5</v>
      </c>
      <c r="O53" s="1">
        <v>7605.28</v>
      </c>
      <c r="P53" s="1">
        <f t="shared" si="0"/>
        <v>8005.5599999999995</v>
      </c>
      <c r="Q53" s="10">
        <f t="shared" si="1"/>
        <v>380.26400000000001</v>
      </c>
      <c r="R53" s="11">
        <f t="shared" si="2"/>
        <v>7625.2959999999994</v>
      </c>
      <c r="S53" s="1" t="str">
        <f t="shared" si="3"/>
        <v>Low</v>
      </c>
      <c r="T53" s="1" t="str" cm="1">
        <f t="array" ref="T53">_xlfn.IFS(L53&gt;5,"High",L53=5,"mediam",L53&lt;5,"low")</f>
        <v>low</v>
      </c>
      <c r="U53" s="1" t="b">
        <f t="shared" si="5"/>
        <v>0</v>
      </c>
    </row>
    <row r="54" spans="1:21" x14ac:dyDescent="0.3">
      <c r="A54" s="5">
        <v>10053</v>
      </c>
      <c r="B54" s="1">
        <v>1875</v>
      </c>
      <c r="C54" s="2">
        <v>45115</v>
      </c>
      <c r="D54" s="2">
        <v>45118</v>
      </c>
      <c r="E54" s="1" t="s">
        <v>46</v>
      </c>
      <c r="F54" s="1" t="s">
        <v>16</v>
      </c>
      <c r="G54" s="1" t="s">
        <v>17</v>
      </c>
      <c r="H54" s="1" t="s">
        <v>35</v>
      </c>
      <c r="I54" s="1" t="s">
        <v>52</v>
      </c>
      <c r="J54" s="1" t="s">
        <v>64</v>
      </c>
      <c r="K54" s="1" t="s">
        <v>21</v>
      </c>
      <c r="L54" s="1">
        <v>5</v>
      </c>
      <c r="M54" s="1">
        <v>2534.0700000000002</v>
      </c>
      <c r="N54" s="1">
        <v>10</v>
      </c>
      <c r="O54" s="1">
        <v>11403.31</v>
      </c>
      <c r="P54" s="1">
        <f t="shared" si="0"/>
        <v>12670.35</v>
      </c>
      <c r="Q54" s="10">
        <f t="shared" si="1"/>
        <v>1140.3309999999999</v>
      </c>
      <c r="R54" s="11">
        <f t="shared" si="2"/>
        <v>11530.019</v>
      </c>
      <c r="S54" s="1" t="str">
        <f t="shared" si="3"/>
        <v>High</v>
      </c>
      <c r="T54" s="1" t="str" cm="1">
        <f t="array" ref="T54">_xlfn.IFS(L54&gt;5,"High",L54=5,"mediam",L54&lt;5,"low")</f>
        <v>mediam</v>
      </c>
      <c r="U54" s="1" t="b">
        <f t="shared" si="5"/>
        <v>0</v>
      </c>
    </row>
    <row r="55" spans="1:21" x14ac:dyDescent="0.3">
      <c r="A55" s="5">
        <v>10054</v>
      </c>
      <c r="B55" s="1">
        <v>1566</v>
      </c>
      <c r="C55" s="2">
        <v>45279</v>
      </c>
      <c r="D55" s="2">
        <v>45281</v>
      </c>
      <c r="E55" s="1" t="s">
        <v>40</v>
      </c>
      <c r="F55" s="1" t="s">
        <v>23</v>
      </c>
      <c r="G55" s="1" t="s">
        <v>24</v>
      </c>
      <c r="H55" s="1" t="s">
        <v>25</v>
      </c>
      <c r="I55" s="1" t="s">
        <v>49</v>
      </c>
      <c r="J55" s="1" t="s">
        <v>50</v>
      </c>
      <c r="K55" s="1" t="s">
        <v>21</v>
      </c>
      <c r="L55" s="1">
        <v>8</v>
      </c>
      <c r="M55" s="1">
        <v>1428.62</v>
      </c>
      <c r="N55" s="1">
        <v>10</v>
      </c>
      <c r="O55" s="1">
        <v>10286.06</v>
      </c>
      <c r="P55" s="1">
        <f t="shared" si="0"/>
        <v>11428.96</v>
      </c>
      <c r="Q55" s="10">
        <f t="shared" si="1"/>
        <v>1028.606</v>
      </c>
      <c r="R55" s="11">
        <f t="shared" si="2"/>
        <v>10400.353999999999</v>
      </c>
      <c r="S55" s="1" t="str">
        <f t="shared" si="3"/>
        <v>High</v>
      </c>
      <c r="T55" s="1" t="str" cm="1">
        <f t="array" ref="T55">_xlfn.IFS(L55&gt;5,"High",L55=5,"mediam",L55&lt;5,"low")</f>
        <v>High</v>
      </c>
      <c r="U55" s="1" t="str">
        <f t="shared" si="5"/>
        <v>High</v>
      </c>
    </row>
    <row r="56" spans="1:21" x14ac:dyDescent="0.3">
      <c r="A56" s="5">
        <v>10055</v>
      </c>
      <c r="B56" s="1">
        <v>1243</v>
      </c>
      <c r="C56" s="2">
        <v>45110</v>
      </c>
      <c r="D56" s="2">
        <v>45115</v>
      </c>
      <c r="E56" s="1" t="s">
        <v>37</v>
      </c>
      <c r="F56" s="1" t="s">
        <v>16</v>
      </c>
      <c r="G56" s="1" t="s">
        <v>24</v>
      </c>
      <c r="H56" s="1" t="s">
        <v>18</v>
      </c>
      <c r="I56" s="1" t="s">
        <v>52</v>
      </c>
      <c r="J56" s="1" t="s">
        <v>64</v>
      </c>
      <c r="K56" s="1" t="s">
        <v>45</v>
      </c>
      <c r="L56" s="1">
        <v>2</v>
      </c>
      <c r="M56" s="1">
        <v>3723.19</v>
      </c>
      <c r="N56" s="1">
        <v>5</v>
      </c>
      <c r="O56" s="1">
        <v>7074.06</v>
      </c>
      <c r="P56" s="1">
        <f t="shared" si="0"/>
        <v>7446.38</v>
      </c>
      <c r="Q56" s="10">
        <f t="shared" si="1"/>
        <v>353.70300000000003</v>
      </c>
      <c r="R56" s="11">
        <f t="shared" si="2"/>
        <v>7092.6769999999997</v>
      </c>
      <c r="S56" s="1" t="str">
        <f t="shared" si="3"/>
        <v>Low</v>
      </c>
      <c r="T56" s="1" t="str" cm="1">
        <f t="array" ref="T56">_xlfn.IFS(L56&gt;5,"High",L56=5,"mediam",L56&lt;5,"low")</f>
        <v>low</v>
      </c>
      <c r="U56" s="1" t="b">
        <f t="shared" si="5"/>
        <v>0</v>
      </c>
    </row>
    <row r="57" spans="1:21" x14ac:dyDescent="0.3">
      <c r="A57" s="5">
        <v>10056</v>
      </c>
      <c r="B57" s="1">
        <v>1831</v>
      </c>
      <c r="C57" s="2">
        <v>44929</v>
      </c>
      <c r="D57" s="2">
        <v>44934</v>
      </c>
      <c r="E57" s="1" t="s">
        <v>37</v>
      </c>
      <c r="F57" s="1" t="s">
        <v>29</v>
      </c>
      <c r="G57" s="1" t="s">
        <v>17</v>
      </c>
      <c r="H57" s="1" t="s">
        <v>42</v>
      </c>
      <c r="I57" s="1" t="s">
        <v>57</v>
      </c>
      <c r="J57" s="1" t="s">
        <v>62</v>
      </c>
      <c r="K57" s="1" t="s">
        <v>45</v>
      </c>
      <c r="L57" s="1">
        <v>6</v>
      </c>
      <c r="M57" s="1">
        <v>3402.72</v>
      </c>
      <c r="N57" s="1">
        <v>15</v>
      </c>
      <c r="O57" s="1">
        <v>17353.87</v>
      </c>
      <c r="P57" s="1">
        <f t="shared" si="0"/>
        <v>20416.32</v>
      </c>
      <c r="Q57" s="10">
        <f t="shared" si="1"/>
        <v>2603.0804999999996</v>
      </c>
      <c r="R57" s="11">
        <f t="shared" si="2"/>
        <v>17813.2395</v>
      </c>
      <c r="S57" s="1" t="str">
        <f t="shared" si="3"/>
        <v>High</v>
      </c>
      <c r="T57" s="1" t="str" cm="1">
        <f t="array" ref="T57">_xlfn.IFS(L57&gt;5,"High",L57=5,"mediam",L57&lt;5,"low")</f>
        <v>High</v>
      </c>
      <c r="U57" s="1" t="str">
        <f t="shared" si="5"/>
        <v>High</v>
      </c>
    </row>
    <row r="58" spans="1:21" x14ac:dyDescent="0.3">
      <c r="A58" s="5">
        <v>10057</v>
      </c>
      <c r="B58" s="1">
        <v>1504</v>
      </c>
      <c r="C58" s="2">
        <v>45117</v>
      </c>
      <c r="D58" s="2">
        <v>45122</v>
      </c>
      <c r="E58" s="1" t="s">
        <v>37</v>
      </c>
      <c r="F58" s="1" t="s">
        <v>29</v>
      </c>
      <c r="G58" s="1" t="s">
        <v>17</v>
      </c>
      <c r="H58" s="1" t="s">
        <v>25</v>
      </c>
      <c r="I58" s="1" t="s">
        <v>57</v>
      </c>
      <c r="J58" s="1" t="s">
        <v>58</v>
      </c>
      <c r="K58" s="1" t="s">
        <v>33</v>
      </c>
      <c r="L58" s="1">
        <v>9</v>
      </c>
      <c r="M58" s="1">
        <v>1012.33</v>
      </c>
      <c r="N58" s="1">
        <v>20</v>
      </c>
      <c r="O58" s="1">
        <v>7288.78</v>
      </c>
      <c r="P58" s="1">
        <f t="shared" si="0"/>
        <v>9110.9700000000012</v>
      </c>
      <c r="Q58" s="10">
        <f t="shared" si="1"/>
        <v>1457.7560000000001</v>
      </c>
      <c r="R58" s="11">
        <f t="shared" si="2"/>
        <v>7653.2140000000009</v>
      </c>
      <c r="S58" s="1" t="str">
        <f t="shared" si="3"/>
        <v>High</v>
      </c>
      <c r="T58" s="1" t="str" cm="1">
        <f t="array" ref="T58">_xlfn.IFS(L58&gt;5,"High",L58=5,"mediam",L58&lt;5,"low")</f>
        <v>High</v>
      </c>
      <c r="U58" s="1" t="str">
        <f t="shared" si="5"/>
        <v>High</v>
      </c>
    </row>
    <row r="59" spans="1:21" x14ac:dyDescent="0.3">
      <c r="A59" s="5">
        <v>10058</v>
      </c>
      <c r="B59" s="1">
        <v>1130</v>
      </c>
      <c r="C59" s="2">
        <v>45044</v>
      </c>
      <c r="D59" s="2">
        <v>45048</v>
      </c>
      <c r="E59" s="1" t="s">
        <v>46</v>
      </c>
      <c r="F59" s="1" t="s">
        <v>29</v>
      </c>
      <c r="G59" s="1" t="s">
        <v>24</v>
      </c>
      <c r="H59" s="1" t="s">
        <v>44</v>
      </c>
      <c r="I59" s="1" t="s">
        <v>57</v>
      </c>
      <c r="J59" s="1" t="s">
        <v>59</v>
      </c>
      <c r="K59" s="1" t="s">
        <v>21</v>
      </c>
      <c r="L59" s="1">
        <v>8</v>
      </c>
      <c r="M59" s="1">
        <v>1070.7</v>
      </c>
      <c r="N59" s="1">
        <v>5</v>
      </c>
      <c r="O59" s="1">
        <v>8137.32</v>
      </c>
      <c r="P59" s="1">
        <f t="shared" si="0"/>
        <v>8565.6</v>
      </c>
      <c r="Q59" s="10">
        <f t="shared" si="1"/>
        <v>406.86599999999999</v>
      </c>
      <c r="R59" s="11">
        <f t="shared" si="2"/>
        <v>8158.7340000000004</v>
      </c>
      <c r="S59" s="1" t="str">
        <f t="shared" si="3"/>
        <v>High</v>
      </c>
      <c r="T59" s="1" t="str" cm="1">
        <f t="array" ref="T59">_xlfn.IFS(L59&gt;5,"High",L59=5,"mediam",L59&lt;5,"low")</f>
        <v>High</v>
      </c>
      <c r="U59" s="1" t="str">
        <f t="shared" si="5"/>
        <v>High</v>
      </c>
    </row>
    <row r="60" spans="1:21" x14ac:dyDescent="0.3">
      <c r="A60" s="5">
        <v>10059</v>
      </c>
      <c r="B60" s="1">
        <v>1484</v>
      </c>
      <c r="C60" s="2">
        <v>44945</v>
      </c>
      <c r="D60" s="2">
        <v>44950</v>
      </c>
      <c r="E60" s="1" t="s">
        <v>40</v>
      </c>
      <c r="F60" s="1" t="s">
        <v>41</v>
      </c>
      <c r="G60" s="1" t="s">
        <v>24</v>
      </c>
      <c r="H60" s="1" t="s">
        <v>42</v>
      </c>
      <c r="I60" s="1" t="s">
        <v>52</v>
      </c>
      <c r="J60" s="1" t="s">
        <v>64</v>
      </c>
      <c r="K60" s="1" t="s">
        <v>33</v>
      </c>
      <c r="L60" s="1">
        <v>8</v>
      </c>
      <c r="M60" s="1">
        <v>2122.36</v>
      </c>
      <c r="N60" s="1">
        <v>0</v>
      </c>
      <c r="O60" s="1">
        <v>16978.88</v>
      </c>
      <c r="P60" s="1">
        <f t="shared" si="0"/>
        <v>16978.88</v>
      </c>
      <c r="Q60" s="10">
        <f t="shared" si="1"/>
        <v>0</v>
      </c>
      <c r="R60" s="11">
        <f t="shared" si="2"/>
        <v>16978.88</v>
      </c>
      <c r="S60" s="1" t="str">
        <f t="shared" si="3"/>
        <v>High</v>
      </c>
      <c r="T60" s="1" t="str" cm="1">
        <f t="array" ref="T60">_xlfn.IFS(L60&gt;5,"High",L60=5,"mediam",L60&lt;5,"low")</f>
        <v>High</v>
      </c>
      <c r="U60" s="1" t="str">
        <f t="shared" si="5"/>
        <v>High</v>
      </c>
    </row>
    <row r="61" spans="1:21" x14ac:dyDescent="0.3">
      <c r="A61" s="5">
        <v>10060</v>
      </c>
      <c r="B61" s="1">
        <v>1818</v>
      </c>
      <c r="C61" s="2">
        <v>44949</v>
      </c>
      <c r="D61" s="2">
        <v>44952</v>
      </c>
      <c r="E61" s="1" t="s">
        <v>46</v>
      </c>
      <c r="F61" s="1" t="s">
        <v>41</v>
      </c>
      <c r="G61" s="1" t="s">
        <v>30</v>
      </c>
      <c r="H61" s="1" t="s">
        <v>42</v>
      </c>
      <c r="I61" s="1" t="s">
        <v>57</v>
      </c>
      <c r="J61" s="1" t="s">
        <v>62</v>
      </c>
      <c r="K61" s="1" t="s">
        <v>45</v>
      </c>
      <c r="L61" s="1">
        <v>8</v>
      </c>
      <c r="M61" s="1">
        <v>3128.25</v>
      </c>
      <c r="N61" s="1">
        <v>15</v>
      </c>
      <c r="O61" s="1">
        <v>21272.1</v>
      </c>
      <c r="P61" s="1">
        <f t="shared" si="0"/>
        <v>25026</v>
      </c>
      <c r="Q61" s="10">
        <f t="shared" si="1"/>
        <v>3190.8149999999996</v>
      </c>
      <c r="R61" s="11">
        <f t="shared" si="2"/>
        <v>21835.185000000001</v>
      </c>
      <c r="S61" s="1" t="str">
        <f t="shared" si="3"/>
        <v>High</v>
      </c>
      <c r="T61" s="1" t="str" cm="1">
        <f t="array" ref="T61">_xlfn.IFS(L61&gt;5,"High",L61=5,"mediam",L61&lt;5,"low")</f>
        <v>High</v>
      </c>
      <c r="U61" s="1" t="str">
        <f t="shared" si="5"/>
        <v>High</v>
      </c>
    </row>
    <row r="62" spans="1:21" x14ac:dyDescent="0.3">
      <c r="A62" s="5">
        <v>10061</v>
      </c>
      <c r="B62" s="1">
        <v>1646</v>
      </c>
      <c r="C62" s="2">
        <v>44956</v>
      </c>
      <c r="D62" s="2">
        <v>44957</v>
      </c>
      <c r="E62" s="1" t="s">
        <v>37</v>
      </c>
      <c r="F62" s="1" t="s">
        <v>54</v>
      </c>
      <c r="G62" s="1" t="s">
        <v>24</v>
      </c>
      <c r="H62" s="1" t="s">
        <v>42</v>
      </c>
      <c r="I62" s="1" t="s">
        <v>26</v>
      </c>
      <c r="J62" s="1" t="s">
        <v>36</v>
      </c>
      <c r="K62" s="1" t="s">
        <v>45</v>
      </c>
      <c r="L62" s="1">
        <v>7</v>
      </c>
      <c r="M62" s="1">
        <v>319.56</v>
      </c>
      <c r="N62" s="1">
        <v>10</v>
      </c>
      <c r="O62" s="1">
        <v>2013.23</v>
      </c>
      <c r="P62" s="1">
        <f t="shared" si="0"/>
        <v>2236.92</v>
      </c>
      <c r="Q62" s="10">
        <f t="shared" si="1"/>
        <v>201.32300000000001</v>
      </c>
      <c r="R62" s="11">
        <f t="shared" si="2"/>
        <v>2035.597</v>
      </c>
      <c r="S62" s="1" t="str">
        <f t="shared" si="3"/>
        <v>High</v>
      </c>
      <c r="T62" s="1" t="str" cm="1">
        <f t="array" ref="T62">_xlfn.IFS(L62&gt;5,"High",L62=5,"mediam",L62&lt;5,"low")</f>
        <v>High</v>
      </c>
      <c r="U62" s="1" t="str">
        <f t="shared" si="5"/>
        <v>High</v>
      </c>
    </row>
    <row r="63" spans="1:21" x14ac:dyDescent="0.3">
      <c r="A63" s="5">
        <v>10062</v>
      </c>
      <c r="B63" s="1">
        <v>1020</v>
      </c>
      <c r="C63" s="2">
        <v>45221</v>
      </c>
      <c r="D63" s="2">
        <v>45226</v>
      </c>
      <c r="E63" s="1" t="s">
        <v>22</v>
      </c>
      <c r="F63" s="1" t="s">
        <v>29</v>
      </c>
      <c r="G63" s="1" t="s">
        <v>30</v>
      </c>
      <c r="H63" s="1" t="s">
        <v>35</v>
      </c>
      <c r="I63" s="1" t="s">
        <v>52</v>
      </c>
      <c r="J63" s="1" t="s">
        <v>56</v>
      </c>
      <c r="K63" s="1" t="s">
        <v>21</v>
      </c>
      <c r="L63" s="1">
        <v>8</v>
      </c>
      <c r="M63" s="1">
        <v>2819.34</v>
      </c>
      <c r="N63" s="1">
        <v>5</v>
      </c>
      <c r="O63" s="1">
        <v>21426.98</v>
      </c>
      <c r="P63" s="1">
        <f t="shared" si="0"/>
        <v>22554.720000000001</v>
      </c>
      <c r="Q63" s="10">
        <f t="shared" si="1"/>
        <v>1071.3489999999999</v>
      </c>
      <c r="R63" s="11">
        <f t="shared" si="2"/>
        <v>21483.371000000003</v>
      </c>
      <c r="S63" s="1" t="str">
        <f t="shared" si="3"/>
        <v>High</v>
      </c>
      <c r="T63" s="1" t="str" cm="1">
        <f t="array" ref="T63">_xlfn.IFS(L63&gt;5,"High",L63=5,"mediam",L63&lt;5,"low")</f>
        <v>High</v>
      </c>
      <c r="U63" s="1" t="str">
        <f t="shared" si="5"/>
        <v>High</v>
      </c>
    </row>
    <row r="64" spans="1:21" x14ac:dyDescent="0.3">
      <c r="A64" s="5">
        <v>10063</v>
      </c>
      <c r="B64" s="1">
        <v>1840</v>
      </c>
      <c r="C64" s="2">
        <v>45034</v>
      </c>
      <c r="D64" s="2">
        <v>45043</v>
      </c>
      <c r="E64" s="1" t="s">
        <v>40</v>
      </c>
      <c r="F64" s="1" t="s">
        <v>23</v>
      </c>
      <c r="G64" s="1" t="s">
        <v>30</v>
      </c>
      <c r="H64" s="1" t="s">
        <v>42</v>
      </c>
      <c r="I64" s="1" t="s">
        <v>57</v>
      </c>
      <c r="J64" s="1" t="s">
        <v>62</v>
      </c>
      <c r="K64" s="1" t="s">
        <v>28</v>
      </c>
      <c r="L64" s="1">
        <v>6</v>
      </c>
      <c r="M64" s="1">
        <v>2645.71</v>
      </c>
      <c r="N64" s="1">
        <v>10</v>
      </c>
      <c r="O64" s="1">
        <v>14286.83</v>
      </c>
      <c r="P64" s="1">
        <f t="shared" si="0"/>
        <v>15874.26</v>
      </c>
      <c r="Q64" s="10">
        <f t="shared" si="1"/>
        <v>1428.683</v>
      </c>
      <c r="R64" s="11">
        <f t="shared" si="2"/>
        <v>14445.577000000001</v>
      </c>
      <c r="S64" s="1" t="str">
        <f t="shared" si="3"/>
        <v>High</v>
      </c>
      <c r="T64" s="1" t="str" cm="1">
        <f t="array" ref="T64">_xlfn.IFS(L64&gt;5,"High",L64=5,"mediam",L64&lt;5,"low")</f>
        <v>High</v>
      </c>
      <c r="U64" s="1" t="str">
        <f t="shared" si="5"/>
        <v>High</v>
      </c>
    </row>
    <row r="65" spans="1:21" x14ac:dyDescent="0.3">
      <c r="A65" s="5">
        <v>10064</v>
      </c>
      <c r="B65" s="1">
        <v>1166</v>
      </c>
      <c r="C65" s="2">
        <v>45207</v>
      </c>
      <c r="D65" s="2">
        <v>45216</v>
      </c>
      <c r="E65" s="1" t="s">
        <v>40</v>
      </c>
      <c r="F65" s="1" t="s">
        <v>16</v>
      </c>
      <c r="G65" s="1" t="s">
        <v>30</v>
      </c>
      <c r="H65" s="1" t="s">
        <v>18</v>
      </c>
      <c r="I65" s="1" t="s">
        <v>26</v>
      </c>
      <c r="J65" s="1" t="s">
        <v>36</v>
      </c>
      <c r="K65" s="1" t="s">
        <v>47</v>
      </c>
      <c r="L65" s="1">
        <v>2</v>
      </c>
      <c r="M65" s="1">
        <v>1041.2</v>
      </c>
      <c r="N65" s="1">
        <v>15</v>
      </c>
      <c r="O65" s="1">
        <v>1770.04</v>
      </c>
      <c r="P65" s="1">
        <f t="shared" si="0"/>
        <v>2082.4</v>
      </c>
      <c r="Q65" s="10">
        <f t="shared" si="1"/>
        <v>265.50599999999997</v>
      </c>
      <c r="R65" s="11">
        <f t="shared" si="2"/>
        <v>1816.8940000000002</v>
      </c>
      <c r="S65" s="1" t="str">
        <f t="shared" si="3"/>
        <v>Low</v>
      </c>
      <c r="T65" s="1" t="str" cm="1">
        <f t="array" ref="T65">_xlfn.IFS(L65&gt;5,"High",L65=5,"mediam",L65&lt;5,"low")</f>
        <v>low</v>
      </c>
      <c r="U65" s="1" t="b">
        <f t="shared" si="5"/>
        <v>0</v>
      </c>
    </row>
    <row r="66" spans="1:21" x14ac:dyDescent="0.3">
      <c r="A66" s="5">
        <v>10065</v>
      </c>
      <c r="B66" s="1">
        <v>1273</v>
      </c>
      <c r="C66" s="2">
        <v>45054</v>
      </c>
      <c r="D66" s="2">
        <v>45058</v>
      </c>
      <c r="E66" s="1" t="s">
        <v>15</v>
      </c>
      <c r="F66" s="1" t="s">
        <v>38</v>
      </c>
      <c r="G66" s="1" t="s">
        <v>17</v>
      </c>
      <c r="H66" s="1" t="s">
        <v>42</v>
      </c>
      <c r="I66" s="1" t="s">
        <v>19</v>
      </c>
      <c r="J66" s="1" t="s">
        <v>43</v>
      </c>
      <c r="K66" s="1" t="s">
        <v>45</v>
      </c>
      <c r="L66" s="1">
        <v>2</v>
      </c>
      <c r="M66" s="1">
        <v>2773.21</v>
      </c>
      <c r="N66" s="1">
        <v>10</v>
      </c>
      <c r="O66" s="1">
        <v>4991.78</v>
      </c>
      <c r="P66" s="1">
        <f t="shared" si="0"/>
        <v>5546.42</v>
      </c>
      <c r="Q66" s="10">
        <f t="shared" si="1"/>
        <v>499.178</v>
      </c>
      <c r="R66" s="11">
        <f t="shared" si="2"/>
        <v>5047.2420000000002</v>
      </c>
      <c r="S66" s="1" t="str">
        <f t="shared" si="3"/>
        <v>Low</v>
      </c>
      <c r="T66" s="1" t="str" cm="1">
        <f t="array" ref="T66">_xlfn.IFS(L66&gt;5,"High",L66=5,"mediam",L66&lt;5,"low")</f>
        <v>low</v>
      </c>
      <c r="U66" s="1" t="b">
        <f t="shared" si="5"/>
        <v>0</v>
      </c>
    </row>
    <row r="67" spans="1:21" x14ac:dyDescent="0.3">
      <c r="A67" s="5">
        <v>10066</v>
      </c>
      <c r="B67" s="1">
        <v>1387</v>
      </c>
      <c r="C67" s="2">
        <v>45155</v>
      </c>
      <c r="D67" s="2">
        <v>45158</v>
      </c>
      <c r="E67" s="1" t="s">
        <v>15</v>
      </c>
      <c r="F67" s="1" t="s">
        <v>23</v>
      </c>
      <c r="G67" s="1" t="s">
        <v>17</v>
      </c>
      <c r="H67" s="1" t="s">
        <v>35</v>
      </c>
      <c r="I67" s="1" t="s">
        <v>57</v>
      </c>
      <c r="J67" s="1" t="s">
        <v>67</v>
      </c>
      <c r="K67" s="1" t="s">
        <v>45</v>
      </c>
      <c r="L67" s="1">
        <v>8</v>
      </c>
      <c r="M67" s="1">
        <v>3769.71</v>
      </c>
      <c r="N67" s="1">
        <v>5</v>
      </c>
      <c r="O67" s="1">
        <v>28649.8</v>
      </c>
      <c r="P67" s="1">
        <f t="shared" ref="P67:P130" si="6">L67*M67</f>
        <v>30157.68</v>
      </c>
      <c r="Q67" s="10">
        <f t="shared" ref="Q67:Q130" si="7">O67*N67%</f>
        <v>1432.49</v>
      </c>
      <c r="R67" s="11">
        <f t="shared" ref="R67:R130" si="8">P67-Q67</f>
        <v>28725.19</v>
      </c>
      <c r="S67" s="1" t="str">
        <f t="shared" ref="S67:S130" si="9">IF(L67&gt;=5,"High","Low")</f>
        <v>High</v>
      </c>
      <c r="T67" s="1" t="str" cm="1">
        <f t="array" ref="T67">_xlfn.IFS(L67&gt;5,"High",L67=5,"mediam",L67&lt;5,"low")</f>
        <v>High</v>
      </c>
      <c r="U67" s="1" t="str">
        <f t="shared" si="5"/>
        <v>High</v>
      </c>
    </row>
    <row r="68" spans="1:21" x14ac:dyDescent="0.3">
      <c r="A68" s="5">
        <v>10067</v>
      </c>
      <c r="B68" s="1">
        <v>1600</v>
      </c>
      <c r="C68" s="2">
        <v>45037</v>
      </c>
      <c r="D68" s="2">
        <v>45038</v>
      </c>
      <c r="E68" s="1" t="s">
        <v>16</v>
      </c>
      <c r="F68" s="1" t="s">
        <v>41</v>
      </c>
      <c r="G68" s="1" t="s">
        <v>24</v>
      </c>
      <c r="H68" s="1" t="s">
        <v>42</v>
      </c>
      <c r="I68" s="1" t="s">
        <v>52</v>
      </c>
      <c r="J68" s="1" t="s">
        <v>64</v>
      </c>
      <c r="K68" s="1" t="s">
        <v>28</v>
      </c>
      <c r="L68" s="1">
        <v>1</v>
      </c>
      <c r="M68" s="1">
        <v>330.13</v>
      </c>
      <c r="N68" s="1">
        <v>15</v>
      </c>
      <c r="O68" s="1">
        <v>280.61</v>
      </c>
      <c r="P68" s="1">
        <f t="shared" si="6"/>
        <v>330.13</v>
      </c>
      <c r="Q68" s="10">
        <f t="shared" si="7"/>
        <v>42.091500000000003</v>
      </c>
      <c r="R68" s="11">
        <f t="shared" si="8"/>
        <v>288.0385</v>
      </c>
      <c r="S68" s="1" t="str">
        <f t="shared" si="9"/>
        <v>Low</v>
      </c>
      <c r="T68" s="1" t="str" cm="1">
        <f t="array" ref="T68">_xlfn.IFS(L68&gt;5,"High",L68=5,"mediam",L68&lt;5,"low")</f>
        <v>low</v>
      </c>
      <c r="U68" s="1" t="b">
        <f t="shared" si="5"/>
        <v>0</v>
      </c>
    </row>
    <row r="69" spans="1:21" x14ac:dyDescent="0.3">
      <c r="A69" s="5">
        <v>10068</v>
      </c>
      <c r="B69" s="1">
        <v>1315</v>
      </c>
      <c r="C69" s="2">
        <v>45062</v>
      </c>
      <c r="D69" s="2">
        <v>45064</v>
      </c>
      <c r="E69" s="1" t="s">
        <v>34</v>
      </c>
      <c r="F69" s="1" t="s">
        <v>41</v>
      </c>
      <c r="G69" s="1" t="s">
        <v>30</v>
      </c>
      <c r="H69" s="1" t="s">
        <v>44</v>
      </c>
      <c r="I69" s="1" t="s">
        <v>31</v>
      </c>
      <c r="J69" s="1" t="s">
        <v>48</v>
      </c>
      <c r="K69" s="1" t="s">
        <v>28</v>
      </c>
      <c r="L69" s="1">
        <v>6</v>
      </c>
      <c r="M69" s="1">
        <v>1380.66</v>
      </c>
      <c r="N69" s="1">
        <v>0</v>
      </c>
      <c r="O69" s="1">
        <v>8283.9599999999991</v>
      </c>
      <c r="P69" s="1">
        <f t="shared" si="6"/>
        <v>8283.9600000000009</v>
      </c>
      <c r="Q69" s="10">
        <f t="shared" si="7"/>
        <v>0</v>
      </c>
      <c r="R69" s="11">
        <f t="shared" si="8"/>
        <v>8283.9600000000009</v>
      </c>
      <c r="S69" s="1" t="str">
        <f t="shared" si="9"/>
        <v>High</v>
      </c>
      <c r="T69" s="1" t="str" cm="1">
        <f t="array" ref="T69">_xlfn.IFS(L69&gt;5,"High",L69=5,"mediam",L69&lt;5,"low")</f>
        <v>High</v>
      </c>
      <c r="U69" s="1" t="str">
        <f t="shared" si="5"/>
        <v>High</v>
      </c>
    </row>
    <row r="70" spans="1:21" x14ac:dyDescent="0.3">
      <c r="A70" s="5">
        <v>10069</v>
      </c>
      <c r="B70" s="1">
        <v>1013</v>
      </c>
      <c r="C70" s="2">
        <v>45288</v>
      </c>
      <c r="D70" s="2">
        <v>45296</v>
      </c>
      <c r="E70" s="1" t="s">
        <v>15</v>
      </c>
      <c r="F70" s="1" t="s">
        <v>23</v>
      </c>
      <c r="G70" s="1" t="s">
        <v>17</v>
      </c>
      <c r="H70" s="1" t="s">
        <v>44</v>
      </c>
      <c r="I70" s="1" t="s">
        <v>57</v>
      </c>
      <c r="J70" s="1" t="s">
        <v>62</v>
      </c>
      <c r="K70" s="1" t="s">
        <v>33</v>
      </c>
      <c r="L70" s="1">
        <v>6</v>
      </c>
      <c r="M70" s="1">
        <v>1836.98</v>
      </c>
      <c r="N70" s="1">
        <v>5</v>
      </c>
      <c r="O70" s="1">
        <v>10470.790000000001</v>
      </c>
      <c r="P70" s="1">
        <f t="shared" si="6"/>
        <v>11021.880000000001</v>
      </c>
      <c r="Q70" s="10">
        <f t="shared" si="7"/>
        <v>523.53950000000009</v>
      </c>
      <c r="R70" s="11">
        <f t="shared" si="8"/>
        <v>10498.3405</v>
      </c>
      <c r="S70" s="1" t="str">
        <f t="shared" si="9"/>
        <v>High</v>
      </c>
      <c r="T70" s="1" t="str" cm="1">
        <f t="array" ref="T70">_xlfn.IFS(L70&gt;5,"High",L70=5,"mediam",L70&lt;5,"low")</f>
        <v>High</v>
      </c>
      <c r="U70" s="1" t="str">
        <f t="shared" si="5"/>
        <v>High</v>
      </c>
    </row>
    <row r="71" spans="1:21" x14ac:dyDescent="0.3">
      <c r="A71" s="5">
        <v>10070</v>
      </c>
      <c r="B71" s="1">
        <v>1241</v>
      </c>
      <c r="C71" s="2">
        <v>45112</v>
      </c>
      <c r="D71" s="2">
        <v>45113</v>
      </c>
      <c r="E71" s="1" t="s">
        <v>46</v>
      </c>
      <c r="F71" s="1" t="s">
        <v>41</v>
      </c>
      <c r="G71" s="1" t="s">
        <v>17</v>
      </c>
      <c r="H71" s="1" t="s">
        <v>35</v>
      </c>
      <c r="I71" s="1" t="s">
        <v>31</v>
      </c>
      <c r="J71" s="1" t="s">
        <v>39</v>
      </c>
      <c r="K71" s="1" t="s">
        <v>33</v>
      </c>
      <c r="L71" s="1">
        <v>4</v>
      </c>
      <c r="M71" s="1">
        <v>3612.15</v>
      </c>
      <c r="N71" s="1">
        <v>20</v>
      </c>
      <c r="O71" s="1">
        <v>11558.88</v>
      </c>
      <c r="P71" s="1">
        <f t="shared" si="6"/>
        <v>14448.6</v>
      </c>
      <c r="Q71" s="10">
        <f t="shared" si="7"/>
        <v>2311.7759999999998</v>
      </c>
      <c r="R71" s="11">
        <f t="shared" si="8"/>
        <v>12136.824000000001</v>
      </c>
      <c r="S71" s="1" t="str">
        <f t="shared" si="9"/>
        <v>Low</v>
      </c>
      <c r="T71" s="1" t="str" cm="1">
        <f t="array" ref="T71">_xlfn.IFS(L71&gt;5,"High",L71=5,"mediam",L71&lt;5,"low")</f>
        <v>low</v>
      </c>
      <c r="U71" s="1" t="b">
        <f t="shared" si="5"/>
        <v>0</v>
      </c>
    </row>
    <row r="72" spans="1:21" x14ac:dyDescent="0.3">
      <c r="A72" s="5">
        <v>10071</v>
      </c>
      <c r="B72" s="1">
        <v>1776</v>
      </c>
      <c r="C72" s="2">
        <v>45070</v>
      </c>
      <c r="D72" s="2">
        <v>45078</v>
      </c>
      <c r="E72" s="1" t="s">
        <v>15</v>
      </c>
      <c r="F72" s="1" t="s">
        <v>29</v>
      </c>
      <c r="G72" s="1" t="s">
        <v>17</v>
      </c>
      <c r="H72" s="1" t="s">
        <v>18</v>
      </c>
      <c r="I72" s="1" t="s">
        <v>26</v>
      </c>
      <c r="J72" s="1" t="s">
        <v>61</v>
      </c>
      <c r="K72" s="1" t="s">
        <v>47</v>
      </c>
      <c r="L72" s="1">
        <v>3</v>
      </c>
      <c r="M72" s="1">
        <v>3854.71</v>
      </c>
      <c r="N72" s="1">
        <v>5</v>
      </c>
      <c r="O72" s="1">
        <v>10985.92</v>
      </c>
      <c r="P72" s="1">
        <f t="shared" si="6"/>
        <v>11564.130000000001</v>
      </c>
      <c r="Q72" s="10">
        <f t="shared" si="7"/>
        <v>549.29600000000005</v>
      </c>
      <c r="R72" s="11">
        <f t="shared" si="8"/>
        <v>11014.834000000001</v>
      </c>
      <c r="S72" s="1" t="str">
        <f t="shared" si="9"/>
        <v>Low</v>
      </c>
      <c r="T72" s="1" t="str" cm="1">
        <f t="array" ref="T72">_xlfn.IFS(L72&gt;5,"High",L72=5,"mediam",L72&lt;5,"low")</f>
        <v>low</v>
      </c>
      <c r="U72" s="1" t="b">
        <f t="shared" si="5"/>
        <v>0</v>
      </c>
    </row>
    <row r="73" spans="1:21" x14ac:dyDescent="0.3">
      <c r="A73" s="5">
        <v>10072</v>
      </c>
      <c r="B73" s="1">
        <v>1345</v>
      </c>
      <c r="C73" s="2">
        <v>44998</v>
      </c>
      <c r="D73" s="2">
        <v>45005</v>
      </c>
      <c r="E73" s="1" t="s">
        <v>16</v>
      </c>
      <c r="F73" s="1" t="s">
        <v>54</v>
      </c>
      <c r="G73" s="1" t="s">
        <v>17</v>
      </c>
      <c r="H73" s="1" t="s">
        <v>18</v>
      </c>
      <c r="I73" s="1" t="s">
        <v>19</v>
      </c>
      <c r="J73" s="1" t="s">
        <v>55</v>
      </c>
      <c r="K73" s="1" t="s">
        <v>47</v>
      </c>
      <c r="L73" s="1">
        <v>3</v>
      </c>
      <c r="M73" s="1">
        <v>1859.84</v>
      </c>
      <c r="N73" s="1">
        <v>15</v>
      </c>
      <c r="O73" s="1">
        <v>4742.59</v>
      </c>
      <c r="P73" s="1">
        <f t="shared" si="6"/>
        <v>5579.5199999999995</v>
      </c>
      <c r="Q73" s="10">
        <f t="shared" si="7"/>
        <v>711.38850000000002</v>
      </c>
      <c r="R73" s="11">
        <f t="shared" si="8"/>
        <v>4868.1314999999995</v>
      </c>
      <c r="S73" s="1" t="str">
        <f t="shared" si="9"/>
        <v>Low</v>
      </c>
      <c r="T73" s="1" t="str" cm="1">
        <f t="array" ref="T73">_xlfn.IFS(L73&gt;5,"High",L73=5,"mediam",L73&lt;5,"low")</f>
        <v>low</v>
      </c>
      <c r="U73" s="1" t="b">
        <f t="shared" ref="U73:U136" si="10">IF(L73&gt;5,"High",IF(L73="Mediam","Low"))</f>
        <v>0</v>
      </c>
    </row>
    <row r="74" spans="1:21" x14ac:dyDescent="0.3">
      <c r="A74" s="5">
        <v>10073</v>
      </c>
      <c r="B74" s="1">
        <v>1564</v>
      </c>
      <c r="C74" s="2">
        <v>45055</v>
      </c>
      <c r="D74" s="2">
        <v>45063</v>
      </c>
      <c r="E74" s="1" t="s">
        <v>40</v>
      </c>
      <c r="F74" s="1" t="s">
        <v>16</v>
      </c>
      <c r="G74" s="1" t="s">
        <v>17</v>
      </c>
      <c r="H74" s="1" t="s">
        <v>25</v>
      </c>
      <c r="I74" s="1" t="s">
        <v>49</v>
      </c>
      <c r="J74" s="1" t="s">
        <v>68</v>
      </c>
      <c r="K74" s="1" t="s">
        <v>21</v>
      </c>
      <c r="L74" s="1">
        <v>1</v>
      </c>
      <c r="M74" s="1">
        <v>3037.61</v>
      </c>
      <c r="N74" s="1">
        <v>5</v>
      </c>
      <c r="O74" s="1">
        <v>2885.73</v>
      </c>
      <c r="P74" s="1">
        <f t="shared" si="6"/>
        <v>3037.61</v>
      </c>
      <c r="Q74" s="10">
        <f t="shared" si="7"/>
        <v>144.28650000000002</v>
      </c>
      <c r="R74" s="11">
        <f t="shared" si="8"/>
        <v>2893.3235</v>
      </c>
      <c r="S74" s="1" t="str">
        <f t="shared" si="9"/>
        <v>Low</v>
      </c>
      <c r="T74" s="1" t="str" cm="1">
        <f t="array" ref="T74">_xlfn.IFS(L74&gt;5,"High",L74=5,"mediam",L74&lt;5,"low")</f>
        <v>low</v>
      </c>
      <c r="U74" s="1" t="b">
        <f t="shared" si="10"/>
        <v>0</v>
      </c>
    </row>
    <row r="75" spans="1:21" x14ac:dyDescent="0.3">
      <c r="A75" s="5">
        <v>10074</v>
      </c>
      <c r="B75" s="1">
        <v>1897</v>
      </c>
      <c r="C75" s="2">
        <v>45290</v>
      </c>
      <c r="D75" s="2">
        <v>45296</v>
      </c>
      <c r="E75" s="1" t="s">
        <v>16</v>
      </c>
      <c r="F75" s="1" t="s">
        <v>54</v>
      </c>
      <c r="G75" s="1" t="s">
        <v>30</v>
      </c>
      <c r="H75" s="1" t="s">
        <v>35</v>
      </c>
      <c r="I75" s="1" t="s">
        <v>19</v>
      </c>
      <c r="J75" s="1" t="s">
        <v>43</v>
      </c>
      <c r="K75" s="1" t="s">
        <v>33</v>
      </c>
      <c r="L75" s="1">
        <v>3</v>
      </c>
      <c r="M75" s="1">
        <v>2196.89</v>
      </c>
      <c r="N75" s="1">
        <v>0</v>
      </c>
      <c r="O75" s="1">
        <v>6590.67</v>
      </c>
      <c r="P75" s="1">
        <f t="shared" si="6"/>
        <v>6590.67</v>
      </c>
      <c r="Q75" s="10">
        <f t="shared" si="7"/>
        <v>0</v>
      </c>
      <c r="R75" s="11">
        <f t="shared" si="8"/>
        <v>6590.67</v>
      </c>
      <c r="S75" s="1" t="str">
        <f t="shared" si="9"/>
        <v>Low</v>
      </c>
      <c r="T75" s="1" t="str" cm="1">
        <f t="array" ref="T75">_xlfn.IFS(L75&gt;5,"High",L75=5,"mediam",L75&lt;5,"low")</f>
        <v>low</v>
      </c>
      <c r="U75" s="1" t="b">
        <f t="shared" si="10"/>
        <v>0</v>
      </c>
    </row>
    <row r="76" spans="1:21" x14ac:dyDescent="0.3">
      <c r="A76" s="5">
        <v>10075</v>
      </c>
      <c r="B76" s="1">
        <v>1339</v>
      </c>
      <c r="C76" s="2">
        <v>45187</v>
      </c>
      <c r="D76" s="2">
        <v>45196</v>
      </c>
      <c r="E76" s="1" t="s">
        <v>40</v>
      </c>
      <c r="F76" s="1" t="s">
        <v>16</v>
      </c>
      <c r="G76" s="1" t="s">
        <v>30</v>
      </c>
      <c r="H76" s="1" t="s">
        <v>42</v>
      </c>
      <c r="I76" s="1" t="s">
        <v>57</v>
      </c>
      <c r="J76" s="1" t="s">
        <v>58</v>
      </c>
      <c r="K76" s="1" t="s">
        <v>45</v>
      </c>
      <c r="L76" s="1">
        <v>4</v>
      </c>
      <c r="M76" s="1">
        <v>2220.46</v>
      </c>
      <c r="N76" s="1">
        <v>0</v>
      </c>
      <c r="O76" s="1">
        <v>8881.84</v>
      </c>
      <c r="P76" s="1">
        <f t="shared" si="6"/>
        <v>8881.84</v>
      </c>
      <c r="Q76" s="10">
        <f t="shared" si="7"/>
        <v>0</v>
      </c>
      <c r="R76" s="11">
        <f t="shared" si="8"/>
        <v>8881.84</v>
      </c>
      <c r="S76" s="1" t="str">
        <f t="shared" si="9"/>
        <v>Low</v>
      </c>
      <c r="T76" s="1" t="str" cm="1">
        <f t="array" ref="T76">_xlfn.IFS(L76&gt;5,"High",L76=5,"mediam",L76&lt;5,"low")</f>
        <v>low</v>
      </c>
      <c r="U76" s="1" t="b">
        <f t="shared" si="10"/>
        <v>0</v>
      </c>
    </row>
    <row r="77" spans="1:21" x14ac:dyDescent="0.3">
      <c r="A77" s="5">
        <v>10076</v>
      </c>
      <c r="B77" s="1">
        <v>1091</v>
      </c>
      <c r="C77" s="2">
        <v>44929</v>
      </c>
      <c r="D77" s="2">
        <v>44932</v>
      </c>
      <c r="E77" s="1" t="s">
        <v>22</v>
      </c>
      <c r="F77" s="1" t="s">
        <v>16</v>
      </c>
      <c r="G77" s="1" t="s">
        <v>30</v>
      </c>
      <c r="H77" s="1" t="s">
        <v>35</v>
      </c>
      <c r="I77" s="1" t="s">
        <v>31</v>
      </c>
      <c r="J77" s="1" t="s">
        <v>39</v>
      </c>
      <c r="K77" s="1" t="s">
        <v>33</v>
      </c>
      <c r="L77" s="1">
        <v>5</v>
      </c>
      <c r="M77" s="1">
        <v>1220.68</v>
      </c>
      <c r="N77" s="1">
        <v>20</v>
      </c>
      <c r="O77" s="1">
        <v>4882.72</v>
      </c>
      <c r="P77" s="1">
        <f t="shared" si="6"/>
        <v>6103.4000000000005</v>
      </c>
      <c r="Q77" s="10">
        <f t="shared" si="7"/>
        <v>976.5440000000001</v>
      </c>
      <c r="R77" s="11">
        <f t="shared" si="8"/>
        <v>5126.8560000000007</v>
      </c>
      <c r="S77" s="1" t="str">
        <f t="shared" si="9"/>
        <v>High</v>
      </c>
      <c r="T77" s="1" t="str" cm="1">
        <f t="array" ref="T77">_xlfn.IFS(L77&gt;5,"High",L77=5,"mediam",L77&lt;5,"low")</f>
        <v>mediam</v>
      </c>
      <c r="U77" s="1" t="b">
        <f t="shared" si="10"/>
        <v>0</v>
      </c>
    </row>
    <row r="78" spans="1:21" x14ac:dyDescent="0.3">
      <c r="A78" s="5">
        <v>10077</v>
      </c>
      <c r="B78" s="1">
        <v>1366</v>
      </c>
      <c r="C78" s="2">
        <v>45030</v>
      </c>
      <c r="D78" s="2">
        <v>45034</v>
      </c>
      <c r="E78" s="1" t="s">
        <v>22</v>
      </c>
      <c r="F78" s="1" t="s">
        <v>54</v>
      </c>
      <c r="G78" s="1" t="s">
        <v>30</v>
      </c>
      <c r="H78" s="1" t="s">
        <v>25</v>
      </c>
      <c r="I78" s="1" t="s">
        <v>31</v>
      </c>
      <c r="J78" s="1" t="s">
        <v>32</v>
      </c>
      <c r="K78" s="1" t="s">
        <v>45</v>
      </c>
      <c r="L78" s="1">
        <v>3</v>
      </c>
      <c r="M78" s="1">
        <v>985.28</v>
      </c>
      <c r="N78" s="1">
        <v>10</v>
      </c>
      <c r="O78" s="1">
        <v>2660.26</v>
      </c>
      <c r="P78" s="1">
        <f t="shared" si="6"/>
        <v>2955.84</v>
      </c>
      <c r="Q78" s="10">
        <f t="shared" si="7"/>
        <v>266.02600000000001</v>
      </c>
      <c r="R78" s="11">
        <f t="shared" si="8"/>
        <v>2689.8140000000003</v>
      </c>
      <c r="S78" s="1" t="str">
        <f t="shared" si="9"/>
        <v>Low</v>
      </c>
      <c r="T78" s="1" t="str" cm="1">
        <f t="array" ref="T78">_xlfn.IFS(L78&gt;5,"High",L78=5,"mediam",L78&lt;5,"low")</f>
        <v>low</v>
      </c>
      <c r="U78" s="1" t="b">
        <f t="shared" si="10"/>
        <v>0</v>
      </c>
    </row>
    <row r="79" spans="1:21" x14ac:dyDescent="0.3">
      <c r="A79" s="5">
        <v>10078</v>
      </c>
      <c r="B79" s="1">
        <v>1955</v>
      </c>
      <c r="C79" s="2">
        <v>45150</v>
      </c>
      <c r="D79" s="2">
        <v>45156</v>
      </c>
      <c r="E79" s="1" t="s">
        <v>40</v>
      </c>
      <c r="F79" s="1" t="s">
        <v>23</v>
      </c>
      <c r="G79" s="1" t="s">
        <v>24</v>
      </c>
      <c r="H79" s="1" t="s">
        <v>35</v>
      </c>
      <c r="I79" s="1" t="s">
        <v>52</v>
      </c>
      <c r="J79" s="1" t="s">
        <v>60</v>
      </c>
      <c r="K79" s="1" t="s">
        <v>28</v>
      </c>
      <c r="L79" s="1">
        <v>6</v>
      </c>
      <c r="M79" s="1">
        <v>1258.82</v>
      </c>
      <c r="N79" s="1">
        <v>15</v>
      </c>
      <c r="O79" s="1">
        <v>6419.98</v>
      </c>
      <c r="P79" s="1">
        <f t="shared" si="6"/>
        <v>7552.92</v>
      </c>
      <c r="Q79" s="10">
        <f t="shared" si="7"/>
        <v>962.99699999999984</v>
      </c>
      <c r="R79" s="11">
        <f t="shared" si="8"/>
        <v>6589.9230000000007</v>
      </c>
      <c r="S79" s="1" t="str">
        <f t="shared" si="9"/>
        <v>High</v>
      </c>
      <c r="T79" s="1" t="str" cm="1">
        <f t="array" ref="T79">_xlfn.IFS(L79&gt;5,"High",L79=5,"mediam",L79&lt;5,"low")</f>
        <v>High</v>
      </c>
      <c r="U79" s="1" t="str">
        <f t="shared" si="10"/>
        <v>High</v>
      </c>
    </row>
    <row r="80" spans="1:21" x14ac:dyDescent="0.3">
      <c r="A80" s="5">
        <v>10079</v>
      </c>
      <c r="B80" s="1">
        <v>1454</v>
      </c>
      <c r="C80" s="2">
        <v>45246</v>
      </c>
      <c r="D80" s="2">
        <v>45254</v>
      </c>
      <c r="E80" s="1" t="s">
        <v>34</v>
      </c>
      <c r="F80" s="1" t="s">
        <v>16</v>
      </c>
      <c r="G80" s="1" t="s">
        <v>30</v>
      </c>
      <c r="H80" s="1" t="s">
        <v>35</v>
      </c>
      <c r="I80" s="1" t="s">
        <v>31</v>
      </c>
      <c r="J80" s="1" t="s">
        <v>32</v>
      </c>
      <c r="K80" s="1" t="s">
        <v>33</v>
      </c>
      <c r="L80" s="1">
        <v>5</v>
      </c>
      <c r="M80" s="1">
        <v>2291.86</v>
      </c>
      <c r="N80" s="1">
        <v>15</v>
      </c>
      <c r="O80" s="1">
        <v>9740.4</v>
      </c>
      <c r="P80" s="1">
        <f t="shared" si="6"/>
        <v>11459.300000000001</v>
      </c>
      <c r="Q80" s="10">
        <f t="shared" si="7"/>
        <v>1461.06</v>
      </c>
      <c r="R80" s="11">
        <f t="shared" si="8"/>
        <v>9998.2400000000016</v>
      </c>
      <c r="S80" s="1" t="str">
        <f t="shared" si="9"/>
        <v>High</v>
      </c>
      <c r="T80" s="1" t="str" cm="1">
        <f t="array" ref="T80">_xlfn.IFS(L80&gt;5,"High",L80=5,"mediam",L80&lt;5,"low")</f>
        <v>mediam</v>
      </c>
      <c r="U80" s="1" t="b">
        <f t="shared" si="10"/>
        <v>0</v>
      </c>
    </row>
    <row r="81" spans="1:21" x14ac:dyDescent="0.3">
      <c r="A81" s="5">
        <v>10080</v>
      </c>
      <c r="B81" s="1">
        <v>1427</v>
      </c>
      <c r="C81" s="2">
        <v>45288</v>
      </c>
      <c r="D81" s="2">
        <v>45293</v>
      </c>
      <c r="E81" s="1" t="s">
        <v>15</v>
      </c>
      <c r="F81" s="1" t="s">
        <v>54</v>
      </c>
      <c r="G81" s="1" t="s">
        <v>17</v>
      </c>
      <c r="H81" s="1" t="s">
        <v>25</v>
      </c>
      <c r="I81" s="1" t="s">
        <v>52</v>
      </c>
      <c r="J81" s="1" t="s">
        <v>56</v>
      </c>
      <c r="K81" s="1" t="s">
        <v>28</v>
      </c>
      <c r="L81" s="1">
        <v>3</v>
      </c>
      <c r="M81" s="1">
        <v>262.25</v>
      </c>
      <c r="N81" s="1">
        <v>10</v>
      </c>
      <c r="O81" s="1">
        <v>708.07</v>
      </c>
      <c r="P81" s="1">
        <f t="shared" si="6"/>
        <v>786.75</v>
      </c>
      <c r="Q81" s="10">
        <f t="shared" si="7"/>
        <v>70.807000000000002</v>
      </c>
      <c r="R81" s="11">
        <f t="shared" si="8"/>
        <v>715.94299999999998</v>
      </c>
      <c r="S81" s="1" t="str">
        <f t="shared" si="9"/>
        <v>Low</v>
      </c>
      <c r="T81" s="1" t="str" cm="1">
        <f t="array" ref="T81">_xlfn.IFS(L81&gt;5,"High",L81=5,"mediam",L81&lt;5,"low")</f>
        <v>low</v>
      </c>
      <c r="U81" s="1" t="b">
        <f t="shared" si="10"/>
        <v>0</v>
      </c>
    </row>
    <row r="82" spans="1:21" x14ac:dyDescent="0.3">
      <c r="A82" s="5">
        <v>10081</v>
      </c>
      <c r="B82" s="1">
        <v>1508</v>
      </c>
      <c r="C82" s="2">
        <v>45280</v>
      </c>
      <c r="D82" s="2">
        <v>45283</v>
      </c>
      <c r="E82" s="1" t="s">
        <v>46</v>
      </c>
      <c r="F82" s="1" t="s">
        <v>16</v>
      </c>
      <c r="G82" s="1" t="s">
        <v>30</v>
      </c>
      <c r="H82" s="1" t="s">
        <v>18</v>
      </c>
      <c r="I82" s="1" t="s">
        <v>26</v>
      </c>
      <c r="J82" s="1" t="s">
        <v>27</v>
      </c>
      <c r="K82" s="1" t="s">
        <v>47</v>
      </c>
      <c r="L82" s="1">
        <v>6</v>
      </c>
      <c r="M82" s="1">
        <v>3642.91</v>
      </c>
      <c r="N82" s="1">
        <v>0</v>
      </c>
      <c r="O82" s="1">
        <v>21857.46</v>
      </c>
      <c r="P82" s="1">
        <f t="shared" si="6"/>
        <v>21857.46</v>
      </c>
      <c r="Q82" s="10">
        <f t="shared" si="7"/>
        <v>0</v>
      </c>
      <c r="R82" s="11">
        <f t="shared" si="8"/>
        <v>21857.46</v>
      </c>
      <c r="S82" s="1" t="str">
        <f t="shared" si="9"/>
        <v>High</v>
      </c>
      <c r="T82" s="1" t="str" cm="1">
        <f t="array" ref="T82">_xlfn.IFS(L82&gt;5,"High",L82=5,"mediam",L82&lt;5,"low")</f>
        <v>High</v>
      </c>
      <c r="U82" s="1" t="str">
        <f t="shared" si="10"/>
        <v>High</v>
      </c>
    </row>
    <row r="83" spans="1:21" x14ac:dyDescent="0.3">
      <c r="A83" s="5">
        <v>10082</v>
      </c>
      <c r="B83" s="1">
        <v>1775</v>
      </c>
      <c r="C83" s="2">
        <v>44936</v>
      </c>
      <c r="D83" s="2">
        <v>44942</v>
      </c>
      <c r="E83" s="1" t="s">
        <v>46</v>
      </c>
      <c r="F83" s="1" t="s">
        <v>38</v>
      </c>
      <c r="G83" s="1" t="s">
        <v>24</v>
      </c>
      <c r="H83" s="1" t="s">
        <v>42</v>
      </c>
      <c r="I83" s="1" t="s">
        <v>49</v>
      </c>
      <c r="J83" s="1" t="s">
        <v>63</v>
      </c>
      <c r="K83" s="1" t="s">
        <v>47</v>
      </c>
      <c r="L83" s="1">
        <v>6</v>
      </c>
      <c r="M83" s="1">
        <v>751.69</v>
      </c>
      <c r="N83" s="1">
        <v>0</v>
      </c>
      <c r="O83" s="1">
        <v>4510.1400000000003</v>
      </c>
      <c r="P83" s="1">
        <f t="shared" si="6"/>
        <v>4510.1400000000003</v>
      </c>
      <c r="Q83" s="10">
        <f t="shared" si="7"/>
        <v>0</v>
      </c>
      <c r="R83" s="11">
        <f t="shared" si="8"/>
        <v>4510.1400000000003</v>
      </c>
      <c r="S83" s="1" t="str">
        <f t="shared" si="9"/>
        <v>High</v>
      </c>
      <c r="T83" s="1" t="str" cm="1">
        <f t="array" ref="T83">_xlfn.IFS(L83&gt;5,"High",L83=5,"mediam",L83&lt;5,"low")</f>
        <v>High</v>
      </c>
      <c r="U83" s="1" t="str">
        <f t="shared" si="10"/>
        <v>High</v>
      </c>
    </row>
    <row r="84" spans="1:21" x14ac:dyDescent="0.3">
      <c r="A84" s="5">
        <v>10083</v>
      </c>
      <c r="B84" s="1">
        <v>1942</v>
      </c>
      <c r="C84" s="2">
        <v>45228</v>
      </c>
      <c r="D84" s="2">
        <v>45232</v>
      </c>
      <c r="E84" s="1" t="s">
        <v>37</v>
      </c>
      <c r="F84" s="1" t="s">
        <v>23</v>
      </c>
      <c r="G84" s="1" t="s">
        <v>17</v>
      </c>
      <c r="H84" s="1" t="s">
        <v>25</v>
      </c>
      <c r="I84" s="1" t="s">
        <v>57</v>
      </c>
      <c r="J84" s="1" t="s">
        <v>62</v>
      </c>
      <c r="K84" s="1" t="s">
        <v>21</v>
      </c>
      <c r="L84" s="1">
        <v>8</v>
      </c>
      <c r="M84" s="1">
        <v>997.34</v>
      </c>
      <c r="N84" s="1">
        <v>5</v>
      </c>
      <c r="O84" s="1">
        <v>7579.78</v>
      </c>
      <c r="P84" s="1">
        <f t="shared" si="6"/>
        <v>7978.72</v>
      </c>
      <c r="Q84" s="10">
        <f t="shared" si="7"/>
        <v>378.98900000000003</v>
      </c>
      <c r="R84" s="11">
        <f t="shared" si="8"/>
        <v>7599.7309999999998</v>
      </c>
      <c r="S84" s="1" t="str">
        <f t="shared" si="9"/>
        <v>High</v>
      </c>
      <c r="T84" s="1" t="str" cm="1">
        <f t="array" ref="T84">_xlfn.IFS(L84&gt;5,"High",L84=5,"mediam",L84&lt;5,"low")</f>
        <v>High</v>
      </c>
      <c r="U84" s="1" t="str">
        <f t="shared" si="10"/>
        <v>High</v>
      </c>
    </row>
    <row r="85" spans="1:21" x14ac:dyDescent="0.3">
      <c r="A85" s="5">
        <v>10084</v>
      </c>
      <c r="B85" s="1">
        <v>1034</v>
      </c>
      <c r="C85" s="2">
        <v>45157</v>
      </c>
      <c r="D85" s="2">
        <v>45166</v>
      </c>
      <c r="E85" s="1" t="s">
        <v>40</v>
      </c>
      <c r="F85" s="1" t="s">
        <v>29</v>
      </c>
      <c r="G85" s="1" t="s">
        <v>30</v>
      </c>
      <c r="H85" s="1" t="s">
        <v>44</v>
      </c>
      <c r="I85" s="1" t="s">
        <v>52</v>
      </c>
      <c r="J85" s="1" t="s">
        <v>56</v>
      </c>
      <c r="K85" s="1" t="s">
        <v>33</v>
      </c>
      <c r="L85" s="1">
        <v>2</v>
      </c>
      <c r="M85" s="1">
        <v>2145.36</v>
      </c>
      <c r="N85" s="1">
        <v>20</v>
      </c>
      <c r="O85" s="1">
        <v>3432.58</v>
      </c>
      <c r="P85" s="1">
        <f t="shared" si="6"/>
        <v>4290.72</v>
      </c>
      <c r="Q85" s="10">
        <f t="shared" si="7"/>
        <v>686.51600000000008</v>
      </c>
      <c r="R85" s="11">
        <f t="shared" si="8"/>
        <v>3604.2040000000002</v>
      </c>
      <c r="S85" s="1" t="str">
        <f t="shared" si="9"/>
        <v>Low</v>
      </c>
      <c r="T85" s="1" t="str" cm="1">
        <f t="array" ref="T85">_xlfn.IFS(L85&gt;5,"High",L85=5,"mediam",L85&lt;5,"low")</f>
        <v>low</v>
      </c>
      <c r="U85" s="1" t="b">
        <f t="shared" si="10"/>
        <v>0</v>
      </c>
    </row>
    <row r="86" spans="1:21" x14ac:dyDescent="0.3">
      <c r="A86" s="5">
        <v>10085</v>
      </c>
      <c r="B86" s="1">
        <v>1205</v>
      </c>
      <c r="C86" s="2">
        <v>45145</v>
      </c>
      <c r="D86" s="2">
        <v>45148</v>
      </c>
      <c r="E86" s="1" t="s">
        <v>46</v>
      </c>
      <c r="F86" s="1" t="s">
        <v>16</v>
      </c>
      <c r="G86" s="1" t="s">
        <v>30</v>
      </c>
      <c r="H86" s="1" t="s">
        <v>18</v>
      </c>
      <c r="I86" s="1" t="s">
        <v>49</v>
      </c>
      <c r="J86" s="1" t="s">
        <v>50</v>
      </c>
      <c r="K86" s="1" t="s">
        <v>28</v>
      </c>
      <c r="L86" s="1">
        <v>1</v>
      </c>
      <c r="M86" s="1">
        <v>2883.94</v>
      </c>
      <c r="N86" s="1">
        <v>20</v>
      </c>
      <c r="O86" s="1">
        <v>2307.15</v>
      </c>
      <c r="P86" s="1">
        <f t="shared" si="6"/>
        <v>2883.94</v>
      </c>
      <c r="Q86" s="10">
        <f t="shared" si="7"/>
        <v>461.43000000000006</v>
      </c>
      <c r="R86" s="11">
        <f t="shared" si="8"/>
        <v>2422.5100000000002</v>
      </c>
      <c r="S86" s="1" t="str">
        <f t="shared" si="9"/>
        <v>Low</v>
      </c>
      <c r="T86" s="1" t="str" cm="1">
        <f t="array" ref="T86">_xlfn.IFS(L86&gt;5,"High",L86=5,"mediam",L86&lt;5,"low")</f>
        <v>low</v>
      </c>
      <c r="U86" s="1" t="b">
        <f t="shared" si="10"/>
        <v>0</v>
      </c>
    </row>
    <row r="87" spans="1:21" x14ac:dyDescent="0.3">
      <c r="A87" s="5">
        <v>10086</v>
      </c>
      <c r="B87" s="1">
        <v>1080</v>
      </c>
      <c r="C87" s="2">
        <v>44992</v>
      </c>
      <c r="D87" s="2">
        <v>44996</v>
      </c>
      <c r="E87" s="1" t="s">
        <v>34</v>
      </c>
      <c r="F87" s="1" t="s">
        <v>38</v>
      </c>
      <c r="G87" s="1" t="s">
        <v>30</v>
      </c>
      <c r="H87" s="1" t="s">
        <v>44</v>
      </c>
      <c r="I87" s="1" t="s">
        <v>31</v>
      </c>
      <c r="J87" s="1" t="s">
        <v>65</v>
      </c>
      <c r="K87" s="1" t="s">
        <v>45</v>
      </c>
      <c r="L87" s="1">
        <v>4</v>
      </c>
      <c r="M87" s="1">
        <v>518.55999999999995</v>
      </c>
      <c r="N87" s="1">
        <v>20</v>
      </c>
      <c r="O87" s="1">
        <v>1659.39</v>
      </c>
      <c r="P87" s="1">
        <f t="shared" si="6"/>
        <v>2074.2399999999998</v>
      </c>
      <c r="Q87" s="10">
        <f t="shared" si="7"/>
        <v>331.87800000000004</v>
      </c>
      <c r="R87" s="11">
        <f t="shared" si="8"/>
        <v>1742.3619999999996</v>
      </c>
      <c r="S87" s="1" t="str">
        <f t="shared" si="9"/>
        <v>Low</v>
      </c>
      <c r="T87" s="1" t="str" cm="1">
        <f t="array" ref="T87">_xlfn.IFS(L87&gt;5,"High",L87=5,"mediam",L87&lt;5,"low")</f>
        <v>low</v>
      </c>
      <c r="U87" s="1" t="b">
        <f t="shared" si="10"/>
        <v>0</v>
      </c>
    </row>
    <row r="88" spans="1:21" x14ac:dyDescent="0.3">
      <c r="A88" s="5">
        <v>10087</v>
      </c>
      <c r="B88" s="1">
        <v>1931</v>
      </c>
      <c r="C88" s="2">
        <v>45038</v>
      </c>
      <c r="D88" s="2">
        <v>45045</v>
      </c>
      <c r="E88" s="1" t="s">
        <v>40</v>
      </c>
      <c r="F88" s="1" t="s">
        <v>29</v>
      </c>
      <c r="G88" s="1" t="s">
        <v>17</v>
      </c>
      <c r="H88" s="1" t="s">
        <v>18</v>
      </c>
      <c r="I88" s="1" t="s">
        <v>31</v>
      </c>
      <c r="J88" s="1" t="s">
        <v>39</v>
      </c>
      <c r="K88" s="1" t="s">
        <v>47</v>
      </c>
      <c r="L88" s="1">
        <v>7</v>
      </c>
      <c r="M88" s="1">
        <v>1373.12</v>
      </c>
      <c r="N88" s="1">
        <v>5</v>
      </c>
      <c r="O88" s="1">
        <v>9131.25</v>
      </c>
      <c r="P88" s="1">
        <f t="shared" si="6"/>
        <v>9611.84</v>
      </c>
      <c r="Q88" s="10">
        <f t="shared" si="7"/>
        <v>456.5625</v>
      </c>
      <c r="R88" s="11">
        <f t="shared" si="8"/>
        <v>9155.2775000000001</v>
      </c>
      <c r="S88" s="1" t="str">
        <f t="shared" si="9"/>
        <v>High</v>
      </c>
      <c r="T88" s="1" t="str" cm="1">
        <f t="array" ref="T88">_xlfn.IFS(L88&gt;5,"High",L88=5,"mediam",L88&lt;5,"low")</f>
        <v>High</v>
      </c>
      <c r="U88" s="1" t="str">
        <f t="shared" si="10"/>
        <v>High</v>
      </c>
    </row>
    <row r="89" spans="1:21" x14ac:dyDescent="0.3">
      <c r="A89" s="5">
        <v>10088</v>
      </c>
      <c r="B89" s="1">
        <v>1561</v>
      </c>
      <c r="C89" s="2">
        <v>44939</v>
      </c>
      <c r="D89" s="2">
        <v>44946</v>
      </c>
      <c r="E89" s="1" t="s">
        <v>34</v>
      </c>
      <c r="F89" s="1" t="s">
        <v>29</v>
      </c>
      <c r="G89" s="1" t="s">
        <v>17</v>
      </c>
      <c r="H89" s="1" t="s">
        <v>42</v>
      </c>
      <c r="I89" s="1" t="s">
        <v>49</v>
      </c>
      <c r="J89" s="1" t="s">
        <v>63</v>
      </c>
      <c r="K89" s="1" t="s">
        <v>47</v>
      </c>
      <c r="L89" s="1">
        <v>3</v>
      </c>
      <c r="M89" s="1">
        <v>3879.4</v>
      </c>
      <c r="N89" s="1">
        <v>20</v>
      </c>
      <c r="O89" s="1">
        <v>9310.56</v>
      </c>
      <c r="P89" s="1">
        <f t="shared" si="6"/>
        <v>11638.2</v>
      </c>
      <c r="Q89" s="10">
        <f t="shared" si="7"/>
        <v>1862.1120000000001</v>
      </c>
      <c r="R89" s="11">
        <f t="shared" si="8"/>
        <v>9776.0879999999997</v>
      </c>
      <c r="S89" s="1" t="str">
        <f t="shared" si="9"/>
        <v>Low</v>
      </c>
      <c r="T89" s="1" t="str" cm="1">
        <f t="array" ref="T89">_xlfn.IFS(L89&gt;5,"High",L89=5,"mediam",L89&lt;5,"low")</f>
        <v>low</v>
      </c>
      <c r="U89" s="1" t="b">
        <f t="shared" si="10"/>
        <v>0</v>
      </c>
    </row>
    <row r="90" spans="1:21" x14ac:dyDescent="0.3">
      <c r="A90" s="5">
        <v>10089</v>
      </c>
      <c r="B90" s="1">
        <v>1871</v>
      </c>
      <c r="C90" s="2">
        <v>45012</v>
      </c>
      <c r="D90" s="2">
        <v>45016</v>
      </c>
      <c r="E90" s="1" t="s">
        <v>46</v>
      </c>
      <c r="F90" s="1" t="s">
        <v>16</v>
      </c>
      <c r="G90" s="1" t="s">
        <v>24</v>
      </c>
      <c r="H90" s="1" t="s">
        <v>42</v>
      </c>
      <c r="I90" s="1" t="s">
        <v>31</v>
      </c>
      <c r="J90" s="1" t="s">
        <v>48</v>
      </c>
      <c r="K90" s="1" t="s">
        <v>45</v>
      </c>
      <c r="L90" s="1">
        <v>3</v>
      </c>
      <c r="M90" s="1">
        <v>1160.02</v>
      </c>
      <c r="N90" s="1">
        <v>10</v>
      </c>
      <c r="O90" s="1">
        <v>3132.05</v>
      </c>
      <c r="P90" s="1">
        <f t="shared" si="6"/>
        <v>3480.06</v>
      </c>
      <c r="Q90" s="10">
        <f t="shared" si="7"/>
        <v>313.20500000000004</v>
      </c>
      <c r="R90" s="11">
        <f t="shared" si="8"/>
        <v>3166.855</v>
      </c>
      <c r="S90" s="1" t="str">
        <f t="shared" si="9"/>
        <v>Low</v>
      </c>
      <c r="T90" s="1" t="str" cm="1">
        <f t="array" ref="T90">_xlfn.IFS(L90&gt;5,"High",L90=5,"mediam",L90&lt;5,"low")</f>
        <v>low</v>
      </c>
      <c r="U90" s="1" t="b">
        <f t="shared" si="10"/>
        <v>0</v>
      </c>
    </row>
    <row r="91" spans="1:21" x14ac:dyDescent="0.3">
      <c r="A91" s="5">
        <v>10090</v>
      </c>
      <c r="B91" s="1">
        <v>1387</v>
      </c>
      <c r="C91" s="2">
        <v>45160</v>
      </c>
      <c r="D91" s="2">
        <v>45166</v>
      </c>
      <c r="E91" s="1" t="s">
        <v>46</v>
      </c>
      <c r="F91" s="1" t="s">
        <v>54</v>
      </c>
      <c r="G91" s="1" t="s">
        <v>17</v>
      </c>
      <c r="H91" s="1" t="s">
        <v>35</v>
      </c>
      <c r="I91" s="1" t="s">
        <v>26</v>
      </c>
      <c r="J91" s="1" t="s">
        <v>27</v>
      </c>
      <c r="K91" s="1" t="s">
        <v>28</v>
      </c>
      <c r="L91" s="1">
        <v>5</v>
      </c>
      <c r="M91" s="1">
        <v>1355.24</v>
      </c>
      <c r="N91" s="1">
        <v>5</v>
      </c>
      <c r="O91" s="1">
        <v>6437.39</v>
      </c>
      <c r="P91" s="1">
        <f t="shared" si="6"/>
        <v>6776.2</v>
      </c>
      <c r="Q91" s="10">
        <f t="shared" si="7"/>
        <v>321.86950000000002</v>
      </c>
      <c r="R91" s="11">
        <f t="shared" si="8"/>
        <v>6454.3305</v>
      </c>
      <c r="S91" s="1" t="str">
        <f t="shared" si="9"/>
        <v>High</v>
      </c>
      <c r="T91" s="1" t="str" cm="1">
        <f t="array" ref="T91">_xlfn.IFS(L91&gt;5,"High",L91=5,"mediam",L91&lt;5,"low")</f>
        <v>mediam</v>
      </c>
      <c r="U91" s="1" t="b">
        <f t="shared" si="10"/>
        <v>0</v>
      </c>
    </row>
    <row r="92" spans="1:21" x14ac:dyDescent="0.3">
      <c r="A92" s="5">
        <v>10091</v>
      </c>
      <c r="B92" s="1">
        <v>1001</v>
      </c>
      <c r="C92" s="2">
        <v>45016</v>
      </c>
      <c r="D92" s="2">
        <v>45019</v>
      </c>
      <c r="E92" s="1" t="s">
        <v>37</v>
      </c>
      <c r="F92" s="1" t="s">
        <v>16</v>
      </c>
      <c r="G92" s="1" t="s">
        <v>17</v>
      </c>
      <c r="H92" s="1" t="s">
        <v>44</v>
      </c>
      <c r="I92" s="1" t="s">
        <v>26</v>
      </c>
      <c r="J92" s="1" t="s">
        <v>27</v>
      </c>
      <c r="K92" s="1" t="s">
        <v>28</v>
      </c>
      <c r="L92" s="1">
        <v>5</v>
      </c>
      <c r="M92" s="1">
        <v>3370.52</v>
      </c>
      <c r="N92" s="1">
        <v>10</v>
      </c>
      <c r="O92" s="1">
        <v>15167.34</v>
      </c>
      <c r="P92" s="1">
        <f t="shared" si="6"/>
        <v>16852.599999999999</v>
      </c>
      <c r="Q92" s="10">
        <f t="shared" si="7"/>
        <v>1516.7340000000002</v>
      </c>
      <c r="R92" s="11">
        <f t="shared" si="8"/>
        <v>15335.865999999998</v>
      </c>
      <c r="S92" s="1" t="str">
        <f t="shared" si="9"/>
        <v>High</v>
      </c>
      <c r="T92" s="1" t="str" cm="1">
        <f t="array" ref="T92">_xlfn.IFS(L92&gt;5,"High",L92=5,"mediam",L92&lt;5,"low")</f>
        <v>mediam</v>
      </c>
      <c r="U92" s="1" t="b">
        <f t="shared" si="10"/>
        <v>0</v>
      </c>
    </row>
    <row r="93" spans="1:21" x14ac:dyDescent="0.3">
      <c r="A93" s="5">
        <v>10092</v>
      </c>
      <c r="B93" s="1">
        <v>1389</v>
      </c>
      <c r="C93" s="2">
        <v>45240</v>
      </c>
      <c r="D93" s="2">
        <v>45246</v>
      </c>
      <c r="E93" s="1" t="s">
        <v>46</v>
      </c>
      <c r="F93" s="1" t="s">
        <v>38</v>
      </c>
      <c r="G93" s="1" t="s">
        <v>30</v>
      </c>
      <c r="H93" s="1" t="s">
        <v>18</v>
      </c>
      <c r="I93" s="1" t="s">
        <v>49</v>
      </c>
      <c r="J93" s="1" t="s">
        <v>50</v>
      </c>
      <c r="K93" s="1" t="s">
        <v>33</v>
      </c>
      <c r="L93" s="1">
        <v>3</v>
      </c>
      <c r="M93" s="1">
        <v>343.33</v>
      </c>
      <c r="N93" s="1">
        <v>5</v>
      </c>
      <c r="O93" s="1">
        <v>978.49</v>
      </c>
      <c r="P93" s="1">
        <f t="shared" si="6"/>
        <v>1029.99</v>
      </c>
      <c r="Q93" s="10">
        <f t="shared" si="7"/>
        <v>48.924500000000002</v>
      </c>
      <c r="R93" s="11">
        <f t="shared" si="8"/>
        <v>981.06550000000004</v>
      </c>
      <c r="S93" s="1" t="str">
        <f t="shared" si="9"/>
        <v>Low</v>
      </c>
      <c r="T93" s="1" t="str" cm="1">
        <f t="array" ref="T93">_xlfn.IFS(L93&gt;5,"High",L93=5,"mediam",L93&lt;5,"low")</f>
        <v>low</v>
      </c>
      <c r="U93" s="1" t="b">
        <f t="shared" si="10"/>
        <v>0</v>
      </c>
    </row>
    <row r="94" spans="1:21" x14ac:dyDescent="0.3">
      <c r="A94" s="5">
        <v>10093</v>
      </c>
      <c r="B94" s="1">
        <v>1565</v>
      </c>
      <c r="C94" s="2">
        <v>44980</v>
      </c>
      <c r="D94" s="2">
        <v>44982</v>
      </c>
      <c r="E94" s="1" t="s">
        <v>40</v>
      </c>
      <c r="F94" s="1" t="s">
        <v>29</v>
      </c>
      <c r="G94" s="1" t="s">
        <v>17</v>
      </c>
      <c r="H94" s="1" t="s">
        <v>42</v>
      </c>
      <c r="I94" s="1" t="s">
        <v>52</v>
      </c>
      <c r="J94" s="1" t="s">
        <v>56</v>
      </c>
      <c r="K94" s="1" t="s">
        <v>33</v>
      </c>
      <c r="L94" s="1">
        <v>9</v>
      </c>
      <c r="M94" s="1">
        <v>1938.76</v>
      </c>
      <c r="N94" s="1">
        <v>20</v>
      </c>
      <c r="O94" s="1">
        <v>13959.07</v>
      </c>
      <c r="P94" s="1">
        <f t="shared" si="6"/>
        <v>17448.84</v>
      </c>
      <c r="Q94" s="10">
        <f t="shared" si="7"/>
        <v>2791.8140000000003</v>
      </c>
      <c r="R94" s="11">
        <f t="shared" si="8"/>
        <v>14657.026</v>
      </c>
      <c r="S94" s="1" t="str">
        <f t="shared" si="9"/>
        <v>High</v>
      </c>
      <c r="T94" s="1" t="str" cm="1">
        <f t="array" ref="T94">_xlfn.IFS(L94&gt;5,"High",L94=5,"mediam",L94&lt;5,"low")</f>
        <v>High</v>
      </c>
      <c r="U94" s="1" t="str">
        <f t="shared" si="10"/>
        <v>High</v>
      </c>
    </row>
    <row r="95" spans="1:21" x14ac:dyDescent="0.3">
      <c r="A95" s="5">
        <v>10094</v>
      </c>
      <c r="B95" s="1">
        <v>1105</v>
      </c>
      <c r="C95" s="2">
        <v>44938</v>
      </c>
      <c r="D95" s="2">
        <v>44946</v>
      </c>
      <c r="E95" s="1" t="s">
        <v>22</v>
      </c>
      <c r="F95" s="1" t="s">
        <v>16</v>
      </c>
      <c r="G95" s="1" t="s">
        <v>30</v>
      </c>
      <c r="H95" s="1" t="s">
        <v>25</v>
      </c>
      <c r="I95" s="1" t="s">
        <v>52</v>
      </c>
      <c r="J95" s="1" t="s">
        <v>60</v>
      </c>
      <c r="K95" s="1" t="s">
        <v>21</v>
      </c>
      <c r="L95" s="1">
        <v>4</v>
      </c>
      <c r="M95" s="1">
        <v>1611.52</v>
      </c>
      <c r="N95" s="1">
        <v>10</v>
      </c>
      <c r="O95" s="1">
        <v>5801.47</v>
      </c>
      <c r="P95" s="1">
        <f t="shared" si="6"/>
        <v>6446.08</v>
      </c>
      <c r="Q95" s="10">
        <f t="shared" si="7"/>
        <v>580.14700000000005</v>
      </c>
      <c r="R95" s="11">
        <f t="shared" si="8"/>
        <v>5865.933</v>
      </c>
      <c r="S95" s="1" t="str">
        <f t="shared" si="9"/>
        <v>Low</v>
      </c>
      <c r="T95" s="1" t="str" cm="1">
        <f t="array" ref="T95">_xlfn.IFS(L95&gt;5,"High",L95=5,"mediam",L95&lt;5,"low")</f>
        <v>low</v>
      </c>
      <c r="U95" s="1" t="b">
        <f t="shared" si="10"/>
        <v>0</v>
      </c>
    </row>
    <row r="96" spans="1:21" x14ac:dyDescent="0.3">
      <c r="A96" s="5">
        <v>10095</v>
      </c>
      <c r="B96" s="1">
        <v>1771</v>
      </c>
      <c r="C96" s="2">
        <v>45135</v>
      </c>
      <c r="D96" s="2">
        <v>45137</v>
      </c>
      <c r="E96" s="1" t="s">
        <v>40</v>
      </c>
      <c r="F96" s="1" t="s">
        <v>54</v>
      </c>
      <c r="G96" s="1" t="s">
        <v>30</v>
      </c>
      <c r="H96" s="1" t="s">
        <v>42</v>
      </c>
      <c r="I96" s="1" t="s">
        <v>49</v>
      </c>
      <c r="J96" s="1" t="s">
        <v>50</v>
      </c>
      <c r="K96" s="1" t="s">
        <v>47</v>
      </c>
      <c r="L96" s="1">
        <v>3</v>
      </c>
      <c r="M96" s="1">
        <v>1368.86</v>
      </c>
      <c r="N96" s="1">
        <v>10</v>
      </c>
      <c r="O96" s="1">
        <v>3695.92</v>
      </c>
      <c r="P96" s="1">
        <f t="shared" si="6"/>
        <v>4106.58</v>
      </c>
      <c r="Q96" s="10">
        <f t="shared" si="7"/>
        <v>369.59200000000004</v>
      </c>
      <c r="R96" s="11">
        <f t="shared" si="8"/>
        <v>3736.9879999999998</v>
      </c>
      <c r="S96" s="1" t="str">
        <f t="shared" si="9"/>
        <v>Low</v>
      </c>
      <c r="T96" s="1" t="str" cm="1">
        <f t="array" ref="T96">_xlfn.IFS(L96&gt;5,"High",L96=5,"mediam",L96&lt;5,"low")</f>
        <v>low</v>
      </c>
      <c r="U96" s="1" t="b">
        <f t="shared" si="10"/>
        <v>0</v>
      </c>
    </row>
    <row r="97" spans="1:21" x14ac:dyDescent="0.3">
      <c r="A97" s="5">
        <v>10096</v>
      </c>
      <c r="B97" s="1">
        <v>1821</v>
      </c>
      <c r="C97" s="2">
        <v>44940</v>
      </c>
      <c r="D97" s="2">
        <v>44947</v>
      </c>
      <c r="E97" s="1" t="s">
        <v>40</v>
      </c>
      <c r="F97" s="1" t="s">
        <v>16</v>
      </c>
      <c r="G97" s="1" t="s">
        <v>17</v>
      </c>
      <c r="H97" s="1" t="s">
        <v>25</v>
      </c>
      <c r="I97" s="1" t="s">
        <v>52</v>
      </c>
      <c r="J97" s="1" t="s">
        <v>60</v>
      </c>
      <c r="K97" s="1" t="s">
        <v>33</v>
      </c>
      <c r="L97" s="1">
        <v>2</v>
      </c>
      <c r="M97" s="1">
        <v>1249.94</v>
      </c>
      <c r="N97" s="1">
        <v>10</v>
      </c>
      <c r="O97" s="1">
        <v>2249.89</v>
      </c>
      <c r="P97" s="1">
        <f t="shared" si="6"/>
        <v>2499.88</v>
      </c>
      <c r="Q97" s="10">
        <f t="shared" si="7"/>
        <v>224.989</v>
      </c>
      <c r="R97" s="11">
        <f t="shared" si="8"/>
        <v>2274.8910000000001</v>
      </c>
      <c r="S97" s="1" t="str">
        <f t="shared" si="9"/>
        <v>Low</v>
      </c>
      <c r="T97" s="1" t="str" cm="1">
        <f t="array" ref="T97">_xlfn.IFS(L97&gt;5,"High",L97=5,"mediam",L97&lt;5,"low")</f>
        <v>low</v>
      </c>
      <c r="U97" s="1" t="b">
        <f t="shared" si="10"/>
        <v>0</v>
      </c>
    </row>
    <row r="98" spans="1:21" x14ac:dyDescent="0.3">
      <c r="A98" s="5">
        <v>10097</v>
      </c>
      <c r="B98" s="1">
        <v>1476</v>
      </c>
      <c r="C98" s="2">
        <v>45047</v>
      </c>
      <c r="D98" s="2">
        <v>45056</v>
      </c>
      <c r="E98" s="1" t="s">
        <v>37</v>
      </c>
      <c r="F98" s="1" t="s">
        <v>23</v>
      </c>
      <c r="G98" s="1" t="s">
        <v>24</v>
      </c>
      <c r="H98" s="1" t="s">
        <v>18</v>
      </c>
      <c r="I98" s="1" t="s">
        <v>52</v>
      </c>
      <c r="J98" s="1" t="s">
        <v>60</v>
      </c>
      <c r="K98" s="1" t="s">
        <v>28</v>
      </c>
      <c r="L98" s="1">
        <v>9</v>
      </c>
      <c r="M98" s="1">
        <v>501.79</v>
      </c>
      <c r="N98" s="1">
        <v>5</v>
      </c>
      <c r="O98" s="1">
        <v>4290.3</v>
      </c>
      <c r="P98" s="1">
        <f t="shared" si="6"/>
        <v>4516.1100000000006</v>
      </c>
      <c r="Q98" s="10">
        <f t="shared" si="7"/>
        <v>214.51500000000001</v>
      </c>
      <c r="R98" s="11">
        <f t="shared" si="8"/>
        <v>4301.5950000000003</v>
      </c>
      <c r="S98" s="1" t="str">
        <f t="shared" si="9"/>
        <v>High</v>
      </c>
      <c r="T98" s="1" t="str" cm="1">
        <f t="array" ref="T98">_xlfn.IFS(L98&gt;5,"High",L98=5,"mediam",L98&lt;5,"low")</f>
        <v>High</v>
      </c>
      <c r="U98" s="1" t="str">
        <f t="shared" si="10"/>
        <v>High</v>
      </c>
    </row>
    <row r="99" spans="1:21" x14ac:dyDescent="0.3">
      <c r="A99" s="5">
        <v>10098</v>
      </c>
      <c r="B99" s="1">
        <v>1702</v>
      </c>
      <c r="C99" s="2">
        <v>44946</v>
      </c>
      <c r="D99" s="2">
        <v>44947</v>
      </c>
      <c r="E99" s="1" t="s">
        <v>37</v>
      </c>
      <c r="F99" s="1" t="s">
        <v>54</v>
      </c>
      <c r="G99" s="1" t="s">
        <v>24</v>
      </c>
      <c r="H99" s="1" t="s">
        <v>42</v>
      </c>
      <c r="I99" s="1" t="s">
        <v>26</v>
      </c>
      <c r="J99" s="1" t="s">
        <v>36</v>
      </c>
      <c r="K99" s="1" t="s">
        <v>45</v>
      </c>
      <c r="L99" s="1">
        <v>4</v>
      </c>
      <c r="M99" s="1">
        <v>1362.08</v>
      </c>
      <c r="N99" s="1">
        <v>15</v>
      </c>
      <c r="O99" s="1">
        <v>4631.07</v>
      </c>
      <c r="P99" s="1">
        <f t="shared" si="6"/>
        <v>5448.32</v>
      </c>
      <c r="Q99" s="10">
        <f t="shared" si="7"/>
        <v>694.66049999999996</v>
      </c>
      <c r="R99" s="11">
        <f t="shared" si="8"/>
        <v>4753.6594999999998</v>
      </c>
      <c r="S99" s="1" t="str">
        <f t="shared" si="9"/>
        <v>Low</v>
      </c>
      <c r="T99" s="1" t="str" cm="1">
        <f t="array" ref="T99">_xlfn.IFS(L99&gt;5,"High",L99=5,"mediam",L99&lt;5,"low")</f>
        <v>low</v>
      </c>
      <c r="U99" s="1" t="b">
        <f t="shared" si="10"/>
        <v>0</v>
      </c>
    </row>
    <row r="100" spans="1:21" x14ac:dyDescent="0.3">
      <c r="A100" s="5">
        <v>10099</v>
      </c>
      <c r="B100" s="1">
        <v>1401</v>
      </c>
      <c r="C100" s="2">
        <v>45001</v>
      </c>
      <c r="D100" s="2">
        <v>45009</v>
      </c>
      <c r="E100" s="1" t="s">
        <v>46</v>
      </c>
      <c r="F100" s="1" t="s">
        <v>38</v>
      </c>
      <c r="G100" s="1" t="s">
        <v>17</v>
      </c>
      <c r="H100" s="1" t="s">
        <v>42</v>
      </c>
      <c r="I100" s="1" t="s">
        <v>52</v>
      </c>
      <c r="J100" s="1" t="s">
        <v>53</v>
      </c>
      <c r="K100" s="1" t="s">
        <v>28</v>
      </c>
      <c r="L100" s="1">
        <v>3</v>
      </c>
      <c r="M100" s="1">
        <v>315.75</v>
      </c>
      <c r="N100" s="1">
        <v>20</v>
      </c>
      <c r="O100" s="1">
        <v>757.8</v>
      </c>
      <c r="P100" s="1">
        <f t="shared" si="6"/>
        <v>947.25</v>
      </c>
      <c r="Q100" s="10">
        <f t="shared" si="7"/>
        <v>151.56</v>
      </c>
      <c r="R100" s="11">
        <f t="shared" si="8"/>
        <v>795.69</v>
      </c>
      <c r="S100" s="1" t="str">
        <f t="shared" si="9"/>
        <v>Low</v>
      </c>
      <c r="T100" s="1" t="str" cm="1">
        <f t="array" ref="T100">_xlfn.IFS(L100&gt;5,"High",L100=5,"mediam",L100&lt;5,"low")</f>
        <v>low</v>
      </c>
      <c r="U100" s="1" t="b">
        <f t="shared" si="10"/>
        <v>0</v>
      </c>
    </row>
    <row r="101" spans="1:21" x14ac:dyDescent="0.3">
      <c r="A101" s="5">
        <v>10100</v>
      </c>
      <c r="B101" s="1">
        <v>1729</v>
      </c>
      <c r="C101" s="2">
        <v>45169</v>
      </c>
      <c r="D101" s="2">
        <v>45176</v>
      </c>
      <c r="E101" s="1" t="s">
        <v>16</v>
      </c>
      <c r="F101" s="1" t="s">
        <v>29</v>
      </c>
      <c r="G101" s="1" t="s">
        <v>24</v>
      </c>
      <c r="H101" s="1" t="s">
        <v>18</v>
      </c>
      <c r="I101" s="1" t="s">
        <v>19</v>
      </c>
      <c r="J101" s="1" t="s">
        <v>43</v>
      </c>
      <c r="K101" s="1" t="s">
        <v>47</v>
      </c>
      <c r="L101" s="1">
        <v>7</v>
      </c>
      <c r="M101" s="1">
        <v>3156.71</v>
      </c>
      <c r="N101" s="1">
        <v>10</v>
      </c>
      <c r="O101" s="1">
        <v>19887.27</v>
      </c>
      <c r="P101" s="1">
        <f t="shared" si="6"/>
        <v>22096.97</v>
      </c>
      <c r="Q101" s="10">
        <f t="shared" si="7"/>
        <v>1988.7270000000001</v>
      </c>
      <c r="R101" s="11">
        <f t="shared" si="8"/>
        <v>20108.243000000002</v>
      </c>
      <c r="S101" s="1" t="str">
        <f t="shared" si="9"/>
        <v>High</v>
      </c>
      <c r="T101" s="1" t="str" cm="1">
        <f t="array" ref="T101">_xlfn.IFS(L101&gt;5,"High",L101=5,"mediam",L101&lt;5,"low")</f>
        <v>High</v>
      </c>
      <c r="U101" s="1" t="str">
        <f t="shared" si="10"/>
        <v>High</v>
      </c>
    </row>
    <row r="102" spans="1:21" x14ac:dyDescent="0.3">
      <c r="A102" s="5">
        <v>10101</v>
      </c>
      <c r="B102" s="1">
        <v>1555</v>
      </c>
      <c r="C102" s="2">
        <v>45149</v>
      </c>
      <c r="D102" s="2">
        <v>45155</v>
      </c>
      <c r="E102" s="1" t="s">
        <v>16</v>
      </c>
      <c r="F102" s="1" t="s">
        <v>16</v>
      </c>
      <c r="G102" s="1" t="s">
        <v>30</v>
      </c>
      <c r="H102" s="1" t="s">
        <v>42</v>
      </c>
      <c r="I102" s="1" t="s">
        <v>57</v>
      </c>
      <c r="J102" s="1" t="s">
        <v>59</v>
      </c>
      <c r="K102" s="1" t="s">
        <v>28</v>
      </c>
      <c r="L102" s="1">
        <v>8</v>
      </c>
      <c r="M102" s="1">
        <v>1683.18</v>
      </c>
      <c r="N102" s="1">
        <v>15</v>
      </c>
      <c r="O102" s="1">
        <v>11445.62</v>
      </c>
      <c r="P102" s="1">
        <f t="shared" si="6"/>
        <v>13465.44</v>
      </c>
      <c r="Q102" s="10">
        <f t="shared" si="7"/>
        <v>1716.8430000000001</v>
      </c>
      <c r="R102" s="11">
        <f t="shared" si="8"/>
        <v>11748.597</v>
      </c>
      <c r="S102" s="1" t="str">
        <f t="shared" si="9"/>
        <v>High</v>
      </c>
      <c r="T102" s="1" t="str" cm="1">
        <f t="array" ref="T102">_xlfn.IFS(L102&gt;5,"High",L102=5,"mediam",L102&lt;5,"low")</f>
        <v>High</v>
      </c>
      <c r="U102" s="1" t="str">
        <f t="shared" si="10"/>
        <v>High</v>
      </c>
    </row>
    <row r="103" spans="1:21" x14ac:dyDescent="0.3">
      <c r="A103" s="5">
        <v>10102</v>
      </c>
      <c r="B103" s="1">
        <v>1161</v>
      </c>
      <c r="C103" s="2">
        <v>44996</v>
      </c>
      <c r="D103" s="2">
        <v>45002</v>
      </c>
      <c r="E103" s="1" t="s">
        <v>37</v>
      </c>
      <c r="F103" s="1" t="s">
        <v>54</v>
      </c>
      <c r="G103" s="1" t="s">
        <v>30</v>
      </c>
      <c r="H103" s="1" t="s">
        <v>25</v>
      </c>
      <c r="I103" s="1" t="s">
        <v>31</v>
      </c>
      <c r="J103" s="1" t="s">
        <v>39</v>
      </c>
      <c r="K103" s="1" t="s">
        <v>21</v>
      </c>
      <c r="L103" s="1">
        <v>2</v>
      </c>
      <c r="M103" s="1">
        <v>1859.03</v>
      </c>
      <c r="N103" s="1">
        <v>20</v>
      </c>
      <c r="O103" s="1">
        <v>2974.45</v>
      </c>
      <c r="P103" s="1">
        <f t="shared" si="6"/>
        <v>3718.06</v>
      </c>
      <c r="Q103" s="10">
        <f t="shared" si="7"/>
        <v>594.89</v>
      </c>
      <c r="R103" s="11">
        <f t="shared" si="8"/>
        <v>3123.17</v>
      </c>
      <c r="S103" s="1" t="str">
        <f t="shared" si="9"/>
        <v>Low</v>
      </c>
      <c r="T103" s="1" t="str" cm="1">
        <f t="array" ref="T103">_xlfn.IFS(L103&gt;5,"High",L103=5,"mediam",L103&lt;5,"low")</f>
        <v>low</v>
      </c>
      <c r="U103" s="1" t="b">
        <f t="shared" si="10"/>
        <v>0</v>
      </c>
    </row>
    <row r="104" spans="1:21" x14ac:dyDescent="0.3">
      <c r="A104" s="5">
        <v>10103</v>
      </c>
      <c r="B104" s="1">
        <v>1201</v>
      </c>
      <c r="C104" s="2">
        <v>45238</v>
      </c>
      <c r="D104" s="2">
        <v>45244</v>
      </c>
      <c r="E104" s="1" t="s">
        <v>46</v>
      </c>
      <c r="F104" s="1" t="s">
        <v>23</v>
      </c>
      <c r="G104" s="1" t="s">
        <v>17</v>
      </c>
      <c r="H104" s="1" t="s">
        <v>42</v>
      </c>
      <c r="I104" s="1" t="s">
        <v>19</v>
      </c>
      <c r="J104" s="1" t="s">
        <v>20</v>
      </c>
      <c r="K104" s="1" t="s">
        <v>47</v>
      </c>
      <c r="L104" s="1">
        <v>7</v>
      </c>
      <c r="M104" s="1">
        <v>3590.34</v>
      </c>
      <c r="N104" s="1">
        <v>20</v>
      </c>
      <c r="O104" s="1">
        <v>20105.900000000001</v>
      </c>
      <c r="P104" s="1">
        <f t="shared" si="6"/>
        <v>25132.38</v>
      </c>
      <c r="Q104" s="10">
        <f t="shared" si="7"/>
        <v>4021.1800000000003</v>
      </c>
      <c r="R104" s="11">
        <f t="shared" si="8"/>
        <v>21111.200000000001</v>
      </c>
      <c r="S104" s="1" t="str">
        <f t="shared" si="9"/>
        <v>High</v>
      </c>
      <c r="T104" s="1" t="str" cm="1">
        <f t="array" ref="T104">_xlfn.IFS(L104&gt;5,"High",L104=5,"mediam",L104&lt;5,"low")</f>
        <v>High</v>
      </c>
      <c r="U104" s="1" t="str">
        <f t="shared" si="10"/>
        <v>High</v>
      </c>
    </row>
    <row r="105" spans="1:21" x14ac:dyDescent="0.3">
      <c r="A105" s="5">
        <v>10104</v>
      </c>
      <c r="B105" s="1">
        <v>1957</v>
      </c>
      <c r="C105" s="2">
        <v>45137</v>
      </c>
      <c r="D105" s="2">
        <v>45146</v>
      </c>
      <c r="E105" s="1" t="s">
        <v>16</v>
      </c>
      <c r="F105" s="1" t="s">
        <v>54</v>
      </c>
      <c r="G105" s="1" t="s">
        <v>24</v>
      </c>
      <c r="H105" s="1" t="s">
        <v>44</v>
      </c>
      <c r="I105" s="1" t="s">
        <v>52</v>
      </c>
      <c r="J105" s="1" t="s">
        <v>53</v>
      </c>
      <c r="K105" s="1" t="s">
        <v>45</v>
      </c>
      <c r="L105" s="1">
        <v>5</v>
      </c>
      <c r="M105" s="1">
        <v>2683.51</v>
      </c>
      <c r="N105" s="1">
        <v>10</v>
      </c>
      <c r="O105" s="1">
        <v>12075.79</v>
      </c>
      <c r="P105" s="1">
        <f t="shared" si="6"/>
        <v>13417.550000000001</v>
      </c>
      <c r="Q105" s="10">
        <f t="shared" si="7"/>
        <v>1207.5790000000002</v>
      </c>
      <c r="R105" s="11">
        <f t="shared" si="8"/>
        <v>12209.971000000001</v>
      </c>
      <c r="S105" s="1" t="str">
        <f t="shared" si="9"/>
        <v>High</v>
      </c>
      <c r="T105" s="1" t="str" cm="1">
        <f t="array" ref="T105">_xlfn.IFS(L105&gt;5,"High",L105=5,"mediam",L105&lt;5,"low")</f>
        <v>mediam</v>
      </c>
      <c r="U105" s="1" t="b">
        <f t="shared" si="10"/>
        <v>0</v>
      </c>
    </row>
    <row r="106" spans="1:21" x14ac:dyDescent="0.3">
      <c r="A106" s="5">
        <v>10105</v>
      </c>
      <c r="B106" s="1">
        <v>1995</v>
      </c>
      <c r="C106" s="2">
        <v>45027</v>
      </c>
      <c r="D106" s="2">
        <v>45029</v>
      </c>
      <c r="E106" s="1" t="s">
        <v>46</v>
      </c>
      <c r="F106" s="1" t="s">
        <v>41</v>
      </c>
      <c r="G106" s="1" t="s">
        <v>24</v>
      </c>
      <c r="H106" s="1" t="s">
        <v>35</v>
      </c>
      <c r="I106" s="1" t="s">
        <v>26</v>
      </c>
      <c r="J106" s="1" t="s">
        <v>27</v>
      </c>
      <c r="K106" s="1" t="s">
        <v>21</v>
      </c>
      <c r="L106" s="1">
        <v>5</v>
      </c>
      <c r="M106" s="1">
        <v>181.03</v>
      </c>
      <c r="N106" s="1">
        <v>10</v>
      </c>
      <c r="O106" s="1">
        <v>814.63</v>
      </c>
      <c r="P106" s="1">
        <f t="shared" si="6"/>
        <v>905.15</v>
      </c>
      <c r="Q106" s="10">
        <f t="shared" si="7"/>
        <v>81.463000000000008</v>
      </c>
      <c r="R106" s="11">
        <f t="shared" si="8"/>
        <v>823.68700000000001</v>
      </c>
      <c r="S106" s="1" t="str">
        <f t="shared" si="9"/>
        <v>High</v>
      </c>
      <c r="T106" s="1" t="str" cm="1">
        <f t="array" ref="T106">_xlfn.IFS(L106&gt;5,"High",L106=5,"mediam",L106&lt;5,"low")</f>
        <v>mediam</v>
      </c>
      <c r="U106" s="1" t="b">
        <f t="shared" si="10"/>
        <v>0</v>
      </c>
    </row>
    <row r="107" spans="1:21" x14ac:dyDescent="0.3">
      <c r="A107" s="5">
        <v>10106</v>
      </c>
      <c r="B107" s="1">
        <v>1269</v>
      </c>
      <c r="C107" s="2">
        <v>45112</v>
      </c>
      <c r="D107" s="2">
        <v>45113</v>
      </c>
      <c r="E107" s="1" t="s">
        <v>46</v>
      </c>
      <c r="F107" s="1" t="s">
        <v>23</v>
      </c>
      <c r="G107" s="1" t="s">
        <v>30</v>
      </c>
      <c r="H107" s="1" t="s">
        <v>25</v>
      </c>
      <c r="I107" s="1" t="s">
        <v>49</v>
      </c>
      <c r="J107" s="1" t="s">
        <v>63</v>
      </c>
      <c r="K107" s="1" t="s">
        <v>47</v>
      </c>
      <c r="L107" s="1">
        <v>3</v>
      </c>
      <c r="M107" s="1">
        <v>3781.22</v>
      </c>
      <c r="N107" s="1">
        <v>5</v>
      </c>
      <c r="O107" s="1">
        <v>10776.48</v>
      </c>
      <c r="P107" s="1">
        <f t="shared" si="6"/>
        <v>11343.66</v>
      </c>
      <c r="Q107" s="10">
        <f t="shared" si="7"/>
        <v>538.82399999999996</v>
      </c>
      <c r="R107" s="11">
        <f t="shared" si="8"/>
        <v>10804.835999999999</v>
      </c>
      <c r="S107" s="1" t="str">
        <f t="shared" si="9"/>
        <v>Low</v>
      </c>
      <c r="T107" s="1" t="str" cm="1">
        <f t="array" ref="T107">_xlfn.IFS(L107&gt;5,"High",L107=5,"mediam",L107&lt;5,"low")</f>
        <v>low</v>
      </c>
      <c r="U107" s="1" t="b">
        <f t="shared" si="10"/>
        <v>0</v>
      </c>
    </row>
    <row r="108" spans="1:21" x14ac:dyDescent="0.3">
      <c r="A108" s="5">
        <v>10107</v>
      </c>
      <c r="B108" s="1">
        <v>1862</v>
      </c>
      <c r="C108" s="2">
        <v>45058</v>
      </c>
      <c r="D108" s="2">
        <v>45064</v>
      </c>
      <c r="E108" s="1" t="s">
        <v>46</v>
      </c>
      <c r="F108" s="1" t="s">
        <v>38</v>
      </c>
      <c r="G108" s="1" t="s">
        <v>17</v>
      </c>
      <c r="H108" s="1" t="s">
        <v>44</v>
      </c>
      <c r="I108" s="1" t="s">
        <v>52</v>
      </c>
      <c r="J108" s="1" t="s">
        <v>60</v>
      </c>
      <c r="K108" s="1" t="s">
        <v>45</v>
      </c>
      <c r="L108" s="1">
        <v>5</v>
      </c>
      <c r="M108" s="1">
        <v>1063.01</v>
      </c>
      <c r="N108" s="1">
        <v>15</v>
      </c>
      <c r="O108" s="1">
        <v>4517.79</v>
      </c>
      <c r="P108" s="1">
        <f t="shared" si="6"/>
        <v>5315.05</v>
      </c>
      <c r="Q108" s="10">
        <f t="shared" si="7"/>
        <v>677.66849999999999</v>
      </c>
      <c r="R108" s="11">
        <f t="shared" si="8"/>
        <v>4637.3815000000004</v>
      </c>
      <c r="S108" s="1" t="str">
        <f t="shared" si="9"/>
        <v>High</v>
      </c>
      <c r="T108" s="1" t="str" cm="1">
        <f t="array" ref="T108">_xlfn.IFS(L108&gt;5,"High",L108=5,"mediam",L108&lt;5,"low")</f>
        <v>mediam</v>
      </c>
      <c r="U108" s="1" t="b">
        <f t="shared" si="10"/>
        <v>0</v>
      </c>
    </row>
    <row r="109" spans="1:21" x14ac:dyDescent="0.3">
      <c r="A109" s="5">
        <v>10108</v>
      </c>
      <c r="B109" s="1">
        <v>1815</v>
      </c>
      <c r="C109" s="2">
        <v>45037</v>
      </c>
      <c r="D109" s="2">
        <v>45045</v>
      </c>
      <c r="E109" s="1" t="s">
        <v>15</v>
      </c>
      <c r="F109" s="1" t="s">
        <v>29</v>
      </c>
      <c r="G109" s="1" t="s">
        <v>24</v>
      </c>
      <c r="H109" s="1" t="s">
        <v>18</v>
      </c>
      <c r="I109" s="1" t="s">
        <v>26</v>
      </c>
      <c r="J109" s="1" t="s">
        <v>36</v>
      </c>
      <c r="K109" s="1" t="s">
        <v>21</v>
      </c>
      <c r="L109" s="1">
        <v>2</v>
      </c>
      <c r="M109" s="1">
        <v>564.30999999999995</v>
      </c>
      <c r="N109" s="1">
        <v>15</v>
      </c>
      <c r="O109" s="1">
        <v>959.33</v>
      </c>
      <c r="P109" s="1">
        <f t="shared" si="6"/>
        <v>1128.6199999999999</v>
      </c>
      <c r="Q109" s="10">
        <f t="shared" si="7"/>
        <v>143.89949999999999</v>
      </c>
      <c r="R109" s="11">
        <f t="shared" si="8"/>
        <v>984.7204999999999</v>
      </c>
      <c r="S109" s="1" t="str">
        <f t="shared" si="9"/>
        <v>Low</v>
      </c>
      <c r="T109" s="1" t="str" cm="1">
        <f t="array" ref="T109">_xlfn.IFS(L109&gt;5,"High",L109=5,"mediam",L109&lt;5,"low")</f>
        <v>low</v>
      </c>
      <c r="U109" s="1" t="b">
        <f t="shared" si="10"/>
        <v>0</v>
      </c>
    </row>
    <row r="110" spans="1:21" x14ac:dyDescent="0.3">
      <c r="A110" s="5">
        <v>10109</v>
      </c>
      <c r="B110" s="1">
        <v>1270</v>
      </c>
      <c r="C110" s="2">
        <v>45058</v>
      </c>
      <c r="D110" s="2">
        <v>45061</v>
      </c>
      <c r="E110" s="1" t="s">
        <v>40</v>
      </c>
      <c r="F110" s="1" t="s">
        <v>38</v>
      </c>
      <c r="G110" s="1" t="s">
        <v>17</v>
      </c>
      <c r="H110" s="1" t="s">
        <v>25</v>
      </c>
      <c r="I110" s="1" t="s">
        <v>57</v>
      </c>
      <c r="J110" s="1" t="s">
        <v>59</v>
      </c>
      <c r="K110" s="1" t="s">
        <v>21</v>
      </c>
      <c r="L110" s="1">
        <v>4</v>
      </c>
      <c r="M110" s="1">
        <v>3107.29</v>
      </c>
      <c r="N110" s="1">
        <v>10</v>
      </c>
      <c r="O110" s="1">
        <v>11186.24</v>
      </c>
      <c r="P110" s="1">
        <f t="shared" si="6"/>
        <v>12429.16</v>
      </c>
      <c r="Q110" s="10">
        <f t="shared" si="7"/>
        <v>1118.624</v>
      </c>
      <c r="R110" s="11">
        <f t="shared" si="8"/>
        <v>11310.536</v>
      </c>
      <c r="S110" s="1" t="str">
        <f t="shared" si="9"/>
        <v>Low</v>
      </c>
      <c r="T110" s="1" t="str" cm="1">
        <f t="array" ref="T110">_xlfn.IFS(L110&gt;5,"High",L110=5,"mediam",L110&lt;5,"low")</f>
        <v>low</v>
      </c>
      <c r="U110" s="1" t="b">
        <f t="shared" si="10"/>
        <v>0</v>
      </c>
    </row>
    <row r="111" spans="1:21" x14ac:dyDescent="0.3">
      <c r="A111" s="5">
        <v>10110</v>
      </c>
      <c r="B111" s="1">
        <v>1455</v>
      </c>
      <c r="C111" s="2">
        <v>44946</v>
      </c>
      <c r="D111" s="2">
        <v>44947</v>
      </c>
      <c r="E111" s="1" t="s">
        <v>46</v>
      </c>
      <c r="F111" s="1" t="s">
        <v>16</v>
      </c>
      <c r="G111" s="1" t="s">
        <v>24</v>
      </c>
      <c r="H111" s="1" t="s">
        <v>35</v>
      </c>
      <c r="I111" s="1" t="s">
        <v>52</v>
      </c>
      <c r="J111" s="1" t="s">
        <v>56</v>
      </c>
      <c r="K111" s="1" t="s">
        <v>47</v>
      </c>
      <c r="L111" s="1">
        <v>6</v>
      </c>
      <c r="M111" s="1">
        <v>2076.84</v>
      </c>
      <c r="N111" s="1">
        <v>20</v>
      </c>
      <c r="O111" s="1">
        <v>9968.83</v>
      </c>
      <c r="P111" s="1">
        <f t="shared" si="6"/>
        <v>12461.04</v>
      </c>
      <c r="Q111" s="10">
        <f t="shared" si="7"/>
        <v>1993.7660000000001</v>
      </c>
      <c r="R111" s="11">
        <f t="shared" si="8"/>
        <v>10467.274000000001</v>
      </c>
      <c r="S111" s="1" t="str">
        <f t="shared" si="9"/>
        <v>High</v>
      </c>
      <c r="T111" s="1" t="str" cm="1">
        <f t="array" ref="T111">_xlfn.IFS(L111&gt;5,"High",L111=5,"mediam",L111&lt;5,"low")</f>
        <v>High</v>
      </c>
      <c r="U111" s="1" t="str">
        <f t="shared" si="10"/>
        <v>High</v>
      </c>
    </row>
    <row r="112" spans="1:21" x14ac:dyDescent="0.3">
      <c r="A112" s="5">
        <v>10111</v>
      </c>
      <c r="B112" s="1">
        <v>1461</v>
      </c>
      <c r="C112" s="2">
        <v>44950</v>
      </c>
      <c r="D112" s="2">
        <v>44959</v>
      </c>
      <c r="E112" s="1" t="s">
        <v>15</v>
      </c>
      <c r="F112" s="1" t="s">
        <v>54</v>
      </c>
      <c r="G112" s="1" t="s">
        <v>30</v>
      </c>
      <c r="H112" s="1" t="s">
        <v>35</v>
      </c>
      <c r="I112" s="1" t="s">
        <v>49</v>
      </c>
      <c r="J112" s="1" t="s">
        <v>68</v>
      </c>
      <c r="K112" s="1" t="s">
        <v>33</v>
      </c>
      <c r="L112" s="1">
        <v>1</v>
      </c>
      <c r="M112" s="1">
        <v>1820.02</v>
      </c>
      <c r="N112" s="1">
        <v>10</v>
      </c>
      <c r="O112" s="1">
        <v>1638.02</v>
      </c>
      <c r="P112" s="1">
        <f t="shared" si="6"/>
        <v>1820.02</v>
      </c>
      <c r="Q112" s="10">
        <f t="shared" si="7"/>
        <v>163.80200000000002</v>
      </c>
      <c r="R112" s="11">
        <f t="shared" si="8"/>
        <v>1656.2179999999998</v>
      </c>
      <c r="S112" s="1" t="str">
        <f t="shared" si="9"/>
        <v>Low</v>
      </c>
      <c r="T112" s="1" t="str" cm="1">
        <f t="array" ref="T112">_xlfn.IFS(L112&gt;5,"High",L112=5,"mediam",L112&lt;5,"low")</f>
        <v>low</v>
      </c>
      <c r="U112" s="1" t="b">
        <f t="shared" si="10"/>
        <v>0</v>
      </c>
    </row>
    <row r="113" spans="1:21" x14ac:dyDescent="0.3">
      <c r="A113" s="5">
        <v>10112</v>
      </c>
      <c r="B113" s="1">
        <v>1726</v>
      </c>
      <c r="C113" s="2">
        <v>45153</v>
      </c>
      <c r="D113" s="2">
        <v>45154</v>
      </c>
      <c r="E113" s="1" t="s">
        <v>37</v>
      </c>
      <c r="F113" s="1" t="s">
        <v>41</v>
      </c>
      <c r="G113" s="1" t="s">
        <v>30</v>
      </c>
      <c r="H113" s="1" t="s">
        <v>18</v>
      </c>
      <c r="I113" s="1" t="s">
        <v>26</v>
      </c>
      <c r="J113" s="1" t="s">
        <v>36</v>
      </c>
      <c r="K113" s="1" t="s">
        <v>21</v>
      </c>
      <c r="L113" s="1">
        <v>4</v>
      </c>
      <c r="M113" s="1">
        <v>1110.5899999999999</v>
      </c>
      <c r="N113" s="1">
        <v>20</v>
      </c>
      <c r="O113" s="1">
        <v>3553.89</v>
      </c>
      <c r="P113" s="1">
        <f t="shared" si="6"/>
        <v>4442.3599999999997</v>
      </c>
      <c r="Q113" s="10">
        <f t="shared" si="7"/>
        <v>710.77800000000002</v>
      </c>
      <c r="R113" s="11">
        <f t="shared" si="8"/>
        <v>3731.5819999999994</v>
      </c>
      <c r="S113" s="1" t="str">
        <f t="shared" si="9"/>
        <v>Low</v>
      </c>
      <c r="T113" s="1" t="str" cm="1">
        <f t="array" ref="T113">_xlfn.IFS(L113&gt;5,"High",L113=5,"mediam",L113&lt;5,"low")</f>
        <v>low</v>
      </c>
      <c r="U113" s="1" t="b">
        <f t="shared" si="10"/>
        <v>0</v>
      </c>
    </row>
    <row r="114" spans="1:21" x14ac:dyDescent="0.3">
      <c r="A114" s="5">
        <v>10113</v>
      </c>
      <c r="B114" s="1">
        <v>1251</v>
      </c>
      <c r="C114" s="2">
        <v>45080</v>
      </c>
      <c r="D114" s="2">
        <v>45083</v>
      </c>
      <c r="E114" s="1" t="s">
        <v>16</v>
      </c>
      <c r="F114" s="1" t="s">
        <v>23</v>
      </c>
      <c r="G114" s="1" t="s">
        <v>17</v>
      </c>
      <c r="H114" s="1" t="s">
        <v>18</v>
      </c>
      <c r="I114" s="1" t="s">
        <v>26</v>
      </c>
      <c r="J114" s="1" t="s">
        <v>61</v>
      </c>
      <c r="K114" s="1" t="s">
        <v>21</v>
      </c>
      <c r="L114" s="1">
        <v>6</v>
      </c>
      <c r="M114" s="1">
        <v>2257.77</v>
      </c>
      <c r="N114" s="1">
        <v>20</v>
      </c>
      <c r="O114" s="1">
        <v>10837.3</v>
      </c>
      <c r="P114" s="1">
        <f t="shared" si="6"/>
        <v>13546.619999999999</v>
      </c>
      <c r="Q114" s="10">
        <f t="shared" si="7"/>
        <v>2167.46</v>
      </c>
      <c r="R114" s="11">
        <f t="shared" si="8"/>
        <v>11379.16</v>
      </c>
      <c r="S114" s="1" t="str">
        <f t="shared" si="9"/>
        <v>High</v>
      </c>
      <c r="T114" s="1" t="str" cm="1">
        <f t="array" ref="T114">_xlfn.IFS(L114&gt;5,"High",L114=5,"mediam",L114&lt;5,"low")</f>
        <v>High</v>
      </c>
      <c r="U114" s="1" t="str">
        <f t="shared" si="10"/>
        <v>High</v>
      </c>
    </row>
    <row r="115" spans="1:21" x14ac:dyDescent="0.3">
      <c r="A115" s="5">
        <v>10114</v>
      </c>
      <c r="B115" s="1">
        <v>1701</v>
      </c>
      <c r="C115" s="2">
        <v>45219</v>
      </c>
      <c r="D115" s="2">
        <v>45227</v>
      </c>
      <c r="E115" s="1" t="s">
        <v>40</v>
      </c>
      <c r="F115" s="1" t="s">
        <v>23</v>
      </c>
      <c r="G115" s="1" t="s">
        <v>30</v>
      </c>
      <c r="H115" s="1" t="s">
        <v>25</v>
      </c>
      <c r="I115" s="1" t="s">
        <v>26</v>
      </c>
      <c r="J115" s="1" t="s">
        <v>69</v>
      </c>
      <c r="K115" s="1" t="s">
        <v>45</v>
      </c>
      <c r="L115" s="1">
        <v>9</v>
      </c>
      <c r="M115" s="1">
        <v>1206.3800000000001</v>
      </c>
      <c r="N115" s="1">
        <v>10</v>
      </c>
      <c r="O115" s="1">
        <v>9771.68</v>
      </c>
      <c r="P115" s="1">
        <f t="shared" si="6"/>
        <v>10857.420000000002</v>
      </c>
      <c r="Q115" s="10">
        <f t="shared" si="7"/>
        <v>977.16800000000012</v>
      </c>
      <c r="R115" s="11">
        <f t="shared" si="8"/>
        <v>9880.2520000000022</v>
      </c>
      <c r="S115" s="1" t="str">
        <f t="shared" si="9"/>
        <v>High</v>
      </c>
      <c r="T115" s="1" t="str" cm="1">
        <f t="array" ref="T115">_xlfn.IFS(L115&gt;5,"High",L115=5,"mediam",L115&lt;5,"low")</f>
        <v>High</v>
      </c>
      <c r="U115" s="1" t="str">
        <f t="shared" si="10"/>
        <v>High</v>
      </c>
    </row>
    <row r="116" spans="1:21" x14ac:dyDescent="0.3">
      <c r="A116" s="5">
        <v>10115</v>
      </c>
      <c r="B116" s="1">
        <v>1295</v>
      </c>
      <c r="C116" s="2">
        <v>45156</v>
      </c>
      <c r="D116" s="2">
        <v>45159</v>
      </c>
      <c r="E116" s="1" t="s">
        <v>22</v>
      </c>
      <c r="F116" s="1" t="s">
        <v>54</v>
      </c>
      <c r="G116" s="1" t="s">
        <v>24</v>
      </c>
      <c r="H116" s="1" t="s">
        <v>42</v>
      </c>
      <c r="I116" s="1" t="s">
        <v>57</v>
      </c>
      <c r="J116" s="1" t="s">
        <v>62</v>
      </c>
      <c r="K116" s="1" t="s">
        <v>28</v>
      </c>
      <c r="L116" s="1">
        <v>2</v>
      </c>
      <c r="M116" s="1">
        <v>3621.09</v>
      </c>
      <c r="N116" s="1">
        <v>0</v>
      </c>
      <c r="O116" s="1">
        <v>7242.18</v>
      </c>
      <c r="P116" s="1">
        <f t="shared" si="6"/>
        <v>7242.18</v>
      </c>
      <c r="Q116" s="10">
        <f t="shared" si="7"/>
        <v>0</v>
      </c>
      <c r="R116" s="11">
        <f t="shared" si="8"/>
        <v>7242.18</v>
      </c>
      <c r="S116" s="1" t="str">
        <f t="shared" si="9"/>
        <v>Low</v>
      </c>
      <c r="T116" s="1" t="str" cm="1">
        <f t="array" ref="T116">_xlfn.IFS(L116&gt;5,"High",L116=5,"mediam",L116&lt;5,"low")</f>
        <v>low</v>
      </c>
      <c r="U116" s="1" t="b">
        <f t="shared" si="10"/>
        <v>0</v>
      </c>
    </row>
    <row r="117" spans="1:21" x14ac:dyDescent="0.3">
      <c r="A117" s="5">
        <v>10116</v>
      </c>
      <c r="B117" s="1">
        <v>1724</v>
      </c>
      <c r="C117" s="2">
        <v>45236</v>
      </c>
      <c r="D117" s="2">
        <v>45240</v>
      </c>
      <c r="E117" s="1" t="s">
        <v>16</v>
      </c>
      <c r="F117" s="1" t="s">
        <v>41</v>
      </c>
      <c r="G117" s="1" t="s">
        <v>30</v>
      </c>
      <c r="H117" s="1" t="s">
        <v>18</v>
      </c>
      <c r="I117" s="1" t="s">
        <v>52</v>
      </c>
      <c r="J117" s="1" t="s">
        <v>60</v>
      </c>
      <c r="K117" s="1" t="s">
        <v>47</v>
      </c>
      <c r="L117" s="1">
        <v>7</v>
      </c>
      <c r="M117" s="1">
        <v>978.54</v>
      </c>
      <c r="N117" s="1">
        <v>15</v>
      </c>
      <c r="O117" s="1">
        <v>5822.31</v>
      </c>
      <c r="P117" s="1">
        <f t="shared" si="6"/>
        <v>6849.78</v>
      </c>
      <c r="Q117" s="10">
        <f t="shared" si="7"/>
        <v>873.34649999999999</v>
      </c>
      <c r="R117" s="11">
        <f t="shared" si="8"/>
        <v>5976.4335000000001</v>
      </c>
      <c r="S117" s="1" t="str">
        <f t="shared" si="9"/>
        <v>High</v>
      </c>
      <c r="T117" s="1" t="str" cm="1">
        <f t="array" ref="T117">_xlfn.IFS(L117&gt;5,"High",L117=5,"mediam",L117&lt;5,"low")</f>
        <v>High</v>
      </c>
      <c r="U117" s="1" t="str">
        <f t="shared" si="10"/>
        <v>High</v>
      </c>
    </row>
    <row r="118" spans="1:21" x14ac:dyDescent="0.3">
      <c r="A118" s="5">
        <v>10117</v>
      </c>
      <c r="B118" s="1">
        <v>1719</v>
      </c>
      <c r="C118" s="2">
        <v>45285</v>
      </c>
      <c r="D118" s="2">
        <v>45293</v>
      </c>
      <c r="E118" s="1" t="s">
        <v>40</v>
      </c>
      <c r="F118" s="1" t="s">
        <v>54</v>
      </c>
      <c r="G118" s="1" t="s">
        <v>17</v>
      </c>
      <c r="H118" s="1" t="s">
        <v>42</v>
      </c>
      <c r="I118" s="1" t="s">
        <v>57</v>
      </c>
      <c r="J118" s="1" t="s">
        <v>58</v>
      </c>
      <c r="K118" s="1" t="s">
        <v>47</v>
      </c>
      <c r="L118" s="1">
        <v>6</v>
      </c>
      <c r="M118" s="1">
        <v>3554.77</v>
      </c>
      <c r="N118" s="1">
        <v>20</v>
      </c>
      <c r="O118" s="1">
        <v>17062.900000000001</v>
      </c>
      <c r="P118" s="1">
        <f t="shared" si="6"/>
        <v>21328.62</v>
      </c>
      <c r="Q118" s="10">
        <f t="shared" si="7"/>
        <v>3412.5800000000004</v>
      </c>
      <c r="R118" s="11">
        <f t="shared" si="8"/>
        <v>17916.039999999997</v>
      </c>
      <c r="S118" s="1" t="str">
        <f t="shared" si="9"/>
        <v>High</v>
      </c>
      <c r="T118" s="1" t="str" cm="1">
        <f t="array" ref="T118">_xlfn.IFS(L118&gt;5,"High",L118=5,"mediam",L118&lt;5,"low")</f>
        <v>High</v>
      </c>
      <c r="U118" s="1" t="str">
        <f t="shared" si="10"/>
        <v>High</v>
      </c>
    </row>
    <row r="119" spans="1:21" x14ac:dyDescent="0.3">
      <c r="A119" s="5">
        <v>10118</v>
      </c>
      <c r="B119" s="1">
        <v>1748</v>
      </c>
      <c r="C119" s="2">
        <v>45128</v>
      </c>
      <c r="D119" s="2">
        <v>45129</v>
      </c>
      <c r="E119" s="1" t="s">
        <v>22</v>
      </c>
      <c r="F119" s="1" t="s">
        <v>16</v>
      </c>
      <c r="G119" s="1" t="s">
        <v>17</v>
      </c>
      <c r="H119" s="1" t="s">
        <v>44</v>
      </c>
      <c r="I119" s="1" t="s">
        <v>31</v>
      </c>
      <c r="J119" s="1" t="s">
        <v>48</v>
      </c>
      <c r="K119" s="1" t="s">
        <v>33</v>
      </c>
      <c r="L119" s="1">
        <v>2</v>
      </c>
      <c r="M119" s="1">
        <v>2303.71</v>
      </c>
      <c r="N119" s="1">
        <v>20</v>
      </c>
      <c r="O119" s="1">
        <v>3685.94</v>
      </c>
      <c r="P119" s="1">
        <f t="shared" si="6"/>
        <v>4607.42</v>
      </c>
      <c r="Q119" s="10">
        <f t="shared" si="7"/>
        <v>737.1880000000001</v>
      </c>
      <c r="R119" s="11">
        <f t="shared" si="8"/>
        <v>3870.232</v>
      </c>
      <c r="S119" s="1" t="str">
        <f t="shared" si="9"/>
        <v>Low</v>
      </c>
      <c r="T119" s="1" t="str" cm="1">
        <f t="array" ref="T119">_xlfn.IFS(L119&gt;5,"High",L119=5,"mediam",L119&lt;5,"low")</f>
        <v>low</v>
      </c>
      <c r="U119" s="1" t="b">
        <f t="shared" si="10"/>
        <v>0</v>
      </c>
    </row>
    <row r="120" spans="1:21" x14ac:dyDescent="0.3">
      <c r="A120" s="5">
        <v>10119</v>
      </c>
      <c r="B120" s="1">
        <v>1337</v>
      </c>
      <c r="C120" s="2">
        <v>44964</v>
      </c>
      <c r="D120" s="2">
        <v>44970</v>
      </c>
      <c r="E120" s="1" t="s">
        <v>16</v>
      </c>
      <c r="F120" s="1" t="s">
        <v>38</v>
      </c>
      <c r="G120" s="1" t="s">
        <v>17</v>
      </c>
      <c r="H120" s="1" t="s">
        <v>35</v>
      </c>
      <c r="I120" s="1" t="s">
        <v>31</v>
      </c>
      <c r="J120" s="1" t="s">
        <v>32</v>
      </c>
      <c r="K120" s="1" t="s">
        <v>33</v>
      </c>
      <c r="L120" s="1">
        <v>8</v>
      </c>
      <c r="M120" s="1">
        <v>3339.68</v>
      </c>
      <c r="N120" s="1">
        <v>0</v>
      </c>
      <c r="O120" s="1">
        <v>26717.439999999999</v>
      </c>
      <c r="P120" s="1">
        <f t="shared" si="6"/>
        <v>26717.439999999999</v>
      </c>
      <c r="Q120" s="10">
        <f t="shared" si="7"/>
        <v>0</v>
      </c>
      <c r="R120" s="11">
        <f t="shared" si="8"/>
        <v>26717.439999999999</v>
      </c>
      <c r="S120" s="1" t="str">
        <f t="shared" si="9"/>
        <v>High</v>
      </c>
      <c r="T120" s="1" t="str" cm="1">
        <f t="array" ref="T120">_xlfn.IFS(L120&gt;5,"High",L120=5,"mediam",L120&lt;5,"low")</f>
        <v>High</v>
      </c>
      <c r="U120" s="1" t="str">
        <f t="shared" si="10"/>
        <v>High</v>
      </c>
    </row>
    <row r="121" spans="1:21" x14ac:dyDescent="0.3">
      <c r="A121" s="5">
        <v>10120</v>
      </c>
      <c r="B121" s="1">
        <v>1878</v>
      </c>
      <c r="C121" s="2">
        <v>45186</v>
      </c>
      <c r="D121" s="2">
        <v>45187</v>
      </c>
      <c r="E121" s="1" t="s">
        <v>40</v>
      </c>
      <c r="F121" s="1" t="s">
        <v>23</v>
      </c>
      <c r="G121" s="1" t="s">
        <v>24</v>
      </c>
      <c r="H121" s="1" t="s">
        <v>42</v>
      </c>
      <c r="I121" s="1" t="s">
        <v>52</v>
      </c>
      <c r="J121" s="1" t="s">
        <v>53</v>
      </c>
      <c r="K121" s="1" t="s">
        <v>47</v>
      </c>
      <c r="L121" s="1">
        <v>7</v>
      </c>
      <c r="M121" s="1">
        <v>2894.46</v>
      </c>
      <c r="N121" s="1">
        <v>5</v>
      </c>
      <c r="O121" s="1">
        <v>19248.16</v>
      </c>
      <c r="P121" s="1">
        <f t="shared" si="6"/>
        <v>20261.22</v>
      </c>
      <c r="Q121" s="10">
        <f t="shared" si="7"/>
        <v>962.40800000000002</v>
      </c>
      <c r="R121" s="11">
        <f t="shared" si="8"/>
        <v>19298.812000000002</v>
      </c>
      <c r="S121" s="1" t="str">
        <f t="shared" si="9"/>
        <v>High</v>
      </c>
      <c r="T121" s="1" t="str" cm="1">
        <f t="array" ref="T121">_xlfn.IFS(L121&gt;5,"High",L121=5,"mediam",L121&lt;5,"low")</f>
        <v>High</v>
      </c>
      <c r="U121" s="1" t="str">
        <f t="shared" si="10"/>
        <v>High</v>
      </c>
    </row>
    <row r="122" spans="1:21" x14ac:dyDescent="0.3">
      <c r="A122" s="5">
        <v>10121</v>
      </c>
      <c r="B122" s="1">
        <v>1052</v>
      </c>
      <c r="C122" s="2">
        <v>45114</v>
      </c>
      <c r="D122" s="2">
        <v>45115</v>
      </c>
      <c r="E122" s="1" t="s">
        <v>16</v>
      </c>
      <c r="F122" s="1" t="s">
        <v>16</v>
      </c>
      <c r="G122" s="1" t="s">
        <v>24</v>
      </c>
      <c r="H122" s="1" t="s">
        <v>35</v>
      </c>
      <c r="I122" s="1" t="s">
        <v>57</v>
      </c>
      <c r="J122" s="1" t="s">
        <v>62</v>
      </c>
      <c r="K122" s="1" t="s">
        <v>33</v>
      </c>
      <c r="L122" s="1">
        <v>5</v>
      </c>
      <c r="M122" s="1">
        <v>2832.28</v>
      </c>
      <c r="N122" s="1">
        <v>0</v>
      </c>
      <c r="O122" s="1">
        <v>14161.4</v>
      </c>
      <c r="P122" s="1">
        <f t="shared" si="6"/>
        <v>14161.400000000001</v>
      </c>
      <c r="Q122" s="10">
        <f t="shared" si="7"/>
        <v>0</v>
      </c>
      <c r="R122" s="11">
        <f t="shared" si="8"/>
        <v>14161.400000000001</v>
      </c>
      <c r="S122" s="1" t="str">
        <f t="shared" si="9"/>
        <v>High</v>
      </c>
      <c r="T122" s="1" t="str" cm="1">
        <f t="array" ref="T122">_xlfn.IFS(L122&gt;5,"High",L122=5,"mediam",L122&lt;5,"low")</f>
        <v>mediam</v>
      </c>
      <c r="U122" s="1" t="b">
        <f t="shared" si="10"/>
        <v>0</v>
      </c>
    </row>
    <row r="123" spans="1:21" x14ac:dyDescent="0.3">
      <c r="A123" s="5">
        <v>10122</v>
      </c>
      <c r="B123" s="1">
        <v>1791</v>
      </c>
      <c r="C123" s="2">
        <v>44983</v>
      </c>
      <c r="D123" s="2">
        <v>44991</v>
      </c>
      <c r="E123" s="1" t="s">
        <v>16</v>
      </c>
      <c r="F123" s="1" t="s">
        <v>38</v>
      </c>
      <c r="G123" s="1" t="s">
        <v>24</v>
      </c>
      <c r="H123" s="1" t="s">
        <v>42</v>
      </c>
      <c r="I123" s="1" t="s">
        <v>49</v>
      </c>
      <c r="J123" s="1" t="s">
        <v>63</v>
      </c>
      <c r="K123" s="1" t="s">
        <v>45</v>
      </c>
      <c r="L123" s="1">
        <v>5</v>
      </c>
      <c r="M123" s="1">
        <v>1398.73</v>
      </c>
      <c r="N123" s="1">
        <v>0</v>
      </c>
      <c r="O123" s="1">
        <v>6993.65</v>
      </c>
      <c r="P123" s="1">
        <f t="shared" si="6"/>
        <v>6993.65</v>
      </c>
      <c r="Q123" s="10">
        <f t="shared" si="7"/>
        <v>0</v>
      </c>
      <c r="R123" s="11">
        <f t="shared" si="8"/>
        <v>6993.65</v>
      </c>
      <c r="S123" s="1" t="str">
        <f t="shared" si="9"/>
        <v>High</v>
      </c>
      <c r="T123" s="1" t="str" cm="1">
        <f t="array" ref="T123">_xlfn.IFS(L123&gt;5,"High",L123=5,"mediam",L123&lt;5,"low")</f>
        <v>mediam</v>
      </c>
      <c r="U123" s="1" t="b">
        <f t="shared" si="10"/>
        <v>0</v>
      </c>
    </row>
    <row r="124" spans="1:21" x14ac:dyDescent="0.3">
      <c r="A124" s="5">
        <v>10123</v>
      </c>
      <c r="B124" s="1">
        <v>1921</v>
      </c>
      <c r="C124" s="2">
        <v>44946</v>
      </c>
      <c r="D124" s="2">
        <v>44950</v>
      </c>
      <c r="E124" s="1" t="s">
        <v>22</v>
      </c>
      <c r="F124" s="1" t="s">
        <v>16</v>
      </c>
      <c r="G124" s="1" t="s">
        <v>24</v>
      </c>
      <c r="H124" s="1" t="s">
        <v>44</v>
      </c>
      <c r="I124" s="1" t="s">
        <v>26</v>
      </c>
      <c r="J124" s="1" t="s">
        <v>69</v>
      </c>
      <c r="K124" s="1" t="s">
        <v>47</v>
      </c>
      <c r="L124" s="1">
        <v>7</v>
      </c>
      <c r="M124" s="1">
        <v>1050.5</v>
      </c>
      <c r="N124" s="1">
        <v>20</v>
      </c>
      <c r="O124" s="1">
        <v>5882.8</v>
      </c>
      <c r="P124" s="1">
        <f t="shared" si="6"/>
        <v>7353.5</v>
      </c>
      <c r="Q124" s="10">
        <f t="shared" si="7"/>
        <v>1176.5600000000002</v>
      </c>
      <c r="R124" s="11">
        <f t="shared" si="8"/>
        <v>6176.94</v>
      </c>
      <c r="S124" s="1" t="str">
        <f t="shared" si="9"/>
        <v>High</v>
      </c>
      <c r="T124" s="1" t="str" cm="1">
        <f t="array" ref="T124">_xlfn.IFS(L124&gt;5,"High",L124=5,"mediam",L124&lt;5,"low")</f>
        <v>High</v>
      </c>
      <c r="U124" s="1" t="str">
        <f t="shared" si="10"/>
        <v>High</v>
      </c>
    </row>
    <row r="125" spans="1:21" x14ac:dyDescent="0.3">
      <c r="A125" s="5">
        <v>10124</v>
      </c>
      <c r="B125" s="1">
        <v>1216</v>
      </c>
      <c r="C125" s="2">
        <v>45199</v>
      </c>
      <c r="D125" s="2">
        <v>45200</v>
      </c>
      <c r="E125" s="1" t="s">
        <v>16</v>
      </c>
      <c r="F125" s="1" t="s">
        <v>41</v>
      </c>
      <c r="G125" s="1" t="s">
        <v>24</v>
      </c>
      <c r="H125" s="1" t="s">
        <v>18</v>
      </c>
      <c r="I125" s="1" t="s">
        <v>26</v>
      </c>
      <c r="J125" s="1" t="s">
        <v>61</v>
      </c>
      <c r="K125" s="1" t="s">
        <v>33</v>
      </c>
      <c r="L125" s="1">
        <v>9</v>
      </c>
      <c r="M125" s="1">
        <v>961.91</v>
      </c>
      <c r="N125" s="1">
        <v>15</v>
      </c>
      <c r="O125" s="1">
        <v>7358.61</v>
      </c>
      <c r="P125" s="1">
        <f t="shared" si="6"/>
        <v>8657.19</v>
      </c>
      <c r="Q125" s="10">
        <f t="shared" si="7"/>
        <v>1103.7914999999998</v>
      </c>
      <c r="R125" s="11">
        <f t="shared" si="8"/>
        <v>7553.3985000000011</v>
      </c>
      <c r="S125" s="1" t="str">
        <f t="shared" si="9"/>
        <v>High</v>
      </c>
      <c r="T125" s="1" t="str" cm="1">
        <f t="array" ref="T125">_xlfn.IFS(L125&gt;5,"High",L125=5,"mediam",L125&lt;5,"low")</f>
        <v>High</v>
      </c>
      <c r="U125" s="1" t="str">
        <f t="shared" si="10"/>
        <v>High</v>
      </c>
    </row>
    <row r="126" spans="1:21" x14ac:dyDescent="0.3">
      <c r="A126" s="5">
        <v>10125</v>
      </c>
      <c r="B126" s="1">
        <v>1763</v>
      </c>
      <c r="C126" s="2">
        <v>45045</v>
      </c>
      <c r="D126" s="2">
        <v>45052</v>
      </c>
      <c r="E126" s="1" t="s">
        <v>16</v>
      </c>
      <c r="F126" s="1" t="s">
        <v>23</v>
      </c>
      <c r="G126" s="1" t="s">
        <v>30</v>
      </c>
      <c r="H126" s="1" t="s">
        <v>44</v>
      </c>
      <c r="I126" s="1" t="s">
        <v>52</v>
      </c>
      <c r="J126" s="1" t="s">
        <v>64</v>
      </c>
      <c r="K126" s="1" t="s">
        <v>47</v>
      </c>
      <c r="L126" s="1">
        <v>9</v>
      </c>
      <c r="M126" s="1">
        <v>3450.19</v>
      </c>
      <c r="N126" s="1">
        <v>0</v>
      </c>
      <c r="O126" s="1">
        <v>31051.71</v>
      </c>
      <c r="P126" s="1">
        <f t="shared" si="6"/>
        <v>31051.71</v>
      </c>
      <c r="Q126" s="10">
        <f t="shared" si="7"/>
        <v>0</v>
      </c>
      <c r="R126" s="11">
        <f t="shared" si="8"/>
        <v>31051.71</v>
      </c>
      <c r="S126" s="1" t="str">
        <f t="shared" si="9"/>
        <v>High</v>
      </c>
      <c r="T126" s="1" t="str" cm="1">
        <f t="array" ref="T126">_xlfn.IFS(L126&gt;5,"High",L126=5,"mediam",L126&lt;5,"low")</f>
        <v>High</v>
      </c>
      <c r="U126" s="1" t="str">
        <f t="shared" si="10"/>
        <v>High</v>
      </c>
    </row>
    <row r="127" spans="1:21" x14ac:dyDescent="0.3">
      <c r="A127" s="5">
        <v>10126</v>
      </c>
      <c r="B127" s="1">
        <v>1187</v>
      </c>
      <c r="C127" s="2">
        <v>44997</v>
      </c>
      <c r="D127" s="2">
        <v>45002</v>
      </c>
      <c r="E127" s="1" t="s">
        <v>22</v>
      </c>
      <c r="F127" s="1" t="s">
        <v>54</v>
      </c>
      <c r="G127" s="1" t="s">
        <v>24</v>
      </c>
      <c r="H127" s="1" t="s">
        <v>18</v>
      </c>
      <c r="I127" s="1" t="s">
        <v>31</v>
      </c>
      <c r="J127" s="1" t="s">
        <v>48</v>
      </c>
      <c r="K127" s="1" t="s">
        <v>28</v>
      </c>
      <c r="L127" s="1">
        <v>9</v>
      </c>
      <c r="M127" s="1">
        <v>3308.64</v>
      </c>
      <c r="N127" s="1">
        <v>5</v>
      </c>
      <c r="O127" s="1">
        <v>28288.87</v>
      </c>
      <c r="P127" s="1">
        <f t="shared" si="6"/>
        <v>29777.759999999998</v>
      </c>
      <c r="Q127" s="10">
        <f t="shared" si="7"/>
        <v>1414.4435000000001</v>
      </c>
      <c r="R127" s="11">
        <f t="shared" si="8"/>
        <v>28363.316499999997</v>
      </c>
      <c r="S127" s="1" t="str">
        <f t="shared" si="9"/>
        <v>High</v>
      </c>
      <c r="T127" s="1" t="str" cm="1">
        <f t="array" ref="T127">_xlfn.IFS(L127&gt;5,"High",L127=5,"mediam",L127&lt;5,"low")</f>
        <v>High</v>
      </c>
      <c r="U127" s="1" t="str">
        <f t="shared" si="10"/>
        <v>High</v>
      </c>
    </row>
    <row r="128" spans="1:21" x14ac:dyDescent="0.3">
      <c r="A128" s="5">
        <v>10127</v>
      </c>
      <c r="B128" s="1">
        <v>1379</v>
      </c>
      <c r="C128" s="2">
        <v>44930</v>
      </c>
      <c r="D128" s="2">
        <v>44935</v>
      </c>
      <c r="E128" s="1" t="s">
        <v>37</v>
      </c>
      <c r="F128" s="1" t="s">
        <v>54</v>
      </c>
      <c r="G128" s="1" t="s">
        <v>24</v>
      </c>
      <c r="H128" s="1" t="s">
        <v>18</v>
      </c>
      <c r="I128" s="1" t="s">
        <v>31</v>
      </c>
      <c r="J128" s="1" t="s">
        <v>39</v>
      </c>
      <c r="K128" s="1" t="s">
        <v>21</v>
      </c>
      <c r="L128" s="1">
        <v>6</v>
      </c>
      <c r="M128" s="1">
        <v>1846.21</v>
      </c>
      <c r="N128" s="1">
        <v>10</v>
      </c>
      <c r="O128" s="1">
        <v>9969.5300000000007</v>
      </c>
      <c r="P128" s="1">
        <f t="shared" si="6"/>
        <v>11077.26</v>
      </c>
      <c r="Q128" s="10">
        <f t="shared" si="7"/>
        <v>996.95300000000009</v>
      </c>
      <c r="R128" s="11">
        <f t="shared" si="8"/>
        <v>10080.307000000001</v>
      </c>
      <c r="S128" s="1" t="str">
        <f t="shared" si="9"/>
        <v>High</v>
      </c>
      <c r="T128" s="1" t="str" cm="1">
        <f t="array" ref="T128">_xlfn.IFS(L128&gt;5,"High",L128=5,"mediam",L128&lt;5,"low")</f>
        <v>High</v>
      </c>
      <c r="U128" s="1" t="str">
        <f t="shared" si="10"/>
        <v>High</v>
      </c>
    </row>
    <row r="129" spans="1:21" x14ac:dyDescent="0.3">
      <c r="A129" s="5">
        <v>10128</v>
      </c>
      <c r="B129" s="1">
        <v>1492</v>
      </c>
      <c r="C129" s="2">
        <v>45147</v>
      </c>
      <c r="D129" s="2">
        <v>45148</v>
      </c>
      <c r="E129" s="1" t="s">
        <v>46</v>
      </c>
      <c r="F129" s="1" t="s">
        <v>38</v>
      </c>
      <c r="G129" s="1" t="s">
        <v>30</v>
      </c>
      <c r="H129" s="1" t="s">
        <v>35</v>
      </c>
      <c r="I129" s="1" t="s">
        <v>26</v>
      </c>
      <c r="J129" s="1" t="s">
        <v>61</v>
      </c>
      <c r="K129" s="1" t="s">
        <v>47</v>
      </c>
      <c r="L129" s="1">
        <v>6</v>
      </c>
      <c r="M129" s="1">
        <v>659.76</v>
      </c>
      <c r="N129" s="1">
        <v>0</v>
      </c>
      <c r="O129" s="1">
        <v>3958.56</v>
      </c>
      <c r="P129" s="1">
        <f t="shared" si="6"/>
        <v>3958.56</v>
      </c>
      <c r="Q129" s="10">
        <f t="shared" si="7"/>
        <v>0</v>
      </c>
      <c r="R129" s="11">
        <f t="shared" si="8"/>
        <v>3958.56</v>
      </c>
      <c r="S129" s="1" t="str">
        <f t="shared" si="9"/>
        <v>High</v>
      </c>
      <c r="T129" s="1" t="str" cm="1">
        <f t="array" ref="T129">_xlfn.IFS(L129&gt;5,"High",L129=5,"mediam",L129&lt;5,"low")</f>
        <v>High</v>
      </c>
      <c r="U129" s="1" t="str">
        <f t="shared" si="10"/>
        <v>High</v>
      </c>
    </row>
    <row r="130" spans="1:21" x14ac:dyDescent="0.3">
      <c r="A130" s="5">
        <v>10129</v>
      </c>
      <c r="B130" s="1">
        <v>1040</v>
      </c>
      <c r="C130" s="2">
        <v>44940</v>
      </c>
      <c r="D130" s="2">
        <v>44946</v>
      </c>
      <c r="E130" s="1" t="s">
        <v>34</v>
      </c>
      <c r="F130" s="1" t="s">
        <v>29</v>
      </c>
      <c r="G130" s="1" t="s">
        <v>24</v>
      </c>
      <c r="H130" s="1" t="s">
        <v>44</v>
      </c>
      <c r="I130" s="1" t="s">
        <v>52</v>
      </c>
      <c r="J130" s="1" t="s">
        <v>56</v>
      </c>
      <c r="K130" s="1" t="s">
        <v>21</v>
      </c>
      <c r="L130" s="1">
        <v>3</v>
      </c>
      <c r="M130" s="1">
        <v>1621.67</v>
      </c>
      <c r="N130" s="1">
        <v>0</v>
      </c>
      <c r="O130" s="1">
        <v>4865.01</v>
      </c>
      <c r="P130" s="1">
        <f t="shared" si="6"/>
        <v>4865.01</v>
      </c>
      <c r="Q130" s="10">
        <f t="shared" si="7"/>
        <v>0</v>
      </c>
      <c r="R130" s="11">
        <f t="shared" si="8"/>
        <v>4865.01</v>
      </c>
      <c r="S130" s="1" t="str">
        <f t="shared" si="9"/>
        <v>Low</v>
      </c>
      <c r="T130" s="1" t="str" cm="1">
        <f t="array" ref="T130">_xlfn.IFS(L130&gt;5,"High",L130=5,"mediam",L130&lt;5,"low")</f>
        <v>low</v>
      </c>
      <c r="U130" s="1" t="b">
        <f t="shared" si="10"/>
        <v>0</v>
      </c>
    </row>
    <row r="131" spans="1:21" x14ac:dyDescent="0.3">
      <c r="A131" s="5">
        <v>10130</v>
      </c>
      <c r="B131" s="1">
        <v>1156</v>
      </c>
      <c r="C131" s="2">
        <v>44929</v>
      </c>
      <c r="D131" s="2">
        <v>44938</v>
      </c>
      <c r="E131" s="1" t="s">
        <v>15</v>
      </c>
      <c r="F131" s="1" t="s">
        <v>41</v>
      </c>
      <c r="G131" s="1" t="s">
        <v>17</v>
      </c>
      <c r="H131" s="1" t="s">
        <v>42</v>
      </c>
      <c r="I131" s="1" t="s">
        <v>57</v>
      </c>
      <c r="J131" s="1" t="s">
        <v>62</v>
      </c>
      <c r="K131" s="1" t="s">
        <v>33</v>
      </c>
      <c r="L131" s="1">
        <v>1</v>
      </c>
      <c r="M131" s="1">
        <v>2534.4699999999998</v>
      </c>
      <c r="N131" s="1">
        <v>5</v>
      </c>
      <c r="O131" s="1">
        <v>2407.75</v>
      </c>
      <c r="P131" s="1">
        <f t="shared" ref="P131:P194" si="11">L131*M131</f>
        <v>2534.4699999999998</v>
      </c>
      <c r="Q131" s="10">
        <f t="shared" ref="Q131:Q194" si="12">O131*N131%</f>
        <v>120.3875</v>
      </c>
      <c r="R131" s="11">
        <f t="shared" ref="R131:R194" si="13">P131-Q131</f>
        <v>2414.0825</v>
      </c>
      <c r="S131" s="1" t="str">
        <f t="shared" ref="S131:S194" si="14">IF(L131&gt;=5,"High","Low")</f>
        <v>Low</v>
      </c>
      <c r="T131" s="1" t="str" cm="1">
        <f t="array" ref="T131">_xlfn.IFS(L131&gt;5,"High",L131=5,"mediam",L131&lt;5,"low")</f>
        <v>low</v>
      </c>
      <c r="U131" s="1" t="b">
        <f t="shared" si="10"/>
        <v>0</v>
      </c>
    </row>
    <row r="132" spans="1:21" x14ac:dyDescent="0.3">
      <c r="A132" s="5">
        <v>10131</v>
      </c>
      <c r="B132" s="1">
        <v>1014</v>
      </c>
      <c r="C132" s="2">
        <v>45142</v>
      </c>
      <c r="D132" s="2">
        <v>45151</v>
      </c>
      <c r="E132" s="1" t="s">
        <v>34</v>
      </c>
      <c r="F132" s="1" t="s">
        <v>38</v>
      </c>
      <c r="G132" s="1" t="s">
        <v>24</v>
      </c>
      <c r="H132" s="1" t="s">
        <v>44</v>
      </c>
      <c r="I132" s="1" t="s">
        <v>31</v>
      </c>
      <c r="J132" s="1" t="s">
        <v>32</v>
      </c>
      <c r="K132" s="1" t="s">
        <v>21</v>
      </c>
      <c r="L132" s="1">
        <v>7</v>
      </c>
      <c r="M132" s="1">
        <v>1899.45</v>
      </c>
      <c r="N132" s="1">
        <v>15</v>
      </c>
      <c r="O132" s="1">
        <v>11301.73</v>
      </c>
      <c r="P132" s="1">
        <f t="shared" si="11"/>
        <v>13296.15</v>
      </c>
      <c r="Q132" s="10">
        <f t="shared" si="12"/>
        <v>1695.2594999999999</v>
      </c>
      <c r="R132" s="11">
        <f t="shared" si="13"/>
        <v>11600.8905</v>
      </c>
      <c r="S132" s="1" t="str">
        <f t="shared" si="14"/>
        <v>High</v>
      </c>
      <c r="T132" s="1" t="str" cm="1">
        <f t="array" ref="T132">_xlfn.IFS(L132&gt;5,"High",L132=5,"mediam",L132&lt;5,"low")</f>
        <v>High</v>
      </c>
      <c r="U132" s="1" t="str">
        <f t="shared" si="10"/>
        <v>High</v>
      </c>
    </row>
    <row r="133" spans="1:21" x14ac:dyDescent="0.3">
      <c r="A133" s="5">
        <v>10132</v>
      </c>
      <c r="B133" s="1">
        <v>1812</v>
      </c>
      <c r="C133" s="2">
        <v>45155</v>
      </c>
      <c r="D133" s="2">
        <v>45163</v>
      </c>
      <c r="E133" s="1" t="s">
        <v>34</v>
      </c>
      <c r="F133" s="1" t="s">
        <v>29</v>
      </c>
      <c r="G133" s="1" t="s">
        <v>24</v>
      </c>
      <c r="H133" s="1" t="s">
        <v>35</v>
      </c>
      <c r="I133" s="1" t="s">
        <v>57</v>
      </c>
      <c r="J133" s="1" t="s">
        <v>58</v>
      </c>
      <c r="K133" s="1" t="s">
        <v>47</v>
      </c>
      <c r="L133" s="1">
        <v>4</v>
      </c>
      <c r="M133" s="1">
        <v>3153.73</v>
      </c>
      <c r="N133" s="1">
        <v>0</v>
      </c>
      <c r="O133" s="1">
        <v>12614.92</v>
      </c>
      <c r="P133" s="1">
        <f t="shared" si="11"/>
        <v>12614.92</v>
      </c>
      <c r="Q133" s="10">
        <f t="shared" si="12"/>
        <v>0</v>
      </c>
      <c r="R133" s="11">
        <f t="shared" si="13"/>
        <v>12614.92</v>
      </c>
      <c r="S133" s="1" t="str">
        <f t="shared" si="14"/>
        <v>Low</v>
      </c>
      <c r="T133" s="1" t="str" cm="1">
        <f t="array" ref="T133">_xlfn.IFS(L133&gt;5,"High",L133=5,"mediam",L133&lt;5,"low")</f>
        <v>low</v>
      </c>
      <c r="U133" s="1" t="b">
        <f t="shared" si="10"/>
        <v>0</v>
      </c>
    </row>
    <row r="134" spans="1:21" x14ac:dyDescent="0.3">
      <c r="A134" s="5">
        <v>10133</v>
      </c>
      <c r="B134" s="1">
        <v>1064</v>
      </c>
      <c r="C134" s="2">
        <v>45262</v>
      </c>
      <c r="D134" s="2">
        <v>45267</v>
      </c>
      <c r="E134" s="1" t="s">
        <v>40</v>
      </c>
      <c r="F134" s="1" t="s">
        <v>16</v>
      </c>
      <c r="G134" s="1" t="s">
        <v>17</v>
      </c>
      <c r="H134" s="1" t="s">
        <v>18</v>
      </c>
      <c r="I134" s="1" t="s">
        <v>31</v>
      </c>
      <c r="J134" s="1" t="s">
        <v>48</v>
      </c>
      <c r="K134" s="1" t="s">
        <v>28</v>
      </c>
      <c r="L134" s="1">
        <v>1</v>
      </c>
      <c r="M134" s="1">
        <v>3990.85</v>
      </c>
      <c r="N134" s="1">
        <v>0</v>
      </c>
      <c r="O134" s="1">
        <v>3990.85</v>
      </c>
      <c r="P134" s="1">
        <f t="shared" si="11"/>
        <v>3990.85</v>
      </c>
      <c r="Q134" s="10">
        <f t="shared" si="12"/>
        <v>0</v>
      </c>
      <c r="R134" s="11">
        <f t="shared" si="13"/>
        <v>3990.85</v>
      </c>
      <c r="S134" s="1" t="str">
        <f t="shared" si="14"/>
        <v>Low</v>
      </c>
      <c r="T134" s="1" t="str" cm="1">
        <f t="array" ref="T134">_xlfn.IFS(L134&gt;5,"High",L134=5,"mediam",L134&lt;5,"low")</f>
        <v>low</v>
      </c>
      <c r="U134" s="1" t="b">
        <f t="shared" si="10"/>
        <v>0</v>
      </c>
    </row>
    <row r="135" spans="1:21" x14ac:dyDescent="0.3">
      <c r="A135" s="5">
        <v>10134</v>
      </c>
      <c r="B135" s="1">
        <v>1856</v>
      </c>
      <c r="C135" s="2">
        <v>45112</v>
      </c>
      <c r="D135" s="2">
        <v>45113</v>
      </c>
      <c r="E135" s="1" t="s">
        <v>46</v>
      </c>
      <c r="F135" s="1" t="s">
        <v>41</v>
      </c>
      <c r="G135" s="1" t="s">
        <v>17</v>
      </c>
      <c r="H135" s="1" t="s">
        <v>35</v>
      </c>
      <c r="I135" s="1" t="s">
        <v>31</v>
      </c>
      <c r="J135" s="1" t="s">
        <v>65</v>
      </c>
      <c r="K135" s="1" t="s">
        <v>33</v>
      </c>
      <c r="L135" s="1">
        <v>8</v>
      </c>
      <c r="M135" s="1">
        <v>885.86</v>
      </c>
      <c r="N135" s="1">
        <v>15</v>
      </c>
      <c r="O135" s="1">
        <v>6023.85</v>
      </c>
      <c r="P135" s="1">
        <f t="shared" si="11"/>
        <v>7086.88</v>
      </c>
      <c r="Q135" s="10">
        <f t="shared" si="12"/>
        <v>903.57749999999999</v>
      </c>
      <c r="R135" s="11">
        <f t="shared" si="13"/>
        <v>6183.3024999999998</v>
      </c>
      <c r="S135" s="1" t="str">
        <f t="shared" si="14"/>
        <v>High</v>
      </c>
      <c r="T135" s="1" t="str" cm="1">
        <f t="array" ref="T135">_xlfn.IFS(L135&gt;5,"High",L135=5,"mediam",L135&lt;5,"low")</f>
        <v>High</v>
      </c>
      <c r="U135" s="1" t="str">
        <f t="shared" si="10"/>
        <v>High</v>
      </c>
    </row>
    <row r="136" spans="1:21" x14ac:dyDescent="0.3">
      <c r="A136" s="5">
        <v>10135</v>
      </c>
      <c r="B136" s="1">
        <v>1838</v>
      </c>
      <c r="C136" s="2">
        <v>44981</v>
      </c>
      <c r="D136" s="2">
        <v>44990</v>
      </c>
      <c r="E136" s="1" t="s">
        <v>40</v>
      </c>
      <c r="F136" s="1" t="s">
        <v>16</v>
      </c>
      <c r="G136" s="1" t="s">
        <v>17</v>
      </c>
      <c r="H136" s="1" t="s">
        <v>25</v>
      </c>
      <c r="I136" s="1" t="s">
        <v>19</v>
      </c>
      <c r="J136" s="1" t="s">
        <v>43</v>
      </c>
      <c r="K136" s="1" t="s">
        <v>47</v>
      </c>
      <c r="L136" s="1">
        <v>6</v>
      </c>
      <c r="M136" s="1">
        <v>1919.66</v>
      </c>
      <c r="N136" s="1">
        <v>5</v>
      </c>
      <c r="O136" s="1">
        <v>10942.06</v>
      </c>
      <c r="P136" s="1">
        <f t="shared" si="11"/>
        <v>11517.960000000001</v>
      </c>
      <c r="Q136" s="10">
        <f t="shared" si="12"/>
        <v>547.10299999999995</v>
      </c>
      <c r="R136" s="11">
        <f t="shared" si="13"/>
        <v>10970.857000000002</v>
      </c>
      <c r="S136" s="1" t="str">
        <f t="shared" si="14"/>
        <v>High</v>
      </c>
      <c r="T136" s="1" t="str" cm="1">
        <f t="array" ref="T136">_xlfn.IFS(L136&gt;5,"High",L136=5,"mediam",L136&lt;5,"low")</f>
        <v>High</v>
      </c>
      <c r="U136" s="1" t="str">
        <f t="shared" si="10"/>
        <v>High</v>
      </c>
    </row>
    <row r="137" spans="1:21" x14ac:dyDescent="0.3">
      <c r="A137" s="5">
        <v>10136</v>
      </c>
      <c r="B137" s="1">
        <v>1520</v>
      </c>
      <c r="C137" s="2">
        <v>45180</v>
      </c>
      <c r="D137" s="2">
        <v>45181</v>
      </c>
      <c r="E137" s="1" t="s">
        <v>46</v>
      </c>
      <c r="F137" s="1" t="s">
        <v>23</v>
      </c>
      <c r="G137" s="1" t="s">
        <v>17</v>
      </c>
      <c r="H137" s="1" t="s">
        <v>25</v>
      </c>
      <c r="I137" s="1" t="s">
        <v>31</v>
      </c>
      <c r="J137" s="1" t="s">
        <v>39</v>
      </c>
      <c r="K137" s="1" t="s">
        <v>33</v>
      </c>
      <c r="L137" s="1">
        <v>6</v>
      </c>
      <c r="M137" s="1">
        <v>1809.29</v>
      </c>
      <c r="N137" s="1">
        <v>0</v>
      </c>
      <c r="O137" s="1">
        <v>10855.74</v>
      </c>
      <c r="P137" s="1">
        <f t="shared" si="11"/>
        <v>10855.74</v>
      </c>
      <c r="Q137" s="10">
        <f t="shared" si="12"/>
        <v>0</v>
      </c>
      <c r="R137" s="11">
        <f t="shared" si="13"/>
        <v>10855.74</v>
      </c>
      <c r="S137" s="1" t="str">
        <f t="shared" si="14"/>
        <v>High</v>
      </c>
      <c r="T137" s="1" t="str" cm="1">
        <f t="array" ref="T137">_xlfn.IFS(L137&gt;5,"High",L137=5,"mediam",L137&lt;5,"low")</f>
        <v>High</v>
      </c>
      <c r="U137" s="1" t="str">
        <f t="shared" ref="U137:U200" si="15">IF(L137&gt;5,"High",IF(L137="Mediam","Low"))</f>
        <v>High</v>
      </c>
    </row>
    <row r="138" spans="1:21" x14ac:dyDescent="0.3">
      <c r="A138" s="5">
        <v>10137</v>
      </c>
      <c r="B138" s="1">
        <v>1343</v>
      </c>
      <c r="C138" s="2">
        <v>44950</v>
      </c>
      <c r="D138" s="2">
        <v>44958</v>
      </c>
      <c r="E138" s="1" t="s">
        <v>22</v>
      </c>
      <c r="F138" s="1" t="s">
        <v>41</v>
      </c>
      <c r="G138" s="1" t="s">
        <v>24</v>
      </c>
      <c r="H138" s="1" t="s">
        <v>42</v>
      </c>
      <c r="I138" s="1" t="s">
        <v>49</v>
      </c>
      <c r="J138" s="1" t="s">
        <v>50</v>
      </c>
      <c r="K138" s="1" t="s">
        <v>45</v>
      </c>
      <c r="L138" s="1">
        <v>2</v>
      </c>
      <c r="M138" s="1">
        <v>1322.3</v>
      </c>
      <c r="N138" s="1">
        <v>15</v>
      </c>
      <c r="O138" s="1">
        <v>2247.91</v>
      </c>
      <c r="P138" s="1">
        <f t="shared" si="11"/>
        <v>2644.6</v>
      </c>
      <c r="Q138" s="10">
        <f t="shared" si="12"/>
        <v>337.18649999999997</v>
      </c>
      <c r="R138" s="11">
        <f t="shared" si="13"/>
        <v>2307.4135000000001</v>
      </c>
      <c r="S138" s="1" t="str">
        <f t="shared" si="14"/>
        <v>Low</v>
      </c>
      <c r="T138" s="1" t="str" cm="1">
        <f t="array" ref="T138">_xlfn.IFS(L138&gt;5,"High",L138=5,"mediam",L138&lt;5,"low")</f>
        <v>low</v>
      </c>
      <c r="U138" s="1" t="b">
        <f t="shared" si="15"/>
        <v>0</v>
      </c>
    </row>
    <row r="139" spans="1:21" x14ac:dyDescent="0.3">
      <c r="A139" s="5">
        <v>10138</v>
      </c>
      <c r="B139" s="1">
        <v>1128</v>
      </c>
      <c r="C139" s="2">
        <v>45088</v>
      </c>
      <c r="D139" s="2">
        <v>45093</v>
      </c>
      <c r="E139" s="1" t="s">
        <v>22</v>
      </c>
      <c r="F139" s="1" t="s">
        <v>29</v>
      </c>
      <c r="G139" s="1" t="s">
        <v>17</v>
      </c>
      <c r="H139" s="1" t="s">
        <v>35</v>
      </c>
      <c r="I139" s="1" t="s">
        <v>52</v>
      </c>
      <c r="J139" s="1" t="s">
        <v>53</v>
      </c>
      <c r="K139" s="1" t="s">
        <v>21</v>
      </c>
      <c r="L139" s="1">
        <v>1</v>
      </c>
      <c r="M139" s="1">
        <v>912.67</v>
      </c>
      <c r="N139" s="1">
        <v>0</v>
      </c>
      <c r="O139" s="1">
        <v>912.67</v>
      </c>
      <c r="P139" s="1">
        <f t="shared" si="11"/>
        <v>912.67</v>
      </c>
      <c r="Q139" s="10">
        <f t="shared" si="12"/>
        <v>0</v>
      </c>
      <c r="R139" s="11">
        <f t="shared" si="13"/>
        <v>912.67</v>
      </c>
      <c r="S139" s="1" t="str">
        <f t="shared" si="14"/>
        <v>Low</v>
      </c>
      <c r="T139" s="1" t="str" cm="1">
        <f t="array" ref="T139">_xlfn.IFS(L139&gt;5,"High",L139=5,"mediam",L139&lt;5,"low")</f>
        <v>low</v>
      </c>
      <c r="U139" s="1" t="b">
        <f t="shared" si="15"/>
        <v>0</v>
      </c>
    </row>
    <row r="140" spans="1:21" x14ac:dyDescent="0.3">
      <c r="A140" s="5">
        <v>10139</v>
      </c>
      <c r="B140" s="1">
        <v>1647</v>
      </c>
      <c r="C140" s="2">
        <v>45084</v>
      </c>
      <c r="D140" s="2">
        <v>45087</v>
      </c>
      <c r="E140" s="1" t="s">
        <v>46</v>
      </c>
      <c r="F140" s="1" t="s">
        <v>23</v>
      </c>
      <c r="G140" s="1" t="s">
        <v>17</v>
      </c>
      <c r="H140" s="1" t="s">
        <v>42</v>
      </c>
      <c r="I140" s="1" t="s">
        <v>52</v>
      </c>
      <c r="J140" s="1" t="s">
        <v>53</v>
      </c>
      <c r="K140" s="1" t="s">
        <v>45</v>
      </c>
      <c r="L140" s="1">
        <v>2</v>
      </c>
      <c r="M140" s="1">
        <v>402.91</v>
      </c>
      <c r="N140" s="1">
        <v>10</v>
      </c>
      <c r="O140" s="1">
        <v>725.24</v>
      </c>
      <c r="P140" s="1">
        <f t="shared" si="11"/>
        <v>805.82</v>
      </c>
      <c r="Q140" s="10">
        <f t="shared" si="12"/>
        <v>72.524000000000001</v>
      </c>
      <c r="R140" s="11">
        <f t="shared" si="13"/>
        <v>733.29600000000005</v>
      </c>
      <c r="S140" s="1" t="str">
        <f t="shared" si="14"/>
        <v>Low</v>
      </c>
      <c r="T140" s="1" t="str" cm="1">
        <f t="array" ref="T140">_xlfn.IFS(L140&gt;5,"High",L140=5,"mediam",L140&lt;5,"low")</f>
        <v>low</v>
      </c>
      <c r="U140" s="1" t="b">
        <f t="shared" si="15"/>
        <v>0</v>
      </c>
    </row>
    <row r="141" spans="1:21" x14ac:dyDescent="0.3">
      <c r="A141" s="5">
        <v>10140</v>
      </c>
      <c r="B141" s="1">
        <v>1471</v>
      </c>
      <c r="C141" s="2">
        <v>45008</v>
      </c>
      <c r="D141" s="2">
        <v>45015</v>
      </c>
      <c r="E141" s="1" t="s">
        <v>16</v>
      </c>
      <c r="F141" s="1" t="s">
        <v>54</v>
      </c>
      <c r="G141" s="1" t="s">
        <v>30</v>
      </c>
      <c r="H141" s="1" t="s">
        <v>42</v>
      </c>
      <c r="I141" s="1" t="s">
        <v>57</v>
      </c>
      <c r="J141" s="1" t="s">
        <v>59</v>
      </c>
      <c r="K141" s="1" t="s">
        <v>47</v>
      </c>
      <c r="L141" s="1">
        <v>4</v>
      </c>
      <c r="M141" s="1">
        <v>3565.41</v>
      </c>
      <c r="N141" s="1">
        <v>20</v>
      </c>
      <c r="O141" s="1">
        <v>11409.31</v>
      </c>
      <c r="P141" s="1">
        <f t="shared" si="11"/>
        <v>14261.64</v>
      </c>
      <c r="Q141" s="10">
        <f t="shared" si="12"/>
        <v>2281.8620000000001</v>
      </c>
      <c r="R141" s="11">
        <f t="shared" si="13"/>
        <v>11979.777999999998</v>
      </c>
      <c r="S141" s="1" t="str">
        <f t="shared" si="14"/>
        <v>Low</v>
      </c>
      <c r="T141" s="1" t="str" cm="1">
        <f t="array" ref="T141">_xlfn.IFS(L141&gt;5,"High",L141=5,"mediam",L141&lt;5,"low")</f>
        <v>low</v>
      </c>
      <c r="U141" s="1" t="b">
        <f t="shared" si="15"/>
        <v>0</v>
      </c>
    </row>
    <row r="142" spans="1:21" x14ac:dyDescent="0.3">
      <c r="A142" s="5">
        <v>10141</v>
      </c>
      <c r="B142" s="1">
        <v>1062</v>
      </c>
      <c r="C142" s="2">
        <v>45085</v>
      </c>
      <c r="D142" s="2">
        <v>45092</v>
      </c>
      <c r="E142" s="1" t="s">
        <v>37</v>
      </c>
      <c r="F142" s="1" t="s">
        <v>29</v>
      </c>
      <c r="G142" s="1" t="s">
        <v>17</v>
      </c>
      <c r="H142" s="1" t="s">
        <v>25</v>
      </c>
      <c r="I142" s="1" t="s">
        <v>31</v>
      </c>
      <c r="J142" s="1" t="s">
        <v>39</v>
      </c>
      <c r="K142" s="1" t="s">
        <v>28</v>
      </c>
      <c r="L142" s="1">
        <v>2</v>
      </c>
      <c r="M142" s="1">
        <v>1766.42</v>
      </c>
      <c r="N142" s="1">
        <v>10</v>
      </c>
      <c r="O142" s="1">
        <v>3179.56</v>
      </c>
      <c r="P142" s="1">
        <f t="shared" si="11"/>
        <v>3532.84</v>
      </c>
      <c r="Q142" s="10">
        <f t="shared" si="12"/>
        <v>317.95600000000002</v>
      </c>
      <c r="R142" s="11">
        <f t="shared" si="13"/>
        <v>3214.884</v>
      </c>
      <c r="S142" s="1" t="str">
        <f t="shared" si="14"/>
        <v>Low</v>
      </c>
      <c r="T142" s="1" t="str" cm="1">
        <f t="array" ref="T142">_xlfn.IFS(L142&gt;5,"High",L142=5,"mediam",L142&lt;5,"low")</f>
        <v>low</v>
      </c>
      <c r="U142" s="1" t="b">
        <f t="shared" si="15"/>
        <v>0</v>
      </c>
    </row>
    <row r="143" spans="1:21" x14ac:dyDescent="0.3">
      <c r="A143" s="5">
        <v>10142</v>
      </c>
      <c r="B143" s="1">
        <v>1138</v>
      </c>
      <c r="C143" s="2">
        <v>45114</v>
      </c>
      <c r="D143" s="2">
        <v>45123</v>
      </c>
      <c r="E143" s="1" t="s">
        <v>16</v>
      </c>
      <c r="F143" s="1" t="s">
        <v>38</v>
      </c>
      <c r="G143" s="1" t="s">
        <v>17</v>
      </c>
      <c r="H143" s="1" t="s">
        <v>42</v>
      </c>
      <c r="I143" s="1" t="s">
        <v>49</v>
      </c>
      <c r="J143" s="1" t="s">
        <v>51</v>
      </c>
      <c r="K143" s="1" t="s">
        <v>33</v>
      </c>
      <c r="L143" s="1">
        <v>1</v>
      </c>
      <c r="M143" s="1">
        <v>2063.0500000000002</v>
      </c>
      <c r="N143" s="1">
        <v>0</v>
      </c>
      <c r="O143" s="1">
        <v>2063.0500000000002</v>
      </c>
      <c r="P143" s="1">
        <f t="shared" si="11"/>
        <v>2063.0500000000002</v>
      </c>
      <c r="Q143" s="10">
        <f t="shared" si="12"/>
        <v>0</v>
      </c>
      <c r="R143" s="11">
        <f t="shared" si="13"/>
        <v>2063.0500000000002</v>
      </c>
      <c r="S143" s="1" t="str">
        <f t="shared" si="14"/>
        <v>Low</v>
      </c>
      <c r="T143" s="1" t="str" cm="1">
        <f t="array" ref="T143">_xlfn.IFS(L143&gt;5,"High",L143=5,"mediam",L143&lt;5,"low")</f>
        <v>low</v>
      </c>
      <c r="U143" s="1" t="b">
        <f t="shared" si="15"/>
        <v>0</v>
      </c>
    </row>
    <row r="144" spans="1:21" x14ac:dyDescent="0.3">
      <c r="A144" s="5">
        <v>10143</v>
      </c>
      <c r="B144" s="1">
        <v>1498</v>
      </c>
      <c r="C144" s="2">
        <v>44986</v>
      </c>
      <c r="D144" s="2">
        <v>44993</v>
      </c>
      <c r="E144" s="1" t="s">
        <v>37</v>
      </c>
      <c r="F144" s="1" t="s">
        <v>54</v>
      </c>
      <c r="G144" s="1" t="s">
        <v>30</v>
      </c>
      <c r="H144" s="1" t="s">
        <v>25</v>
      </c>
      <c r="I144" s="1" t="s">
        <v>57</v>
      </c>
      <c r="J144" s="1" t="s">
        <v>58</v>
      </c>
      <c r="K144" s="1" t="s">
        <v>21</v>
      </c>
      <c r="L144" s="1">
        <v>7</v>
      </c>
      <c r="M144" s="1">
        <v>3680.23</v>
      </c>
      <c r="N144" s="1">
        <v>5</v>
      </c>
      <c r="O144" s="1">
        <v>24473.53</v>
      </c>
      <c r="P144" s="1">
        <f t="shared" si="11"/>
        <v>25761.61</v>
      </c>
      <c r="Q144" s="10">
        <f t="shared" si="12"/>
        <v>1223.6765</v>
      </c>
      <c r="R144" s="11">
        <f t="shared" si="13"/>
        <v>24537.933499999999</v>
      </c>
      <c r="S144" s="1" t="str">
        <f t="shared" si="14"/>
        <v>High</v>
      </c>
      <c r="T144" s="1" t="str" cm="1">
        <f t="array" ref="T144">_xlfn.IFS(L144&gt;5,"High",L144=5,"mediam",L144&lt;5,"low")</f>
        <v>High</v>
      </c>
      <c r="U144" s="1" t="str">
        <f t="shared" si="15"/>
        <v>High</v>
      </c>
    </row>
    <row r="145" spans="1:21" x14ac:dyDescent="0.3">
      <c r="A145" s="5">
        <v>10144</v>
      </c>
      <c r="B145" s="1">
        <v>1592</v>
      </c>
      <c r="C145" s="2">
        <v>45231</v>
      </c>
      <c r="D145" s="2">
        <v>45234</v>
      </c>
      <c r="E145" s="1" t="s">
        <v>40</v>
      </c>
      <c r="F145" s="1" t="s">
        <v>54</v>
      </c>
      <c r="G145" s="1" t="s">
        <v>30</v>
      </c>
      <c r="H145" s="1" t="s">
        <v>18</v>
      </c>
      <c r="I145" s="1" t="s">
        <v>19</v>
      </c>
      <c r="J145" s="1" t="s">
        <v>55</v>
      </c>
      <c r="K145" s="1" t="s">
        <v>33</v>
      </c>
      <c r="L145" s="1">
        <v>8</v>
      </c>
      <c r="M145" s="1">
        <v>3138.72</v>
      </c>
      <c r="N145" s="1">
        <v>20</v>
      </c>
      <c r="O145" s="1">
        <v>20087.810000000001</v>
      </c>
      <c r="P145" s="1">
        <f t="shared" si="11"/>
        <v>25109.759999999998</v>
      </c>
      <c r="Q145" s="10">
        <f t="shared" si="12"/>
        <v>4017.5620000000004</v>
      </c>
      <c r="R145" s="11">
        <f t="shared" si="13"/>
        <v>21092.197999999997</v>
      </c>
      <c r="S145" s="1" t="str">
        <f t="shared" si="14"/>
        <v>High</v>
      </c>
      <c r="T145" s="1" t="str" cm="1">
        <f t="array" ref="T145">_xlfn.IFS(L145&gt;5,"High",L145=5,"mediam",L145&lt;5,"low")</f>
        <v>High</v>
      </c>
      <c r="U145" s="1" t="str">
        <f t="shared" si="15"/>
        <v>High</v>
      </c>
    </row>
    <row r="146" spans="1:21" x14ac:dyDescent="0.3">
      <c r="A146" s="5">
        <v>10145</v>
      </c>
      <c r="B146" s="1">
        <v>1391</v>
      </c>
      <c r="C146" s="2">
        <v>45245</v>
      </c>
      <c r="D146" s="2">
        <v>45246</v>
      </c>
      <c r="E146" s="1" t="s">
        <v>37</v>
      </c>
      <c r="F146" s="1" t="s">
        <v>38</v>
      </c>
      <c r="G146" s="1" t="s">
        <v>24</v>
      </c>
      <c r="H146" s="1" t="s">
        <v>35</v>
      </c>
      <c r="I146" s="1" t="s">
        <v>57</v>
      </c>
      <c r="J146" s="1" t="s">
        <v>59</v>
      </c>
      <c r="K146" s="1" t="s">
        <v>47</v>
      </c>
      <c r="L146" s="1">
        <v>6</v>
      </c>
      <c r="M146" s="1">
        <v>652.42999999999995</v>
      </c>
      <c r="N146" s="1">
        <v>10</v>
      </c>
      <c r="O146" s="1">
        <v>3523.12</v>
      </c>
      <c r="P146" s="1">
        <f t="shared" si="11"/>
        <v>3914.58</v>
      </c>
      <c r="Q146" s="10">
        <f t="shared" si="12"/>
        <v>352.31200000000001</v>
      </c>
      <c r="R146" s="11">
        <f t="shared" si="13"/>
        <v>3562.268</v>
      </c>
      <c r="S146" s="1" t="str">
        <f t="shared" si="14"/>
        <v>High</v>
      </c>
      <c r="T146" s="1" t="str" cm="1">
        <f t="array" ref="T146">_xlfn.IFS(L146&gt;5,"High",L146=5,"mediam",L146&lt;5,"low")</f>
        <v>High</v>
      </c>
      <c r="U146" s="1" t="str">
        <f t="shared" si="15"/>
        <v>High</v>
      </c>
    </row>
    <row r="147" spans="1:21" x14ac:dyDescent="0.3">
      <c r="A147" s="5">
        <v>10146</v>
      </c>
      <c r="B147" s="1">
        <v>1674</v>
      </c>
      <c r="C147" s="2">
        <v>45137</v>
      </c>
      <c r="D147" s="2">
        <v>45145</v>
      </c>
      <c r="E147" s="1" t="s">
        <v>40</v>
      </c>
      <c r="F147" s="1" t="s">
        <v>41</v>
      </c>
      <c r="G147" s="1" t="s">
        <v>30</v>
      </c>
      <c r="H147" s="1" t="s">
        <v>42</v>
      </c>
      <c r="I147" s="1" t="s">
        <v>57</v>
      </c>
      <c r="J147" s="1" t="s">
        <v>62</v>
      </c>
      <c r="K147" s="1" t="s">
        <v>33</v>
      </c>
      <c r="L147" s="1">
        <v>4</v>
      </c>
      <c r="M147" s="1">
        <v>2326.87</v>
      </c>
      <c r="N147" s="1">
        <v>15</v>
      </c>
      <c r="O147" s="1">
        <v>7911.36</v>
      </c>
      <c r="P147" s="1">
        <f t="shared" si="11"/>
        <v>9307.48</v>
      </c>
      <c r="Q147" s="10">
        <f t="shared" si="12"/>
        <v>1186.704</v>
      </c>
      <c r="R147" s="11">
        <f t="shared" si="13"/>
        <v>8120.7759999999998</v>
      </c>
      <c r="S147" s="1" t="str">
        <f t="shared" si="14"/>
        <v>Low</v>
      </c>
      <c r="T147" s="1" t="str" cm="1">
        <f t="array" ref="T147">_xlfn.IFS(L147&gt;5,"High",L147=5,"mediam",L147&lt;5,"low")</f>
        <v>low</v>
      </c>
      <c r="U147" s="1" t="b">
        <f t="shared" si="15"/>
        <v>0</v>
      </c>
    </row>
    <row r="148" spans="1:21" x14ac:dyDescent="0.3">
      <c r="A148" s="5">
        <v>10147</v>
      </c>
      <c r="B148" s="1">
        <v>1418</v>
      </c>
      <c r="C148" s="2">
        <v>45078</v>
      </c>
      <c r="D148" s="2">
        <v>45081</v>
      </c>
      <c r="E148" s="1" t="s">
        <v>22</v>
      </c>
      <c r="F148" s="1" t="s">
        <v>54</v>
      </c>
      <c r="G148" s="1" t="s">
        <v>24</v>
      </c>
      <c r="H148" s="1" t="s">
        <v>25</v>
      </c>
      <c r="I148" s="1" t="s">
        <v>31</v>
      </c>
      <c r="J148" s="1" t="s">
        <v>48</v>
      </c>
      <c r="K148" s="1" t="s">
        <v>21</v>
      </c>
      <c r="L148" s="1">
        <v>6</v>
      </c>
      <c r="M148" s="1">
        <v>1852.67</v>
      </c>
      <c r="N148" s="1">
        <v>5</v>
      </c>
      <c r="O148" s="1">
        <v>10560.22</v>
      </c>
      <c r="P148" s="1">
        <f t="shared" si="11"/>
        <v>11116.02</v>
      </c>
      <c r="Q148" s="10">
        <f t="shared" si="12"/>
        <v>528.01099999999997</v>
      </c>
      <c r="R148" s="11">
        <f t="shared" si="13"/>
        <v>10588.009</v>
      </c>
      <c r="S148" s="1" t="str">
        <f t="shared" si="14"/>
        <v>High</v>
      </c>
      <c r="T148" s="1" t="str" cm="1">
        <f t="array" ref="T148">_xlfn.IFS(L148&gt;5,"High",L148=5,"mediam",L148&lt;5,"low")</f>
        <v>High</v>
      </c>
      <c r="U148" s="1" t="str">
        <f t="shared" si="15"/>
        <v>High</v>
      </c>
    </row>
    <row r="149" spans="1:21" x14ac:dyDescent="0.3">
      <c r="A149" s="5">
        <v>10148</v>
      </c>
      <c r="B149" s="1">
        <v>1288</v>
      </c>
      <c r="C149" s="2">
        <v>45035</v>
      </c>
      <c r="D149" s="2">
        <v>45043</v>
      </c>
      <c r="E149" s="1" t="s">
        <v>34</v>
      </c>
      <c r="F149" s="1" t="s">
        <v>29</v>
      </c>
      <c r="G149" s="1" t="s">
        <v>30</v>
      </c>
      <c r="H149" s="1" t="s">
        <v>44</v>
      </c>
      <c r="I149" s="1" t="s">
        <v>19</v>
      </c>
      <c r="J149" s="1" t="s">
        <v>20</v>
      </c>
      <c r="K149" s="1" t="s">
        <v>47</v>
      </c>
      <c r="L149" s="1">
        <v>3</v>
      </c>
      <c r="M149" s="1">
        <v>3219.26</v>
      </c>
      <c r="N149" s="1">
        <v>10</v>
      </c>
      <c r="O149" s="1">
        <v>8692</v>
      </c>
      <c r="P149" s="1">
        <f t="shared" si="11"/>
        <v>9657.7800000000007</v>
      </c>
      <c r="Q149" s="10">
        <f t="shared" si="12"/>
        <v>869.2</v>
      </c>
      <c r="R149" s="11">
        <f t="shared" si="13"/>
        <v>8788.58</v>
      </c>
      <c r="S149" s="1" t="str">
        <f t="shared" si="14"/>
        <v>Low</v>
      </c>
      <c r="T149" s="1" t="str" cm="1">
        <f t="array" ref="T149">_xlfn.IFS(L149&gt;5,"High",L149=5,"mediam",L149&lt;5,"low")</f>
        <v>low</v>
      </c>
      <c r="U149" s="1" t="b">
        <f t="shared" si="15"/>
        <v>0</v>
      </c>
    </row>
    <row r="150" spans="1:21" x14ac:dyDescent="0.3">
      <c r="A150" s="5">
        <v>10149</v>
      </c>
      <c r="B150" s="1">
        <v>1378</v>
      </c>
      <c r="C150" s="2">
        <v>45002</v>
      </c>
      <c r="D150" s="2">
        <v>45010</v>
      </c>
      <c r="E150" s="1" t="s">
        <v>22</v>
      </c>
      <c r="F150" s="1" t="s">
        <v>23</v>
      </c>
      <c r="G150" s="1" t="s">
        <v>30</v>
      </c>
      <c r="H150" s="1" t="s">
        <v>42</v>
      </c>
      <c r="I150" s="1" t="s">
        <v>57</v>
      </c>
      <c r="J150" s="1" t="s">
        <v>62</v>
      </c>
      <c r="K150" s="1" t="s">
        <v>33</v>
      </c>
      <c r="L150" s="1">
        <v>8</v>
      </c>
      <c r="M150" s="1">
        <v>2938.3</v>
      </c>
      <c r="N150" s="1">
        <v>15</v>
      </c>
      <c r="O150" s="1">
        <v>19980.439999999999</v>
      </c>
      <c r="P150" s="1">
        <f t="shared" si="11"/>
        <v>23506.400000000001</v>
      </c>
      <c r="Q150" s="10">
        <f t="shared" si="12"/>
        <v>2997.0659999999998</v>
      </c>
      <c r="R150" s="11">
        <f t="shared" si="13"/>
        <v>20509.334000000003</v>
      </c>
      <c r="S150" s="1" t="str">
        <f t="shared" si="14"/>
        <v>High</v>
      </c>
      <c r="T150" s="1" t="str" cm="1">
        <f t="array" ref="T150">_xlfn.IFS(L150&gt;5,"High",L150=5,"mediam",L150&lt;5,"low")</f>
        <v>High</v>
      </c>
      <c r="U150" s="1" t="str">
        <f t="shared" si="15"/>
        <v>High</v>
      </c>
    </row>
    <row r="151" spans="1:21" x14ac:dyDescent="0.3">
      <c r="A151" s="5">
        <v>10150</v>
      </c>
      <c r="B151" s="1">
        <v>1772</v>
      </c>
      <c r="C151" s="2">
        <v>44956</v>
      </c>
      <c r="D151" s="2">
        <v>44961</v>
      </c>
      <c r="E151" s="1" t="s">
        <v>22</v>
      </c>
      <c r="F151" s="1" t="s">
        <v>54</v>
      </c>
      <c r="G151" s="1" t="s">
        <v>24</v>
      </c>
      <c r="H151" s="1" t="s">
        <v>18</v>
      </c>
      <c r="I151" s="1" t="s">
        <v>49</v>
      </c>
      <c r="J151" s="1" t="s">
        <v>51</v>
      </c>
      <c r="K151" s="1" t="s">
        <v>28</v>
      </c>
      <c r="L151" s="1">
        <v>2</v>
      </c>
      <c r="M151" s="1">
        <v>2808.06</v>
      </c>
      <c r="N151" s="1">
        <v>0</v>
      </c>
      <c r="O151" s="1">
        <v>5616.12</v>
      </c>
      <c r="P151" s="1">
        <f t="shared" si="11"/>
        <v>5616.12</v>
      </c>
      <c r="Q151" s="10">
        <f t="shared" si="12"/>
        <v>0</v>
      </c>
      <c r="R151" s="11">
        <f t="shared" si="13"/>
        <v>5616.12</v>
      </c>
      <c r="S151" s="1" t="str">
        <f t="shared" si="14"/>
        <v>Low</v>
      </c>
      <c r="T151" s="1" t="str" cm="1">
        <f t="array" ref="T151">_xlfn.IFS(L151&gt;5,"High",L151=5,"mediam",L151&lt;5,"low")</f>
        <v>low</v>
      </c>
      <c r="U151" s="1" t="b">
        <f t="shared" si="15"/>
        <v>0</v>
      </c>
    </row>
    <row r="152" spans="1:21" x14ac:dyDescent="0.3">
      <c r="A152" s="5">
        <v>10151</v>
      </c>
      <c r="B152" s="1">
        <v>1489</v>
      </c>
      <c r="C152" s="2">
        <v>45240</v>
      </c>
      <c r="D152" s="2">
        <v>45241</v>
      </c>
      <c r="E152" s="1" t="s">
        <v>34</v>
      </c>
      <c r="F152" s="1" t="s">
        <v>29</v>
      </c>
      <c r="G152" s="1" t="s">
        <v>30</v>
      </c>
      <c r="H152" s="1" t="s">
        <v>18</v>
      </c>
      <c r="I152" s="1" t="s">
        <v>49</v>
      </c>
      <c r="J152" s="1" t="s">
        <v>63</v>
      </c>
      <c r="K152" s="1" t="s">
        <v>47</v>
      </c>
      <c r="L152" s="1">
        <v>5</v>
      </c>
      <c r="M152" s="1">
        <v>1461.1</v>
      </c>
      <c r="N152" s="1">
        <v>15</v>
      </c>
      <c r="O152" s="1">
        <v>6209.68</v>
      </c>
      <c r="P152" s="1">
        <f t="shared" si="11"/>
        <v>7305.5</v>
      </c>
      <c r="Q152" s="10">
        <f t="shared" si="12"/>
        <v>931.452</v>
      </c>
      <c r="R152" s="11">
        <f t="shared" si="13"/>
        <v>6374.0479999999998</v>
      </c>
      <c r="S152" s="1" t="str">
        <f t="shared" si="14"/>
        <v>High</v>
      </c>
      <c r="T152" s="1" t="str" cm="1">
        <f t="array" ref="T152">_xlfn.IFS(L152&gt;5,"High",L152=5,"mediam",L152&lt;5,"low")</f>
        <v>mediam</v>
      </c>
      <c r="U152" s="1" t="b">
        <f t="shared" si="15"/>
        <v>0</v>
      </c>
    </row>
    <row r="153" spans="1:21" x14ac:dyDescent="0.3">
      <c r="A153" s="5">
        <v>10152</v>
      </c>
      <c r="B153" s="1">
        <v>1230</v>
      </c>
      <c r="C153" s="2">
        <v>45043</v>
      </c>
      <c r="D153" s="2">
        <v>45050</v>
      </c>
      <c r="E153" s="1" t="s">
        <v>37</v>
      </c>
      <c r="F153" s="1" t="s">
        <v>16</v>
      </c>
      <c r="G153" s="1" t="s">
        <v>24</v>
      </c>
      <c r="H153" s="1" t="s">
        <v>44</v>
      </c>
      <c r="I153" s="1" t="s">
        <v>52</v>
      </c>
      <c r="J153" s="1" t="s">
        <v>56</v>
      </c>
      <c r="K153" s="1" t="s">
        <v>47</v>
      </c>
      <c r="L153" s="1">
        <v>1</v>
      </c>
      <c r="M153" s="1">
        <v>3249.11</v>
      </c>
      <c r="N153" s="1">
        <v>10</v>
      </c>
      <c r="O153" s="1">
        <v>2924.2</v>
      </c>
      <c r="P153" s="1">
        <f t="shared" si="11"/>
        <v>3249.11</v>
      </c>
      <c r="Q153" s="10">
        <f t="shared" si="12"/>
        <v>292.42</v>
      </c>
      <c r="R153" s="11">
        <f t="shared" si="13"/>
        <v>2956.69</v>
      </c>
      <c r="S153" s="1" t="str">
        <f t="shared" si="14"/>
        <v>Low</v>
      </c>
      <c r="T153" s="1" t="str" cm="1">
        <f t="array" ref="T153">_xlfn.IFS(L153&gt;5,"High",L153=5,"mediam",L153&lt;5,"low")</f>
        <v>low</v>
      </c>
      <c r="U153" s="1" t="b">
        <f t="shared" si="15"/>
        <v>0</v>
      </c>
    </row>
    <row r="154" spans="1:21" x14ac:dyDescent="0.3">
      <c r="A154" s="5">
        <v>10153</v>
      </c>
      <c r="B154" s="1">
        <v>1040</v>
      </c>
      <c r="C154" s="2">
        <v>45282</v>
      </c>
      <c r="D154" s="2">
        <v>45287</v>
      </c>
      <c r="E154" s="1" t="s">
        <v>37</v>
      </c>
      <c r="F154" s="1" t="s">
        <v>29</v>
      </c>
      <c r="G154" s="1" t="s">
        <v>30</v>
      </c>
      <c r="H154" s="1" t="s">
        <v>25</v>
      </c>
      <c r="I154" s="1" t="s">
        <v>19</v>
      </c>
      <c r="J154" s="1" t="s">
        <v>66</v>
      </c>
      <c r="K154" s="1" t="s">
        <v>28</v>
      </c>
      <c r="L154" s="1">
        <v>6</v>
      </c>
      <c r="M154" s="1">
        <v>351.71</v>
      </c>
      <c r="N154" s="1">
        <v>10</v>
      </c>
      <c r="O154" s="1">
        <v>1899.23</v>
      </c>
      <c r="P154" s="1">
        <f t="shared" si="11"/>
        <v>2110.2599999999998</v>
      </c>
      <c r="Q154" s="10">
        <f t="shared" si="12"/>
        <v>189.923</v>
      </c>
      <c r="R154" s="11">
        <f t="shared" si="13"/>
        <v>1920.3369999999998</v>
      </c>
      <c r="S154" s="1" t="str">
        <f t="shared" si="14"/>
        <v>High</v>
      </c>
      <c r="T154" s="1" t="str" cm="1">
        <f t="array" ref="T154">_xlfn.IFS(L154&gt;5,"High",L154=5,"mediam",L154&lt;5,"low")</f>
        <v>High</v>
      </c>
      <c r="U154" s="1" t="str">
        <f t="shared" si="15"/>
        <v>High</v>
      </c>
    </row>
    <row r="155" spans="1:21" x14ac:dyDescent="0.3">
      <c r="A155" s="5">
        <v>10154</v>
      </c>
      <c r="B155" s="1">
        <v>1027</v>
      </c>
      <c r="C155" s="2">
        <v>45118</v>
      </c>
      <c r="D155" s="2">
        <v>45126</v>
      </c>
      <c r="E155" s="1" t="s">
        <v>40</v>
      </c>
      <c r="F155" s="1" t="s">
        <v>23</v>
      </c>
      <c r="G155" s="1" t="s">
        <v>17</v>
      </c>
      <c r="H155" s="1" t="s">
        <v>42</v>
      </c>
      <c r="I155" s="1" t="s">
        <v>19</v>
      </c>
      <c r="J155" s="1" t="s">
        <v>43</v>
      </c>
      <c r="K155" s="1" t="s">
        <v>45</v>
      </c>
      <c r="L155" s="1">
        <v>2</v>
      </c>
      <c r="M155" s="1">
        <v>764.56</v>
      </c>
      <c r="N155" s="1">
        <v>0</v>
      </c>
      <c r="O155" s="1">
        <v>1529.12</v>
      </c>
      <c r="P155" s="1">
        <f t="shared" si="11"/>
        <v>1529.12</v>
      </c>
      <c r="Q155" s="10">
        <f t="shared" si="12"/>
        <v>0</v>
      </c>
      <c r="R155" s="11">
        <f t="shared" si="13"/>
        <v>1529.12</v>
      </c>
      <c r="S155" s="1" t="str">
        <f t="shared" si="14"/>
        <v>Low</v>
      </c>
      <c r="T155" s="1" t="str" cm="1">
        <f t="array" ref="T155">_xlfn.IFS(L155&gt;5,"High",L155=5,"mediam",L155&lt;5,"low")</f>
        <v>low</v>
      </c>
      <c r="U155" s="1" t="b">
        <f t="shared" si="15"/>
        <v>0</v>
      </c>
    </row>
    <row r="156" spans="1:21" x14ac:dyDescent="0.3">
      <c r="A156" s="5">
        <v>10155</v>
      </c>
      <c r="B156" s="1">
        <v>1134</v>
      </c>
      <c r="C156" s="2">
        <v>44945</v>
      </c>
      <c r="D156" s="2">
        <v>44954</v>
      </c>
      <c r="E156" s="1" t="s">
        <v>16</v>
      </c>
      <c r="F156" s="1" t="s">
        <v>29</v>
      </c>
      <c r="G156" s="1" t="s">
        <v>30</v>
      </c>
      <c r="H156" s="1" t="s">
        <v>25</v>
      </c>
      <c r="I156" s="1" t="s">
        <v>52</v>
      </c>
      <c r="J156" s="1" t="s">
        <v>56</v>
      </c>
      <c r="K156" s="1" t="s">
        <v>21</v>
      </c>
      <c r="L156" s="1">
        <v>4</v>
      </c>
      <c r="M156" s="1">
        <v>1442.15</v>
      </c>
      <c r="N156" s="1">
        <v>15</v>
      </c>
      <c r="O156" s="1">
        <v>4903.3100000000004</v>
      </c>
      <c r="P156" s="1">
        <f t="shared" si="11"/>
        <v>5768.6</v>
      </c>
      <c r="Q156" s="10">
        <f t="shared" si="12"/>
        <v>735.49650000000008</v>
      </c>
      <c r="R156" s="11">
        <f t="shared" si="13"/>
        <v>5033.1035000000002</v>
      </c>
      <c r="S156" s="1" t="str">
        <f t="shared" si="14"/>
        <v>Low</v>
      </c>
      <c r="T156" s="1" t="str" cm="1">
        <f t="array" ref="T156">_xlfn.IFS(L156&gt;5,"High",L156=5,"mediam",L156&lt;5,"low")</f>
        <v>low</v>
      </c>
      <c r="U156" s="1" t="b">
        <f t="shared" si="15"/>
        <v>0</v>
      </c>
    </row>
    <row r="157" spans="1:21" x14ac:dyDescent="0.3">
      <c r="A157" s="5">
        <v>10156</v>
      </c>
      <c r="B157" s="1">
        <v>1200</v>
      </c>
      <c r="C157" s="2">
        <v>45099</v>
      </c>
      <c r="D157" s="2">
        <v>45106</v>
      </c>
      <c r="E157" s="1" t="s">
        <v>40</v>
      </c>
      <c r="F157" s="1" t="s">
        <v>38</v>
      </c>
      <c r="G157" s="1" t="s">
        <v>24</v>
      </c>
      <c r="H157" s="1" t="s">
        <v>18</v>
      </c>
      <c r="I157" s="1" t="s">
        <v>57</v>
      </c>
      <c r="J157" s="1" t="s">
        <v>59</v>
      </c>
      <c r="K157" s="1" t="s">
        <v>45</v>
      </c>
      <c r="L157" s="1">
        <v>6</v>
      </c>
      <c r="M157" s="1">
        <v>445.71</v>
      </c>
      <c r="N157" s="1">
        <v>15</v>
      </c>
      <c r="O157" s="1">
        <v>2273.12</v>
      </c>
      <c r="P157" s="1">
        <f t="shared" si="11"/>
        <v>2674.2599999999998</v>
      </c>
      <c r="Q157" s="10">
        <f t="shared" si="12"/>
        <v>340.96799999999996</v>
      </c>
      <c r="R157" s="11">
        <f t="shared" si="13"/>
        <v>2333.2919999999999</v>
      </c>
      <c r="S157" s="1" t="str">
        <f t="shared" si="14"/>
        <v>High</v>
      </c>
      <c r="T157" s="1" t="str" cm="1">
        <f t="array" ref="T157">_xlfn.IFS(L157&gt;5,"High",L157=5,"mediam",L157&lt;5,"low")</f>
        <v>High</v>
      </c>
      <c r="U157" s="1" t="str">
        <f t="shared" si="15"/>
        <v>High</v>
      </c>
    </row>
    <row r="158" spans="1:21" x14ac:dyDescent="0.3">
      <c r="A158" s="5">
        <v>10157</v>
      </c>
      <c r="B158" s="1">
        <v>1839</v>
      </c>
      <c r="C158" s="2">
        <v>45154</v>
      </c>
      <c r="D158" s="2">
        <v>45161</v>
      </c>
      <c r="E158" s="1" t="s">
        <v>16</v>
      </c>
      <c r="F158" s="1" t="s">
        <v>23</v>
      </c>
      <c r="G158" s="1" t="s">
        <v>30</v>
      </c>
      <c r="H158" s="1" t="s">
        <v>25</v>
      </c>
      <c r="I158" s="1" t="s">
        <v>19</v>
      </c>
      <c r="J158" s="1" t="s">
        <v>20</v>
      </c>
      <c r="K158" s="1" t="s">
        <v>33</v>
      </c>
      <c r="L158" s="1">
        <v>8</v>
      </c>
      <c r="M158" s="1">
        <v>1054.73</v>
      </c>
      <c r="N158" s="1">
        <v>0</v>
      </c>
      <c r="O158" s="1">
        <v>8437.84</v>
      </c>
      <c r="P158" s="1">
        <f t="shared" si="11"/>
        <v>8437.84</v>
      </c>
      <c r="Q158" s="10">
        <f t="shared" si="12"/>
        <v>0</v>
      </c>
      <c r="R158" s="11">
        <f t="shared" si="13"/>
        <v>8437.84</v>
      </c>
      <c r="S158" s="1" t="str">
        <f t="shared" si="14"/>
        <v>High</v>
      </c>
      <c r="T158" s="1" t="str" cm="1">
        <f t="array" ref="T158">_xlfn.IFS(L158&gt;5,"High",L158=5,"mediam",L158&lt;5,"low")</f>
        <v>High</v>
      </c>
      <c r="U158" s="1" t="str">
        <f t="shared" si="15"/>
        <v>High</v>
      </c>
    </row>
    <row r="159" spans="1:21" x14ac:dyDescent="0.3">
      <c r="A159" s="5">
        <v>10158</v>
      </c>
      <c r="B159" s="1">
        <v>1779</v>
      </c>
      <c r="C159" s="2">
        <v>45276</v>
      </c>
      <c r="D159" s="2">
        <v>45277</v>
      </c>
      <c r="E159" s="1" t="s">
        <v>22</v>
      </c>
      <c r="F159" s="1" t="s">
        <v>41</v>
      </c>
      <c r="G159" s="1" t="s">
        <v>24</v>
      </c>
      <c r="H159" s="1" t="s">
        <v>18</v>
      </c>
      <c r="I159" s="1" t="s">
        <v>49</v>
      </c>
      <c r="J159" s="1" t="s">
        <v>63</v>
      </c>
      <c r="K159" s="1" t="s">
        <v>28</v>
      </c>
      <c r="L159" s="1">
        <v>8</v>
      </c>
      <c r="M159" s="1">
        <v>3346.08</v>
      </c>
      <c r="N159" s="1">
        <v>15</v>
      </c>
      <c r="O159" s="1">
        <v>22753.34</v>
      </c>
      <c r="P159" s="1">
        <f t="shared" si="11"/>
        <v>26768.639999999999</v>
      </c>
      <c r="Q159" s="10">
        <f t="shared" si="12"/>
        <v>3413.0009999999997</v>
      </c>
      <c r="R159" s="11">
        <f t="shared" si="13"/>
        <v>23355.638999999999</v>
      </c>
      <c r="S159" s="1" t="str">
        <f t="shared" si="14"/>
        <v>High</v>
      </c>
      <c r="T159" s="1" t="str" cm="1">
        <f t="array" ref="T159">_xlfn.IFS(L159&gt;5,"High",L159=5,"mediam",L159&lt;5,"low")</f>
        <v>High</v>
      </c>
      <c r="U159" s="1" t="str">
        <f t="shared" si="15"/>
        <v>High</v>
      </c>
    </row>
    <row r="160" spans="1:21" x14ac:dyDescent="0.3">
      <c r="A160" s="5">
        <v>10159</v>
      </c>
      <c r="B160" s="1">
        <v>1929</v>
      </c>
      <c r="C160" s="2">
        <v>45109</v>
      </c>
      <c r="D160" s="2">
        <v>45113</v>
      </c>
      <c r="E160" s="1" t="s">
        <v>34</v>
      </c>
      <c r="F160" s="1" t="s">
        <v>16</v>
      </c>
      <c r="G160" s="1" t="s">
        <v>24</v>
      </c>
      <c r="H160" s="1" t="s">
        <v>25</v>
      </c>
      <c r="I160" s="1" t="s">
        <v>49</v>
      </c>
      <c r="J160" s="1" t="s">
        <v>68</v>
      </c>
      <c r="K160" s="1" t="s">
        <v>45</v>
      </c>
      <c r="L160" s="1">
        <v>6</v>
      </c>
      <c r="M160" s="1">
        <v>3800.77</v>
      </c>
      <c r="N160" s="1">
        <v>0</v>
      </c>
      <c r="O160" s="1">
        <v>22804.62</v>
      </c>
      <c r="P160" s="1">
        <f t="shared" si="11"/>
        <v>22804.62</v>
      </c>
      <c r="Q160" s="10">
        <f t="shared" si="12"/>
        <v>0</v>
      </c>
      <c r="R160" s="11">
        <f t="shared" si="13"/>
        <v>22804.62</v>
      </c>
      <c r="S160" s="1" t="str">
        <f t="shared" si="14"/>
        <v>High</v>
      </c>
      <c r="T160" s="1" t="str" cm="1">
        <f t="array" ref="T160">_xlfn.IFS(L160&gt;5,"High",L160=5,"mediam",L160&lt;5,"low")</f>
        <v>High</v>
      </c>
      <c r="U160" s="1" t="str">
        <f t="shared" si="15"/>
        <v>High</v>
      </c>
    </row>
    <row r="161" spans="1:21" x14ac:dyDescent="0.3">
      <c r="A161" s="5">
        <v>10160</v>
      </c>
      <c r="B161" s="1">
        <v>1032</v>
      </c>
      <c r="C161" s="2">
        <v>45039</v>
      </c>
      <c r="D161" s="2">
        <v>45041</v>
      </c>
      <c r="E161" s="1" t="s">
        <v>22</v>
      </c>
      <c r="F161" s="1" t="s">
        <v>38</v>
      </c>
      <c r="G161" s="1" t="s">
        <v>17</v>
      </c>
      <c r="H161" s="1" t="s">
        <v>44</v>
      </c>
      <c r="I161" s="1" t="s">
        <v>31</v>
      </c>
      <c r="J161" s="1" t="s">
        <v>48</v>
      </c>
      <c r="K161" s="1" t="s">
        <v>47</v>
      </c>
      <c r="L161" s="1">
        <v>4</v>
      </c>
      <c r="M161" s="1">
        <v>1322.72</v>
      </c>
      <c r="N161" s="1">
        <v>5</v>
      </c>
      <c r="O161" s="1">
        <v>5026.34</v>
      </c>
      <c r="P161" s="1">
        <f t="shared" si="11"/>
        <v>5290.88</v>
      </c>
      <c r="Q161" s="10">
        <f t="shared" si="12"/>
        <v>251.31700000000001</v>
      </c>
      <c r="R161" s="11">
        <f t="shared" si="13"/>
        <v>5039.5630000000001</v>
      </c>
      <c r="S161" s="1" t="str">
        <f t="shared" si="14"/>
        <v>Low</v>
      </c>
      <c r="T161" s="1" t="str" cm="1">
        <f t="array" ref="T161">_xlfn.IFS(L161&gt;5,"High",L161=5,"mediam",L161&lt;5,"low")</f>
        <v>low</v>
      </c>
      <c r="U161" s="1" t="b">
        <f t="shared" si="15"/>
        <v>0</v>
      </c>
    </row>
    <row r="162" spans="1:21" x14ac:dyDescent="0.3">
      <c r="A162" s="5">
        <v>10161</v>
      </c>
      <c r="B162" s="1">
        <v>1047</v>
      </c>
      <c r="C162" s="2">
        <v>45109</v>
      </c>
      <c r="D162" s="2">
        <v>45111</v>
      </c>
      <c r="E162" s="1" t="s">
        <v>46</v>
      </c>
      <c r="F162" s="1" t="s">
        <v>41</v>
      </c>
      <c r="G162" s="1" t="s">
        <v>17</v>
      </c>
      <c r="H162" s="1" t="s">
        <v>35</v>
      </c>
      <c r="I162" s="1" t="s">
        <v>19</v>
      </c>
      <c r="J162" s="1" t="s">
        <v>20</v>
      </c>
      <c r="K162" s="1" t="s">
        <v>33</v>
      </c>
      <c r="L162" s="1">
        <v>8</v>
      </c>
      <c r="M162" s="1">
        <v>1168.3900000000001</v>
      </c>
      <c r="N162" s="1">
        <v>10</v>
      </c>
      <c r="O162" s="1">
        <v>8412.41</v>
      </c>
      <c r="P162" s="1">
        <f t="shared" si="11"/>
        <v>9347.1200000000008</v>
      </c>
      <c r="Q162" s="10">
        <f t="shared" si="12"/>
        <v>841.24099999999999</v>
      </c>
      <c r="R162" s="11">
        <f t="shared" si="13"/>
        <v>8505.8790000000008</v>
      </c>
      <c r="S162" s="1" t="str">
        <f t="shared" si="14"/>
        <v>High</v>
      </c>
      <c r="T162" s="1" t="str" cm="1">
        <f t="array" ref="T162">_xlfn.IFS(L162&gt;5,"High",L162=5,"mediam",L162&lt;5,"low")</f>
        <v>High</v>
      </c>
      <c r="U162" s="1" t="str">
        <f t="shared" si="15"/>
        <v>High</v>
      </c>
    </row>
    <row r="163" spans="1:21" x14ac:dyDescent="0.3">
      <c r="A163" s="5">
        <v>10162</v>
      </c>
      <c r="B163" s="1">
        <v>1502</v>
      </c>
      <c r="C163" s="2">
        <v>45072</v>
      </c>
      <c r="D163" s="2">
        <v>45074</v>
      </c>
      <c r="E163" s="1" t="s">
        <v>37</v>
      </c>
      <c r="F163" s="1" t="s">
        <v>29</v>
      </c>
      <c r="G163" s="1" t="s">
        <v>24</v>
      </c>
      <c r="H163" s="1" t="s">
        <v>44</v>
      </c>
      <c r="I163" s="1" t="s">
        <v>57</v>
      </c>
      <c r="J163" s="1" t="s">
        <v>58</v>
      </c>
      <c r="K163" s="1" t="s">
        <v>33</v>
      </c>
      <c r="L163" s="1">
        <v>8</v>
      </c>
      <c r="M163" s="1">
        <v>1227.5899999999999</v>
      </c>
      <c r="N163" s="1">
        <v>5</v>
      </c>
      <c r="O163" s="1">
        <v>9329.68</v>
      </c>
      <c r="P163" s="1">
        <f t="shared" si="11"/>
        <v>9820.7199999999993</v>
      </c>
      <c r="Q163" s="10">
        <f t="shared" si="12"/>
        <v>466.48400000000004</v>
      </c>
      <c r="R163" s="11">
        <f t="shared" si="13"/>
        <v>9354.235999999999</v>
      </c>
      <c r="S163" s="1" t="str">
        <f t="shared" si="14"/>
        <v>High</v>
      </c>
      <c r="T163" s="1" t="str" cm="1">
        <f t="array" ref="T163">_xlfn.IFS(L163&gt;5,"High",L163=5,"mediam",L163&lt;5,"low")</f>
        <v>High</v>
      </c>
      <c r="U163" s="1" t="str">
        <f t="shared" si="15"/>
        <v>High</v>
      </c>
    </row>
    <row r="164" spans="1:21" x14ac:dyDescent="0.3">
      <c r="A164" s="5">
        <v>10163</v>
      </c>
      <c r="B164" s="1">
        <v>1406</v>
      </c>
      <c r="C164" s="2">
        <v>45245</v>
      </c>
      <c r="D164" s="2">
        <v>45249</v>
      </c>
      <c r="E164" s="1" t="s">
        <v>16</v>
      </c>
      <c r="F164" s="1" t="s">
        <v>23</v>
      </c>
      <c r="G164" s="1" t="s">
        <v>30</v>
      </c>
      <c r="H164" s="1" t="s">
        <v>44</v>
      </c>
      <c r="I164" s="1" t="s">
        <v>52</v>
      </c>
      <c r="J164" s="1" t="s">
        <v>53</v>
      </c>
      <c r="K164" s="1" t="s">
        <v>45</v>
      </c>
      <c r="L164" s="1">
        <v>1</v>
      </c>
      <c r="M164" s="1">
        <v>1219.22</v>
      </c>
      <c r="N164" s="1">
        <v>20</v>
      </c>
      <c r="O164" s="1">
        <v>975.38</v>
      </c>
      <c r="P164" s="1">
        <f t="shared" si="11"/>
        <v>1219.22</v>
      </c>
      <c r="Q164" s="10">
        <f t="shared" si="12"/>
        <v>195.07600000000002</v>
      </c>
      <c r="R164" s="11">
        <f t="shared" si="13"/>
        <v>1024.144</v>
      </c>
      <c r="S164" s="1" t="str">
        <f t="shared" si="14"/>
        <v>Low</v>
      </c>
      <c r="T164" s="1" t="str" cm="1">
        <f t="array" ref="T164">_xlfn.IFS(L164&gt;5,"High",L164=5,"mediam",L164&lt;5,"low")</f>
        <v>low</v>
      </c>
      <c r="U164" s="1" t="b">
        <f t="shared" si="15"/>
        <v>0</v>
      </c>
    </row>
    <row r="165" spans="1:21" x14ac:dyDescent="0.3">
      <c r="A165" s="5">
        <v>10164</v>
      </c>
      <c r="B165" s="1">
        <v>1573</v>
      </c>
      <c r="C165" s="2">
        <v>45042</v>
      </c>
      <c r="D165" s="2">
        <v>45043</v>
      </c>
      <c r="E165" s="1" t="s">
        <v>40</v>
      </c>
      <c r="F165" s="1" t="s">
        <v>16</v>
      </c>
      <c r="G165" s="1" t="s">
        <v>24</v>
      </c>
      <c r="H165" s="1" t="s">
        <v>35</v>
      </c>
      <c r="I165" s="1" t="s">
        <v>52</v>
      </c>
      <c r="J165" s="1" t="s">
        <v>64</v>
      </c>
      <c r="K165" s="1" t="s">
        <v>45</v>
      </c>
      <c r="L165" s="1">
        <v>4</v>
      </c>
      <c r="M165" s="1">
        <v>288.33</v>
      </c>
      <c r="N165" s="1">
        <v>20</v>
      </c>
      <c r="O165" s="1">
        <v>922.66</v>
      </c>
      <c r="P165" s="1">
        <f t="shared" si="11"/>
        <v>1153.32</v>
      </c>
      <c r="Q165" s="10">
        <f t="shared" si="12"/>
        <v>184.53200000000001</v>
      </c>
      <c r="R165" s="11">
        <f t="shared" si="13"/>
        <v>968.7879999999999</v>
      </c>
      <c r="S165" s="1" t="str">
        <f t="shared" si="14"/>
        <v>Low</v>
      </c>
      <c r="T165" s="1" t="str" cm="1">
        <f t="array" ref="T165">_xlfn.IFS(L165&gt;5,"High",L165=5,"mediam",L165&lt;5,"low")</f>
        <v>low</v>
      </c>
      <c r="U165" s="1" t="b">
        <f t="shared" si="15"/>
        <v>0</v>
      </c>
    </row>
    <row r="166" spans="1:21" x14ac:dyDescent="0.3">
      <c r="A166" s="5">
        <v>10165</v>
      </c>
      <c r="B166" s="1">
        <v>1727</v>
      </c>
      <c r="C166" s="2">
        <v>45039</v>
      </c>
      <c r="D166" s="2">
        <v>45043</v>
      </c>
      <c r="E166" s="1" t="s">
        <v>34</v>
      </c>
      <c r="F166" s="1" t="s">
        <v>38</v>
      </c>
      <c r="G166" s="1" t="s">
        <v>24</v>
      </c>
      <c r="H166" s="1" t="s">
        <v>35</v>
      </c>
      <c r="I166" s="1" t="s">
        <v>57</v>
      </c>
      <c r="J166" s="1" t="s">
        <v>62</v>
      </c>
      <c r="K166" s="1" t="s">
        <v>28</v>
      </c>
      <c r="L166" s="1">
        <v>4</v>
      </c>
      <c r="M166" s="1">
        <v>3718.63</v>
      </c>
      <c r="N166" s="1">
        <v>20</v>
      </c>
      <c r="O166" s="1">
        <v>11899.62</v>
      </c>
      <c r="P166" s="1">
        <f t="shared" si="11"/>
        <v>14874.52</v>
      </c>
      <c r="Q166" s="10">
        <f t="shared" si="12"/>
        <v>2379.9240000000004</v>
      </c>
      <c r="R166" s="11">
        <f t="shared" si="13"/>
        <v>12494.596</v>
      </c>
      <c r="S166" s="1" t="str">
        <f t="shared" si="14"/>
        <v>Low</v>
      </c>
      <c r="T166" s="1" t="str" cm="1">
        <f t="array" ref="T166">_xlfn.IFS(L166&gt;5,"High",L166=5,"mediam",L166&lt;5,"low")</f>
        <v>low</v>
      </c>
      <c r="U166" s="1" t="b">
        <f t="shared" si="15"/>
        <v>0</v>
      </c>
    </row>
    <row r="167" spans="1:21" x14ac:dyDescent="0.3">
      <c r="A167" s="5">
        <v>10166</v>
      </c>
      <c r="B167" s="1">
        <v>1804</v>
      </c>
      <c r="C167" s="2">
        <v>45177</v>
      </c>
      <c r="D167" s="2">
        <v>45179</v>
      </c>
      <c r="E167" s="1" t="s">
        <v>16</v>
      </c>
      <c r="F167" s="1" t="s">
        <v>41</v>
      </c>
      <c r="G167" s="1" t="s">
        <v>30</v>
      </c>
      <c r="H167" s="1" t="s">
        <v>42</v>
      </c>
      <c r="I167" s="1" t="s">
        <v>26</v>
      </c>
      <c r="J167" s="1" t="s">
        <v>27</v>
      </c>
      <c r="K167" s="1" t="s">
        <v>21</v>
      </c>
      <c r="L167" s="1">
        <v>7</v>
      </c>
      <c r="M167" s="1">
        <v>972.74</v>
      </c>
      <c r="N167" s="1">
        <v>0</v>
      </c>
      <c r="O167" s="1">
        <v>6809.18</v>
      </c>
      <c r="P167" s="1">
        <f t="shared" si="11"/>
        <v>6809.18</v>
      </c>
      <c r="Q167" s="10">
        <f t="shared" si="12"/>
        <v>0</v>
      </c>
      <c r="R167" s="11">
        <f t="shared" si="13"/>
        <v>6809.18</v>
      </c>
      <c r="S167" s="1" t="str">
        <f t="shared" si="14"/>
        <v>High</v>
      </c>
      <c r="T167" s="1" t="str" cm="1">
        <f t="array" ref="T167">_xlfn.IFS(L167&gt;5,"High",L167=5,"mediam",L167&lt;5,"low")</f>
        <v>High</v>
      </c>
      <c r="U167" s="1" t="str">
        <f t="shared" si="15"/>
        <v>High</v>
      </c>
    </row>
    <row r="168" spans="1:21" x14ac:dyDescent="0.3">
      <c r="A168" s="5">
        <v>10167</v>
      </c>
      <c r="B168" s="1">
        <v>1098</v>
      </c>
      <c r="C168" s="2">
        <v>45177</v>
      </c>
      <c r="D168" s="2">
        <v>45182</v>
      </c>
      <c r="E168" s="1" t="s">
        <v>40</v>
      </c>
      <c r="F168" s="1" t="s">
        <v>41</v>
      </c>
      <c r="G168" s="1" t="s">
        <v>30</v>
      </c>
      <c r="H168" s="1" t="s">
        <v>42</v>
      </c>
      <c r="I168" s="1" t="s">
        <v>31</v>
      </c>
      <c r="J168" s="1" t="s">
        <v>32</v>
      </c>
      <c r="K168" s="1" t="s">
        <v>45</v>
      </c>
      <c r="L168" s="1">
        <v>7</v>
      </c>
      <c r="M168" s="1">
        <v>1767.02</v>
      </c>
      <c r="N168" s="1">
        <v>15</v>
      </c>
      <c r="O168" s="1">
        <v>10513.77</v>
      </c>
      <c r="P168" s="1">
        <f t="shared" si="11"/>
        <v>12369.14</v>
      </c>
      <c r="Q168" s="10">
        <f t="shared" si="12"/>
        <v>1577.0654999999999</v>
      </c>
      <c r="R168" s="11">
        <f t="shared" si="13"/>
        <v>10792.074499999999</v>
      </c>
      <c r="S168" s="1" t="str">
        <f t="shared" si="14"/>
        <v>High</v>
      </c>
      <c r="T168" s="1" t="str" cm="1">
        <f t="array" ref="T168">_xlfn.IFS(L168&gt;5,"High",L168=5,"mediam",L168&lt;5,"low")</f>
        <v>High</v>
      </c>
      <c r="U168" s="1" t="str">
        <f t="shared" si="15"/>
        <v>High</v>
      </c>
    </row>
    <row r="169" spans="1:21" x14ac:dyDescent="0.3">
      <c r="A169" s="5">
        <v>10168</v>
      </c>
      <c r="B169" s="1">
        <v>1683</v>
      </c>
      <c r="C169" s="2">
        <v>45229</v>
      </c>
      <c r="D169" s="2">
        <v>45232</v>
      </c>
      <c r="E169" s="1" t="s">
        <v>37</v>
      </c>
      <c r="F169" s="1" t="s">
        <v>16</v>
      </c>
      <c r="G169" s="1" t="s">
        <v>30</v>
      </c>
      <c r="H169" s="1" t="s">
        <v>44</v>
      </c>
      <c r="I169" s="1" t="s">
        <v>52</v>
      </c>
      <c r="J169" s="1" t="s">
        <v>56</v>
      </c>
      <c r="K169" s="1" t="s">
        <v>45</v>
      </c>
      <c r="L169" s="1">
        <v>8</v>
      </c>
      <c r="M169" s="1">
        <v>187.29</v>
      </c>
      <c r="N169" s="1">
        <v>5</v>
      </c>
      <c r="O169" s="1">
        <v>1423.4</v>
      </c>
      <c r="P169" s="1">
        <f t="shared" si="11"/>
        <v>1498.32</v>
      </c>
      <c r="Q169" s="10">
        <f t="shared" si="12"/>
        <v>71.17</v>
      </c>
      <c r="R169" s="11">
        <f t="shared" si="13"/>
        <v>1427.1499999999999</v>
      </c>
      <c r="S169" s="1" t="str">
        <f t="shared" si="14"/>
        <v>High</v>
      </c>
      <c r="T169" s="1" t="str" cm="1">
        <f t="array" ref="T169">_xlfn.IFS(L169&gt;5,"High",L169=5,"mediam",L169&lt;5,"low")</f>
        <v>High</v>
      </c>
      <c r="U169" s="1" t="str">
        <f t="shared" si="15"/>
        <v>High</v>
      </c>
    </row>
    <row r="170" spans="1:21" x14ac:dyDescent="0.3">
      <c r="A170" s="5">
        <v>10169</v>
      </c>
      <c r="B170" s="1">
        <v>1871</v>
      </c>
      <c r="C170" s="2">
        <v>45239</v>
      </c>
      <c r="D170" s="2">
        <v>45247</v>
      </c>
      <c r="E170" s="1" t="s">
        <v>22</v>
      </c>
      <c r="F170" s="1" t="s">
        <v>29</v>
      </c>
      <c r="G170" s="1" t="s">
        <v>30</v>
      </c>
      <c r="H170" s="1" t="s">
        <v>44</v>
      </c>
      <c r="I170" s="1" t="s">
        <v>19</v>
      </c>
      <c r="J170" s="1" t="s">
        <v>55</v>
      </c>
      <c r="K170" s="1" t="s">
        <v>47</v>
      </c>
      <c r="L170" s="1">
        <v>5</v>
      </c>
      <c r="M170" s="1">
        <v>3453.13</v>
      </c>
      <c r="N170" s="1">
        <v>5</v>
      </c>
      <c r="O170" s="1">
        <v>16402.37</v>
      </c>
      <c r="P170" s="1">
        <f t="shared" si="11"/>
        <v>17265.650000000001</v>
      </c>
      <c r="Q170" s="10">
        <f t="shared" si="12"/>
        <v>820.11850000000004</v>
      </c>
      <c r="R170" s="11">
        <f t="shared" si="13"/>
        <v>16445.531500000001</v>
      </c>
      <c r="S170" s="1" t="str">
        <f t="shared" si="14"/>
        <v>High</v>
      </c>
      <c r="T170" s="1" t="str" cm="1">
        <f t="array" ref="T170">_xlfn.IFS(L170&gt;5,"High",L170=5,"mediam",L170&lt;5,"low")</f>
        <v>mediam</v>
      </c>
      <c r="U170" s="1" t="b">
        <f t="shared" si="15"/>
        <v>0</v>
      </c>
    </row>
    <row r="171" spans="1:21" x14ac:dyDescent="0.3">
      <c r="A171" s="5">
        <v>10170</v>
      </c>
      <c r="B171" s="1">
        <v>1725</v>
      </c>
      <c r="C171" s="2">
        <v>45044</v>
      </c>
      <c r="D171" s="2">
        <v>45048</v>
      </c>
      <c r="E171" s="1" t="s">
        <v>37</v>
      </c>
      <c r="F171" s="1" t="s">
        <v>16</v>
      </c>
      <c r="G171" s="1" t="s">
        <v>24</v>
      </c>
      <c r="H171" s="1" t="s">
        <v>18</v>
      </c>
      <c r="I171" s="1" t="s">
        <v>31</v>
      </c>
      <c r="J171" s="1" t="s">
        <v>65</v>
      </c>
      <c r="K171" s="1" t="s">
        <v>33</v>
      </c>
      <c r="L171" s="1">
        <v>7</v>
      </c>
      <c r="M171" s="1">
        <v>2964.96</v>
      </c>
      <c r="N171" s="1">
        <v>5</v>
      </c>
      <c r="O171" s="1">
        <v>19716.98</v>
      </c>
      <c r="P171" s="1">
        <f t="shared" si="11"/>
        <v>20754.72</v>
      </c>
      <c r="Q171" s="10">
        <f t="shared" si="12"/>
        <v>985.84900000000005</v>
      </c>
      <c r="R171" s="11">
        <f t="shared" si="13"/>
        <v>19768.871000000003</v>
      </c>
      <c r="S171" s="1" t="str">
        <f t="shared" si="14"/>
        <v>High</v>
      </c>
      <c r="T171" s="1" t="str" cm="1">
        <f t="array" ref="T171">_xlfn.IFS(L171&gt;5,"High",L171=5,"mediam",L171&lt;5,"low")</f>
        <v>High</v>
      </c>
      <c r="U171" s="1" t="str">
        <f t="shared" si="15"/>
        <v>High</v>
      </c>
    </row>
    <row r="172" spans="1:21" x14ac:dyDescent="0.3">
      <c r="A172" s="5">
        <v>10171</v>
      </c>
      <c r="B172" s="1">
        <v>1986</v>
      </c>
      <c r="C172" s="2">
        <v>45227</v>
      </c>
      <c r="D172" s="2">
        <v>45228</v>
      </c>
      <c r="E172" s="1" t="s">
        <v>15</v>
      </c>
      <c r="F172" s="1" t="s">
        <v>41</v>
      </c>
      <c r="G172" s="1" t="s">
        <v>24</v>
      </c>
      <c r="H172" s="1" t="s">
        <v>18</v>
      </c>
      <c r="I172" s="1" t="s">
        <v>19</v>
      </c>
      <c r="J172" s="1" t="s">
        <v>43</v>
      </c>
      <c r="K172" s="1" t="s">
        <v>21</v>
      </c>
      <c r="L172" s="1">
        <v>8</v>
      </c>
      <c r="M172" s="1">
        <v>3795.01</v>
      </c>
      <c r="N172" s="1">
        <v>5</v>
      </c>
      <c r="O172" s="1">
        <v>28842.080000000002</v>
      </c>
      <c r="P172" s="1">
        <f t="shared" si="11"/>
        <v>30360.080000000002</v>
      </c>
      <c r="Q172" s="10">
        <f t="shared" si="12"/>
        <v>1442.1040000000003</v>
      </c>
      <c r="R172" s="11">
        <f t="shared" si="13"/>
        <v>28917.976000000002</v>
      </c>
      <c r="S172" s="1" t="str">
        <f t="shared" si="14"/>
        <v>High</v>
      </c>
      <c r="T172" s="1" t="str" cm="1">
        <f t="array" ref="T172">_xlfn.IFS(L172&gt;5,"High",L172=5,"mediam",L172&lt;5,"low")</f>
        <v>High</v>
      </c>
      <c r="U172" s="1" t="str">
        <f t="shared" si="15"/>
        <v>High</v>
      </c>
    </row>
    <row r="173" spans="1:21" x14ac:dyDescent="0.3">
      <c r="A173" s="5">
        <v>10172</v>
      </c>
      <c r="B173" s="1">
        <v>1546</v>
      </c>
      <c r="C173" s="2">
        <v>45087</v>
      </c>
      <c r="D173" s="2">
        <v>45088</v>
      </c>
      <c r="E173" s="1" t="s">
        <v>46</v>
      </c>
      <c r="F173" s="1" t="s">
        <v>54</v>
      </c>
      <c r="G173" s="1" t="s">
        <v>17</v>
      </c>
      <c r="H173" s="1" t="s">
        <v>42</v>
      </c>
      <c r="I173" s="1" t="s">
        <v>49</v>
      </c>
      <c r="J173" s="1" t="s">
        <v>63</v>
      </c>
      <c r="K173" s="1" t="s">
        <v>47</v>
      </c>
      <c r="L173" s="1">
        <v>9</v>
      </c>
      <c r="M173" s="1">
        <v>3159.22</v>
      </c>
      <c r="N173" s="1">
        <v>20</v>
      </c>
      <c r="O173" s="1">
        <v>22746.38</v>
      </c>
      <c r="P173" s="1">
        <f t="shared" si="11"/>
        <v>28432.98</v>
      </c>
      <c r="Q173" s="10">
        <f t="shared" si="12"/>
        <v>4549.2760000000007</v>
      </c>
      <c r="R173" s="11">
        <f t="shared" si="13"/>
        <v>23883.703999999998</v>
      </c>
      <c r="S173" s="1" t="str">
        <f t="shared" si="14"/>
        <v>High</v>
      </c>
      <c r="T173" s="1" t="str" cm="1">
        <f t="array" ref="T173">_xlfn.IFS(L173&gt;5,"High",L173=5,"mediam",L173&lt;5,"low")</f>
        <v>High</v>
      </c>
      <c r="U173" s="1" t="str">
        <f t="shared" si="15"/>
        <v>High</v>
      </c>
    </row>
    <row r="174" spans="1:21" x14ac:dyDescent="0.3">
      <c r="A174" s="5">
        <v>10173</v>
      </c>
      <c r="B174" s="1">
        <v>1960</v>
      </c>
      <c r="C174" s="2">
        <v>45124</v>
      </c>
      <c r="D174" s="2">
        <v>45127</v>
      </c>
      <c r="E174" s="1" t="s">
        <v>15</v>
      </c>
      <c r="F174" s="1" t="s">
        <v>38</v>
      </c>
      <c r="G174" s="1" t="s">
        <v>24</v>
      </c>
      <c r="H174" s="1" t="s">
        <v>42</v>
      </c>
      <c r="I174" s="1" t="s">
        <v>31</v>
      </c>
      <c r="J174" s="1" t="s">
        <v>65</v>
      </c>
      <c r="K174" s="1" t="s">
        <v>28</v>
      </c>
      <c r="L174" s="1">
        <v>3</v>
      </c>
      <c r="M174" s="1">
        <v>1357.77</v>
      </c>
      <c r="N174" s="1">
        <v>5</v>
      </c>
      <c r="O174" s="1">
        <v>3869.64</v>
      </c>
      <c r="P174" s="1">
        <f t="shared" si="11"/>
        <v>4073.31</v>
      </c>
      <c r="Q174" s="10">
        <f t="shared" si="12"/>
        <v>193.482</v>
      </c>
      <c r="R174" s="11">
        <f t="shared" si="13"/>
        <v>3879.828</v>
      </c>
      <c r="S174" s="1" t="str">
        <f t="shared" si="14"/>
        <v>Low</v>
      </c>
      <c r="T174" s="1" t="str" cm="1">
        <f t="array" ref="T174">_xlfn.IFS(L174&gt;5,"High",L174=5,"mediam",L174&lt;5,"low")</f>
        <v>low</v>
      </c>
      <c r="U174" s="1" t="b">
        <f t="shared" si="15"/>
        <v>0</v>
      </c>
    </row>
    <row r="175" spans="1:21" x14ac:dyDescent="0.3">
      <c r="A175" s="5">
        <v>10174</v>
      </c>
      <c r="B175" s="1">
        <v>1738</v>
      </c>
      <c r="C175" s="2">
        <v>45186</v>
      </c>
      <c r="D175" s="2">
        <v>45195</v>
      </c>
      <c r="E175" s="1" t="s">
        <v>34</v>
      </c>
      <c r="F175" s="1" t="s">
        <v>16</v>
      </c>
      <c r="G175" s="1" t="s">
        <v>30</v>
      </c>
      <c r="H175" s="1" t="s">
        <v>18</v>
      </c>
      <c r="I175" s="1" t="s">
        <v>52</v>
      </c>
      <c r="J175" s="1" t="s">
        <v>53</v>
      </c>
      <c r="K175" s="1" t="s">
        <v>28</v>
      </c>
      <c r="L175" s="1">
        <v>3</v>
      </c>
      <c r="M175" s="1">
        <v>1104.31</v>
      </c>
      <c r="N175" s="1">
        <v>15</v>
      </c>
      <c r="O175" s="1">
        <v>2815.99</v>
      </c>
      <c r="P175" s="1">
        <f t="shared" si="11"/>
        <v>3312.93</v>
      </c>
      <c r="Q175" s="10">
        <f t="shared" si="12"/>
        <v>422.39849999999996</v>
      </c>
      <c r="R175" s="11">
        <f t="shared" si="13"/>
        <v>2890.5315000000001</v>
      </c>
      <c r="S175" s="1" t="str">
        <f t="shared" si="14"/>
        <v>Low</v>
      </c>
      <c r="T175" s="1" t="str" cm="1">
        <f t="array" ref="T175">_xlfn.IFS(L175&gt;5,"High",L175=5,"mediam",L175&lt;5,"low")</f>
        <v>low</v>
      </c>
      <c r="U175" s="1" t="b">
        <f t="shared" si="15"/>
        <v>0</v>
      </c>
    </row>
    <row r="176" spans="1:21" x14ac:dyDescent="0.3">
      <c r="A176" s="5">
        <v>10175</v>
      </c>
      <c r="B176" s="1">
        <v>1612</v>
      </c>
      <c r="C176" s="2">
        <v>45074</v>
      </c>
      <c r="D176" s="2">
        <v>45081</v>
      </c>
      <c r="E176" s="1" t="s">
        <v>16</v>
      </c>
      <c r="F176" s="1" t="s">
        <v>41</v>
      </c>
      <c r="G176" s="1" t="s">
        <v>17</v>
      </c>
      <c r="H176" s="1" t="s">
        <v>18</v>
      </c>
      <c r="I176" s="1" t="s">
        <v>31</v>
      </c>
      <c r="J176" s="1" t="s">
        <v>32</v>
      </c>
      <c r="K176" s="1" t="s">
        <v>45</v>
      </c>
      <c r="L176" s="1">
        <v>4</v>
      </c>
      <c r="M176" s="1">
        <v>2836.21</v>
      </c>
      <c r="N176" s="1">
        <v>20</v>
      </c>
      <c r="O176" s="1">
        <v>9075.8700000000008</v>
      </c>
      <c r="P176" s="1">
        <f t="shared" si="11"/>
        <v>11344.84</v>
      </c>
      <c r="Q176" s="10">
        <f t="shared" si="12"/>
        <v>1815.1740000000002</v>
      </c>
      <c r="R176" s="11">
        <f t="shared" si="13"/>
        <v>9529.6659999999993</v>
      </c>
      <c r="S176" s="1" t="str">
        <f t="shared" si="14"/>
        <v>Low</v>
      </c>
      <c r="T176" s="1" t="str" cm="1">
        <f t="array" ref="T176">_xlfn.IFS(L176&gt;5,"High",L176=5,"mediam",L176&lt;5,"low")</f>
        <v>low</v>
      </c>
      <c r="U176" s="1" t="b">
        <f t="shared" si="15"/>
        <v>0</v>
      </c>
    </row>
    <row r="177" spans="1:21" x14ac:dyDescent="0.3">
      <c r="A177" s="5">
        <v>10176</v>
      </c>
      <c r="B177" s="1">
        <v>1942</v>
      </c>
      <c r="C177" s="2">
        <v>45166</v>
      </c>
      <c r="D177" s="2">
        <v>45168</v>
      </c>
      <c r="E177" s="1" t="s">
        <v>34</v>
      </c>
      <c r="F177" s="1" t="s">
        <v>29</v>
      </c>
      <c r="G177" s="1" t="s">
        <v>30</v>
      </c>
      <c r="H177" s="1" t="s">
        <v>25</v>
      </c>
      <c r="I177" s="1" t="s">
        <v>31</v>
      </c>
      <c r="J177" s="1" t="s">
        <v>39</v>
      </c>
      <c r="K177" s="1" t="s">
        <v>45</v>
      </c>
      <c r="L177" s="1">
        <v>5</v>
      </c>
      <c r="M177" s="1">
        <v>1551.83</v>
      </c>
      <c r="N177" s="1">
        <v>5</v>
      </c>
      <c r="O177" s="1">
        <v>7371.19</v>
      </c>
      <c r="P177" s="1">
        <f t="shared" si="11"/>
        <v>7759.15</v>
      </c>
      <c r="Q177" s="10">
        <f t="shared" si="12"/>
        <v>368.55950000000001</v>
      </c>
      <c r="R177" s="11">
        <f t="shared" si="13"/>
        <v>7390.5904999999993</v>
      </c>
      <c r="S177" s="1" t="str">
        <f t="shared" si="14"/>
        <v>High</v>
      </c>
      <c r="T177" s="1" t="str" cm="1">
        <f t="array" ref="T177">_xlfn.IFS(L177&gt;5,"High",L177=5,"mediam",L177&lt;5,"low")</f>
        <v>mediam</v>
      </c>
      <c r="U177" s="1" t="b">
        <f t="shared" si="15"/>
        <v>0</v>
      </c>
    </row>
    <row r="178" spans="1:21" x14ac:dyDescent="0.3">
      <c r="A178" s="5">
        <v>10177</v>
      </c>
      <c r="B178" s="1">
        <v>1461</v>
      </c>
      <c r="C178" s="2">
        <v>44973</v>
      </c>
      <c r="D178" s="2">
        <v>44982</v>
      </c>
      <c r="E178" s="1" t="s">
        <v>22</v>
      </c>
      <c r="F178" s="1" t="s">
        <v>41</v>
      </c>
      <c r="G178" s="1" t="s">
        <v>24</v>
      </c>
      <c r="H178" s="1" t="s">
        <v>25</v>
      </c>
      <c r="I178" s="1" t="s">
        <v>31</v>
      </c>
      <c r="J178" s="1" t="s">
        <v>32</v>
      </c>
      <c r="K178" s="1" t="s">
        <v>28</v>
      </c>
      <c r="L178" s="1">
        <v>1</v>
      </c>
      <c r="M178" s="1">
        <v>2329.9299999999998</v>
      </c>
      <c r="N178" s="1">
        <v>0</v>
      </c>
      <c r="O178" s="1">
        <v>2329.9299999999998</v>
      </c>
      <c r="P178" s="1">
        <f t="shared" si="11"/>
        <v>2329.9299999999998</v>
      </c>
      <c r="Q178" s="10">
        <f t="shared" si="12"/>
        <v>0</v>
      </c>
      <c r="R178" s="11">
        <f t="shared" si="13"/>
        <v>2329.9299999999998</v>
      </c>
      <c r="S178" s="1" t="str">
        <f t="shared" si="14"/>
        <v>Low</v>
      </c>
      <c r="T178" s="1" t="str" cm="1">
        <f t="array" ref="T178">_xlfn.IFS(L178&gt;5,"High",L178=5,"mediam",L178&lt;5,"low")</f>
        <v>low</v>
      </c>
      <c r="U178" s="1" t="b">
        <f t="shared" si="15"/>
        <v>0</v>
      </c>
    </row>
    <row r="179" spans="1:21" x14ac:dyDescent="0.3">
      <c r="A179" s="5">
        <v>10178</v>
      </c>
      <c r="B179" s="1">
        <v>1642</v>
      </c>
      <c r="C179" s="2">
        <v>45124</v>
      </c>
      <c r="D179" s="2">
        <v>45126</v>
      </c>
      <c r="E179" s="1" t="s">
        <v>40</v>
      </c>
      <c r="F179" s="1" t="s">
        <v>29</v>
      </c>
      <c r="G179" s="1" t="s">
        <v>17</v>
      </c>
      <c r="H179" s="1" t="s">
        <v>18</v>
      </c>
      <c r="I179" s="1" t="s">
        <v>26</v>
      </c>
      <c r="J179" s="1" t="s">
        <v>61</v>
      </c>
      <c r="K179" s="1" t="s">
        <v>45</v>
      </c>
      <c r="L179" s="1">
        <v>7</v>
      </c>
      <c r="M179" s="1">
        <v>174.09</v>
      </c>
      <c r="N179" s="1">
        <v>10</v>
      </c>
      <c r="O179" s="1">
        <v>1096.77</v>
      </c>
      <c r="P179" s="1">
        <f t="shared" si="11"/>
        <v>1218.6300000000001</v>
      </c>
      <c r="Q179" s="10">
        <f t="shared" si="12"/>
        <v>109.67700000000001</v>
      </c>
      <c r="R179" s="11">
        <f t="shared" si="13"/>
        <v>1108.9530000000002</v>
      </c>
      <c r="S179" s="1" t="str">
        <f t="shared" si="14"/>
        <v>High</v>
      </c>
      <c r="T179" s="1" t="str" cm="1">
        <f t="array" ref="T179">_xlfn.IFS(L179&gt;5,"High",L179=5,"mediam",L179&lt;5,"low")</f>
        <v>High</v>
      </c>
      <c r="U179" s="1" t="str">
        <f t="shared" si="15"/>
        <v>High</v>
      </c>
    </row>
    <row r="180" spans="1:21" x14ac:dyDescent="0.3">
      <c r="A180" s="5">
        <v>10179</v>
      </c>
      <c r="B180" s="1">
        <v>1768</v>
      </c>
      <c r="C180" s="2">
        <v>44973</v>
      </c>
      <c r="D180" s="2">
        <v>44976</v>
      </c>
      <c r="E180" s="1" t="s">
        <v>37</v>
      </c>
      <c r="F180" s="1" t="s">
        <v>16</v>
      </c>
      <c r="G180" s="1" t="s">
        <v>30</v>
      </c>
      <c r="H180" s="1" t="s">
        <v>25</v>
      </c>
      <c r="I180" s="1" t="s">
        <v>31</v>
      </c>
      <c r="J180" s="1" t="s">
        <v>32</v>
      </c>
      <c r="K180" s="1" t="s">
        <v>21</v>
      </c>
      <c r="L180" s="1">
        <v>9</v>
      </c>
      <c r="M180" s="1">
        <v>388.26</v>
      </c>
      <c r="N180" s="1">
        <v>10</v>
      </c>
      <c r="O180" s="1">
        <v>3144.91</v>
      </c>
      <c r="P180" s="1">
        <f t="shared" si="11"/>
        <v>3494.34</v>
      </c>
      <c r="Q180" s="10">
        <f t="shared" si="12"/>
        <v>314.49099999999999</v>
      </c>
      <c r="R180" s="11">
        <f t="shared" si="13"/>
        <v>3179.8490000000002</v>
      </c>
      <c r="S180" s="1" t="str">
        <f t="shared" si="14"/>
        <v>High</v>
      </c>
      <c r="T180" s="1" t="str" cm="1">
        <f t="array" ref="T180">_xlfn.IFS(L180&gt;5,"High",L180=5,"mediam",L180&lt;5,"low")</f>
        <v>High</v>
      </c>
      <c r="U180" s="1" t="str">
        <f t="shared" si="15"/>
        <v>High</v>
      </c>
    </row>
    <row r="181" spans="1:21" x14ac:dyDescent="0.3">
      <c r="A181" s="5">
        <v>10180</v>
      </c>
      <c r="B181" s="1">
        <v>1004</v>
      </c>
      <c r="C181" s="2">
        <v>45004</v>
      </c>
      <c r="D181" s="2">
        <v>45006</v>
      </c>
      <c r="E181" s="1" t="s">
        <v>15</v>
      </c>
      <c r="F181" s="1" t="s">
        <v>29</v>
      </c>
      <c r="G181" s="1" t="s">
        <v>17</v>
      </c>
      <c r="H181" s="1" t="s">
        <v>35</v>
      </c>
      <c r="I181" s="1" t="s">
        <v>19</v>
      </c>
      <c r="J181" s="1" t="s">
        <v>43</v>
      </c>
      <c r="K181" s="1" t="s">
        <v>45</v>
      </c>
      <c r="L181" s="1">
        <v>8</v>
      </c>
      <c r="M181" s="1">
        <v>2211.17</v>
      </c>
      <c r="N181" s="1">
        <v>10</v>
      </c>
      <c r="O181" s="1">
        <v>15920.42</v>
      </c>
      <c r="P181" s="1">
        <f t="shared" si="11"/>
        <v>17689.36</v>
      </c>
      <c r="Q181" s="10">
        <f t="shared" si="12"/>
        <v>1592.0420000000001</v>
      </c>
      <c r="R181" s="11">
        <f t="shared" si="13"/>
        <v>16097.318000000001</v>
      </c>
      <c r="S181" s="1" t="str">
        <f t="shared" si="14"/>
        <v>High</v>
      </c>
      <c r="T181" s="1" t="str" cm="1">
        <f t="array" ref="T181">_xlfn.IFS(L181&gt;5,"High",L181=5,"mediam",L181&lt;5,"low")</f>
        <v>High</v>
      </c>
      <c r="U181" s="1" t="str">
        <f t="shared" si="15"/>
        <v>High</v>
      </c>
    </row>
    <row r="182" spans="1:21" x14ac:dyDescent="0.3">
      <c r="A182" s="5">
        <v>10181</v>
      </c>
      <c r="B182" s="1">
        <v>1217</v>
      </c>
      <c r="C182" s="2">
        <v>45050</v>
      </c>
      <c r="D182" s="2">
        <v>45053</v>
      </c>
      <c r="E182" s="1" t="s">
        <v>15</v>
      </c>
      <c r="F182" s="1" t="s">
        <v>23</v>
      </c>
      <c r="G182" s="1" t="s">
        <v>17</v>
      </c>
      <c r="H182" s="1" t="s">
        <v>42</v>
      </c>
      <c r="I182" s="1" t="s">
        <v>49</v>
      </c>
      <c r="J182" s="1" t="s">
        <v>50</v>
      </c>
      <c r="K182" s="1" t="s">
        <v>33</v>
      </c>
      <c r="L182" s="1">
        <v>5</v>
      </c>
      <c r="M182" s="1">
        <v>2329.38</v>
      </c>
      <c r="N182" s="1">
        <v>20</v>
      </c>
      <c r="O182" s="1">
        <v>9317.52</v>
      </c>
      <c r="P182" s="1">
        <f t="shared" si="11"/>
        <v>11646.900000000001</v>
      </c>
      <c r="Q182" s="10">
        <f t="shared" si="12"/>
        <v>1863.5040000000001</v>
      </c>
      <c r="R182" s="11">
        <f t="shared" si="13"/>
        <v>9783.3960000000006</v>
      </c>
      <c r="S182" s="1" t="str">
        <f t="shared" si="14"/>
        <v>High</v>
      </c>
      <c r="T182" s="1" t="str" cm="1">
        <f t="array" ref="T182">_xlfn.IFS(L182&gt;5,"High",L182=5,"mediam",L182&lt;5,"low")</f>
        <v>mediam</v>
      </c>
      <c r="U182" s="1" t="b">
        <f t="shared" si="15"/>
        <v>0</v>
      </c>
    </row>
    <row r="183" spans="1:21" x14ac:dyDescent="0.3">
      <c r="A183" s="5">
        <v>10182</v>
      </c>
      <c r="B183" s="1">
        <v>1502</v>
      </c>
      <c r="C183" s="2">
        <v>45001</v>
      </c>
      <c r="D183" s="2">
        <v>45007</v>
      </c>
      <c r="E183" s="1" t="s">
        <v>22</v>
      </c>
      <c r="F183" s="1" t="s">
        <v>23</v>
      </c>
      <c r="G183" s="1" t="s">
        <v>24</v>
      </c>
      <c r="H183" s="1" t="s">
        <v>42</v>
      </c>
      <c r="I183" s="1" t="s">
        <v>57</v>
      </c>
      <c r="J183" s="1" t="s">
        <v>59</v>
      </c>
      <c r="K183" s="1" t="s">
        <v>45</v>
      </c>
      <c r="L183" s="1">
        <v>4</v>
      </c>
      <c r="M183" s="1">
        <v>3043.09</v>
      </c>
      <c r="N183" s="1">
        <v>5</v>
      </c>
      <c r="O183" s="1">
        <v>11563.74</v>
      </c>
      <c r="P183" s="1">
        <f t="shared" si="11"/>
        <v>12172.36</v>
      </c>
      <c r="Q183" s="10">
        <f t="shared" si="12"/>
        <v>578.18700000000001</v>
      </c>
      <c r="R183" s="11">
        <f t="shared" si="13"/>
        <v>11594.173000000001</v>
      </c>
      <c r="S183" s="1" t="str">
        <f t="shared" si="14"/>
        <v>Low</v>
      </c>
      <c r="T183" s="1" t="str" cm="1">
        <f t="array" ref="T183">_xlfn.IFS(L183&gt;5,"High",L183=5,"mediam",L183&lt;5,"low")</f>
        <v>low</v>
      </c>
      <c r="U183" s="1" t="b">
        <f t="shared" si="15"/>
        <v>0</v>
      </c>
    </row>
    <row r="184" spans="1:21" x14ac:dyDescent="0.3">
      <c r="A184" s="5">
        <v>10183</v>
      </c>
      <c r="B184" s="1">
        <v>1766</v>
      </c>
      <c r="C184" s="2">
        <v>45285</v>
      </c>
      <c r="D184" s="2">
        <v>45294</v>
      </c>
      <c r="E184" s="1" t="s">
        <v>15</v>
      </c>
      <c r="F184" s="1" t="s">
        <v>23</v>
      </c>
      <c r="G184" s="1" t="s">
        <v>30</v>
      </c>
      <c r="H184" s="1" t="s">
        <v>18</v>
      </c>
      <c r="I184" s="1" t="s">
        <v>31</v>
      </c>
      <c r="J184" s="1" t="s">
        <v>39</v>
      </c>
      <c r="K184" s="1" t="s">
        <v>47</v>
      </c>
      <c r="L184" s="1">
        <v>7</v>
      </c>
      <c r="M184" s="1">
        <v>658.07</v>
      </c>
      <c r="N184" s="1">
        <v>20</v>
      </c>
      <c r="O184" s="1">
        <v>3685.19</v>
      </c>
      <c r="P184" s="1">
        <f t="shared" si="11"/>
        <v>4606.4900000000007</v>
      </c>
      <c r="Q184" s="10">
        <f t="shared" si="12"/>
        <v>737.03800000000001</v>
      </c>
      <c r="R184" s="11">
        <f t="shared" si="13"/>
        <v>3869.4520000000007</v>
      </c>
      <c r="S184" s="1" t="str">
        <f t="shared" si="14"/>
        <v>High</v>
      </c>
      <c r="T184" s="1" t="str" cm="1">
        <f t="array" ref="T184">_xlfn.IFS(L184&gt;5,"High",L184=5,"mediam",L184&lt;5,"low")</f>
        <v>High</v>
      </c>
      <c r="U184" s="1" t="str">
        <f t="shared" si="15"/>
        <v>High</v>
      </c>
    </row>
    <row r="185" spans="1:21" x14ac:dyDescent="0.3">
      <c r="A185" s="5">
        <v>10184</v>
      </c>
      <c r="B185" s="1">
        <v>1397</v>
      </c>
      <c r="C185" s="2">
        <v>45063</v>
      </c>
      <c r="D185" s="2">
        <v>45072</v>
      </c>
      <c r="E185" s="1" t="s">
        <v>22</v>
      </c>
      <c r="F185" s="1" t="s">
        <v>54</v>
      </c>
      <c r="G185" s="1" t="s">
        <v>17</v>
      </c>
      <c r="H185" s="1" t="s">
        <v>44</v>
      </c>
      <c r="I185" s="1" t="s">
        <v>52</v>
      </c>
      <c r="J185" s="1" t="s">
        <v>64</v>
      </c>
      <c r="K185" s="1" t="s">
        <v>21</v>
      </c>
      <c r="L185" s="1">
        <v>5</v>
      </c>
      <c r="M185" s="1">
        <v>2125.75</v>
      </c>
      <c r="N185" s="1">
        <v>15</v>
      </c>
      <c r="O185" s="1">
        <v>9034.44</v>
      </c>
      <c r="P185" s="1">
        <f t="shared" si="11"/>
        <v>10628.75</v>
      </c>
      <c r="Q185" s="10">
        <f t="shared" si="12"/>
        <v>1355.1659999999999</v>
      </c>
      <c r="R185" s="11">
        <f t="shared" si="13"/>
        <v>9273.5840000000007</v>
      </c>
      <c r="S185" s="1" t="str">
        <f t="shared" si="14"/>
        <v>High</v>
      </c>
      <c r="T185" s="1" t="str" cm="1">
        <f t="array" ref="T185">_xlfn.IFS(L185&gt;5,"High",L185=5,"mediam",L185&lt;5,"low")</f>
        <v>mediam</v>
      </c>
      <c r="U185" s="1" t="b">
        <f t="shared" si="15"/>
        <v>0</v>
      </c>
    </row>
    <row r="186" spans="1:21" x14ac:dyDescent="0.3">
      <c r="A186" s="5">
        <v>10185</v>
      </c>
      <c r="B186" s="1">
        <v>1870</v>
      </c>
      <c r="C186" s="2">
        <v>45016</v>
      </c>
      <c r="D186" s="2">
        <v>45023</v>
      </c>
      <c r="E186" s="1" t="s">
        <v>34</v>
      </c>
      <c r="F186" s="1" t="s">
        <v>16</v>
      </c>
      <c r="G186" s="1" t="s">
        <v>17</v>
      </c>
      <c r="H186" s="1" t="s">
        <v>18</v>
      </c>
      <c r="I186" s="1" t="s">
        <v>31</v>
      </c>
      <c r="J186" s="1" t="s">
        <v>39</v>
      </c>
      <c r="K186" s="1" t="s">
        <v>47</v>
      </c>
      <c r="L186" s="1">
        <v>7</v>
      </c>
      <c r="M186" s="1">
        <v>898.62</v>
      </c>
      <c r="N186" s="1">
        <v>0</v>
      </c>
      <c r="O186" s="1">
        <v>6290.34</v>
      </c>
      <c r="P186" s="1">
        <f t="shared" si="11"/>
        <v>6290.34</v>
      </c>
      <c r="Q186" s="10">
        <f t="shared" si="12"/>
        <v>0</v>
      </c>
      <c r="R186" s="11">
        <f t="shared" si="13"/>
        <v>6290.34</v>
      </c>
      <c r="S186" s="1" t="str">
        <f t="shared" si="14"/>
        <v>High</v>
      </c>
      <c r="T186" s="1" t="str" cm="1">
        <f t="array" ref="T186">_xlfn.IFS(L186&gt;5,"High",L186=5,"mediam",L186&lt;5,"low")</f>
        <v>High</v>
      </c>
      <c r="U186" s="1" t="str">
        <f t="shared" si="15"/>
        <v>High</v>
      </c>
    </row>
    <row r="187" spans="1:21" x14ac:dyDescent="0.3">
      <c r="A187" s="5">
        <v>10186</v>
      </c>
      <c r="B187" s="1">
        <v>1794</v>
      </c>
      <c r="C187" s="2">
        <v>45251</v>
      </c>
      <c r="D187" s="2">
        <v>45254</v>
      </c>
      <c r="E187" s="1" t="s">
        <v>37</v>
      </c>
      <c r="F187" s="1" t="s">
        <v>41</v>
      </c>
      <c r="G187" s="1" t="s">
        <v>30</v>
      </c>
      <c r="H187" s="1" t="s">
        <v>25</v>
      </c>
      <c r="I187" s="1" t="s">
        <v>52</v>
      </c>
      <c r="J187" s="1" t="s">
        <v>56</v>
      </c>
      <c r="K187" s="1" t="s">
        <v>47</v>
      </c>
      <c r="L187" s="1">
        <v>1</v>
      </c>
      <c r="M187" s="1">
        <v>508.81</v>
      </c>
      <c r="N187" s="1">
        <v>0</v>
      </c>
      <c r="O187" s="1">
        <v>508.81</v>
      </c>
      <c r="P187" s="1">
        <f t="shared" si="11"/>
        <v>508.81</v>
      </c>
      <c r="Q187" s="10">
        <f t="shared" si="12"/>
        <v>0</v>
      </c>
      <c r="R187" s="11">
        <f t="shared" si="13"/>
        <v>508.81</v>
      </c>
      <c r="S187" s="1" t="str">
        <f t="shared" si="14"/>
        <v>Low</v>
      </c>
      <c r="T187" s="1" t="str" cm="1">
        <f t="array" ref="T187">_xlfn.IFS(L187&gt;5,"High",L187=5,"mediam",L187&lt;5,"low")</f>
        <v>low</v>
      </c>
      <c r="U187" s="1" t="b">
        <f t="shared" si="15"/>
        <v>0</v>
      </c>
    </row>
    <row r="188" spans="1:21" x14ac:dyDescent="0.3">
      <c r="A188" s="5">
        <v>10187</v>
      </c>
      <c r="B188" s="1">
        <v>1392</v>
      </c>
      <c r="C188" s="2">
        <v>44987</v>
      </c>
      <c r="D188" s="2">
        <v>44991</v>
      </c>
      <c r="E188" s="1" t="s">
        <v>16</v>
      </c>
      <c r="F188" s="1" t="s">
        <v>41</v>
      </c>
      <c r="G188" s="1" t="s">
        <v>17</v>
      </c>
      <c r="H188" s="1" t="s">
        <v>44</v>
      </c>
      <c r="I188" s="1" t="s">
        <v>19</v>
      </c>
      <c r="J188" s="1" t="s">
        <v>43</v>
      </c>
      <c r="K188" s="1" t="s">
        <v>33</v>
      </c>
      <c r="L188" s="1">
        <v>1</v>
      </c>
      <c r="M188" s="1">
        <v>1730.41</v>
      </c>
      <c r="N188" s="1">
        <v>10</v>
      </c>
      <c r="O188" s="1">
        <v>1557.37</v>
      </c>
      <c r="P188" s="1">
        <f t="shared" si="11"/>
        <v>1730.41</v>
      </c>
      <c r="Q188" s="10">
        <f t="shared" si="12"/>
        <v>155.73699999999999</v>
      </c>
      <c r="R188" s="11">
        <f t="shared" si="13"/>
        <v>1574.673</v>
      </c>
      <c r="S188" s="1" t="str">
        <f t="shared" si="14"/>
        <v>Low</v>
      </c>
      <c r="T188" s="1" t="str" cm="1">
        <f t="array" ref="T188">_xlfn.IFS(L188&gt;5,"High",L188=5,"mediam",L188&lt;5,"low")</f>
        <v>low</v>
      </c>
      <c r="U188" s="1" t="b">
        <f t="shared" si="15"/>
        <v>0</v>
      </c>
    </row>
    <row r="189" spans="1:21" x14ac:dyDescent="0.3">
      <c r="A189" s="5">
        <v>10188</v>
      </c>
      <c r="B189" s="1">
        <v>1206</v>
      </c>
      <c r="C189" s="2">
        <v>45064</v>
      </c>
      <c r="D189" s="2">
        <v>45070</v>
      </c>
      <c r="E189" s="1" t="s">
        <v>40</v>
      </c>
      <c r="F189" s="1" t="s">
        <v>54</v>
      </c>
      <c r="G189" s="1" t="s">
        <v>17</v>
      </c>
      <c r="H189" s="1" t="s">
        <v>25</v>
      </c>
      <c r="I189" s="1" t="s">
        <v>52</v>
      </c>
      <c r="J189" s="1" t="s">
        <v>53</v>
      </c>
      <c r="K189" s="1" t="s">
        <v>21</v>
      </c>
      <c r="L189" s="1">
        <v>3</v>
      </c>
      <c r="M189" s="1">
        <v>778.85</v>
      </c>
      <c r="N189" s="1">
        <v>10</v>
      </c>
      <c r="O189" s="1">
        <v>2102.89</v>
      </c>
      <c r="P189" s="1">
        <f t="shared" si="11"/>
        <v>2336.5500000000002</v>
      </c>
      <c r="Q189" s="10">
        <f t="shared" si="12"/>
        <v>210.28899999999999</v>
      </c>
      <c r="R189" s="11">
        <f t="shared" si="13"/>
        <v>2126.2610000000004</v>
      </c>
      <c r="S189" s="1" t="str">
        <f t="shared" si="14"/>
        <v>Low</v>
      </c>
      <c r="T189" s="1" t="str" cm="1">
        <f t="array" ref="T189">_xlfn.IFS(L189&gt;5,"High",L189=5,"mediam",L189&lt;5,"low")</f>
        <v>low</v>
      </c>
      <c r="U189" s="1" t="b">
        <f t="shared" si="15"/>
        <v>0</v>
      </c>
    </row>
    <row r="190" spans="1:21" x14ac:dyDescent="0.3">
      <c r="A190" s="5">
        <v>10189</v>
      </c>
      <c r="B190" s="1">
        <v>1014</v>
      </c>
      <c r="C190" s="2">
        <v>44976</v>
      </c>
      <c r="D190" s="2">
        <v>44981</v>
      </c>
      <c r="E190" s="1" t="s">
        <v>16</v>
      </c>
      <c r="F190" s="1" t="s">
        <v>29</v>
      </c>
      <c r="G190" s="1" t="s">
        <v>17</v>
      </c>
      <c r="H190" s="1" t="s">
        <v>35</v>
      </c>
      <c r="I190" s="1" t="s">
        <v>57</v>
      </c>
      <c r="J190" s="1" t="s">
        <v>62</v>
      </c>
      <c r="K190" s="1" t="s">
        <v>21</v>
      </c>
      <c r="L190" s="1">
        <v>2</v>
      </c>
      <c r="M190" s="1">
        <v>1003.86</v>
      </c>
      <c r="N190" s="1">
        <v>10</v>
      </c>
      <c r="O190" s="1">
        <v>1806.95</v>
      </c>
      <c r="P190" s="1">
        <f t="shared" si="11"/>
        <v>2007.72</v>
      </c>
      <c r="Q190" s="10">
        <f t="shared" si="12"/>
        <v>180.69500000000002</v>
      </c>
      <c r="R190" s="11">
        <f t="shared" si="13"/>
        <v>1827.0250000000001</v>
      </c>
      <c r="S190" s="1" t="str">
        <f t="shared" si="14"/>
        <v>Low</v>
      </c>
      <c r="T190" s="1" t="str" cm="1">
        <f t="array" ref="T190">_xlfn.IFS(L190&gt;5,"High",L190=5,"mediam",L190&lt;5,"low")</f>
        <v>low</v>
      </c>
      <c r="U190" s="1" t="b">
        <f t="shared" si="15"/>
        <v>0</v>
      </c>
    </row>
    <row r="191" spans="1:21" x14ac:dyDescent="0.3">
      <c r="A191" s="5">
        <v>10190</v>
      </c>
      <c r="B191" s="1">
        <v>1857</v>
      </c>
      <c r="C191" s="2">
        <v>45185</v>
      </c>
      <c r="D191" s="2">
        <v>45187</v>
      </c>
      <c r="E191" s="1" t="s">
        <v>34</v>
      </c>
      <c r="F191" s="1" t="s">
        <v>54</v>
      </c>
      <c r="G191" s="1" t="s">
        <v>30</v>
      </c>
      <c r="H191" s="1" t="s">
        <v>25</v>
      </c>
      <c r="I191" s="1" t="s">
        <v>49</v>
      </c>
      <c r="J191" s="1" t="s">
        <v>51</v>
      </c>
      <c r="K191" s="1" t="s">
        <v>21</v>
      </c>
      <c r="L191" s="1">
        <v>2</v>
      </c>
      <c r="M191" s="1">
        <v>1372.59</v>
      </c>
      <c r="N191" s="1">
        <v>5</v>
      </c>
      <c r="O191" s="1">
        <v>2607.92</v>
      </c>
      <c r="P191" s="1">
        <f t="shared" si="11"/>
        <v>2745.18</v>
      </c>
      <c r="Q191" s="10">
        <f t="shared" si="12"/>
        <v>130.39600000000002</v>
      </c>
      <c r="R191" s="11">
        <f t="shared" si="13"/>
        <v>2614.7839999999997</v>
      </c>
      <c r="S191" s="1" t="str">
        <f t="shared" si="14"/>
        <v>Low</v>
      </c>
      <c r="T191" s="1" t="str" cm="1">
        <f t="array" ref="T191">_xlfn.IFS(L191&gt;5,"High",L191=5,"mediam",L191&lt;5,"low")</f>
        <v>low</v>
      </c>
      <c r="U191" s="1" t="b">
        <f t="shared" si="15"/>
        <v>0</v>
      </c>
    </row>
    <row r="192" spans="1:21" x14ac:dyDescent="0.3">
      <c r="A192" s="5">
        <v>10191</v>
      </c>
      <c r="B192" s="1">
        <v>1553</v>
      </c>
      <c r="C192" s="2">
        <v>45033</v>
      </c>
      <c r="D192" s="2">
        <v>45039</v>
      </c>
      <c r="E192" s="1" t="s">
        <v>40</v>
      </c>
      <c r="F192" s="1" t="s">
        <v>29</v>
      </c>
      <c r="G192" s="1" t="s">
        <v>30</v>
      </c>
      <c r="H192" s="1" t="s">
        <v>35</v>
      </c>
      <c r="I192" s="1" t="s">
        <v>52</v>
      </c>
      <c r="J192" s="1" t="s">
        <v>56</v>
      </c>
      <c r="K192" s="1" t="s">
        <v>21</v>
      </c>
      <c r="L192" s="1">
        <v>7</v>
      </c>
      <c r="M192" s="1">
        <v>1148.6500000000001</v>
      </c>
      <c r="N192" s="1">
        <v>15</v>
      </c>
      <c r="O192" s="1">
        <v>6834.47</v>
      </c>
      <c r="P192" s="1">
        <f t="shared" si="11"/>
        <v>8040.5500000000011</v>
      </c>
      <c r="Q192" s="10">
        <f t="shared" si="12"/>
        <v>1025.1704999999999</v>
      </c>
      <c r="R192" s="11">
        <f t="shared" si="13"/>
        <v>7015.3795000000009</v>
      </c>
      <c r="S192" s="1" t="str">
        <f t="shared" si="14"/>
        <v>High</v>
      </c>
      <c r="T192" s="1" t="str" cm="1">
        <f t="array" ref="T192">_xlfn.IFS(L192&gt;5,"High",L192=5,"mediam",L192&lt;5,"low")</f>
        <v>High</v>
      </c>
      <c r="U192" s="1" t="str">
        <f t="shared" si="15"/>
        <v>High</v>
      </c>
    </row>
    <row r="193" spans="1:21" x14ac:dyDescent="0.3">
      <c r="A193" s="5">
        <v>10192</v>
      </c>
      <c r="B193" s="1">
        <v>1891</v>
      </c>
      <c r="C193" s="2">
        <v>45039</v>
      </c>
      <c r="D193" s="2">
        <v>45042</v>
      </c>
      <c r="E193" s="1" t="s">
        <v>15</v>
      </c>
      <c r="F193" s="1" t="s">
        <v>29</v>
      </c>
      <c r="G193" s="1" t="s">
        <v>30</v>
      </c>
      <c r="H193" s="1" t="s">
        <v>35</v>
      </c>
      <c r="I193" s="1" t="s">
        <v>52</v>
      </c>
      <c r="J193" s="1" t="s">
        <v>60</v>
      </c>
      <c r="K193" s="1" t="s">
        <v>21</v>
      </c>
      <c r="L193" s="1">
        <v>2</v>
      </c>
      <c r="M193" s="1">
        <v>487.23</v>
      </c>
      <c r="N193" s="1">
        <v>15</v>
      </c>
      <c r="O193" s="1">
        <v>828.29</v>
      </c>
      <c r="P193" s="1">
        <f t="shared" si="11"/>
        <v>974.46</v>
      </c>
      <c r="Q193" s="10">
        <f t="shared" si="12"/>
        <v>124.24349999999998</v>
      </c>
      <c r="R193" s="11">
        <f t="shared" si="13"/>
        <v>850.2165</v>
      </c>
      <c r="S193" s="1" t="str">
        <f t="shared" si="14"/>
        <v>Low</v>
      </c>
      <c r="T193" s="1" t="str" cm="1">
        <f t="array" ref="T193">_xlfn.IFS(L193&gt;5,"High",L193=5,"mediam",L193&lt;5,"low")</f>
        <v>low</v>
      </c>
      <c r="U193" s="1" t="b">
        <f t="shared" si="15"/>
        <v>0</v>
      </c>
    </row>
    <row r="194" spans="1:21" x14ac:dyDescent="0.3">
      <c r="A194" s="5">
        <v>10193</v>
      </c>
      <c r="B194" s="1">
        <v>1460</v>
      </c>
      <c r="C194" s="2">
        <v>45276</v>
      </c>
      <c r="D194" s="2">
        <v>45284</v>
      </c>
      <c r="E194" s="1" t="s">
        <v>46</v>
      </c>
      <c r="F194" s="1" t="s">
        <v>38</v>
      </c>
      <c r="G194" s="1" t="s">
        <v>30</v>
      </c>
      <c r="H194" s="1" t="s">
        <v>25</v>
      </c>
      <c r="I194" s="1" t="s">
        <v>49</v>
      </c>
      <c r="J194" s="1" t="s">
        <v>51</v>
      </c>
      <c r="K194" s="1" t="s">
        <v>33</v>
      </c>
      <c r="L194" s="1">
        <v>4</v>
      </c>
      <c r="M194" s="1">
        <v>496.18</v>
      </c>
      <c r="N194" s="1">
        <v>15</v>
      </c>
      <c r="O194" s="1">
        <v>1687.01</v>
      </c>
      <c r="P194" s="1">
        <f t="shared" si="11"/>
        <v>1984.72</v>
      </c>
      <c r="Q194" s="10">
        <f t="shared" si="12"/>
        <v>253.05149999999998</v>
      </c>
      <c r="R194" s="11">
        <f t="shared" si="13"/>
        <v>1731.6685</v>
      </c>
      <c r="S194" s="1" t="str">
        <f t="shared" si="14"/>
        <v>Low</v>
      </c>
      <c r="T194" s="1" t="str" cm="1">
        <f t="array" ref="T194">_xlfn.IFS(L194&gt;5,"High",L194=5,"mediam",L194&lt;5,"low")</f>
        <v>low</v>
      </c>
      <c r="U194" s="1" t="b">
        <f t="shared" si="15"/>
        <v>0</v>
      </c>
    </row>
    <row r="195" spans="1:21" x14ac:dyDescent="0.3">
      <c r="A195" s="5">
        <v>10194</v>
      </c>
      <c r="B195" s="1">
        <v>1690</v>
      </c>
      <c r="C195" s="2">
        <v>45180</v>
      </c>
      <c r="D195" s="2">
        <v>45182</v>
      </c>
      <c r="E195" s="1" t="s">
        <v>34</v>
      </c>
      <c r="F195" s="1" t="s">
        <v>41</v>
      </c>
      <c r="G195" s="1" t="s">
        <v>24</v>
      </c>
      <c r="H195" s="1" t="s">
        <v>25</v>
      </c>
      <c r="I195" s="1" t="s">
        <v>57</v>
      </c>
      <c r="J195" s="1" t="s">
        <v>59</v>
      </c>
      <c r="K195" s="1" t="s">
        <v>45</v>
      </c>
      <c r="L195" s="1">
        <v>2</v>
      </c>
      <c r="M195" s="1">
        <v>894.01</v>
      </c>
      <c r="N195" s="1">
        <v>15</v>
      </c>
      <c r="O195" s="1">
        <v>1519.82</v>
      </c>
      <c r="P195" s="1">
        <f t="shared" ref="P195:P258" si="16">L195*M195</f>
        <v>1788.02</v>
      </c>
      <c r="Q195" s="10">
        <f t="shared" ref="Q195:Q258" si="17">O195*N195%</f>
        <v>227.97299999999998</v>
      </c>
      <c r="R195" s="11">
        <f t="shared" ref="R195:R258" si="18">P195-Q195</f>
        <v>1560.047</v>
      </c>
      <c r="S195" s="1" t="str">
        <f t="shared" ref="S195:S258" si="19">IF(L195&gt;=5,"High","Low")</f>
        <v>Low</v>
      </c>
      <c r="T195" s="1" t="str" cm="1">
        <f t="array" ref="T195">_xlfn.IFS(L195&gt;5,"High",L195=5,"mediam",L195&lt;5,"low")</f>
        <v>low</v>
      </c>
      <c r="U195" s="1" t="b">
        <f t="shared" si="15"/>
        <v>0</v>
      </c>
    </row>
    <row r="196" spans="1:21" x14ac:dyDescent="0.3">
      <c r="A196" s="5">
        <v>10195</v>
      </c>
      <c r="B196" s="1">
        <v>1574</v>
      </c>
      <c r="C196" s="2">
        <v>45044</v>
      </c>
      <c r="D196" s="2">
        <v>45045</v>
      </c>
      <c r="E196" s="1" t="s">
        <v>34</v>
      </c>
      <c r="F196" s="1" t="s">
        <v>23</v>
      </c>
      <c r="G196" s="1" t="s">
        <v>17</v>
      </c>
      <c r="H196" s="1" t="s">
        <v>35</v>
      </c>
      <c r="I196" s="1" t="s">
        <v>31</v>
      </c>
      <c r="J196" s="1" t="s">
        <v>65</v>
      </c>
      <c r="K196" s="1" t="s">
        <v>47</v>
      </c>
      <c r="L196" s="1">
        <v>6</v>
      </c>
      <c r="M196" s="1">
        <v>344.65</v>
      </c>
      <c r="N196" s="1">
        <v>10</v>
      </c>
      <c r="O196" s="1">
        <v>1861.11</v>
      </c>
      <c r="P196" s="1">
        <f t="shared" si="16"/>
        <v>2067.8999999999996</v>
      </c>
      <c r="Q196" s="10">
        <f t="shared" si="17"/>
        <v>186.11099999999999</v>
      </c>
      <c r="R196" s="11">
        <f t="shared" si="18"/>
        <v>1881.7889999999998</v>
      </c>
      <c r="S196" s="1" t="str">
        <f t="shared" si="19"/>
        <v>High</v>
      </c>
      <c r="T196" s="1" t="str" cm="1">
        <f t="array" ref="T196">_xlfn.IFS(L196&gt;5,"High",L196=5,"mediam",L196&lt;5,"low")</f>
        <v>High</v>
      </c>
      <c r="U196" s="1" t="str">
        <f t="shared" si="15"/>
        <v>High</v>
      </c>
    </row>
    <row r="197" spans="1:21" x14ac:dyDescent="0.3">
      <c r="A197" s="5">
        <v>10196</v>
      </c>
      <c r="B197" s="1">
        <v>1863</v>
      </c>
      <c r="C197" s="2">
        <v>45124</v>
      </c>
      <c r="D197" s="2">
        <v>45133</v>
      </c>
      <c r="E197" s="1" t="s">
        <v>37</v>
      </c>
      <c r="F197" s="1" t="s">
        <v>29</v>
      </c>
      <c r="G197" s="1" t="s">
        <v>30</v>
      </c>
      <c r="H197" s="1" t="s">
        <v>44</v>
      </c>
      <c r="I197" s="1" t="s">
        <v>52</v>
      </c>
      <c r="J197" s="1" t="s">
        <v>53</v>
      </c>
      <c r="K197" s="1" t="s">
        <v>21</v>
      </c>
      <c r="L197" s="1">
        <v>8</v>
      </c>
      <c r="M197" s="1">
        <v>2561.86</v>
      </c>
      <c r="N197" s="1">
        <v>0</v>
      </c>
      <c r="O197" s="1">
        <v>20494.88</v>
      </c>
      <c r="P197" s="1">
        <f t="shared" si="16"/>
        <v>20494.88</v>
      </c>
      <c r="Q197" s="10">
        <f t="shared" si="17"/>
        <v>0</v>
      </c>
      <c r="R197" s="11">
        <f t="shared" si="18"/>
        <v>20494.88</v>
      </c>
      <c r="S197" s="1" t="str">
        <f t="shared" si="19"/>
        <v>High</v>
      </c>
      <c r="T197" s="1" t="str" cm="1">
        <f t="array" ref="T197">_xlfn.IFS(L197&gt;5,"High",L197=5,"mediam",L197&lt;5,"low")</f>
        <v>High</v>
      </c>
      <c r="U197" s="1" t="str">
        <f t="shared" si="15"/>
        <v>High</v>
      </c>
    </row>
    <row r="198" spans="1:21" x14ac:dyDescent="0.3">
      <c r="A198" s="5">
        <v>10197</v>
      </c>
      <c r="B198" s="1">
        <v>1742</v>
      </c>
      <c r="C198" s="2">
        <v>45263</v>
      </c>
      <c r="D198" s="2">
        <v>45266</v>
      </c>
      <c r="E198" s="1" t="s">
        <v>16</v>
      </c>
      <c r="F198" s="1" t="s">
        <v>38</v>
      </c>
      <c r="G198" s="1" t="s">
        <v>17</v>
      </c>
      <c r="H198" s="1" t="s">
        <v>35</v>
      </c>
      <c r="I198" s="1" t="s">
        <v>49</v>
      </c>
      <c r="J198" s="1" t="s">
        <v>68</v>
      </c>
      <c r="K198" s="1" t="s">
        <v>45</v>
      </c>
      <c r="L198" s="1">
        <v>4</v>
      </c>
      <c r="M198" s="1">
        <v>1256.21</v>
      </c>
      <c r="N198" s="1">
        <v>10</v>
      </c>
      <c r="O198" s="1">
        <v>4522.3599999999997</v>
      </c>
      <c r="P198" s="1">
        <f t="shared" si="16"/>
        <v>5024.84</v>
      </c>
      <c r="Q198" s="10">
        <f t="shared" si="17"/>
        <v>452.23599999999999</v>
      </c>
      <c r="R198" s="11">
        <f t="shared" si="18"/>
        <v>4572.6040000000003</v>
      </c>
      <c r="S198" s="1" t="str">
        <f t="shared" si="19"/>
        <v>Low</v>
      </c>
      <c r="T198" s="1" t="str" cm="1">
        <f t="array" ref="T198">_xlfn.IFS(L198&gt;5,"High",L198=5,"mediam",L198&lt;5,"low")</f>
        <v>low</v>
      </c>
      <c r="U198" s="1" t="b">
        <f t="shared" si="15"/>
        <v>0</v>
      </c>
    </row>
    <row r="199" spans="1:21" x14ac:dyDescent="0.3">
      <c r="A199" s="5">
        <v>10198</v>
      </c>
      <c r="B199" s="1">
        <v>1240</v>
      </c>
      <c r="C199" s="2">
        <v>45291</v>
      </c>
      <c r="D199" s="2">
        <v>45292</v>
      </c>
      <c r="E199" s="1" t="s">
        <v>34</v>
      </c>
      <c r="F199" s="1" t="s">
        <v>41</v>
      </c>
      <c r="G199" s="1" t="s">
        <v>17</v>
      </c>
      <c r="H199" s="1" t="s">
        <v>42</v>
      </c>
      <c r="I199" s="1" t="s">
        <v>19</v>
      </c>
      <c r="J199" s="1" t="s">
        <v>66</v>
      </c>
      <c r="K199" s="1" t="s">
        <v>45</v>
      </c>
      <c r="L199" s="1">
        <v>5</v>
      </c>
      <c r="M199" s="1">
        <v>1227.02</v>
      </c>
      <c r="N199" s="1">
        <v>15</v>
      </c>
      <c r="O199" s="1">
        <v>5214.84</v>
      </c>
      <c r="P199" s="1">
        <f t="shared" si="16"/>
        <v>6135.1</v>
      </c>
      <c r="Q199" s="10">
        <f t="shared" si="17"/>
        <v>782.226</v>
      </c>
      <c r="R199" s="11">
        <f t="shared" si="18"/>
        <v>5352.8740000000007</v>
      </c>
      <c r="S199" s="1" t="str">
        <f t="shared" si="19"/>
        <v>High</v>
      </c>
      <c r="T199" s="1" t="str" cm="1">
        <f t="array" ref="T199">_xlfn.IFS(L199&gt;5,"High",L199=5,"mediam",L199&lt;5,"low")</f>
        <v>mediam</v>
      </c>
      <c r="U199" s="1" t="b">
        <f t="shared" si="15"/>
        <v>0</v>
      </c>
    </row>
    <row r="200" spans="1:21" x14ac:dyDescent="0.3">
      <c r="A200" s="5">
        <v>10199</v>
      </c>
      <c r="B200" s="1">
        <v>1563</v>
      </c>
      <c r="C200" s="2">
        <v>44977</v>
      </c>
      <c r="D200" s="2">
        <v>44984</v>
      </c>
      <c r="E200" s="1" t="s">
        <v>34</v>
      </c>
      <c r="F200" s="1" t="s">
        <v>23</v>
      </c>
      <c r="G200" s="1" t="s">
        <v>24</v>
      </c>
      <c r="H200" s="1" t="s">
        <v>35</v>
      </c>
      <c r="I200" s="1" t="s">
        <v>49</v>
      </c>
      <c r="J200" s="1" t="s">
        <v>51</v>
      </c>
      <c r="K200" s="1" t="s">
        <v>47</v>
      </c>
      <c r="L200" s="1">
        <v>4</v>
      </c>
      <c r="M200" s="1">
        <v>1428.19</v>
      </c>
      <c r="N200" s="1">
        <v>10</v>
      </c>
      <c r="O200" s="1">
        <v>5141.4799999999996</v>
      </c>
      <c r="P200" s="1">
        <f t="shared" si="16"/>
        <v>5712.76</v>
      </c>
      <c r="Q200" s="10">
        <f t="shared" si="17"/>
        <v>514.14800000000002</v>
      </c>
      <c r="R200" s="11">
        <f t="shared" si="18"/>
        <v>5198.6120000000001</v>
      </c>
      <c r="S200" s="1" t="str">
        <f t="shared" si="19"/>
        <v>Low</v>
      </c>
      <c r="T200" s="1" t="str" cm="1">
        <f t="array" ref="T200">_xlfn.IFS(L200&gt;5,"High",L200=5,"mediam",L200&lt;5,"low")</f>
        <v>low</v>
      </c>
      <c r="U200" s="1" t="b">
        <f t="shared" si="15"/>
        <v>0</v>
      </c>
    </row>
    <row r="201" spans="1:21" x14ac:dyDescent="0.3">
      <c r="A201" s="5">
        <v>10200</v>
      </c>
      <c r="B201" s="1">
        <v>1095</v>
      </c>
      <c r="C201" s="2">
        <v>45171</v>
      </c>
      <c r="D201" s="2">
        <v>45176</v>
      </c>
      <c r="E201" s="1" t="s">
        <v>15</v>
      </c>
      <c r="F201" s="1" t="s">
        <v>29</v>
      </c>
      <c r="G201" s="1" t="s">
        <v>30</v>
      </c>
      <c r="H201" s="1" t="s">
        <v>44</v>
      </c>
      <c r="I201" s="1" t="s">
        <v>19</v>
      </c>
      <c r="J201" s="1" t="s">
        <v>66</v>
      </c>
      <c r="K201" s="1" t="s">
        <v>33</v>
      </c>
      <c r="L201" s="1">
        <v>3</v>
      </c>
      <c r="M201" s="1">
        <v>2701.77</v>
      </c>
      <c r="N201" s="1">
        <v>15</v>
      </c>
      <c r="O201" s="1">
        <v>6889.51</v>
      </c>
      <c r="P201" s="1">
        <f t="shared" si="16"/>
        <v>8105.3099999999995</v>
      </c>
      <c r="Q201" s="10">
        <f t="shared" si="17"/>
        <v>1033.4265</v>
      </c>
      <c r="R201" s="11">
        <f t="shared" si="18"/>
        <v>7071.8834999999999</v>
      </c>
      <c r="S201" s="1" t="str">
        <f t="shared" si="19"/>
        <v>Low</v>
      </c>
      <c r="T201" s="1" t="str" cm="1">
        <f t="array" ref="T201">_xlfn.IFS(L201&gt;5,"High",L201=5,"mediam",L201&lt;5,"low")</f>
        <v>low</v>
      </c>
      <c r="U201" s="1" t="b">
        <f t="shared" ref="U201:U264" si="20">IF(L201&gt;5,"High",IF(L201="Mediam","Low"))</f>
        <v>0</v>
      </c>
    </row>
    <row r="202" spans="1:21" x14ac:dyDescent="0.3">
      <c r="A202" s="5">
        <v>10201</v>
      </c>
      <c r="B202" s="1">
        <v>1899</v>
      </c>
      <c r="C202" s="2">
        <v>44961</v>
      </c>
      <c r="D202" s="2">
        <v>44966</v>
      </c>
      <c r="E202" s="1" t="s">
        <v>15</v>
      </c>
      <c r="F202" s="1" t="s">
        <v>29</v>
      </c>
      <c r="G202" s="1" t="s">
        <v>30</v>
      </c>
      <c r="H202" s="1" t="s">
        <v>42</v>
      </c>
      <c r="I202" s="1" t="s">
        <v>57</v>
      </c>
      <c r="J202" s="1" t="s">
        <v>59</v>
      </c>
      <c r="K202" s="1" t="s">
        <v>28</v>
      </c>
      <c r="L202" s="1">
        <v>5</v>
      </c>
      <c r="M202" s="1">
        <v>3501.94</v>
      </c>
      <c r="N202" s="1">
        <v>20</v>
      </c>
      <c r="O202" s="1">
        <v>14007.76</v>
      </c>
      <c r="P202" s="1">
        <f t="shared" si="16"/>
        <v>17509.7</v>
      </c>
      <c r="Q202" s="10">
        <f t="shared" si="17"/>
        <v>2801.5520000000001</v>
      </c>
      <c r="R202" s="11">
        <f t="shared" si="18"/>
        <v>14708.148000000001</v>
      </c>
      <c r="S202" s="1" t="str">
        <f t="shared" si="19"/>
        <v>High</v>
      </c>
      <c r="T202" s="1" t="str" cm="1">
        <f t="array" ref="T202">_xlfn.IFS(L202&gt;5,"High",L202=5,"mediam",L202&lt;5,"low")</f>
        <v>mediam</v>
      </c>
      <c r="U202" s="1" t="b">
        <f t="shared" si="20"/>
        <v>0</v>
      </c>
    </row>
    <row r="203" spans="1:21" x14ac:dyDescent="0.3">
      <c r="A203" s="5">
        <v>10202</v>
      </c>
      <c r="B203" s="1">
        <v>1733</v>
      </c>
      <c r="C203" s="2">
        <v>45228</v>
      </c>
      <c r="D203" s="2">
        <v>45229</v>
      </c>
      <c r="E203" s="1" t="s">
        <v>40</v>
      </c>
      <c r="F203" s="1" t="s">
        <v>54</v>
      </c>
      <c r="G203" s="1" t="s">
        <v>17</v>
      </c>
      <c r="H203" s="1" t="s">
        <v>18</v>
      </c>
      <c r="I203" s="1" t="s">
        <v>31</v>
      </c>
      <c r="J203" s="1" t="s">
        <v>65</v>
      </c>
      <c r="K203" s="1" t="s">
        <v>28</v>
      </c>
      <c r="L203" s="1">
        <v>9</v>
      </c>
      <c r="M203" s="1">
        <v>3072.48</v>
      </c>
      <c r="N203" s="1">
        <v>0</v>
      </c>
      <c r="O203" s="1">
        <v>27652.32</v>
      </c>
      <c r="P203" s="1">
        <f t="shared" si="16"/>
        <v>27652.32</v>
      </c>
      <c r="Q203" s="10">
        <f t="shared" si="17"/>
        <v>0</v>
      </c>
      <c r="R203" s="11">
        <f t="shared" si="18"/>
        <v>27652.32</v>
      </c>
      <c r="S203" s="1" t="str">
        <f t="shared" si="19"/>
        <v>High</v>
      </c>
      <c r="T203" s="1" t="str" cm="1">
        <f t="array" ref="T203">_xlfn.IFS(L203&gt;5,"High",L203=5,"mediam",L203&lt;5,"low")</f>
        <v>High</v>
      </c>
      <c r="U203" s="1" t="str">
        <f t="shared" si="20"/>
        <v>High</v>
      </c>
    </row>
    <row r="204" spans="1:21" x14ac:dyDescent="0.3">
      <c r="A204" s="5">
        <v>10203</v>
      </c>
      <c r="B204" s="1">
        <v>1484</v>
      </c>
      <c r="C204" s="2">
        <v>44995</v>
      </c>
      <c r="D204" s="2">
        <v>45004</v>
      </c>
      <c r="E204" s="1" t="s">
        <v>22</v>
      </c>
      <c r="F204" s="1" t="s">
        <v>54</v>
      </c>
      <c r="G204" s="1" t="s">
        <v>30</v>
      </c>
      <c r="H204" s="1" t="s">
        <v>18</v>
      </c>
      <c r="I204" s="1" t="s">
        <v>49</v>
      </c>
      <c r="J204" s="1" t="s">
        <v>68</v>
      </c>
      <c r="K204" s="1" t="s">
        <v>45</v>
      </c>
      <c r="L204" s="1">
        <v>8</v>
      </c>
      <c r="M204" s="1">
        <v>2950.99</v>
      </c>
      <c r="N204" s="1">
        <v>20</v>
      </c>
      <c r="O204" s="1">
        <v>18886.34</v>
      </c>
      <c r="P204" s="1">
        <f t="shared" si="16"/>
        <v>23607.919999999998</v>
      </c>
      <c r="Q204" s="10">
        <f t="shared" si="17"/>
        <v>3777.268</v>
      </c>
      <c r="R204" s="11">
        <f t="shared" si="18"/>
        <v>19830.651999999998</v>
      </c>
      <c r="S204" s="1" t="str">
        <f t="shared" si="19"/>
        <v>High</v>
      </c>
      <c r="T204" s="1" t="str" cm="1">
        <f t="array" ref="T204">_xlfn.IFS(L204&gt;5,"High",L204=5,"mediam",L204&lt;5,"low")</f>
        <v>High</v>
      </c>
      <c r="U204" s="1" t="str">
        <f t="shared" si="20"/>
        <v>High</v>
      </c>
    </row>
    <row r="205" spans="1:21" x14ac:dyDescent="0.3">
      <c r="A205" s="5">
        <v>10204</v>
      </c>
      <c r="B205" s="1">
        <v>1406</v>
      </c>
      <c r="C205" s="2">
        <v>45275</v>
      </c>
      <c r="D205" s="2">
        <v>45282</v>
      </c>
      <c r="E205" s="1" t="s">
        <v>22</v>
      </c>
      <c r="F205" s="1" t="s">
        <v>41</v>
      </c>
      <c r="G205" s="1" t="s">
        <v>17</v>
      </c>
      <c r="H205" s="1" t="s">
        <v>44</v>
      </c>
      <c r="I205" s="1" t="s">
        <v>26</v>
      </c>
      <c r="J205" s="1" t="s">
        <v>27</v>
      </c>
      <c r="K205" s="1" t="s">
        <v>47</v>
      </c>
      <c r="L205" s="1">
        <v>8</v>
      </c>
      <c r="M205" s="1">
        <v>2014.91</v>
      </c>
      <c r="N205" s="1">
        <v>5</v>
      </c>
      <c r="O205" s="1">
        <v>15313.32</v>
      </c>
      <c r="P205" s="1">
        <f t="shared" si="16"/>
        <v>16119.28</v>
      </c>
      <c r="Q205" s="10">
        <f t="shared" si="17"/>
        <v>765.66600000000005</v>
      </c>
      <c r="R205" s="11">
        <f t="shared" si="18"/>
        <v>15353.614000000001</v>
      </c>
      <c r="S205" s="1" t="str">
        <f t="shared" si="19"/>
        <v>High</v>
      </c>
      <c r="T205" s="1" t="str" cm="1">
        <f t="array" ref="T205">_xlfn.IFS(L205&gt;5,"High",L205=5,"mediam",L205&lt;5,"low")</f>
        <v>High</v>
      </c>
      <c r="U205" s="1" t="str">
        <f t="shared" si="20"/>
        <v>High</v>
      </c>
    </row>
    <row r="206" spans="1:21" x14ac:dyDescent="0.3">
      <c r="A206" s="5">
        <v>10205</v>
      </c>
      <c r="B206" s="1">
        <v>1230</v>
      </c>
      <c r="C206" s="2">
        <v>45246</v>
      </c>
      <c r="D206" s="2">
        <v>45254</v>
      </c>
      <c r="E206" s="1" t="s">
        <v>46</v>
      </c>
      <c r="F206" s="1" t="s">
        <v>23</v>
      </c>
      <c r="G206" s="1" t="s">
        <v>17</v>
      </c>
      <c r="H206" s="1" t="s">
        <v>35</v>
      </c>
      <c r="I206" s="1" t="s">
        <v>52</v>
      </c>
      <c r="J206" s="1" t="s">
        <v>60</v>
      </c>
      <c r="K206" s="1" t="s">
        <v>28</v>
      </c>
      <c r="L206" s="1">
        <v>8</v>
      </c>
      <c r="M206" s="1">
        <v>2821.15</v>
      </c>
      <c r="N206" s="1">
        <v>10</v>
      </c>
      <c r="O206" s="1">
        <v>20312.28</v>
      </c>
      <c r="P206" s="1">
        <f t="shared" si="16"/>
        <v>22569.200000000001</v>
      </c>
      <c r="Q206" s="10">
        <f t="shared" si="17"/>
        <v>2031.2280000000001</v>
      </c>
      <c r="R206" s="11">
        <f t="shared" si="18"/>
        <v>20537.972000000002</v>
      </c>
      <c r="S206" s="1" t="str">
        <f t="shared" si="19"/>
        <v>High</v>
      </c>
      <c r="T206" s="1" t="str" cm="1">
        <f t="array" ref="T206">_xlfn.IFS(L206&gt;5,"High",L206=5,"mediam",L206&lt;5,"low")</f>
        <v>High</v>
      </c>
      <c r="U206" s="1" t="str">
        <f t="shared" si="20"/>
        <v>High</v>
      </c>
    </row>
    <row r="207" spans="1:21" x14ac:dyDescent="0.3">
      <c r="A207" s="5">
        <v>10206</v>
      </c>
      <c r="B207" s="1">
        <v>1748</v>
      </c>
      <c r="C207" s="2">
        <v>44975</v>
      </c>
      <c r="D207" s="2">
        <v>44984</v>
      </c>
      <c r="E207" s="1" t="s">
        <v>22</v>
      </c>
      <c r="F207" s="1" t="s">
        <v>29</v>
      </c>
      <c r="G207" s="1" t="s">
        <v>24</v>
      </c>
      <c r="H207" s="1" t="s">
        <v>25</v>
      </c>
      <c r="I207" s="1" t="s">
        <v>57</v>
      </c>
      <c r="J207" s="1" t="s">
        <v>59</v>
      </c>
      <c r="K207" s="1" t="s">
        <v>45</v>
      </c>
      <c r="L207" s="1">
        <v>8</v>
      </c>
      <c r="M207" s="1">
        <v>2278.14</v>
      </c>
      <c r="N207" s="1">
        <v>5</v>
      </c>
      <c r="O207" s="1">
        <v>17313.86</v>
      </c>
      <c r="P207" s="1">
        <f t="shared" si="16"/>
        <v>18225.12</v>
      </c>
      <c r="Q207" s="10">
        <f t="shared" si="17"/>
        <v>865.6930000000001</v>
      </c>
      <c r="R207" s="11">
        <f t="shared" si="18"/>
        <v>17359.427</v>
      </c>
      <c r="S207" s="1" t="str">
        <f t="shared" si="19"/>
        <v>High</v>
      </c>
      <c r="T207" s="1" t="str" cm="1">
        <f t="array" ref="T207">_xlfn.IFS(L207&gt;5,"High",L207=5,"mediam",L207&lt;5,"low")</f>
        <v>High</v>
      </c>
      <c r="U207" s="1" t="str">
        <f t="shared" si="20"/>
        <v>High</v>
      </c>
    </row>
    <row r="208" spans="1:21" x14ac:dyDescent="0.3">
      <c r="A208" s="5">
        <v>10207</v>
      </c>
      <c r="B208" s="1">
        <v>1654</v>
      </c>
      <c r="C208" s="2">
        <v>45000</v>
      </c>
      <c r="D208" s="2">
        <v>45006</v>
      </c>
      <c r="E208" s="1" t="s">
        <v>37</v>
      </c>
      <c r="F208" s="1" t="s">
        <v>41</v>
      </c>
      <c r="G208" s="1" t="s">
        <v>24</v>
      </c>
      <c r="H208" s="1" t="s">
        <v>44</v>
      </c>
      <c r="I208" s="1" t="s">
        <v>49</v>
      </c>
      <c r="J208" s="1" t="s">
        <v>51</v>
      </c>
      <c r="K208" s="1" t="s">
        <v>33</v>
      </c>
      <c r="L208" s="1">
        <v>7</v>
      </c>
      <c r="M208" s="1">
        <v>982.56</v>
      </c>
      <c r="N208" s="1">
        <v>10</v>
      </c>
      <c r="O208" s="1">
        <v>6190.13</v>
      </c>
      <c r="P208" s="1">
        <f t="shared" si="16"/>
        <v>6877.92</v>
      </c>
      <c r="Q208" s="10">
        <f t="shared" si="17"/>
        <v>619.01300000000003</v>
      </c>
      <c r="R208" s="11">
        <f t="shared" si="18"/>
        <v>6258.9070000000002</v>
      </c>
      <c r="S208" s="1" t="str">
        <f t="shared" si="19"/>
        <v>High</v>
      </c>
      <c r="T208" s="1" t="str" cm="1">
        <f t="array" ref="T208">_xlfn.IFS(L208&gt;5,"High",L208=5,"mediam",L208&lt;5,"low")</f>
        <v>High</v>
      </c>
      <c r="U208" s="1" t="str">
        <f t="shared" si="20"/>
        <v>High</v>
      </c>
    </row>
    <row r="209" spans="1:21" x14ac:dyDescent="0.3">
      <c r="A209" s="5">
        <v>10208</v>
      </c>
      <c r="B209" s="1">
        <v>1170</v>
      </c>
      <c r="C209" s="2">
        <v>45118</v>
      </c>
      <c r="D209" s="2">
        <v>45123</v>
      </c>
      <c r="E209" s="1" t="s">
        <v>46</v>
      </c>
      <c r="F209" s="1" t="s">
        <v>41</v>
      </c>
      <c r="G209" s="1" t="s">
        <v>24</v>
      </c>
      <c r="H209" s="1" t="s">
        <v>42</v>
      </c>
      <c r="I209" s="1" t="s">
        <v>52</v>
      </c>
      <c r="J209" s="1" t="s">
        <v>53</v>
      </c>
      <c r="K209" s="1" t="s">
        <v>28</v>
      </c>
      <c r="L209" s="1">
        <v>8</v>
      </c>
      <c r="M209" s="1">
        <v>953.07</v>
      </c>
      <c r="N209" s="1">
        <v>20</v>
      </c>
      <c r="O209" s="1">
        <v>6099.65</v>
      </c>
      <c r="P209" s="1">
        <f t="shared" si="16"/>
        <v>7624.56</v>
      </c>
      <c r="Q209" s="10">
        <f t="shared" si="17"/>
        <v>1219.93</v>
      </c>
      <c r="R209" s="11">
        <f t="shared" si="18"/>
        <v>6404.63</v>
      </c>
      <c r="S209" s="1" t="str">
        <f t="shared" si="19"/>
        <v>High</v>
      </c>
      <c r="T209" s="1" t="str" cm="1">
        <f t="array" ref="T209">_xlfn.IFS(L209&gt;5,"High",L209=5,"mediam",L209&lt;5,"low")</f>
        <v>High</v>
      </c>
      <c r="U209" s="1" t="str">
        <f t="shared" si="20"/>
        <v>High</v>
      </c>
    </row>
    <row r="210" spans="1:21" x14ac:dyDescent="0.3">
      <c r="A210" s="5">
        <v>10209</v>
      </c>
      <c r="B210" s="1">
        <v>1540</v>
      </c>
      <c r="C210" s="2">
        <v>45187</v>
      </c>
      <c r="D210" s="2">
        <v>45193</v>
      </c>
      <c r="E210" s="1" t="s">
        <v>40</v>
      </c>
      <c r="F210" s="1" t="s">
        <v>16</v>
      </c>
      <c r="G210" s="1" t="s">
        <v>17</v>
      </c>
      <c r="H210" s="1" t="s">
        <v>42</v>
      </c>
      <c r="I210" s="1" t="s">
        <v>49</v>
      </c>
      <c r="J210" s="1" t="s">
        <v>50</v>
      </c>
      <c r="K210" s="1" t="s">
        <v>45</v>
      </c>
      <c r="L210" s="1">
        <v>8</v>
      </c>
      <c r="M210" s="1">
        <v>1291.1099999999999</v>
      </c>
      <c r="N210" s="1">
        <v>15</v>
      </c>
      <c r="O210" s="1">
        <v>8779.5499999999993</v>
      </c>
      <c r="P210" s="1">
        <f t="shared" si="16"/>
        <v>10328.879999999999</v>
      </c>
      <c r="Q210" s="10">
        <f t="shared" si="17"/>
        <v>1316.9324999999999</v>
      </c>
      <c r="R210" s="11">
        <f t="shared" si="18"/>
        <v>9011.9474999999984</v>
      </c>
      <c r="S210" s="1" t="str">
        <f t="shared" si="19"/>
        <v>High</v>
      </c>
      <c r="T210" s="1" t="str" cm="1">
        <f t="array" ref="T210">_xlfn.IFS(L210&gt;5,"High",L210=5,"mediam",L210&lt;5,"low")</f>
        <v>High</v>
      </c>
      <c r="U210" s="1" t="str">
        <f t="shared" si="20"/>
        <v>High</v>
      </c>
    </row>
    <row r="211" spans="1:21" x14ac:dyDescent="0.3">
      <c r="A211" s="5">
        <v>10210</v>
      </c>
      <c r="B211" s="1">
        <v>1035</v>
      </c>
      <c r="C211" s="2">
        <v>45282</v>
      </c>
      <c r="D211" s="2">
        <v>45284</v>
      </c>
      <c r="E211" s="1" t="s">
        <v>15</v>
      </c>
      <c r="F211" s="1" t="s">
        <v>54</v>
      </c>
      <c r="G211" s="1" t="s">
        <v>30</v>
      </c>
      <c r="H211" s="1" t="s">
        <v>18</v>
      </c>
      <c r="I211" s="1" t="s">
        <v>19</v>
      </c>
      <c r="J211" s="1" t="s">
        <v>20</v>
      </c>
      <c r="K211" s="1" t="s">
        <v>45</v>
      </c>
      <c r="L211" s="1">
        <v>8</v>
      </c>
      <c r="M211" s="1">
        <v>3656.59</v>
      </c>
      <c r="N211" s="1">
        <v>15</v>
      </c>
      <c r="O211" s="1">
        <v>24864.81</v>
      </c>
      <c r="P211" s="1">
        <f t="shared" si="16"/>
        <v>29252.720000000001</v>
      </c>
      <c r="Q211" s="10">
        <f t="shared" si="17"/>
        <v>3729.7215000000001</v>
      </c>
      <c r="R211" s="11">
        <f t="shared" si="18"/>
        <v>25522.998500000002</v>
      </c>
      <c r="S211" s="1" t="str">
        <f t="shared" si="19"/>
        <v>High</v>
      </c>
      <c r="T211" s="1" t="str" cm="1">
        <f t="array" ref="T211">_xlfn.IFS(L211&gt;5,"High",L211=5,"mediam",L211&lt;5,"low")</f>
        <v>High</v>
      </c>
      <c r="U211" s="1" t="str">
        <f t="shared" si="20"/>
        <v>High</v>
      </c>
    </row>
    <row r="212" spans="1:21" x14ac:dyDescent="0.3">
      <c r="A212" s="5">
        <v>10211</v>
      </c>
      <c r="B212" s="1">
        <v>1524</v>
      </c>
      <c r="C212" s="2">
        <v>44996</v>
      </c>
      <c r="D212" s="2">
        <v>45000</v>
      </c>
      <c r="E212" s="1" t="s">
        <v>22</v>
      </c>
      <c r="F212" s="1" t="s">
        <v>23</v>
      </c>
      <c r="G212" s="1" t="s">
        <v>24</v>
      </c>
      <c r="H212" s="1" t="s">
        <v>42</v>
      </c>
      <c r="I212" s="1" t="s">
        <v>49</v>
      </c>
      <c r="J212" s="1" t="s">
        <v>51</v>
      </c>
      <c r="K212" s="1" t="s">
        <v>21</v>
      </c>
      <c r="L212" s="1">
        <v>7</v>
      </c>
      <c r="M212" s="1">
        <v>2257.5500000000002</v>
      </c>
      <c r="N212" s="1">
        <v>10</v>
      </c>
      <c r="O212" s="1">
        <v>14222.56</v>
      </c>
      <c r="P212" s="1">
        <f t="shared" si="16"/>
        <v>15802.850000000002</v>
      </c>
      <c r="Q212" s="10">
        <f t="shared" si="17"/>
        <v>1422.2560000000001</v>
      </c>
      <c r="R212" s="11">
        <f t="shared" si="18"/>
        <v>14380.594000000003</v>
      </c>
      <c r="S212" s="1" t="str">
        <f t="shared" si="19"/>
        <v>High</v>
      </c>
      <c r="T212" s="1" t="str" cm="1">
        <f t="array" ref="T212">_xlfn.IFS(L212&gt;5,"High",L212=5,"mediam",L212&lt;5,"low")</f>
        <v>High</v>
      </c>
      <c r="U212" s="1" t="str">
        <f t="shared" si="20"/>
        <v>High</v>
      </c>
    </row>
    <row r="213" spans="1:21" x14ac:dyDescent="0.3">
      <c r="A213" s="5">
        <v>10212</v>
      </c>
      <c r="B213" s="1">
        <v>1159</v>
      </c>
      <c r="C213" s="2">
        <v>45016</v>
      </c>
      <c r="D213" s="2">
        <v>45019</v>
      </c>
      <c r="E213" s="1" t="s">
        <v>16</v>
      </c>
      <c r="F213" s="1" t="s">
        <v>29</v>
      </c>
      <c r="G213" s="1" t="s">
        <v>30</v>
      </c>
      <c r="H213" s="1" t="s">
        <v>44</v>
      </c>
      <c r="I213" s="1" t="s">
        <v>26</v>
      </c>
      <c r="J213" s="1" t="s">
        <v>61</v>
      </c>
      <c r="K213" s="1" t="s">
        <v>33</v>
      </c>
      <c r="L213" s="1">
        <v>1</v>
      </c>
      <c r="M213" s="1">
        <v>2975.54</v>
      </c>
      <c r="N213" s="1">
        <v>15</v>
      </c>
      <c r="O213" s="1">
        <v>2529.21</v>
      </c>
      <c r="P213" s="1">
        <f t="shared" si="16"/>
        <v>2975.54</v>
      </c>
      <c r="Q213" s="10">
        <f t="shared" si="17"/>
        <v>379.38150000000002</v>
      </c>
      <c r="R213" s="11">
        <f t="shared" si="18"/>
        <v>2596.1585</v>
      </c>
      <c r="S213" s="1" t="str">
        <f t="shared" si="19"/>
        <v>Low</v>
      </c>
      <c r="T213" s="1" t="str" cm="1">
        <f t="array" ref="T213">_xlfn.IFS(L213&gt;5,"High",L213=5,"mediam",L213&lt;5,"low")</f>
        <v>low</v>
      </c>
      <c r="U213" s="1" t="b">
        <f t="shared" si="20"/>
        <v>0</v>
      </c>
    </row>
    <row r="214" spans="1:21" x14ac:dyDescent="0.3">
      <c r="A214" s="5">
        <v>10213</v>
      </c>
      <c r="B214" s="1">
        <v>1838</v>
      </c>
      <c r="C214" s="2">
        <v>45186</v>
      </c>
      <c r="D214" s="2">
        <v>45193</v>
      </c>
      <c r="E214" s="1" t="s">
        <v>15</v>
      </c>
      <c r="F214" s="1" t="s">
        <v>41</v>
      </c>
      <c r="G214" s="1" t="s">
        <v>24</v>
      </c>
      <c r="H214" s="1" t="s">
        <v>42</v>
      </c>
      <c r="I214" s="1" t="s">
        <v>49</v>
      </c>
      <c r="J214" s="1" t="s">
        <v>63</v>
      </c>
      <c r="K214" s="1" t="s">
        <v>21</v>
      </c>
      <c r="L214" s="1">
        <v>4</v>
      </c>
      <c r="M214" s="1">
        <v>1484.25</v>
      </c>
      <c r="N214" s="1">
        <v>20</v>
      </c>
      <c r="O214" s="1">
        <v>4749.6000000000004</v>
      </c>
      <c r="P214" s="1">
        <f t="shared" si="16"/>
        <v>5937</v>
      </c>
      <c r="Q214" s="10">
        <f t="shared" si="17"/>
        <v>949.92000000000007</v>
      </c>
      <c r="R214" s="11">
        <f t="shared" si="18"/>
        <v>4987.08</v>
      </c>
      <c r="S214" s="1" t="str">
        <f t="shared" si="19"/>
        <v>Low</v>
      </c>
      <c r="T214" s="1" t="str" cm="1">
        <f t="array" ref="T214">_xlfn.IFS(L214&gt;5,"High",L214=5,"mediam",L214&lt;5,"low")</f>
        <v>low</v>
      </c>
      <c r="U214" s="1" t="b">
        <f t="shared" si="20"/>
        <v>0</v>
      </c>
    </row>
    <row r="215" spans="1:21" x14ac:dyDescent="0.3">
      <c r="A215" s="5">
        <v>10214</v>
      </c>
      <c r="B215" s="1">
        <v>1698</v>
      </c>
      <c r="C215" s="2">
        <v>45052</v>
      </c>
      <c r="D215" s="2">
        <v>45061</v>
      </c>
      <c r="E215" s="1" t="s">
        <v>37</v>
      </c>
      <c r="F215" s="1" t="s">
        <v>29</v>
      </c>
      <c r="G215" s="1" t="s">
        <v>24</v>
      </c>
      <c r="H215" s="1" t="s">
        <v>44</v>
      </c>
      <c r="I215" s="1" t="s">
        <v>49</v>
      </c>
      <c r="J215" s="1" t="s">
        <v>63</v>
      </c>
      <c r="K215" s="1" t="s">
        <v>47</v>
      </c>
      <c r="L215" s="1">
        <v>4</v>
      </c>
      <c r="M215" s="1">
        <v>1719.71</v>
      </c>
      <c r="N215" s="1">
        <v>15</v>
      </c>
      <c r="O215" s="1">
        <v>5847.01</v>
      </c>
      <c r="P215" s="1">
        <f t="shared" si="16"/>
        <v>6878.84</v>
      </c>
      <c r="Q215" s="10">
        <f t="shared" si="17"/>
        <v>877.05150000000003</v>
      </c>
      <c r="R215" s="11">
        <f t="shared" si="18"/>
        <v>6001.7885000000006</v>
      </c>
      <c r="S215" s="1" t="str">
        <f t="shared" si="19"/>
        <v>Low</v>
      </c>
      <c r="T215" s="1" t="str" cm="1">
        <f t="array" ref="T215">_xlfn.IFS(L215&gt;5,"High",L215=5,"mediam",L215&lt;5,"low")</f>
        <v>low</v>
      </c>
      <c r="U215" s="1" t="b">
        <f t="shared" si="20"/>
        <v>0</v>
      </c>
    </row>
    <row r="216" spans="1:21" x14ac:dyDescent="0.3">
      <c r="A216" s="5">
        <v>10215</v>
      </c>
      <c r="B216" s="1">
        <v>1242</v>
      </c>
      <c r="C216" s="2">
        <v>45157</v>
      </c>
      <c r="D216" s="2">
        <v>45162</v>
      </c>
      <c r="E216" s="1" t="s">
        <v>15</v>
      </c>
      <c r="F216" s="1" t="s">
        <v>16</v>
      </c>
      <c r="G216" s="1" t="s">
        <v>17</v>
      </c>
      <c r="H216" s="1" t="s">
        <v>25</v>
      </c>
      <c r="I216" s="1" t="s">
        <v>26</v>
      </c>
      <c r="J216" s="1" t="s">
        <v>27</v>
      </c>
      <c r="K216" s="1" t="s">
        <v>21</v>
      </c>
      <c r="L216" s="1">
        <v>5</v>
      </c>
      <c r="M216" s="1">
        <v>633.42999999999995</v>
      </c>
      <c r="N216" s="1">
        <v>20</v>
      </c>
      <c r="O216" s="1">
        <v>2533.7199999999998</v>
      </c>
      <c r="P216" s="1">
        <f t="shared" si="16"/>
        <v>3167.1499999999996</v>
      </c>
      <c r="Q216" s="10">
        <f t="shared" si="17"/>
        <v>506.74399999999997</v>
      </c>
      <c r="R216" s="11">
        <f t="shared" si="18"/>
        <v>2660.4059999999995</v>
      </c>
      <c r="S216" s="1" t="str">
        <f t="shared" si="19"/>
        <v>High</v>
      </c>
      <c r="T216" s="1" t="str" cm="1">
        <f t="array" ref="T216">_xlfn.IFS(L216&gt;5,"High",L216=5,"mediam",L216&lt;5,"low")</f>
        <v>mediam</v>
      </c>
      <c r="U216" s="1" t="b">
        <f t="shared" si="20"/>
        <v>0</v>
      </c>
    </row>
    <row r="217" spans="1:21" x14ac:dyDescent="0.3">
      <c r="A217" s="5">
        <v>10216</v>
      </c>
      <c r="B217" s="1">
        <v>1085</v>
      </c>
      <c r="C217" s="2">
        <v>45221</v>
      </c>
      <c r="D217" s="2">
        <v>45227</v>
      </c>
      <c r="E217" s="1" t="s">
        <v>37</v>
      </c>
      <c r="F217" s="1" t="s">
        <v>23</v>
      </c>
      <c r="G217" s="1" t="s">
        <v>24</v>
      </c>
      <c r="H217" s="1" t="s">
        <v>18</v>
      </c>
      <c r="I217" s="1" t="s">
        <v>57</v>
      </c>
      <c r="J217" s="1" t="s">
        <v>67</v>
      </c>
      <c r="K217" s="1" t="s">
        <v>21</v>
      </c>
      <c r="L217" s="1">
        <v>6</v>
      </c>
      <c r="M217" s="1">
        <v>809.49</v>
      </c>
      <c r="N217" s="1">
        <v>5</v>
      </c>
      <c r="O217" s="1">
        <v>4614.09</v>
      </c>
      <c r="P217" s="1">
        <f t="shared" si="16"/>
        <v>4856.9400000000005</v>
      </c>
      <c r="Q217" s="10">
        <f t="shared" si="17"/>
        <v>230.70450000000002</v>
      </c>
      <c r="R217" s="11">
        <f t="shared" si="18"/>
        <v>4626.2355000000007</v>
      </c>
      <c r="S217" s="1" t="str">
        <f t="shared" si="19"/>
        <v>High</v>
      </c>
      <c r="T217" s="1" t="str" cm="1">
        <f t="array" ref="T217">_xlfn.IFS(L217&gt;5,"High",L217=5,"mediam",L217&lt;5,"low")</f>
        <v>High</v>
      </c>
      <c r="U217" s="1" t="str">
        <f t="shared" si="20"/>
        <v>High</v>
      </c>
    </row>
    <row r="218" spans="1:21" x14ac:dyDescent="0.3">
      <c r="A218" s="5">
        <v>10217</v>
      </c>
      <c r="B218" s="1">
        <v>1795</v>
      </c>
      <c r="C218" s="2">
        <v>45055</v>
      </c>
      <c r="D218" s="2">
        <v>45057</v>
      </c>
      <c r="E218" s="1" t="s">
        <v>37</v>
      </c>
      <c r="F218" s="1" t="s">
        <v>41</v>
      </c>
      <c r="G218" s="1" t="s">
        <v>24</v>
      </c>
      <c r="H218" s="1" t="s">
        <v>42</v>
      </c>
      <c r="I218" s="1" t="s">
        <v>49</v>
      </c>
      <c r="J218" s="1" t="s">
        <v>50</v>
      </c>
      <c r="K218" s="1" t="s">
        <v>28</v>
      </c>
      <c r="L218" s="1">
        <v>4</v>
      </c>
      <c r="M218" s="1">
        <v>3335.32</v>
      </c>
      <c r="N218" s="1">
        <v>20</v>
      </c>
      <c r="O218" s="1">
        <v>10673.02</v>
      </c>
      <c r="P218" s="1">
        <f t="shared" si="16"/>
        <v>13341.28</v>
      </c>
      <c r="Q218" s="10">
        <f t="shared" si="17"/>
        <v>2134.6040000000003</v>
      </c>
      <c r="R218" s="11">
        <f t="shared" si="18"/>
        <v>11206.675999999999</v>
      </c>
      <c r="S218" s="1" t="str">
        <f t="shared" si="19"/>
        <v>Low</v>
      </c>
      <c r="T218" s="1" t="str" cm="1">
        <f t="array" ref="T218">_xlfn.IFS(L218&gt;5,"High",L218=5,"mediam",L218&lt;5,"low")</f>
        <v>low</v>
      </c>
      <c r="U218" s="1" t="b">
        <f t="shared" si="20"/>
        <v>0</v>
      </c>
    </row>
    <row r="219" spans="1:21" x14ac:dyDescent="0.3">
      <c r="A219" s="5">
        <v>10218</v>
      </c>
      <c r="B219" s="1">
        <v>1577</v>
      </c>
      <c r="C219" s="2">
        <v>45206</v>
      </c>
      <c r="D219" s="2">
        <v>45209</v>
      </c>
      <c r="E219" s="1" t="s">
        <v>37</v>
      </c>
      <c r="F219" s="1" t="s">
        <v>29</v>
      </c>
      <c r="G219" s="1" t="s">
        <v>17</v>
      </c>
      <c r="H219" s="1" t="s">
        <v>44</v>
      </c>
      <c r="I219" s="1" t="s">
        <v>26</v>
      </c>
      <c r="J219" s="1" t="s">
        <v>69</v>
      </c>
      <c r="K219" s="1" t="s">
        <v>45</v>
      </c>
      <c r="L219" s="1">
        <v>2</v>
      </c>
      <c r="M219" s="1">
        <v>2401.63</v>
      </c>
      <c r="N219" s="1">
        <v>0</v>
      </c>
      <c r="O219" s="1">
        <v>4803.26</v>
      </c>
      <c r="P219" s="1">
        <f t="shared" si="16"/>
        <v>4803.26</v>
      </c>
      <c r="Q219" s="10">
        <f t="shared" si="17"/>
        <v>0</v>
      </c>
      <c r="R219" s="11">
        <f t="shared" si="18"/>
        <v>4803.26</v>
      </c>
      <c r="S219" s="1" t="str">
        <f t="shared" si="19"/>
        <v>Low</v>
      </c>
      <c r="T219" s="1" t="str" cm="1">
        <f t="array" ref="T219">_xlfn.IFS(L219&gt;5,"High",L219=5,"mediam",L219&lt;5,"low")</f>
        <v>low</v>
      </c>
      <c r="U219" s="1" t="b">
        <f t="shared" si="20"/>
        <v>0</v>
      </c>
    </row>
    <row r="220" spans="1:21" x14ac:dyDescent="0.3">
      <c r="A220" s="5">
        <v>10219</v>
      </c>
      <c r="B220" s="1">
        <v>1681</v>
      </c>
      <c r="C220" s="2">
        <v>45239</v>
      </c>
      <c r="D220" s="2">
        <v>45242</v>
      </c>
      <c r="E220" s="1" t="s">
        <v>40</v>
      </c>
      <c r="F220" s="1" t="s">
        <v>54</v>
      </c>
      <c r="G220" s="1" t="s">
        <v>30</v>
      </c>
      <c r="H220" s="1" t="s">
        <v>35</v>
      </c>
      <c r="I220" s="1" t="s">
        <v>52</v>
      </c>
      <c r="J220" s="1" t="s">
        <v>64</v>
      </c>
      <c r="K220" s="1" t="s">
        <v>33</v>
      </c>
      <c r="L220" s="1">
        <v>6</v>
      </c>
      <c r="M220" s="1">
        <v>1449.5</v>
      </c>
      <c r="N220" s="1">
        <v>0</v>
      </c>
      <c r="O220" s="1">
        <v>8697</v>
      </c>
      <c r="P220" s="1">
        <f t="shared" si="16"/>
        <v>8697</v>
      </c>
      <c r="Q220" s="10">
        <f t="shared" si="17"/>
        <v>0</v>
      </c>
      <c r="R220" s="11">
        <f t="shared" si="18"/>
        <v>8697</v>
      </c>
      <c r="S220" s="1" t="str">
        <f t="shared" si="19"/>
        <v>High</v>
      </c>
      <c r="T220" s="1" t="str" cm="1">
        <f t="array" ref="T220">_xlfn.IFS(L220&gt;5,"High",L220=5,"mediam",L220&lt;5,"low")</f>
        <v>High</v>
      </c>
      <c r="U220" s="1" t="str">
        <f t="shared" si="20"/>
        <v>High</v>
      </c>
    </row>
    <row r="221" spans="1:21" x14ac:dyDescent="0.3">
      <c r="A221" s="5">
        <v>10220</v>
      </c>
      <c r="B221" s="1">
        <v>1556</v>
      </c>
      <c r="C221" s="2">
        <v>45026</v>
      </c>
      <c r="D221" s="2">
        <v>45035</v>
      </c>
      <c r="E221" s="1" t="s">
        <v>37</v>
      </c>
      <c r="F221" s="1" t="s">
        <v>16</v>
      </c>
      <c r="G221" s="1" t="s">
        <v>24</v>
      </c>
      <c r="H221" s="1" t="s">
        <v>18</v>
      </c>
      <c r="I221" s="1" t="s">
        <v>19</v>
      </c>
      <c r="J221" s="1" t="s">
        <v>55</v>
      </c>
      <c r="K221" s="1" t="s">
        <v>21</v>
      </c>
      <c r="L221" s="1">
        <v>8</v>
      </c>
      <c r="M221" s="1">
        <v>3240.98</v>
      </c>
      <c r="N221" s="1">
        <v>0</v>
      </c>
      <c r="O221" s="1">
        <v>25927.84</v>
      </c>
      <c r="P221" s="1">
        <f t="shared" si="16"/>
        <v>25927.84</v>
      </c>
      <c r="Q221" s="10">
        <f t="shared" si="17"/>
        <v>0</v>
      </c>
      <c r="R221" s="11">
        <f t="shared" si="18"/>
        <v>25927.84</v>
      </c>
      <c r="S221" s="1" t="str">
        <f t="shared" si="19"/>
        <v>High</v>
      </c>
      <c r="T221" s="1" t="str" cm="1">
        <f t="array" ref="T221">_xlfn.IFS(L221&gt;5,"High",L221=5,"mediam",L221&lt;5,"low")</f>
        <v>High</v>
      </c>
      <c r="U221" s="1" t="str">
        <f t="shared" si="20"/>
        <v>High</v>
      </c>
    </row>
    <row r="222" spans="1:21" x14ac:dyDescent="0.3">
      <c r="A222" s="5">
        <v>10221</v>
      </c>
      <c r="B222" s="1">
        <v>1573</v>
      </c>
      <c r="C222" s="2">
        <v>45252</v>
      </c>
      <c r="D222" s="2">
        <v>45259</v>
      </c>
      <c r="E222" s="1" t="s">
        <v>37</v>
      </c>
      <c r="F222" s="1" t="s">
        <v>23</v>
      </c>
      <c r="G222" s="1" t="s">
        <v>17</v>
      </c>
      <c r="H222" s="1" t="s">
        <v>25</v>
      </c>
      <c r="I222" s="1" t="s">
        <v>19</v>
      </c>
      <c r="J222" s="1" t="s">
        <v>20</v>
      </c>
      <c r="K222" s="1" t="s">
        <v>33</v>
      </c>
      <c r="L222" s="1">
        <v>8</v>
      </c>
      <c r="M222" s="1">
        <v>1099.0999999999999</v>
      </c>
      <c r="N222" s="1">
        <v>10</v>
      </c>
      <c r="O222" s="1">
        <v>7913.52</v>
      </c>
      <c r="P222" s="1">
        <f t="shared" si="16"/>
        <v>8792.7999999999993</v>
      </c>
      <c r="Q222" s="10">
        <f t="shared" si="17"/>
        <v>791.35200000000009</v>
      </c>
      <c r="R222" s="11">
        <f t="shared" si="18"/>
        <v>8001.4479999999994</v>
      </c>
      <c r="S222" s="1" t="str">
        <f t="shared" si="19"/>
        <v>High</v>
      </c>
      <c r="T222" s="1" t="str" cm="1">
        <f t="array" ref="T222">_xlfn.IFS(L222&gt;5,"High",L222=5,"mediam",L222&lt;5,"low")</f>
        <v>High</v>
      </c>
      <c r="U222" s="1" t="str">
        <f t="shared" si="20"/>
        <v>High</v>
      </c>
    </row>
    <row r="223" spans="1:21" x14ac:dyDescent="0.3">
      <c r="A223" s="5">
        <v>10222</v>
      </c>
      <c r="B223" s="1">
        <v>1952</v>
      </c>
      <c r="C223" s="2">
        <v>45223</v>
      </c>
      <c r="D223" s="2">
        <v>45231</v>
      </c>
      <c r="E223" s="1" t="s">
        <v>16</v>
      </c>
      <c r="F223" s="1" t="s">
        <v>16</v>
      </c>
      <c r="G223" s="1" t="s">
        <v>24</v>
      </c>
      <c r="H223" s="1" t="s">
        <v>44</v>
      </c>
      <c r="I223" s="1" t="s">
        <v>49</v>
      </c>
      <c r="J223" s="1" t="s">
        <v>51</v>
      </c>
      <c r="K223" s="1" t="s">
        <v>21</v>
      </c>
      <c r="L223" s="1">
        <v>7</v>
      </c>
      <c r="M223" s="1">
        <v>3907.73</v>
      </c>
      <c r="N223" s="1">
        <v>10</v>
      </c>
      <c r="O223" s="1">
        <v>24618.7</v>
      </c>
      <c r="P223" s="1">
        <f t="shared" si="16"/>
        <v>27354.11</v>
      </c>
      <c r="Q223" s="10">
        <f t="shared" si="17"/>
        <v>2461.8700000000003</v>
      </c>
      <c r="R223" s="11">
        <f t="shared" si="18"/>
        <v>24892.240000000002</v>
      </c>
      <c r="S223" s="1" t="str">
        <f t="shared" si="19"/>
        <v>High</v>
      </c>
      <c r="T223" s="1" t="str" cm="1">
        <f t="array" ref="T223">_xlfn.IFS(L223&gt;5,"High",L223=5,"mediam",L223&lt;5,"low")</f>
        <v>High</v>
      </c>
      <c r="U223" s="1" t="str">
        <f t="shared" si="20"/>
        <v>High</v>
      </c>
    </row>
    <row r="224" spans="1:21" x14ac:dyDescent="0.3">
      <c r="A224" s="5">
        <v>10223</v>
      </c>
      <c r="B224" s="1">
        <v>1645</v>
      </c>
      <c r="C224" s="2">
        <v>45108</v>
      </c>
      <c r="D224" s="2">
        <v>45117</v>
      </c>
      <c r="E224" s="1" t="s">
        <v>46</v>
      </c>
      <c r="F224" s="1" t="s">
        <v>54</v>
      </c>
      <c r="G224" s="1" t="s">
        <v>17</v>
      </c>
      <c r="H224" s="1" t="s">
        <v>25</v>
      </c>
      <c r="I224" s="1" t="s">
        <v>57</v>
      </c>
      <c r="J224" s="1" t="s">
        <v>59</v>
      </c>
      <c r="K224" s="1" t="s">
        <v>47</v>
      </c>
      <c r="L224" s="1">
        <v>6</v>
      </c>
      <c r="M224" s="1">
        <v>1477.55</v>
      </c>
      <c r="N224" s="1">
        <v>10</v>
      </c>
      <c r="O224" s="1">
        <v>7978.77</v>
      </c>
      <c r="P224" s="1">
        <f t="shared" si="16"/>
        <v>8865.2999999999993</v>
      </c>
      <c r="Q224" s="10">
        <f t="shared" si="17"/>
        <v>797.87700000000007</v>
      </c>
      <c r="R224" s="11">
        <f t="shared" si="18"/>
        <v>8067.4229999999989</v>
      </c>
      <c r="S224" s="1" t="str">
        <f t="shared" si="19"/>
        <v>High</v>
      </c>
      <c r="T224" s="1" t="str" cm="1">
        <f t="array" ref="T224">_xlfn.IFS(L224&gt;5,"High",L224=5,"mediam",L224&lt;5,"low")</f>
        <v>High</v>
      </c>
      <c r="U224" s="1" t="str">
        <f t="shared" si="20"/>
        <v>High</v>
      </c>
    </row>
    <row r="225" spans="1:21" x14ac:dyDescent="0.3">
      <c r="A225" s="5">
        <v>10224</v>
      </c>
      <c r="B225" s="1">
        <v>1795</v>
      </c>
      <c r="C225" s="2">
        <v>45100</v>
      </c>
      <c r="D225" s="2">
        <v>45106</v>
      </c>
      <c r="E225" s="1" t="s">
        <v>34</v>
      </c>
      <c r="F225" s="1" t="s">
        <v>23</v>
      </c>
      <c r="G225" s="1" t="s">
        <v>30</v>
      </c>
      <c r="H225" s="1" t="s">
        <v>25</v>
      </c>
      <c r="I225" s="1" t="s">
        <v>57</v>
      </c>
      <c r="J225" s="1" t="s">
        <v>58</v>
      </c>
      <c r="K225" s="1" t="s">
        <v>21</v>
      </c>
      <c r="L225" s="1">
        <v>2</v>
      </c>
      <c r="M225" s="1">
        <v>1448.65</v>
      </c>
      <c r="N225" s="1">
        <v>20</v>
      </c>
      <c r="O225" s="1">
        <v>2317.84</v>
      </c>
      <c r="P225" s="1">
        <f t="shared" si="16"/>
        <v>2897.3</v>
      </c>
      <c r="Q225" s="10">
        <f t="shared" si="17"/>
        <v>463.56800000000004</v>
      </c>
      <c r="R225" s="11">
        <f t="shared" si="18"/>
        <v>2433.732</v>
      </c>
      <c r="S225" s="1" t="str">
        <f t="shared" si="19"/>
        <v>Low</v>
      </c>
      <c r="T225" s="1" t="str" cm="1">
        <f t="array" ref="T225">_xlfn.IFS(L225&gt;5,"High",L225=5,"mediam",L225&lt;5,"low")</f>
        <v>low</v>
      </c>
      <c r="U225" s="1" t="b">
        <f t="shared" si="20"/>
        <v>0</v>
      </c>
    </row>
    <row r="226" spans="1:21" x14ac:dyDescent="0.3">
      <c r="A226" s="5">
        <v>10225</v>
      </c>
      <c r="B226" s="1">
        <v>1027</v>
      </c>
      <c r="C226" s="2">
        <v>45242</v>
      </c>
      <c r="D226" s="2">
        <v>45246</v>
      </c>
      <c r="E226" s="1" t="s">
        <v>46</v>
      </c>
      <c r="F226" s="1" t="s">
        <v>16</v>
      </c>
      <c r="G226" s="1" t="s">
        <v>30</v>
      </c>
      <c r="H226" s="1" t="s">
        <v>42</v>
      </c>
      <c r="I226" s="1" t="s">
        <v>52</v>
      </c>
      <c r="J226" s="1" t="s">
        <v>53</v>
      </c>
      <c r="K226" s="1" t="s">
        <v>28</v>
      </c>
      <c r="L226" s="1">
        <v>7</v>
      </c>
      <c r="M226" s="1">
        <v>1350.86</v>
      </c>
      <c r="N226" s="1">
        <v>10</v>
      </c>
      <c r="O226" s="1">
        <v>8510.42</v>
      </c>
      <c r="P226" s="1">
        <f t="shared" si="16"/>
        <v>9456.0199999999986</v>
      </c>
      <c r="Q226" s="10">
        <f t="shared" si="17"/>
        <v>851.04200000000003</v>
      </c>
      <c r="R226" s="11">
        <f t="shared" si="18"/>
        <v>8604.9779999999992</v>
      </c>
      <c r="S226" s="1" t="str">
        <f t="shared" si="19"/>
        <v>High</v>
      </c>
      <c r="T226" s="1" t="str" cm="1">
        <f t="array" ref="T226">_xlfn.IFS(L226&gt;5,"High",L226=5,"mediam",L226&lt;5,"low")</f>
        <v>High</v>
      </c>
      <c r="U226" s="1" t="str">
        <f t="shared" si="20"/>
        <v>High</v>
      </c>
    </row>
    <row r="227" spans="1:21" x14ac:dyDescent="0.3">
      <c r="A227" s="5">
        <v>10226</v>
      </c>
      <c r="B227" s="1">
        <v>1619</v>
      </c>
      <c r="C227" s="2">
        <v>45290</v>
      </c>
      <c r="D227" s="2">
        <v>45291</v>
      </c>
      <c r="E227" s="1" t="s">
        <v>37</v>
      </c>
      <c r="F227" s="1" t="s">
        <v>38</v>
      </c>
      <c r="G227" s="1" t="s">
        <v>17</v>
      </c>
      <c r="H227" s="1" t="s">
        <v>42</v>
      </c>
      <c r="I227" s="1" t="s">
        <v>49</v>
      </c>
      <c r="J227" s="1" t="s">
        <v>63</v>
      </c>
      <c r="K227" s="1" t="s">
        <v>45</v>
      </c>
      <c r="L227" s="1">
        <v>5</v>
      </c>
      <c r="M227" s="1">
        <v>620.13</v>
      </c>
      <c r="N227" s="1">
        <v>5</v>
      </c>
      <c r="O227" s="1">
        <v>2945.62</v>
      </c>
      <c r="P227" s="1">
        <f t="shared" si="16"/>
        <v>3100.65</v>
      </c>
      <c r="Q227" s="10">
        <f t="shared" si="17"/>
        <v>147.28100000000001</v>
      </c>
      <c r="R227" s="11">
        <f t="shared" si="18"/>
        <v>2953.3690000000001</v>
      </c>
      <c r="S227" s="1" t="str">
        <f t="shared" si="19"/>
        <v>High</v>
      </c>
      <c r="T227" s="1" t="str" cm="1">
        <f t="array" ref="T227">_xlfn.IFS(L227&gt;5,"High",L227=5,"mediam",L227&lt;5,"low")</f>
        <v>mediam</v>
      </c>
      <c r="U227" s="1" t="b">
        <f t="shared" si="20"/>
        <v>0</v>
      </c>
    </row>
    <row r="228" spans="1:21" x14ac:dyDescent="0.3">
      <c r="A228" s="5">
        <v>10227</v>
      </c>
      <c r="B228" s="1">
        <v>1555</v>
      </c>
      <c r="C228" s="2">
        <v>45114</v>
      </c>
      <c r="D228" s="2">
        <v>45122</v>
      </c>
      <c r="E228" s="1" t="s">
        <v>16</v>
      </c>
      <c r="F228" s="1" t="s">
        <v>54</v>
      </c>
      <c r="G228" s="1" t="s">
        <v>17</v>
      </c>
      <c r="H228" s="1" t="s">
        <v>44</v>
      </c>
      <c r="I228" s="1" t="s">
        <v>19</v>
      </c>
      <c r="J228" s="1" t="s">
        <v>55</v>
      </c>
      <c r="K228" s="1" t="s">
        <v>47</v>
      </c>
      <c r="L228" s="1">
        <v>6</v>
      </c>
      <c r="M228" s="1">
        <v>577.88</v>
      </c>
      <c r="N228" s="1">
        <v>0</v>
      </c>
      <c r="O228" s="1">
        <v>3467.28</v>
      </c>
      <c r="P228" s="1">
        <f t="shared" si="16"/>
        <v>3467.2799999999997</v>
      </c>
      <c r="Q228" s="10">
        <f t="shared" si="17"/>
        <v>0</v>
      </c>
      <c r="R228" s="11">
        <f t="shared" si="18"/>
        <v>3467.2799999999997</v>
      </c>
      <c r="S228" s="1" t="str">
        <f t="shared" si="19"/>
        <v>High</v>
      </c>
      <c r="T228" s="1" t="str" cm="1">
        <f t="array" ref="T228">_xlfn.IFS(L228&gt;5,"High",L228=5,"mediam",L228&lt;5,"low")</f>
        <v>High</v>
      </c>
      <c r="U228" s="1" t="str">
        <f t="shared" si="20"/>
        <v>High</v>
      </c>
    </row>
    <row r="229" spans="1:21" x14ac:dyDescent="0.3">
      <c r="A229" s="5">
        <v>10228</v>
      </c>
      <c r="B229" s="1">
        <v>1339</v>
      </c>
      <c r="C229" s="2">
        <v>44983</v>
      </c>
      <c r="D229" s="2">
        <v>44990</v>
      </c>
      <c r="E229" s="1" t="s">
        <v>15</v>
      </c>
      <c r="F229" s="1" t="s">
        <v>54</v>
      </c>
      <c r="G229" s="1" t="s">
        <v>17</v>
      </c>
      <c r="H229" s="1" t="s">
        <v>35</v>
      </c>
      <c r="I229" s="1" t="s">
        <v>57</v>
      </c>
      <c r="J229" s="1" t="s">
        <v>62</v>
      </c>
      <c r="K229" s="1" t="s">
        <v>21</v>
      </c>
      <c r="L229" s="1">
        <v>8</v>
      </c>
      <c r="M229" s="1">
        <v>2645.2</v>
      </c>
      <c r="N229" s="1">
        <v>20</v>
      </c>
      <c r="O229" s="1">
        <v>16929.28</v>
      </c>
      <c r="P229" s="1">
        <f t="shared" si="16"/>
        <v>21161.599999999999</v>
      </c>
      <c r="Q229" s="10">
        <f t="shared" si="17"/>
        <v>3385.8559999999998</v>
      </c>
      <c r="R229" s="11">
        <f t="shared" si="18"/>
        <v>17775.743999999999</v>
      </c>
      <c r="S229" s="1" t="str">
        <f t="shared" si="19"/>
        <v>High</v>
      </c>
      <c r="T229" s="1" t="str" cm="1">
        <f t="array" ref="T229">_xlfn.IFS(L229&gt;5,"High",L229=5,"mediam",L229&lt;5,"low")</f>
        <v>High</v>
      </c>
      <c r="U229" s="1" t="str">
        <f t="shared" si="20"/>
        <v>High</v>
      </c>
    </row>
    <row r="230" spans="1:21" x14ac:dyDescent="0.3">
      <c r="A230" s="5">
        <v>10229</v>
      </c>
      <c r="B230" s="1">
        <v>1797</v>
      </c>
      <c r="C230" s="2">
        <v>44957</v>
      </c>
      <c r="D230" s="2">
        <v>44959</v>
      </c>
      <c r="E230" s="1" t="s">
        <v>16</v>
      </c>
      <c r="F230" s="1" t="s">
        <v>54</v>
      </c>
      <c r="G230" s="1" t="s">
        <v>30</v>
      </c>
      <c r="H230" s="1" t="s">
        <v>44</v>
      </c>
      <c r="I230" s="1" t="s">
        <v>49</v>
      </c>
      <c r="J230" s="1" t="s">
        <v>68</v>
      </c>
      <c r="K230" s="1" t="s">
        <v>33</v>
      </c>
      <c r="L230" s="1">
        <v>8</v>
      </c>
      <c r="M230" s="1">
        <v>3519.2</v>
      </c>
      <c r="N230" s="1">
        <v>0</v>
      </c>
      <c r="O230" s="1">
        <v>28153.599999999999</v>
      </c>
      <c r="P230" s="1">
        <f t="shared" si="16"/>
        <v>28153.599999999999</v>
      </c>
      <c r="Q230" s="10">
        <f t="shared" si="17"/>
        <v>0</v>
      </c>
      <c r="R230" s="11">
        <f t="shared" si="18"/>
        <v>28153.599999999999</v>
      </c>
      <c r="S230" s="1" t="str">
        <f t="shared" si="19"/>
        <v>High</v>
      </c>
      <c r="T230" s="1" t="str" cm="1">
        <f t="array" ref="T230">_xlfn.IFS(L230&gt;5,"High",L230=5,"mediam",L230&lt;5,"low")</f>
        <v>High</v>
      </c>
      <c r="U230" s="1" t="str">
        <f t="shared" si="20"/>
        <v>High</v>
      </c>
    </row>
    <row r="231" spans="1:21" x14ac:dyDescent="0.3">
      <c r="A231" s="5">
        <v>10230</v>
      </c>
      <c r="B231" s="1">
        <v>1957</v>
      </c>
      <c r="C231" s="2">
        <v>45010</v>
      </c>
      <c r="D231" s="2">
        <v>45018</v>
      </c>
      <c r="E231" s="1" t="s">
        <v>37</v>
      </c>
      <c r="F231" s="1" t="s">
        <v>38</v>
      </c>
      <c r="G231" s="1" t="s">
        <v>24</v>
      </c>
      <c r="H231" s="1" t="s">
        <v>35</v>
      </c>
      <c r="I231" s="1" t="s">
        <v>57</v>
      </c>
      <c r="J231" s="1" t="s">
        <v>62</v>
      </c>
      <c r="K231" s="1" t="s">
        <v>47</v>
      </c>
      <c r="L231" s="1">
        <v>3</v>
      </c>
      <c r="M231" s="1">
        <v>3193.5</v>
      </c>
      <c r="N231" s="1">
        <v>10</v>
      </c>
      <c r="O231" s="1">
        <v>8622.4500000000007</v>
      </c>
      <c r="P231" s="1">
        <f t="shared" si="16"/>
        <v>9580.5</v>
      </c>
      <c r="Q231" s="10">
        <f t="shared" si="17"/>
        <v>862.24500000000012</v>
      </c>
      <c r="R231" s="11">
        <f t="shared" si="18"/>
        <v>8718.2549999999992</v>
      </c>
      <c r="S231" s="1" t="str">
        <f t="shared" si="19"/>
        <v>Low</v>
      </c>
      <c r="T231" s="1" t="str" cm="1">
        <f t="array" ref="T231">_xlfn.IFS(L231&gt;5,"High",L231=5,"mediam",L231&lt;5,"low")</f>
        <v>low</v>
      </c>
      <c r="U231" s="1" t="b">
        <f t="shared" si="20"/>
        <v>0</v>
      </c>
    </row>
    <row r="232" spans="1:21" x14ac:dyDescent="0.3">
      <c r="A232" s="5">
        <v>10231</v>
      </c>
      <c r="B232" s="1">
        <v>1330</v>
      </c>
      <c r="C232" s="2">
        <v>45078</v>
      </c>
      <c r="D232" s="2">
        <v>45083</v>
      </c>
      <c r="E232" s="1" t="s">
        <v>16</v>
      </c>
      <c r="F232" s="1" t="s">
        <v>38</v>
      </c>
      <c r="G232" s="1" t="s">
        <v>30</v>
      </c>
      <c r="H232" s="1" t="s">
        <v>25</v>
      </c>
      <c r="I232" s="1" t="s">
        <v>26</v>
      </c>
      <c r="J232" s="1" t="s">
        <v>36</v>
      </c>
      <c r="K232" s="1" t="s">
        <v>47</v>
      </c>
      <c r="L232" s="1">
        <v>7</v>
      </c>
      <c r="M232" s="1">
        <v>693.26</v>
      </c>
      <c r="N232" s="1">
        <v>20</v>
      </c>
      <c r="O232" s="1">
        <v>3882.26</v>
      </c>
      <c r="P232" s="1">
        <f t="shared" si="16"/>
        <v>4852.82</v>
      </c>
      <c r="Q232" s="10">
        <f t="shared" si="17"/>
        <v>776.45200000000011</v>
      </c>
      <c r="R232" s="11">
        <f t="shared" si="18"/>
        <v>4076.3679999999995</v>
      </c>
      <c r="S232" s="1" t="str">
        <f t="shared" si="19"/>
        <v>High</v>
      </c>
      <c r="T232" s="1" t="str" cm="1">
        <f t="array" ref="T232">_xlfn.IFS(L232&gt;5,"High",L232=5,"mediam",L232&lt;5,"low")</f>
        <v>High</v>
      </c>
      <c r="U232" s="1" t="str">
        <f t="shared" si="20"/>
        <v>High</v>
      </c>
    </row>
    <row r="233" spans="1:21" x14ac:dyDescent="0.3">
      <c r="A233" s="5">
        <v>10232</v>
      </c>
      <c r="B233" s="1">
        <v>1639</v>
      </c>
      <c r="C233" s="2">
        <v>44962</v>
      </c>
      <c r="D233" s="2">
        <v>44969</v>
      </c>
      <c r="E233" s="1" t="s">
        <v>22</v>
      </c>
      <c r="F233" s="1" t="s">
        <v>29</v>
      </c>
      <c r="G233" s="1" t="s">
        <v>17</v>
      </c>
      <c r="H233" s="1" t="s">
        <v>18</v>
      </c>
      <c r="I233" s="1" t="s">
        <v>57</v>
      </c>
      <c r="J233" s="1" t="s">
        <v>59</v>
      </c>
      <c r="K233" s="1" t="s">
        <v>21</v>
      </c>
      <c r="L233" s="1">
        <v>1</v>
      </c>
      <c r="M233" s="1">
        <v>2250.4899999999998</v>
      </c>
      <c r="N233" s="1">
        <v>15</v>
      </c>
      <c r="O233" s="1">
        <v>1912.92</v>
      </c>
      <c r="P233" s="1">
        <f t="shared" si="16"/>
        <v>2250.4899999999998</v>
      </c>
      <c r="Q233" s="10">
        <f t="shared" si="17"/>
        <v>286.93799999999999</v>
      </c>
      <c r="R233" s="11">
        <f t="shared" si="18"/>
        <v>1963.5519999999997</v>
      </c>
      <c r="S233" s="1" t="str">
        <f t="shared" si="19"/>
        <v>Low</v>
      </c>
      <c r="T233" s="1" t="str" cm="1">
        <f t="array" ref="T233">_xlfn.IFS(L233&gt;5,"High",L233=5,"mediam",L233&lt;5,"low")</f>
        <v>low</v>
      </c>
      <c r="U233" s="1" t="b">
        <f t="shared" si="20"/>
        <v>0</v>
      </c>
    </row>
    <row r="234" spans="1:21" x14ac:dyDescent="0.3">
      <c r="A234" s="5">
        <v>10233</v>
      </c>
      <c r="B234" s="1">
        <v>1505</v>
      </c>
      <c r="C234" s="2">
        <v>45139</v>
      </c>
      <c r="D234" s="2">
        <v>45143</v>
      </c>
      <c r="E234" s="1" t="s">
        <v>16</v>
      </c>
      <c r="F234" s="1" t="s">
        <v>41</v>
      </c>
      <c r="G234" s="1" t="s">
        <v>17</v>
      </c>
      <c r="H234" s="1" t="s">
        <v>44</v>
      </c>
      <c r="I234" s="1" t="s">
        <v>19</v>
      </c>
      <c r="J234" s="1" t="s">
        <v>55</v>
      </c>
      <c r="K234" s="1" t="s">
        <v>47</v>
      </c>
      <c r="L234" s="1">
        <v>1</v>
      </c>
      <c r="M234" s="1">
        <v>556.53</v>
      </c>
      <c r="N234" s="1">
        <v>5</v>
      </c>
      <c r="O234" s="1">
        <v>528.70000000000005</v>
      </c>
      <c r="P234" s="1">
        <f t="shared" si="16"/>
        <v>556.53</v>
      </c>
      <c r="Q234" s="10">
        <f t="shared" si="17"/>
        <v>26.435000000000002</v>
      </c>
      <c r="R234" s="11">
        <f t="shared" si="18"/>
        <v>530.09500000000003</v>
      </c>
      <c r="S234" s="1" t="str">
        <f t="shared" si="19"/>
        <v>Low</v>
      </c>
      <c r="T234" s="1" t="str" cm="1">
        <f t="array" ref="T234">_xlfn.IFS(L234&gt;5,"High",L234=5,"mediam",L234&lt;5,"low")</f>
        <v>low</v>
      </c>
      <c r="U234" s="1" t="b">
        <f t="shared" si="20"/>
        <v>0</v>
      </c>
    </row>
    <row r="235" spans="1:21" x14ac:dyDescent="0.3">
      <c r="A235" s="5">
        <v>10234</v>
      </c>
      <c r="B235" s="1">
        <v>1347</v>
      </c>
      <c r="C235" s="2">
        <v>45290</v>
      </c>
      <c r="D235" s="2">
        <v>45295</v>
      </c>
      <c r="E235" s="1" t="s">
        <v>37</v>
      </c>
      <c r="F235" s="1" t="s">
        <v>16</v>
      </c>
      <c r="G235" s="1" t="s">
        <v>30</v>
      </c>
      <c r="H235" s="1" t="s">
        <v>44</v>
      </c>
      <c r="I235" s="1" t="s">
        <v>31</v>
      </c>
      <c r="J235" s="1" t="s">
        <v>48</v>
      </c>
      <c r="K235" s="1" t="s">
        <v>33</v>
      </c>
      <c r="L235" s="1">
        <v>7</v>
      </c>
      <c r="M235" s="1">
        <v>324.38</v>
      </c>
      <c r="N235" s="1">
        <v>10</v>
      </c>
      <c r="O235" s="1">
        <v>2043.59</v>
      </c>
      <c r="P235" s="1">
        <f t="shared" si="16"/>
        <v>2270.66</v>
      </c>
      <c r="Q235" s="10">
        <f t="shared" si="17"/>
        <v>204.35900000000001</v>
      </c>
      <c r="R235" s="11">
        <f t="shared" si="18"/>
        <v>2066.3009999999999</v>
      </c>
      <c r="S235" s="1" t="str">
        <f t="shared" si="19"/>
        <v>High</v>
      </c>
      <c r="T235" s="1" t="str" cm="1">
        <f t="array" ref="T235">_xlfn.IFS(L235&gt;5,"High",L235=5,"mediam",L235&lt;5,"low")</f>
        <v>High</v>
      </c>
      <c r="U235" s="1" t="str">
        <f t="shared" si="20"/>
        <v>High</v>
      </c>
    </row>
    <row r="236" spans="1:21" x14ac:dyDescent="0.3">
      <c r="A236" s="5">
        <v>10235</v>
      </c>
      <c r="B236" s="1">
        <v>1472</v>
      </c>
      <c r="C236" s="2">
        <v>45032</v>
      </c>
      <c r="D236" s="2">
        <v>45040</v>
      </c>
      <c r="E236" s="1" t="s">
        <v>40</v>
      </c>
      <c r="F236" s="1" t="s">
        <v>29</v>
      </c>
      <c r="G236" s="1" t="s">
        <v>17</v>
      </c>
      <c r="H236" s="1" t="s">
        <v>35</v>
      </c>
      <c r="I236" s="1" t="s">
        <v>52</v>
      </c>
      <c r="J236" s="1" t="s">
        <v>60</v>
      </c>
      <c r="K236" s="1" t="s">
        <v>47</v>
      </c>
      <c r="L236" s="1">
        <v>9</v>
      </c>
      <c r="M236" s="1">
        <v>2677.09</v>
      </c>
      <c r="N236" s="1">
        <v>10</v>
      </c>
      <c r="O236" s="1">
        <v>21684.43</v>
      </c>
      <c r="P236" s="1">
        <f t="shared" si="16"/>
        <v>24093.81</v>
      </c>
      <c r="Q236" s="10">
        <f t="shared" si="17"/>
        <v>2168.4430000000002</v>
      </c>
      <c r="R236" s="11">
        <f t="shared" si="18"/>
        <v>21925.367000000002</v>
      </c>
      <c r="S236" s="1" t="str">
        <f t="shared" si="19"/>
        <v>High</v>
      </c>
      <c r="T236" s="1" t="str" cm="1">
        <f t="array" ref="T236">_xlfn.IFS(L236&gt;5,"High",L236=5,"mediam",L236&lt;5,"low")</f>
        <v>High</v>
      </c>
      <c r="U236" s="1" t="str">
        <f t="shared" si="20"/>
        <v>High</v>
      </c>
    </row>
    <row r="237" spans="1:21" x14ac:dyDescent="0.3">
      <c r="A237" s="5">
        <v>10236</v>
      </c>
      <c r="B237" s="1">
        <v>1230</v>
      </c>
      <c r="C237" s="2">
        <v>45268</v>
      </c>
      <c r="D237" s="2">
        <v>45269</v>
      </c>
      <c r="E237" s="1" t="s">
        <v>22</v>
      </c>
      <c r="F237" s="1" t="s">
        <v>16</v>
      </c>
      <c r="G237" s="1" t="s">
        <v>30</v>
      </c>
      <c r="H237" s="1" t="s">
        <v>25</v>
      </c>
      <c r="I237" s="1" t="s">
        <v>52</v>
      </c>
      <c r="J237" s="1" t="s">
        <v>60</v>
      </c>
      <c r="K237" s="1" t="s">
        <v>33</v>
      </c>
      <c r="L237" s="1">
        <v>7</v>
      </c>
      <c r="M237" s="1">
        <v>2210.34</v>
      </c>
      <c r="N237" s="1">
        <v>5</v>
      </c>
      <c r="O237" s="1">
        <v>14698.76</v>
      </c>
      <c r="P237" s="1">
        <f t="shared" si="16"/>
        <v>15472.380000000001</v>
      </c>
      <c r="Q237" s="10">
        <f t="shared" si="17"/>
        <v>734.9380000000001</v>
      </c>
      <c r="R237" s="11">
        <f t="shared" si="18"/>
        <v>14737.442000000001</v>
      </c>
      <c r="S237" s="1" t="str">
        <f t="shared" si="19"/>
        <v>High</v>
      </c>
      <c r="T237" s="1" t="str" cm="1">
        <f t="array" ref="T237">_xlfn.IFS(L237&gt;5,"High",L237=5,"mediam",L237&lt;5,"low")</f>
        <v>High</v>
      </c>
      <c r="U237" s="1" t="str">
        <f t="shared" si="20"/>
        <v>High</v>
      </c>
    </row>
    <row r="238" spans="1:21" x14ac:dyDescent="0.3">
      <c r="A238" s="5">
        <v>10237</v>
      </c>
      <c r="B238" s="1">
        <v>1189</v>
      </c>
      <c r="C238" s="2">
        <v>45146</v>
      </c>
      <c r="D238" s="2">
        <v>45147</v>
      </c>
      <c r="E238" s="1" t="s">
        <v>16</v>
      </c>
      <c r="F238" s="1" t="s">
        <v>41</v>
      </c>
      <c r="G238" s="1" t="s">
        <v>17</v>
      </c>
      <c r="H238" s="1" t="s">
        <v>25</v>
      </c>
      <c r="I238" s="1" t="s">
        <v>19</v>
      </c>
      <c r="J238" s="1" t="s">
        <v>20</v>
      </c>
      <c r="K238" s="1" t="s">
        <v>21</v>
      </c>
      <c r="L238" s="1">
        <v>5</v>
      </c>
      <c r="M238" s="1">
        <v>465.79</v>
      </c>
      <c r="N238" s="1">
        <v>5</v>
      </c>
      <c r="O238" s="1">
        <v>2212.5</v>
      </c>
      <c r="P238" s="1">
        <f t="shared" si="16"/>
        <v>2328.9500000000003</v>
      </c>
      <c r="Q238" s="10">
        <f t="shared" si="17"/>
        <v>110.625</v>
      </c>
      <c r="R238" s="11">
        <f t="shared" si="18"/>
        <v>2218.3250000000003</v>
      </c>
      <c r="S238" s="1" t="str">
        <f t="shared" si="19"/>
        <v>High</v>
      </c>
      <c r="T238" s="1" t="str" cm="1">
        <f t="array" ref="T238">_xlfn.IFS(L238&gt;5,"High",L238=5,"mediam",L238&lt;5,"low")</f>
        <v>mediam</v>
      </c>
      <c r="U238" s="1" t="b">
        <f t="shared" si="20"/>
        <v>0</v>
      </c>
    </row>
    <row r="239" spans="1:21" x14ac:dyDescent="0.3">
      <c r="A239" s="5">
        <v>10238</v>
      </c>
      <c r="B239" s="1">
        <v>1224</v>
      </c>
      <c r="C239" s="2">
        <v>45089</v>
      </c>
      <c r="D239" s="2">
        <v>45093</v>
      </c>
      <c r="E239" s="1" t="s">
        <v>34</v>
      </c>
      <c r="F239" s="1" t="s">
        <v>38</v>
      </c>
      <c r="G239" s="1" t="s">
        <v>24</v>
      </c>
      <c r="H239" s="1" t="s">
        <v>35</v>
      </c>
      <c r="I239" s="1" t="s">
        <v>57</v>
      </c>
      <c r="J239" s="1" t="s">
        <v>62</v>
      </c>
      <c r="K239" s="1" t="s">
        <v>45</v>
      </c>
      <c r="L239" s="1">
        <v>8</v>
      </c>
      <c r="M239" s="1">
        <v>284.52</v>
      </c>
      <c r="N239" s="1">
        <v>15</v>
      </c>
      <c r="O239" s="1">
        <v>1934.74</v>
      </c>
      <c r="P239" s="1">
        <f t="shared" si="16"/>
        <v>2276.16</v>
      </c>
      <c r="Q239" s="10">
        <f t="shared" si="17"/>
        <v>290.21100000000001</v>
      </c>
      <c r="R239" s="11">
        <f t="shared" si="18"/>
        <v>1985.9489999999998</v>
      </c>
      <c r="S239" s="1" t="str">
        <f t="shared" si="19"/>
        <v>High</v>
      </c>
      <c r="T239" s="1" t="str" cm="1">
        <f t="array" ref="T239">_xlfn.IFS(L239&gt;5,"High",L239=5,"mediam",L239&lt;5,"low")</f>
        <v>High</v>
      </c>
      <c r="U239" s="1" t="str">
        <f t="shared" si="20"/>
        <v>High</v>
      </c>
    </row>
    <row r="240" spans="1:21" x14ac:dyDescent="0.3">
      <c r="A240" s="5">
        <v>10239</v>
      </c>
      <c r="B240" s="1">
        <v>1384</v>
      </c>
      <c r="C240" s="2">
        <v>45146</v>
      </c>
      <c r="D240" s="2">
        <v>45149</v>
      </c>
      <c r="E240" s="1" t="s">
        <v>34</v>
      </c>
      <c r="F240" s="1" t="s">
        <v>41</v>
      </c>
      <c r="G240" s="1" t="s">
        <v>24</v>
      </c>
      <c r="H240" s="1" t="s">
        <v>25</v>
      </c>
      <c r="I240" s="1" t="s">
        <v>49</v>
      </c>
      <c r="J240" s="1" t="s">
        <v>63</v>
      </c>
      <c r="K240" s="1" t="s">
        <v>47</v>
      </c>
      <c r="L240" s="1">
        <v>2</v>
      </c>
      <c r="M240" s="1">
        <v>3960.56</v>
      </c>
      <c r="N240" s="1">
        <v>10</v>
      </c>
      <c r="O240" s="1">
        <v>7129.01</v>
      </c>
      <c r="P240" s="1">
        <f t="shared" si="16"/>
        <v>7921.12</v>
      </c>
      <c r="Q240" s="10">
        <f t="shared" si="17"/>
        <v>712.90100000000007</v>
      </c>
      <c r="R240" s="11">
        <f t="shared" si="18"/>
        <v>7208.2190000000001</v>
      </c>
      <c r="S240" s="1" t="str">
        <f t="shared" si="19"/>
        <v>Low</v>
      </c>
      <c r="T240" s="1" t="str" cm="1">
        <f t="array" ref="T240">_xlfn.IFS(L240&gt;5,"High",L240=5,"mediam",L240&lt;5,"low")</f>
        <v>low</v>
      </c>
      <c r="U240" s="1" t="b">
        <f t="shared" si="20"/>
        <v>0</v>
      </c>
    </row>
    <row r="241" spans="1:21" x14ac:dyDescent="0.3">
      <c r="A241" s="5">
        <v>10240</v>
      </c>
      <c r="B241" s="1">
        <v>1376</v>
      </c>
      <c r="C241" s="2">
        <v>45196</v>
      </c>
      <c r="D241" s="2">
        <v>45198</v>
      </c>
      <c r="E241" s="1" t="s">
        <v>16</v>
      </c>
      <c r="F241" s="1" t="s">
        <v>38</v>
      </c>
      <c r="G241" s="1" t="s">
        <v>17</v>
      </c>
      <c r="H241" s="1" t="s">
        <v>42</v>
      </c>
      <c r="I241" s="1" t="s">
        <v>57</v>
      </c>
      <c r="J241" s="1" t="s">
        <v>67</v>
      </c>
      <c r="K241" s="1" t="s">
        <v>45</v>
      </c>
      <c r="L241" s="1">
        <v>9</v>
      </c>
      <c r="M241" s="1">
        <v>265.58</v>
      </c>
      <c r="N241" s="1">
        <v>10</v>
      </c>
      <c r="O241" s="1">
        <v>2151.1999999999998</v>
      </c>
      <c r="P241" s="1">
        <f t="shared" si="16"/>
        <v>2390.2199999999998</v>
      </c>
      <c r="Q241" s="10">
        <f t="shared" si="17"/>
        <v>215.12</v>
      </c>
      <c r="R241" s="11">
        <f t="shared" si="18"/>
        <v>2175.1</v>
      </c>
      <c r="S241" s="1" t="str">
        <f t="shared" si="19"/>
        <v>High</v>
      </c>
      <c r="T241" s="1" t="str" cm="1">
        <f t="array" ref="T241">_xlfn.IFS(L241&gt;5,"High",L241=5,"mediam",L241&lt;5,"low")</f>
        <v>High</v>
      </c>
      <c r="U241" s="1" t="str">
        <f t="shared" si="20"/>
        <v>High</v>
      </c>
    </row>
    <row r="242" spans="1:21" x14ac:dyDescent="0.3">
      <c r="A242" s="5">
        <v>10241</v>
      </c>
      <c r="B242" s="1">
        <v>1282</v>
      </c>
      <c r="C242" s="2">
        <v>45046</v>
      </c>
      <c r="D242" s="2">
        <v>45049</v>
      </c>
      <c r="E242" s="1" t="s">
        <v>40</v>
      </c>
      <c r="F242" s="1" t="s">
        <v>41</v>
      </c>
      <c r="G242" s="1" t="s">
        <v>30</v>
      </c>
      <c r="H242" s="1" t="s">
        <v>18</v>
      </c>
      <c r="I242" s="1" t="s">
        <v>19</v>
      </c>
      <c r="J242" s="1" t="s">
        <v>66</v>
      </c>
      <c r="K242" s="1" t="s">
        <v>33</v>
      </c>
      <c r="L242" s="1">
        <v>6</v>
      </c>
      <c r="M242" s="1">
        <v>1861.43</v>
      </c>
      <c r="N242" s="1">
        <v>0</v>
      </c>
      <c r="O242" s="1">
        <v>11168.58</v>
      </c>
      <c r="P242" s="1">
        <f t="shared" si="16"/>
        <v>11168.58</v>
      </c>
      <c r="Q242" s="10">
        <f t="shared" si="17"/>
        <v>0</v>
      </c>
      <c r="R242" s="11">
        <f t="shared" si="18"/>
        <v>11168.58</v>
      </c>
      <c r="S242" s="1" t="str">
        <f t="shared" si="19"/>
        <v>High</v>
      </c>
      <c r="T242" s="1" t="str" cm="1">
        <f t="array" ref="T242">_xlfn.IFS(L242&gt;5,"High",L242=5,"mediam",L242&lt;5,"low")</f>
        <v>High</v>
      </c>
      <c r="U242" s="1" t="str">
        <f t="shared" si="20"/>
        <v>High</v>
      </c>
    </row>
    <row r="243" spans="1:21" x14ac:dyDescent="0.3">
      <c r="A243" s="5">
        <v>10242</v>
      </c>
      <c r="B243" s="1">
        <v>1957</v>
      </c>
      <c r="C243" s="2">
        <v>45262</v>
      </c>
      <c r="D243" s="2">
        <v>45263</v>
      </c>
      <c r="E243" s="1" t="s">
        <v>15</v>
      </c>
      <c r="F243" s="1" t="s">
        <v>29</v>
      </c>
      <c r="G243" s="1" t="s">
        <v>24</v>
      </c>
      <c r="H243" s="1" t="s">
        <v>44</v>
      </c>
      <c r="I243" s="1" t="s">
        <v>52</v>
      </c>
      <c r="J243" s="1" t="s">
        <v>64</v>
      </c>
      <c r="K243" s="1" t="s">
        <v>47</v>
      </c>
      <c r="L243" s="1">
        <v>9</v>
      </c>
      <c r="M243" s="1">
        <v>2092.7800000000002</v>
      </c>
      <c r="N243" s="1">
        <v>20</v>
      </c>
      <c r="O243" s="1">
        <v>15068.02</v>
      </c>
      <c r="P243" s="1">
        <f t="shared" si="16"/>
        <v>18835.02</v>
      </c>
      <c r="Q243" s="10">
        <f t="shared" si="17"/>
        <v>3013.6040000000003</v>
      </c>
      <c r="R243" s="11">
        <f t="shared" si="18"/>
        <v>15821.416000000001</v>
      </c>
      <c r="S243" s="1" t="str">
        <f t="shared" si="19"/>
        <v>High</v>
      </c>
      <c r="T243" s="1" t="str" cm="1">
        <f t="array" ref="T243">_xlfn.IFS(L243&gt;5,"High",L243=5,"mediam",L243&lt;5,"low")</f>
        <v>High</v>
      </c>
      <c r="U243" s="1" t="str">
        <f t="shared" si="20"/>
        <v>High</v>
      </c>
    </row>
    <row r="244" spans="1:21" x14ac:dyDescent="0.3">
      <c r="A244" s="5">
        <v>10243</v>
      </c>
      <c r="B244" s="1">
        <v>1632</v>
      </c>
      <c r="C244" s="2">
        <v>45108</v>
      </c>
      <c r="D244" s="2">
        <v>45109</v>
      </c>
      <c r="E244" s="1" t="s">
        <v>37</v>
      </c>
      <c r="F244" s="1" t="s">
        <v>23</v>
      </c>
      <c r="G244" s="1" t="s">
        <v>30</v>
      </c>
      <c r="H244" s="1" t="s">
        <v>18</v>
      </c>
      <c r="I244" s="1" t="s">
        <v>57</v>
      </c>
      <c r="J244" s="1" t="s">
        <v>59</v>
      </c>
      <c r="K244" s="1" t="s">
        <v>28</v>
      </c>
      <c r="L244" s="1">
        <v>2</v>
      </c>
      <c r="M244" s="1">
        <v>601.53</v>
      </c>
      <c r="N244" s="1">
        <v>20</v>
      </c>
      <c r="O244" s="1">
        <v>962.45</v>
      </c>
      <c r="P244" s="1">
        <f t="shared" si="16"/>
        <v>1203.06</v>
      </c>
      <c r="Q244" s="10">
        <f t="shared" si="17"/>
        <v>192.49</v>
      </c>
      <c r="R244" s="11">
        <f t="shared" si="18"/>
        <v>1010.5699999999999</v>
      </c>
      <c r="S244" s="1" t="str">
        <f t="shared" si="19"/>
        <v>Low</v>
      </c>
      <c r="T244" s="1" t="str" cm="1">
        <f t="array" ref="T244">_xlfn.IFS(L244&gt;5,"High",L244=5,"mediam",L244&lt;5,"low")</f>
        <v>low</v>
      </c>
      <c r="U244" s="1" t="b">
        <f t="shared" si="20"/>
        <v>0</v>
      </c>
    </row>
    <row r="245" spans="1:21" x14ac:dyDescent="0.3">
      <c r="A245" s="5">
        <v>10244</v>
      </c>
      <c r="B245" s="1">
        <v>1627</v>
      </c>
      <c r="C245" s="2">
        <v>45032</v>
      </c>
      <c r="D245" s="2">
        <v>45038</v>
      </c>
      <c r="E245" s="1" t="s">
        <v>34</v>
      </c>
      <c r="F245" s="1" t="s">
        <v>29</v>
      </c>
      <c r="G245" s="1" t="s">
        <v>17</v>
      </c>
      <c r="H245" s="1" t="s">
        <v>44</v>
      </c>
      <c r="I245" s="1" t="s">
        <v>52</v>
      </c>
      <c r="J245" s="1" t="s">
        <v>53</v>
      </c>
      <c r="K245" s="1" t="s">
        <v>45</v>
      </c>
      <c r="L245" s="1">
        <v>3</v>
      </c>
      <c r="M245" s="1">
        <v>800.89</v>
      </c>
      <c r="N245" s="1">
        <v>0</v>
      </c>
      <c r="O245" s="1">
        <v>2402.67</v>
      </c>
      <c r="P245" s="1">
        <f t="shared" si="16"/>
        <v>2402.67</v>
      </c>
      <c r="Q245" s="10">
        <f t="shared" si="17"/>
        <v>0</v>
      </c>
      <c r="R245" s="11">
        <f t="shared" si="18"/>
        <v>2402.67</v>
      </c>
      <c r="S245" s="1" t="str">
        <f t="shared" si="19"/>
        <v>Low</v>
      </c>
      <c r="T245" s="1" t="str" cm="1">
        <f t="array" ref="T245">_xlfn.IFS(L245&gt;5,"High",L245=5,"mediam",L245&lt;5,"low")</f>
        <v>low</v>
      </c>
      <c r="U245" s="1" t="b">
        <f t="shared" si="20"/>
        <v>0</v>
      </c>
    </row>
    <row r="246" spans="1:21" x14ac:dyDescent="0.3">
      <c r="A246" s="5">
        <v>10245</v>
      </c>
      <c r="B246" s="1">
        <v>1972</v>
      </c>
      <c r="C246" s="2">
        <v>45143</v>
      </c>
      <c r="D246" s="2">
        <v>45148</v>
      </c>
      <c r="E246" s="1" t="s">
        <v>15</v>
      </c>
      <c r="F246" s="1" t="s">
        <v>16</v>
      </c>
      <c r="G246" s="1" t="s">
        <v>30</v>
      </c>
      <c r="H246" s="1" t="s">
        <v>42</v>
      </c>
      <c r="I246" s="1" t="s">
        <v>49</v>
      </c>
      <c r="J246" s="1" t="s">
        <v>51</v>
      </c>
      <c r="K246" s="1" t="s">
        <v>47</v>
      </c>
      <c r="L246" s="1">
        <v>8</v>
      </c>
      <c r="M246" s="1">
        <v>1504.45</v>
      </c>
      <c r="N246" s="1">
        <v>20</v>
      </c>
      <c r="O246" s="1">
        <v>9628.48</v>
      </c>
      <c r="P246" s="1">
        <f t="shared" si="16"/>
        <v>12035.6</v>
      </c>
      <c r="Q246" s="10">
        <f t="shared" si="17"/>
        <v>1925.6959999999999</v>
      </c>
      <c r="R246" s="11">
        <f t="shared" si="18"/>
        <v>10109.904</v>
      </c>
      <c r="S246" s="1" t="str">
        <f t="shared" si="19"/>
        <v>High</v>
      </c>
      <c r="T246" s="1" t="str" cm="1">
        <f t="array" ref="T246">_xlfn.IFS(L246&gt;5,"High",L246=5,"mediam",L246&lt;5,"low")</f>
        <v>High</v>
      </c>
      <c r="U246" s="1" t="str">
        <f t="shared" si="20"/>
        <v>High</v>
      </c>
    </row>
    <row r="247" spans="1:21" x14ac:dyDescent="0.3">
      <c r="A247" s="5">
        <v>10246</v>
      </c>
      <c r="B247" s="1">
        <v>1744</v>
      </c>
      <c r="C247" s="2">
        <v>45131</v>
      </c>
      <c r="D247" s="2">
        <v>45139</v>
      </c>
      <c r="E247" s="1" t="s">
        <v>16</v>
      </c>
      <c r="F247" s="1" t="s">
        <v>29</v>
      </c>
      <c r="G247" s="1" t="s">
        <v>24</v>
      </c>
      <c r="H247" s="1" t="s">
        <v>25</v>
      </c>
      <c r="I247" s="1" t="s">
        <v>52</v>
      </c>
      <c r="J247" s="1" t="s">
        <v>53</v>
      </c>
      <c r="K247" s="1" t="s">
        <v>45</v>
      </c>
      <c r="L247" s="1">
        <v>1</v>
      </c>
      <c r="M247" s="1">
        <v>3082.45</v>
      </c>
      <c r="N247" s="1">
        <v>5</v>
      </c>
      <c r="O247" s="1">
        <v>2928.33</v>
      </c>
      <c r="P247" s="1">
        <f t="shared" si="16"/>
        <v>3082.45</v>
      </c>
      <c r="Q247" s="10">
        <f t="shared" si="17"/>
        <v>146.41650000000001</v>
      </c>
      <c r="R247" s="11">
        <f t="shared" si="18"/>
        <v>2936.0335</v>
      </c>
      <c r="S247" s="1" t="str">
        <f t="shared" si="19"/>
        <v>Low</v>
      </c>
      <c r="T247" s="1" t="str" cm="1">
        <f t="array" ref="T247">_xlfn.IFS(L247&gt;5,"High",L247=5,"mediam",L247&lt;5,"low")</f>
        <v>low</v>
      </c>
      <c r="U247" s="1" t="b">
        <f t="shared" si="20"/>
        <v>0</v>
      </c>
    </row>
    <row r="248" spans="1:21" x14ac:dyDescent="0.3">
      <c r="A248" s="5">
        <v>10247</v>
      </c>
      <c r="B248" s="1">
        <v>1258</v>
      </c>
      <c r="C248" s="2">
        <v>44996</v>
      </c>
      <c r="D248" s="2">
        <v>44998</v>
      </c>
      <c r="E248" s="1" t="s">
        <v>15</v>
      </c>
      <c r="F248" s="1" t="s">
        <v>54</v>
      </c>
      <c r="G248" s="1" t="s">
        <v>30</v>
      </c>
      <c r="H248" s="1" t="s">
        <v>35</v>
      </c>
      <c r="I248" s="1" t="s">
        <v>52</v>
      </c>
      <c r="J248" s="1" t="s">
        <v>64</v>
      </c>
      <c r="K248" s="1" t="s">
        <v>47</v>
      </c>
      <c r="L248" s="1">
        <v>7</v>
      </c>
      <c r="M248" s="1">
        <v>2102.27</v>
      </c>
      <c r="N248" s="1">
        <v>20</v>
      </c>
      <c r="O248" s="1">
        <v>11772.71</v>
      </c>
      <c r="P248" s="1">
        <f t="shared" si="16"/>
        <v>14715.89</v>
      </c>
      <c r="Q248" s="10">
        <f t="shared" si="17"/>
        <v>2354.5419999999999</v>
      </c>
      <c r="R248" s="11">
        <f t="shared" si="18"/>
        <v>12361.348</v>
      </c>
      <c r="S248" s="1" t="str">
        <f t="shared" si="19"/>
        <v>High</v>
      </c>
      <c r="T248" s="1" t="str" cm="1">
        <f t="array" ref="T248">_xlfn.IFS(L248&gt;5,"High",L248=5,"mediam",L248&lt;5,"low")</f>
        <v>High</v>
      </c>
      <c r="U248" s="1" t="str">
        <f t="shared" si="20"/>
        <v>High</v>
      </c>
    </row>
    <row r="249" spans="1:21" x14ac:dyDescent="0.3">
      <c r="A249" s="5">
        <v>10248</v>
      </c>
      <c r="B249" s="1">
        <v>1358</v>
      </c>
      <c r="C249" s="2">
        <v>44970</v>
      </c>
      <c r="D249" s="2">
        <v>44974</v>
      </c>
      <c r="E249" s="1" t="s">
        <v>22</v>
      </c>
      <c r="F249" s="1" t="s">
        <v>16</v>
      </c>
      <c r="G249" s="1" t="s">
        <v>30</v>
      </c>
      <c r="H249" s="1" t="s">
        <v>42</v>
      </c>
      <c r="I249" s="1" t="s">
        <v>31</v>
      </c>
      <c r="J249" s="1" t="s">
        <v>39</v>
      </c>
      <c r="K249" s="1" t="s">
        <v>21</v>
      </c>
      <c r="L249" s="1">
        <v>7</v>
      </c>
      <c r="M249" s="1">
        <v>2605.92</v>
      </c>
      <c r="N249" s="1">
        <v>20</v>
      </c>
      <c r="O249" s="1">
        <v>14593.15</v>
      </c>
      <c r="P249" s="1">
        <f t="shared" si="16"/>
        <v>18241.440000000002</v>
      </c>
      <c r="Q249" s="10">
        <f t="shared" si="17"/>
        <v>2918.63</v>
      </c>
      <c r="R249" s="11">
        <f t="shared" si="18"/>
        <v>15322.810000000001</v>
      </c>
      <c r="S249" s="1" t="str">
        <f t="shared" si="19"/>
        <v>High</v>
      </c>
      <c r="T249" s="1" t="str" cm="1">
        <f t="array" ref="T249">_xlfn.IFS(L249&gt;5,"High",L249=5,"mediam",L249&lt;5,"low")</f>
        <v>High</v>
      </c>
      <c r="U249" s="1" t="str">
        <f t="shared" si="20"/>
        <v>High</v>
      </c>
    </row>
    <row r="250" spans="1:21" x14ac:dyDescent="0.3">
      <c r="A250" s="5">
        <v>10249</v>
      </c>
      <c r="B250" s="1">
        <v>1709</v>
      </c>
      <c r="C250" s="2">
        <v>45255</v>
      </c>
      <c r="D250" s="2">
        <v>45263</v>
      </c>
      <c r="E250" s="1" t="s">
        <v>46</v>
      </c>
      <c r="F250" s="1" t="s">
        <v>41</v>
      </c>
      <c r="G250" s="1" t="s">
        <v>17</v>
      </c>
      <c r="H250" s="1" t="s">
        <v>18</v>
      </c>
      <c r="I250" s="1" t="s">
        <v>31</v>
      </c>
      <c r="J250" s="1" t="s">
        <v>65</v>
      </c>
      <c r="K250" s="1" t="s">
        <v>45</v>
      </c>
      <c r="L250" s="1">
        <v>1</v>
      </c>
      <c r="M250" s="1">
        <v>3942.92</v>
      </c>
      <c r="N250" s="1">
        <v>0</v>
      </c>
      <c r="O250" s="1">
        <v>3942.92</v>
      </c>
      <c r="P250" s="1">
        <f t="shared" si="16"/>
        <v>3942.92</v>
      </c>
      <c r="Q250" s="10">
        <f t="shared" si="17"/>
        <v>0</v>
      </c>
      <c r="R250" s="11">
        <f t="shared" si="18"/>
        <v>3942.92</v>
      </c>
      <c r="S250" s="1" t="str">
        <f t="shared" si="19"/>
        <v>Low</v>
      </c>
      <c r="T250" s="1" t="str" cm="1">
        <f t="array" ref="T250">_xlfn.IFS(L250&gt;5,"High",L250=5,"mediam",L250&lt;5,"low")</f>
        <v>low</v>
      </c>
      <c r="U250" s="1" t="b">
        <f t="shared" si="20"/>
        <v>0</v>
      </c>
    </row>
    <row r="251" spans="1:21" x14ac:dyDescent="0.3">
      <c r="A251" s="5">
        <v>10250</v>
      </c>
      <c r="B251" s="1">
        <v>1455</v>
      </c>
      <c r="C251" s="2">
        <v>45227</v>
      </c>
      <c r="D251" s="2">
        <v>45233</v>
      </c>
      <c r="E251" s="1" t="s">
        <v>34</v>
      </c>
      <c r="F251" s="1" t="s">
        <v>16</v>
      </c>
      <c r="G251" s="1" t="s">
        <v>17</v>
      </c>
      <c r="H251" s="1" t="s">
        <v>35</v>
      </c>
      <c r="I251" s="1" t="s">
        <v>26</v>
      </c>
      <c r="J251" s="1" t="s">
        <v>69</v>
      </c>
      <c r="K251" s="1" t="s">
        <v>28</v>
      </c>
      <c r="L251" s="1">
        <v>9</v>
      </c>
      <c r="M251" s="1">
        <v>3106.82</v>
      </c>
      <c r="N251" s="1">
        <v>15</v>
      </c>
      <c r="O251" s="1">
        <v>23767.17</v>
      </c>
      <c r="P251" s="1">
        <f t="shared" si="16"/>
        <v>27961.38</v>
      </c>
      <c r="Q251" s="10">
        <f t="shared" si="17"/>
        <v>3565.0754999999995</v>
      </c>
      <c r="R251" s="11">
        <f t="shared" si="18"/>
        <v>24396.304500000002</v>
      </c>
      <c r="S251" s="1" t="str">
        <f t="shared" si="19"/>
        <v>High</v>
      </c>
      <c r="T251" s="1" t="str" cm="1">
        <f t="array" ref="T251">_xlfn.IFS(L251&gt;5,"High",L251=5,"mediam",L251&lt;5,"low")</f>
        <v>High</v>
      </c>
      <c r="U251" s="1" t="str">
        <f t="shared" si="20"/>
        <v>High</v>
      </c>
    </row>
    <row r="252" spans="1:21" x14ac:dyDescent="0.3">
      <c r="A252" s="5">
        <v>10251</v>
      </c>
      <c r="B252" s="1">
        <v>1410</v>
      </c>
      <c r="C252" s="2">
        <v>45154</v>
      </c>
      <c r="D252" s="2">
        <v>45155</v>
      </c>
      <c r="E252" s="1" t="s">
        <v>16</v>
      </c>
      <c r="F252" s="1" t="s">
        <v>23</v>
      </c>
      <c r="G252" s="1" t="s">
        <v>17</v>
      </c>
      <c r="H252" s="1" t="s">
        <v>25</v>
      </c>
      <c r="I252" s="1" t="s">
        <v>31</v>
      </c>
      <c r="J252" s="1" t="s">
        <v>48</v>
      </c>
      <c r="K252" s="1" t="s">
        <v>28</v>
      </c>
      <c r="L252" s="1">
        <v>8</v>
      </c>
      <c r="M252" s="1">
        <v>1822.29</v>
      </c>
      <c r="N252" s="1">
        <v>20</v>
      </c>
      <c r="O252" s="1">
        <v>11662.66</v>
      </c>
      <c r="P252" s="1">
        <f t="shared" si="16"/>
        <v>14578.32</v>
      </c>
      <c r="Q252" s="10">
        <f t="shared" si="17"/>
        <v>2332.5320000000002</v>
      </c>
      <c r="R252" s="11">
        <f t="shared" si="18"/>
        <v>12245.788</v>
      </c>
      <c r="S252" s="1" t="str">
        <f t="shared" si="19"/>
        <v>High</v>
      </c>
      <c r="T252" s="1" t="str" cm="1">
        <f t="array" ref="T252">_xlfn.IFS(L252&gt;5,"High",L252=5,"mediam",L252&lt;5,"low")</f>
        <v>High</v>
      </c>
      <c r="U252" s="1" t="str">
        <f t="shared" si="20"/>
        <v>High</v>
      </c>
    </row>
    <row r="253" spans="1:21" x14ac:dyDescent="0.3">
      <c r="A253" s="5">
        <v>10252</v>
      </c>
      <c r="B253" s="1">
        <v>1648</v>
      </c>
      <c r="C253" s="2">
        <v>45110</v>
      </c>
      <c r="D253" s="2">
        <v>45114</v>
      </c>
      <c r="E253" s="1" t="s">
        <v>37</v>
      </c>
      <c r="F253" s="1" t="s">
        <v>38</v>
      </c>
      <c r="G253" s="1" t="s">
        <v>24</v>
      </c>
      <c r="H253" s="1" t="s">
        <v>42</v>
      </c>
      <c r="I253" s="1" t="s">
        <v>52</v>
      </c>
      <c r="J253" s="1" t="s">
        <v>60</v>
      </c>
      <c r="K253" s="1" t="s">
        <v>33</v>
      </c>
      <c r="L253" s="1">
        <v>4</v>
      </c>
      <c r="M253" s="1">
        <v>1868.8</v>
      </c>
      <c r="N253" s="1">
        <v>20</v>
      </c>
      <c r="O253" s="1">
        <v>5980.16</v>
      </c>
      <c r="P253" s="1">
        <f t="shared" si="16"/>
        <v>7475.2</v>
      </c>
      <c r="Q253" s="10">
        <f t="shared" si="17"/>
        <v>1196.0319999999999</v>
      </c>
      <c r="R253" s="11">
        <f t="shared" si="18"/>
        <v>6279.1679999999997</v>
      </c>
      <c r="S253" s="1" t="str">
        <f t="shared" si="19"/>
        <v>Low</v>
      </c>
      <c r="T253" s="1" t="str" cm="1">
        <f t="array" ref="T253">_xlfn.IFS(L253&gt;5,"High",L253=5,"mediam",L253&lt;5,"low")</f>
        <v>low</v>
      </c>
      <c r="U253" s="1" t="b">
        <f t="shared" si="20"/>
        <v>0</v>
      </c>
    </row>
    <row r="254" spans="1:21" x14ac:dyDescent="0.3">
      <c r="A254" s="5">
        <v>10253</v>
      </c>
      <c r="B254" s="1">
        <v>1317</v>
      </c>
      <c r="C254" s="2">
        <v>45033</v>
      </c>
      <c r="D254" s="2">
        <v>45034</v>
      </c>
      <c r="E254" s="1" t="s">
        <v>40</v>
      </c>
      <c r="F254" s="1" t="s">
        <v>41</v>
      </c>
      <c r="G254" s="1" t="s">
        <v>24</v>
      </c>
      <c r="H254" s="1" t="s">
        <v>35</v>
      </c>
      <c r="I254" s="1" t="s">
        <v>19</v>
      </c>
      <c r="J254" s="1" t="s">
        <v>20</v>
      </c>
      <c r="K254" s="1" t="s">
        <v>47</v>
      </c>
      <c r="L254" s="1">
        <v>5</v>
      </c>
      <c r="M254" s="1">
        <v>2532.27</v>
      </c>
      <c r="N254" s="1">
        <v>15</v>
      </c>
      <c r="O254" s="1">
        <v>10762.15</v>
      </c>
      <c r="P254" s="1">
        <f t="shared" si="16"/>
        <v>12661.35</v>
      </c>
      <c r="Q254" s="10">
        <f t="shared" si="17"/>
        <v>1614.3225</v>
      </c>
      <c r="R254" s="11">
        <f t="shared" si="18"/>
        <v>11047.0275</v>
      </c>
      <c r="S254" s="1" t="str">
        <f t="shared" si="19"/>
        <v>High</v>
      </c>
      <c r="T254" s="1" t="str" cm="1">
        <f t="array" ref="T254">_xlfn.IFS(L254&gt;5,"High",L254=5,"mediam",L254&lt;5,"low")</f>
        <v>mediam</v>
      </c>
      <c r="U254" s="1" t="b">
        <f t="shared" si="20"/>
        <v>0</v>
      </c>
    </row>
    <row r="255" spans="1:21" x14ac:dyDescent="0.3">
      <c r="A255" s="5">
        <v>10254</v>
      </c>
      <c r="B255" s="1">
        <v>1676</v>
      </c>
      <c r="C255" s="2">
        <v>45010</v>
      </c>
      <c r="D255" s="2">
        <v>45012</v>
      </c>
      <c r="E255" s="1" t="s">
        <v>22</v>
      </c>
      <c r="F255" s="1" t="s">
        <v>16</v>
      </c>
      <c r="G255" s="1" t="s">
        <v>17</v>
      </c>
      <c r="H255" s="1" t="s">
        <v>42</v>
      </c>
      <c r="I255" s="1" t="s">
        <v>52</v>
      </c>
      <c r="J255" s="1" t="s">
        <v>64</v>
      </c>
      <c r="K255" s="1" t="s">
        <v>45</v>
      </c>
      <c r="L255" s="1">
        <v>2</v>
      </c>
      <c r="M255" s="1">
        <v>2711.66</v>
      </c>
      <c r="N255" s="1">
        <v>0</v>
      </c>
      <c r="O255" s="1">
        <v>5423.32</v>
      </c>
      <c r="P255" s="1">
        <f t="shared" si="16"/>
        <v>5423.32</v>
      </c>
      <c r="Q255" s="10">
        <f t="shared" si="17"/>
        <v>0</v>
      </c>
      <c r="R255" s="11">
        <f t="shared" si="18"/>
        <v>5423.32</v>
      </c>
      <c r="S255" s="1" t="str">
        <f t="shared" si="19"/>
        <v>Low</v>
      </c>
      <c r="T255" s="1" t="str" cm="1">
        <f t="array" ref="T255">_xlfn.IFS(L255&gt;5,"High",L255=5,"mediam",L255&lt;5,"low")</f>
        <v>low</v>
      </c>
      <c r="U255" s="1" t="b">
        <f t="shared" si="20"/>
        <v>0</v>
      </c>
    </row>
    <row r="256" spans="1:21" x14ac:dyDescent="0.3">
      <c r="A256" s="5">
        <v>10255</v>
      </c>
      <c r="B256" s="1">
        <v>1224</v>
      </c>
      <c r="C256" s="2">
        <v>45264</v>
      </c>
      <c r="D256" s="2">
        <v>45269</v>
      </c>
      <c r="E256" s="1" t="s">
        <v>16</v>
      </c>
      <c r="F256" s="1" t="s">
        <v>41</v>
      </c>
      <c r="G256" s="1" t="s">
        <v>17</v>
      </c>
      <c r="H256" s="1" t="s">
        <v>42</v>
      </c>
      <c r="I256" s="1" t="s">
        <v>19</v>
      </c>
      <c r="J256" s="1" t="s">
        <v>20</v>
      </c>
      <c r="K256" s="1" t="s">
        <v>33</v>
      </c>
      <c r="L256" s="1">
        <v>9</v>
      </c>
      <c r="M256" s="1">
        <v>2077.7399999999998</v>
      </c>
      <c r="N256" s="1">
        <v>15</v>
      </c>
      <c r="O256" s="1">
        <v>15894.71</v>
      </c>
      <c r="P256" s="1">
        <f t="shared" si="16"/>
        <v>18699.659999999996</v>
      </c>
      <c r="Q256" s="10">
        <f t="shared" si="17"/>
        <v>2384.2064999999998</v>
      </c>
      <c r="R256" s="11">
        <f t="shared" si="18"/>
        <v>16315.453499999996</v>
      </c>
      <c r="S256" s="1" t="str">
        <f t="shared" si="19"/>
        <v>High</v>
      </c>
      <c r="T256" s="1" t="str" cm="1">
        <f t="array" ref="T256">_xlfn.IFS(L256&gt;5,"High",L256=5,"mediam",L256&lt;5,"low")</f>
        <v>High</v>
      </c>
      <c r="U256" s="1" t="str">
        <f t="shared" si="20"/>
        <v>High</v>
      </c>
    </row>
    <row r="257" spans="1:21" x14ac:dyDescent="0.3">
      <c r="A257" s="5">
        <v>10256</v>
      </c>
      <c r="B257" s="1">
        <v>1818</v>
      </c>
      <c r="C257" s="2">
        <v>45176</v>
      </c>
      <c r="D257" s="2">
        <v>45184</v>
      </c>
      <c r="E257" s="1" t="s">
        <v>37</v>
      </c>
      <c r="F257" s="1" t="s">
        <v>41</v>
      </c>
      <c r="G257" s="1" t="s">
        <v>24</v>
      </c>
      <c r="H257" s="1" t="s">
        <v>25</v>
      </c>
      <c r="I257" s="1" t="s">
        <v>19</v>
      </c>
      <c r="J257" s="1" t="s">
        <v>20</v>
      </c>
      <c r="K257" s="1" t="s">
        <v>45</v>
      </c>
      <c r="L257" s="1">
        <v>6</v>
      </c>
      <c r="M257" s="1">
        <v>2632.72</v>
      </c>
      <c r="N257" s="1">
        <v>0</v>
      </c>
      <c r="O257" s="1">
        <v>15796.32</v>
      </c>
      <c r="P257" s="1">
        <f t="shared" si="16"/>
        <v>15796.32</v>
      </c>
      <c r="Q257" s="10">
        <f t="shared" si="17"/>
        <v>0</v>
      </c>
      <c r="R257" s="11">
        <f t="shared" si="18"/>
        <v>15796.32</v>
      </c>
      <c r="S257" s="1" t="str">
        <f t="shared" si="19"/>
        <v>High</v>
      </c>
      <c r="T257" s="1" t="str" cm="1">
        <f t="array" ref="T257">_xlfn.IFS(L257&gt;5,"High",L257=5,"mediam",L257&lt;5,"low")</f>
        <v>High</v>
      </c>
      <c r="U257" s="1" t="str">
        <f t="shared" si="20"/>
        <v>High</v>
      </c>
    </row>
    <row r="258" spans="1:21" x14ac:dyDescent="0.3">
      <c r="A258" s="5">
        <v>10257</v>
      </c>
      <c r="B258" s="1">
        <v>1233</v>
      </c>
      <c r="C258" s="2">
        <v>45289</v>
      </c>
      <c r="D258" s="2">
        <v>45297</v>
      </c>
      <c r="E258" s="1" t="s">
        <v>40</v>
      </c>
      <c r="F258" s="1" t="s">
        <v>41</v>
      </c>
      <c r="G258" s="1" t="s">
        <v>24</v>
      </c>
      <c r="H258" s="1" t="s">
        <v>44</v>
      </c>
      <c r="I258" s="1" t="s">
        <v>31</v>
      </c>
      <c r="J258" s="1" t="s">
        <v>32</v>
      </c>
      <c r="K258" s="1" t="s">
        <v>47</v>
      </c>
      <c r="L258" s="1">
        <v>3</v>
      </c>
      <c r="M258" s="1">
        <v>240.6</v>
      </c>
      <c r="N258" s="1">
        <v>5</v>
      </c>
      <c r="O258" s="1">
        <v>685.71</v>
      </c>
      <c r="P258" s="1">
        <f t="shared" si="16"/>
        <v>721.8</v>
      </c>
      <c r="Q258" s="10">
        <f t="shared" si="17"/>
        <v>34.285500000000006</v>
      </c>
      <c r="R258" s="11">
        <f t="shared" si="18"/>
        <v>687.5145</v>
      </c>
      <c r="S258" s="1" t="str">
        <f t="shared" si="19"/>
        <v>Low</v>
      </c>
      <c r="T258" s="1" t="str" cm="1">
        <f t="array" ref="T258">_xlfn.IFS(L258&gt;5,"High",L258=5,"mediam",L258&lt;5,"low")</f>
        <v>low</v>
      </c>
      <c r="U258" s="1" t="b">
        <f t="shared" si="20"/>
        <v>0</v>
      </c>
    </row>
    <row r="259" spans="1:21" x14ac:dyDescent="0.3">
      <c r="A259" s="5">
        <v>10258</v>
      </c>
      <c r="B259" s="1">
        <v>1683</v>
      </c>
      <c r="C259" s="2">
        <v>44947</v>
      </c>
      <c r="D259" s="2">
        <v>44950</v>
      </c>
      <c r="E259" s="1" t="s">
        <v>40</v>
      </c>
      <c r="F259" s="1" t="s">
        <v>38</v>
      </c>
      <c r="G259" s="1" t="s">
        <v>24</v>
      </c>
      <c r="H259" s="1" t="s">
        <v>35</v>
      </c>
      <c r="I259" s="1" t="s">
        <v>57</v>
      </c>
      <c r="J259" s="1" t="s">
        <v>59</v>
      </c>
      <c r="K259" s="1" t="s">
        <v>28</v>
      </c>
      <c r="L259" s="1">
        <v>7</v>
      </c>
      <c r="M259" s="1">
        <v>1804.05</v>
      </c>
      <c r="N259" s="1">
        <v>0</v>
      </c>
      <c r="O259" s="1">
        <v>12628.35</v>
      </c>
      <c r="P259" s="1">
        <f t="shared" ref="P259:P322" si="21">L259*M259</f>
        <v>12628.35</v>
      </c>
      <c r="Q259" s="10">
        <f t="shared" ref="Q259:Q322" si="22">O259*N259%</f>
        <v>0</v>
      </c>
      <c r="R259" s="11">
        <f t="shared" ref="R259:R322" si="23">P259-Q259</f>
        <v>12628.35</v>
      </c>
      <c r="S259" s="1" t="str">
        <f t="shared" ref="S259:S322" si="24">IF(L259&gt;=5,"High","Low")</f>
        <v>High</v>
      </c>
      <c r="T259" s="1" t="str" cm="1">
        <f t="array" ref="T259">_xlfn.IFS(L259&gt;5,"High",L259=5,"mediam",L259&lt;5,"low")</f>
        <v>High</v>
      </c>
      <c r="U259" s="1" t="str">
        <f t="shared" si="20"/>
        <v>High</v>
      </c>
    </row>
    <row r="260" spans="1:21" x14ac:dyDescent="0.3">
      <c r="A260" s="5">
        <v>10259</v>
      </c>
      <c r="B260" s="1">
        <v>1663</v>
      </c>
      <c r="C260" s="2">
        <v>45122</v>
      </c>
      <c r="D260" s="2">
        <v>45126</v>
      </c>
      <c r="E260" s="1" t="s">
        <v>16</v>
      </c>
      <c r="F260" s="1" t="s">
        <v>29</v>
      </c>
      <c r="G260" s="1" t="s">
        <v>24</v>
      </c>
      <c r="H260" s="1" t="s">
        <v>25</v>
      </c>
      <c r="I260" s="1" t="s">
        <v>49</v>
      </c>
      <c r="J260" s="1" t="s">
        <v>51</v>
      </c>
      <c r="K260" s="1" t="s">
        <v>21</v>
      </c>
      <c r="L260" s="1">
        <v>9</v>
      </c>
      <c r="M260" s="1">
        <v>1223.9100000000001</v>
      </c>
      <c r="N260" s="1">
        <v>5</v>
      </c>
      <c r="O260" s="1">
        <v>10464.43</v>
      </c>
      <c r="P260" s="1">
        <f t="shared" si="21"/>
        <v>11015.19</v>
      </c>
      <c r="Q260" s="10">
        <f t="shared" si="22"/>
        <v>523.22149999999999</v>
      </c>
      <c r="R260" s="11">
        <f t="shared" si="23"/>
        <v>10491.968500000001</v>
      </c>
      <c r="S260" s="1" t="str">
        <f t="shared" si="24"/>
        <v>High</v>
      </c>
      <c r="T260" s="1" t="str" cm="1">
        <f t="array" ref="T260">_xlfn.IFS(L260&gt;5,"High",L260=5,"mediam",L260&lt;5,"low")</f>
        <v>High</v>
      </c>
      <c r="U260" s="1" t="str">
        <f t="shared" si="20"/>
        <v>High</v>
      </c>
    </row>
    <row r="261" spans="1:21" x14ac:dyDescent="0.3">
      <c r="A261" s="5">
        <v>10260</v>
      </c>
      <c r="B261" s="1">
        <v>1974</v>
      </c>
      <c r="C261" s="2">
        <v>45104</v>
      </c>
      <c r="D261" s="2">
        <v>45110</v>
      </c>
      <c r="E261" s="1" t="s">
        <v>22</v>
      </c>
      <c r="F261" s="1" t="s">
        <v>41</v>
      </c>
      <c r="G261" s="1" t="s">
        <v>17</v>
      </c>
      <c r="H261" s="1" t="s">
        <v>42</v>
      </c>
      <c r="I261" s="1" t="s">
        <v>31</v>
      </c>
      <c r="J261" s="1" t="s">
        <v>65</v>
      </c>
      <c r="K261" s="1" t="s">
        <v>28</v>
      </c>
      <c r="L261" s="1">
        <v>3</v>
      </c>
      <c r="M261" s="1">
        <v>647.32000000000005</v>
      </c>
      <c r="N261" s="1">
        <v>5</v>
      </c>
      <c r="O261" s="1">
        <v>1844.86</v>
      </c>
      <c r="P261" s="1">
        <f t="shared" si="21"/>
        <v>1941.96</v>
      </c>
      <c r="Q261" s="10">
        <f t="shared" si="22"/>
        <v>92.242999999999995</v>
      </c>
      <c r="R261" s="11">
        <f t="shared" si="23"/>
        <v>1849.7170000000001</v>
      </c>
      <c r="S261" s="1" t="str">
        <f t="shared" si="24"/>
        <v>Low</v>
      </c>
      <c r="T261" s="1" t="str" cm="1">
        <f t="array" ref="T261">_xlfn.IFS(L261&gt;5,"High",L261=5,"mediam",L261&lt;5,"low")</f>
        <v>low</v>
      </c>
      <c r="U261" s="1" t="b">
        <f t="shared" si="20"/>
        <v>0</v>
      </c>
    </row>
    <row r="262" spans="1:21" x14ac:dyDescent="0.3">
      <c r="A262" s="5">
        <v>10261</v>
      </c>
      <c r="B262" s="1">
        <v>1826</v>
      </c>
      <c r="C262" s="2">
        <v>44933</v>
      </c>
      <c r="D262" s="2">
        <v>44936</v>
      </c>
      <c r="E262" s="1" t="s">
        <v>15</v>
      </c>
      <c r="F262" s="1" t="s">
        <v>54</v>
      </c>
      <c r="G262" s="1" t="s">
        <v>24</v>
      </c>
      <c r="H262" s="1" t="s">
        <v>25</v>
      </c>
      <c r="I262" s="1" t="s">
        <v>31</v>
      </c>
      <c r="J262" s="1" t="s">
        <v>32</v>
      </c>
      <c r="K262" s="1" t="s">
        <v>33</v>
      </c>
      <c r="L262" s="1">
        <v>2</v>
      </c>
      <c r="M262" s="1">
        <v>533.25</v>
      </c>
      <c r="N262" s="1">
        <v>0</v>
      </c>
      <c r="O262" s="1">
        <v>1066.5</v>
      </c>
      <c r="P262" s="1">
        <f t="shared" si="21"/>
        <v>1066.5</v>
      </c>
      <c r="Q262" s="10">
        <f t="shared" si="22"/>
        <v>0</v>
      </c>
      <c r="R262" s="11">
        <f t="shared" si="23"/>
        <v>1066.5</v>
      </c>
      <c r="S262" s="1" t="str">
        <f t="shared" si="24"/>
        <v>Low</v>
      </c>
      <c r="T262" s="1" t="str" cm="1">
        <f t="array" ref="T262">_xlfn.IFS(L262&gt;5,"High",L262=5,"mediam",L262&lt;5,"low")</f>
        <v>low</v>
      </c>
      <c r="U262" s="1" t="b">
        <f t="shared" si="20"/>
        <v>0</v>
      </c>
    </row>
    <row r="263" spans="1:21" x14ac:dyDescent="0.3">
      <c r="A263" s="5">
        <v>10262</v>
      </c>
      <c r="B263" s="1">
        <v>1373</v>
      </c>
      <c r="C263" s="2">
        <v>44996</v>
      </c>
      <c r="D263" s="2">
        <v>44998</v>
      </c>
      <c r="E263" s="1" t="s">
        <v>15</v>
      </c>
      <c r="F263" s="1" t="s">
        <v>23</v>
      </c>
      <c r="G263" s="1" t="s">
        <v>17</v>
      </c>
      <c r="H263" s="1" t="s">
        <v>44</v>
      </c>
      <c r="I263" s="1" t="s">
        <v>57</v>
      </c>
      <c r="J263" s="1" t="s">
        <v>59</v>
      </c>
      <c r="K263" s="1" t="s">
        <v>21</v>
      </c>
      <c r="L263" s="1">
        <v>7</v>
      </c>
      <c r="M263" s="1">
        <v>2472.29</v>
      </c>
      <c r="N263" s="1">
        <v>10</v>
      </c>
      <c r="O263" s="1">
        <v>15575.43</v>
      </c>
      <c r="P263" s="1">
        <f t="shared" si="21"/>
        <v>17306.03</v>
      </c>
      <c r="Q263" s="10">
        <f t="shared" si="22"/>
        <v>1557.5430000000001</v>
      </c>
      <c r="R263" s="11">
        <f t="shared" si="23"/>
        <v>15748.486999999999</v>
      </c>
      <c r="S263" s="1" t="str">
        <f t="shared" si="24"/>
        <v>High</v>
      </c>
      <c r="T263" s="1" t="str" cm="1">
        <f t="array" ref="T263">_xlfn.IFS(L263&gt;5,"High",L263=5,"mediam",L263&lt;5,"low")</f>
        <v>High</v>
      </c>
      <c r="U263" s="1" t="str">
        <f t="shared" si="20"/>
        <v>High</v>
      </c>
    </row>
    <row r="264" spans="1:21" x14ac:dyDescent="0.3">
      <c r="A264" s="5">
        <v>10263</v>
      </c>
      <c r="B264" s="1">
        <v>1671</v>
      </c>
      <c r="C264" s="2">
        <v>45053</v>
      </c>
      <c r="D264" s="2">
        <v>45059</v>
      </c>
      <c r="E264" s="1" t="s">
        <v>40</v>
      </c>
      <c r="F264" s="1" t="s">
        <v>38</v>
      </c>
      <c r="G264" s="1" t="s">
        <v>30</v>
      </c>
      <c r="H264" s="1" t="s">
        <v>35</v>
      </c>
      <c r="I264" s="1" t="s">
        <v>49</v>
      </c>
      <c r="J264" s="1" t="s">
        <v>63</v>
      </c>
      <c r="K264" s="1" t="s">
        <v>33</v>
      </c>
      <c r="L264" s="1">
        <v>7</v>
      </c>
      <c r="M264" s="1">
        <v>2165.86</v>
      </c>
      <c r="N264" s="1">
        <v>0</v>
      </c>
      <c r="O264" s="1">
        <v>15161.02</v>
      </c>
      <c r="P264" s="1">
        <f t="shared" si="21"/>
        <v>15161.02</v>
      </c>
      <c r="Q264" s="10">
        <f t="shared" si="22"/>
        <v>0</v>
      </c>
      <c r="R264" s="11">
        <f t="shared" si="23"/>
        <v>15161.02</v>
      </c>
      <c r="S264" s="1" t="str">
        <f t="shared" si="24"/>
        <v>High</v>
      </c>
      <c r="T264" s="1" t="str" cm="1">
        <f t="array" ref="T264">_xlfn.IFS(L264&gt;5,"High",L264=5,"mediam",L264&lt;5,"low")</f>
        <v>High</v>
      </c>
      <c r="U264" s="1" t="str">
        <f t="shared" si="20"/>
        <v>High</v>
      </c>
    </row>
    <row r="265" spans="1:21" x14ac:dyDescent="0.3">
      <c r="A265" s="5">
        <v>10264</v>
      </c>
      <c r="B265" s="1">
        <v>1607</v>
      </c>
      <c r="C265" s="2">
        <v>45086</v>
      </c>
      <c r="D265" s="2">
        <v>45091</v>
      </c>
      <c r="E265" s="1" t="s">
        <v>15</v>
      </c>
      <c r="F265" s="1" t="s">
        <v>16</v>
      </c>
      <c r="G265" s="1" t="s">
        <v>30</v>
      </c>
      <c r="H265" s="1" t="s">
        <v>44</v>
      </c>
      <c r="I265" s="1" t="s">
        <v>52</v>
      </c>
      <c r="J265" s="1" t="s">
        <v>60</v>
      </c>
      <c r="K265" s="1" t="s">
        <v>47</v>
      </c>
      <c r="L265" s="1">
        <v>4</v>
      </c>
      <c r="M265" s="1">
        <v>1126.3</v>
      </c>
      <c r="N265" s="1">
        <v>20</v>
      </c>
      <c r="O265" s="1">
        <v>3604.16</v>
      </c>
      <c r="P265" s="1">
        <f t="shared" si="21"/>
        <v>4505.2</v>
      </c>
      <c r="Q265" s="10">
        <f t="shared" si="22"/>
        <v>720.83199999999999</v>
      </c>
      <c r="R265" s="11">
        <f t="shared" si="23"/>
        <v>3784.3679999999999</v>
      </c>
      <c r="S265" s="1" t="str">
        <f t="shared" si="24"/>
        <v>Low</v>
      </c>
      <c r="T265" s="1" t="str" cm="1">
        <f t="array" ref="T265">_xlfn.IFS(L265&gt;5,"High",L265=5,"mediam",L265&lt;5,"low")</f>
        <v>low</v>
      </c>
      <c r="U265" s="1" t="b">
        <f t="shared" ref="U265:U328" si="25">IF(L265&gt;5,"High",IF(L265="Mediam","Low"))</f>
        <v>0</v>
      </c>
    </row>
    <row r="266" spans="1:21" x14ac:dyDescent="0.3">
      <c r="A266" s="5">
        <v>10265</v>
      </c>
      <c r="B266" s="1">
        <v>1471</v>
      </c>
      <c r="C266" s="2">
        <v>45174</v>
      </c>
      <c r="D266" s="2">
        <v>45179</v>
      </c>
      <c r="E266" s="1" t="s">
        <v>46</v>
      </c>
      <c r="F266" s="1" t="s">
        <v>38</v>
      </c>
      <c r="G266" s="1" t="s">
        <v>24</v>
      </c>
      <c r="H266" s="1" t="s">
        <v>18</v>
      </c>
      <c r="I266" s="1" t="s">
        <v>26</v>
      </c>
      <c r="J266" s="1" t="s">
        <v>61</v>
      </c>
      <c r="K266" s="1" t="s">
        <v>21</v>
      </c>
      <c r="L266" s="1">
        <v>9</v>
      </c>
      <c r="M266" s="1">
        <v>1963.16</v>
      </c>
      <c r="N266" s="1">
        <v>20</v>
      </c>
      <c r="O266" s="1">
        <v>14134.75</v>
      </c>
      <c r="P266" s="1">
        <f t="shared" si="21"/>
        <v>17668.440000000002</v>
      </c>
      <c r="Q266" s="10">
        <f t="shared" si="22"/>
        <v>2826.9500000000003</v>
      </c>
      <c r="R266" s="11">
        <f t="shared" si="23"/>
        <v>14841.490000000002</v>
      </c>
      <c r="S266" s="1" t="str">
        <f t="shared" si="24"/>
        <v>High</v>
      </c>
      <c r="T266" s="1" t="str" cm="1">
        <f t="array" ref="T266">_xlfn.IFS(L266&gt;5,"High",L266=5,"mediam",L266&lt;5,"low")</f>
        <v>High</v>
      </c>
      <c r="U266" s="1" t="str">
        <f t="shared" si="25"/>
        <v>High</v>
      </c>
    </row>
    <row r="267" spans="1:21" x14ac:dyDescent="0.3">
      <c r="A267" s="5">
        <v>10266</v>
      </c>
      <c r="B267" s="1">
        <v>1232</v>
      </c>
      <c r="C267" s="2">
        <v>45129</v>
      </c>
      <c r="D267" s="2">
        <v>45134</v>
      </c>
      <c r="E267" s="1" t="s">
        <v>40</v>
      </c>
      <c r="F267" s="1" t="s">
        <v>16</v>
      </c>
      <c r="G267" s="1" t="s">
        <v>30</v>
      </c>
      <c r="H267" s="1" t="s">
        <v>35</v>
      </c>
      <c r="I267" s="1" t="s">
        <v>26</v>
      </c>
      <c r="J267" s="1" t="s">
        <v>61</v>
      </c>
      <c r="K267" s="1" t="s">
        <v>33</v>
      </c>
      <c r="L267" s="1">
        <v>8</v>
      </c>
      <c r="M267" s="1">
        <v>2045.09</v>
      </c>
      <c r="N267" s="1">
        <v>10</v>
      </c>
      <c r="O267" s="1">
        <v>14724.65</v>
      </c>
      <c r="P267" s="1">
        <f t="shared" si="21"/>
        <v>16360.72</v>
      </c>
      <c r="Q267" s="10">
        <f t="shared" si="22"/>
        <v>1472.4650000000001</v>
      </c>
      <c r="R267" s="11">
        <f t="shared" si="23"/>
        <v>14888.254999999999</v>
      </c>
      <c r="S267" s="1" t="str">
        <f t="shared" si="24"/>
        <v>High</v>
      </c>
      <c r="T267" s="1" t="str" cm="1">
        <f t="array" ref="T267">_xlfn.IFS(L267&gt;5,"High",L267=5,"mediam",L267&lt;5,"low")</f>
        <v>High</v>
      </c>
      <c r="U267" s="1" t="str">
        <f t="shared" si="25"/>
        <v>High</v>
      </c>
    </row>
    <row r="268" spans="1:21" x14ac:dyDescent="0.3">
      <c r="A268" s="5">
        <v>10267</v>
      </c>
      <c r="B268" s="1">
        <v>1691</v>
      </c>
      <c r="C268" s="2">
        <v>45074</v>
      </c>
      <c r="D268" s="2">
        <v>45079</v>
      </c>
      <c r="E268" s="1" t="s">
        <v>40</v>
      </c>
      <c r="F268" s="1" t="s">
        <v>38</v>
      </c>
      <c r="G268" s="1" t="s">
        <v>30</v>
      </c>
      <c r="H268" s="1" t="s">
        <v>44</v>
      </c>
      <c r="I268" s="1" t="s">
        <v>52</v>
      </c>
      <c r="J268" s="1" t="s">
        <v>53</v>
      </c>
      <c r="K268" s="1" t="s">
        <v>47</v>
      </c>
      <c r="L268" s="1">
        <v>1</v>
      </c>
      <c r="M268" s="1">
        <v>900.78</v>
      </c>
      <c r="N268" s="1">
        <v>5</v>
      </c>
      <c r="O268" s="1">
        <v>855.74</v>
      </c>
      <c r="P268" s="1">
        <f t="shared" si="21"/>
        <v>900.78</v>
      </c>
      <c r="Q268" s="10">
        <f t="shared" si="22"/>
        <v>42.787000000000006</v>
      </c>
      <c r="R268" s="11">
        <f t="shared" si="23"/>
        <v>857.99299999999994</v>
      </c>
      <c r="S268" s="1" t="str">
        <f t="shared" si="24"/>
        <v>Low</v>
      </c>
      <c r="T268" s="1" t="str" cm="1">
        <f t="array" ref="T268">_xlfn.IFS(L268&gt;5,"High",L268=5,"mediam",L268&lt;5,"low")</f>
        <v>low</v>
      </c>
      <c r="U268" s="1" t="b">
        <f t="shared" si="25"/>
        <v>0</v>
      </c>
    </row>
    <row r="269" spans="1:21" x14ac:dyDescent="0.3">
      <c r="A269" s="5">
        <v>10268</v>
      </c>
      <c r="B269" s="1">
        <v>1112</v>
      </c>
      <c r="C269" s="2">
        <v>45069</v>
      </c>
      <c r="D269" s="2">
        <v>45072</v>
      </c>
      <c r="E269" s="1" t="s">
        <v>37</v>
      </c>
      <c r="F269" s="1" t="s">
        <v>16</v>
      </c>
      <c r="G269" s="1" t="s">
        <v>30</v>
      </c>
      <c r="H269" s="1" t="s">
        <v>42</v>
      </c>
      <c r="I269" s="1" t="s">
        <v>31</v>
      </c>
      <c r="J269" s="1" t="s">
        <v>39</v>
      </c>
      <c r="K269" s="1" t="s">
        <v>28</v>
      </c>
      <c r="L269" s="1">
        <v>1</v>
      </c>
      <c r="M269" s="1">
        <v>2660.56</v>
      </c>
      <c r="N269" s="1">
        <v>10</v>
      </c>
      <c r="O269" s="1">
        <v>2394.5</v>
      </c>
      <c r="P269" s="1">
        <f t="shared" si="21"/>
        <v>2660.56</v>
      </c>
      <c r="Q269" s="10">
        <f t="shared" si="22"/>
        <v>239.45000000000002</v>
      </c>
      <c r="R269" s="11">
        <f t="shared" si="23"/>
        <v>2421.11</v>
      </c>
      <c r="S269" s="1" t="str">
        <f t="shared" si="24"/>
        <v>Low</v>
      </c>
      <c r="T269" s="1" t="str" cm="1">
        <f t="array" ref="T269">_xlfn.IFS(L269&gt;5,"High",L269=5,"mediam",L269&lt;5,"low")</f>
        <v>low</v>
      </c>
      <c r="U269" s="1" t="b">
        <f t="shared" si="25"/>
        <v>0</v>
      </c>
    </row>
    <row r="270" spans="1:21" x14ac:dyDescent="0.3">
      <c r="A270" s="5">
        <v>10269</v>
      </c>
      <c r="B270" s="1">
        <v>1829</v>
      </c>
      <c r="C270" s="2">
        <v>45125</v>
      </c>
      <c r="D270" s="2">
        <v>45132</v>
      </c>
      <c r="E270" s="1" t="s">
        <v>15</v>
      </c>
      <c r="F270" s="1" t="s">
        <v>41</v>
      </c>
      <c r="G270" s="1" t="s">
        <v>24</v>
      </c>
      <c r="H270" s="1" t="s">
        <v>35</v>
      </c>
      <c r="I270" s="1" t="s">
        <v>49</v>
      </c>
      <c r="J270" s="1" t="s">
        <v>51</v>
      </c>
      <c r="K270" s="1" t="s">
        <v>47</v>
      </c>
      <c r="L270" s="1">
        <v>5</v>
      </c>
      <c r="M270" s="1">
        <v>3156.54</v>
      </c>
      <c r="N270" s="1">
        <v>20</v>
      </c>
      <c r="O270" s="1">
        <v>12626.16</v>
      </c>
      <c r="P270" s="1">
        <f t="shared" si="21"/>
        <v>15782.7</v>
      </c>
      <c r="Q270" s="10">
        <f t="shared" si="22"/>
        <v>2525.232</v>
      </c>
      <c r="R270" s="11">
        <f t="shared" si="23"/>
        <v>13257.468000000001</v>
      </c>
      <c r="S270" s="1" t="str">
        <f t="shared" si="24"/>
        <v>High</v>
      </c>
      <c r="T270" s="1" t="str" cm="1">
        <f t="array" ref="T270">_xlfn.IFS(L270&gt;5,"High",L270=5,"mediam",L270&lt;5,"low")</f>
        <v>mediam</v>
      </c>
      <c r="U270" s="1" t="b">
        <f t="shared" si="25"/>
        <v>0</v>
      </c>
    </row>
    <row r="271" spans="1:21" x14ac:dyDescent="0.3">
      <c r="A271" s="5">
        <v>10270</v>
      </c>
      <c r="B271" s="1">
        <v>1496</v>
      </c>
      <c r="C271" s="2">
        <v>45080</v>
      </c>
      <c r="D271" s="2">
        <v>45086</v>
      </c>
      <c r="E271" s="1" t="s">
        <v>22</v>
      </c>
      <c r="F271" s="1" t="s">
        <v>29</v>
      </c>
      <c r="G271" s="1" t="s">
        <v>24</v>
      </c>
      <c r="H271" s="1" t="s">
        <v>35</v>
      </c>
      <c r="I271" s="1" t="s">
        <v>31</v>
      </c>
      <c r="J271" s="1" t="s">
        <v>65</v>
      </c>
      <c r="K271" s="1" t="s">
        <v>45</v>
      </c>
      <c r="L271" s="1">
        <v>6</v>
      </c>
      <c r="M271" s="1">
        <v>3197.13</v>
      </c>
      <c r="N271" s="1">
        <v>10</v>
      </c>
      <c r="O271" s="1">
        <v>17264.5</v>
      </c>
      <c r="P271" s="1">
        <f t="shared" si="21"/>
        <v>19182.78</v>
      </c>
      <c r="Q271" s="10">
        <f t="shared" si="22"/>
        <v>1726.45</v>
      </c>
      <c r="R271" s="11">
        <f t="shared" si="23"/>
        <v>17456.329999999998</v>
      </c>
      <c r="S271" s="1" t="str">
        <f t="shared" si="24"/>
        <v>High</v>
      </c>
      <c r="T271" s="1" t="str" cm="1">
        <f t="array" ref="T271">_xlfn.IFS(L271&gt;5,"High",L271=5,"mediam",L271&lt;5,"low")</f>
        <v>High</v>
      </c>
      <c r="U271" s="1" t="str">
        <f t="shared" si="25"/>
        <v>High</v>
      </c>
    </row>
    <row r="272" spans="1:21" x14ac:dyDescent="0.3">
      <c r="A272" s="5">
        <v>10271</v>
      </c>
      <c r="B272" s="1">
        <v>1441</v>
      </c>
      <c r="C272" s="2">
        <v>45068</v>
      </c>
      <c r="D272" s="2">
        <v>45072</v>
      </c>
      <c r="E272" s="1" t="s">
        <v>40</v>
      </c>
      <c r="F272" s="1" t="s">
        <v>16</v>
      </c>
      <c r="G272" s="1" t="s">
        <v>30</v>
      </c>
      <c r="H272" s="1" t="s">
        <v>25</v>
      </c>
      <c r="I272" s="1" t="s">
        <v>19</v>
      </c>
      <c r="J272" s="1" t="s">
        <v>66</v>
      </c>
      <c r="K272" s="1" t="s">
        <v>47</v>
      </c>
      <c r="L272" s="1">
        <v>3</v>
      </c>
      <c r="M272" s="1">
        <v>2469.5100000000002</v>
      </c>
      <c r="N272" s="1">
        <v>0</v>
      </c>
      <c r="O272" s="1">
        <v>7408.53</v>
      </c>
      <c r="P272" s="1">
        <f t="shared" si="21"/>
        <v>7408.5300000000007</v>
      </c>
      <c r="Q272" s="10">
        <f t="shared" si="22"/>
        <v>0</v>
      </c>
      <c r="R272" s="11">
        <f t="shared" si="23"/>
        <v>7408.5300000000007</v>
      </c>
      <c r="S272" s="1" t="str">
        <f t="shared" si="24"/>
        <v>Low</v>
      </c>
      <c r="T272" s="1" t="str" cm="1">
        <f t="array" ref="T272">_xlfn.IFS(L272&gt;5,"High",L272=5,"mediam",L272&lt;5,"low")</f>
        <v>low</v>
      </c>
      <c r="U272" s="1" t="b">
        <f t="shared" si="25"/>
        <v>0</v>
      </c>
    </row>
    <row r="273" spans="1:21" x14ac:dyDescent="0.3">
      <c r="A273" s="5">
        <v>10272</v>
      </c>
      <c r="B273" s="1">
        <v>1563</v>
      </c>
      <c r="C273" s="2">
        <v>45239</v>
      </c>
      <c r="D273" s="2">
        <v>45241</v>
      </c>
      <c r="E273" s="1" t="s">
        <v>22</v>
      </c>
      <c r="F273" s="1" t="s">
        <v>16</v>
      </c>
      <c r="G273" s="1" t="s">
        <v>17</v>
      </c>
      <c r="H273" s="1" t="s">
        <v>42</v>
      </c>
      <c r="I273" s="1" t="s">
        <v>31</v>
      </c>
      <c r="J273" s="1" t="s">
        <v>48</v>
      </c>
      <c r="K273" s="1" t="s">
        <v>47</v>
      </c>
      <c r="L273" s="1">
        <v>9</v>
      </c>
      <c r="M273" s="1">
        <v>2119.81</v>
      </c>
      <c r="N273" s="1">
        <v>10</v>
      </c>
      <c r="O273" s="1">
        <v>17170.46</v>
      </c>
      <c r="P273" s="1">
        <f t="shared" si="21"/>
        <v>19078.29</v>
      </c>
      <c r="Q273" s="10">
        <f t="shared" si="22"/>
        <v>1717.046</v>
      </c>
      <c r="R273" s="11">
        <f t="shared" si="23"/>
        <v>17361.244000000002</v>
      </c>
      <c r="S273" s="1" t="str">
        <f t="shared" si="24"/>
        <v>High</v>
      </c>
      <c r="T273" s="1" t="str" cm="1">
        <f t="array" ref="T273">_xlfn.IFS(L273&gt;5,"High",L273=5,"mediam",L273&lt;5,"low")</f>
        <v>High</v>
      </c>
      <c r="U273" s="1" t="str">
        <f t="shared" si="25"/>
        <v>High</v>
      </c>
    </row>
    <row r="274" spans="1:21" x14ac:dyDescent="0.3">
      <c r="A274" s="5">
        <v>10273</v>
      </c>
      <c r="B274" s="1">
        <v>1267</v>
      </c>
      <c r="C274" s="2">
        <v>45091</v>
      </c>
      <c r="D274" s="2">
        <v>45100</v>
      </c>
      <c r="E274" s="1" t="s">
        <v>46</v>
      </c>
      <c r="F274" s="1" t="s">
        <v>54</v>
      </c>
      <c r="G274" s="1" t="s">
        <v>30</v>
      </c>
      <c r="H274" s="1" t="s">
        <v>18</v>
      </c>
      <c r="I274" s="1" t="s">
        <v>31</v>
      </c>
      <c r="J274" s="1" t="s">
        <v>39</v>
      </c>
      <c r="K274" s="1" t="s">
        <v>45</v>
      </c>
      <c r="L274" s="1">
        <v>6</v>
      </c>
      <c r="M274" s="1">
        <v>384.88</v>
      </c>
      <c r="N274" s="1">
        <v>5</v>
      </c>
      <c r="O274" s="1">
        <v>2193.8200000000002</v>
      </c>
      <c r="P274" s="1">
        <f t="shared" si="21"/>
        <v>2309.2799999999997</v>
      </c>
      <c r="Q274" s="10">
        <f t="shared" si="22"/>
        <v>109.69100000000002</v>
      </c>
      <c r="R274" s="11">
        <f t="shared" si="23"/>
        <v>2199.5889999999999</v>
      </c>
      <c r="S274" s="1" t="str">
        <f t="shared" si="24"/>
        <v>High</v>
      </c>
      <c r="T274" s="1" t="str" cm="1">
        <f t="array" ref="T274">_xlfn.IFS(L274&gt;5,"High",L274=5,"mediam",L274&lt;5,"low")</f>
        <v>High</v>
      </c>
      <c r="U274" s="1" t="str">
        <f t="shared" si="25"/>
        <v>High</v>
      </c>
    </row>
    <row r="275" spans="1:21" x14ac:dyDescent="0.3">
      <c r="A275" s="5">
        <v>10274</v>
      </c>
      <c r="B275" s="1">
        <v>1509</v>
      </c>
      <c r="C275" s="2">
        <v>45240</v>
      </c>
      <c r="D275" s="2">
        <v>45241</v>
      </c>
      <c r="E275" s="1" t="s">
        <v>37</v>
      </c>
      <c r="F275" s="1" t="s">
        <v>16</v>
      </c>
      <c r="G275" s="1" t="s">
        <v>24</v>
      </c>
      <c r="H275" s="1" t="s">
        <v>44</v>
      </c>
      <c r="I275" s="1" t="s">
        <v>52</v>
      </c>
      <c r="J275" s="1" t="s">
        <v>60</v>
      </c>
      <c r="K275" s="1" t="s">
        <v>33</v>
      </c>
      <c r="L275" s="1">
        <v>4</v>
      </c>
      <c r="M275" s="1">
        <v>1258.1500000000001</v>
      </c>
      <c r="N275" s="1">
        <v>0</v>
      </c>
      <c r="O275" s="1">
        <v>5032.6000000000004</v>
      </c>
      <c r="P275" s="1">
        <f t="shared" si="21"/>
        <v>5032.6000000000004</v>
      </c>
      <c r="Q275" s="10">
        <f t="shared" si="22"/>
        <v>0</v>
      </c>
      <c r="R275" s="11">
        <f t="shared" si="23"/>
        <v>5032.6000000000004</v>
      </c>
      <c r="S275" s="1" t="str">
        <f t="shared" si="24"/>
        <v>Low</v>
      </c>
      <c r="T275" s="1" t="str" cm="1">
        <f t="array" ref="T275">_xlfn.IFS(L275&gt;5,"High",L275=5,"mediam",L275&lt;5,"low")</f>
        <v>low</v>
      </c>
      <c r="U275" s="1" t="b">
        <f t="shared" si="25"/>
        <v>0</v>
      </c>
    </row>
    <row r="276" spans="1:21" x14ac:dyDescent="0.3">
      <c r="A276" s="5">
        <v>10275</v>
      </c>
      <c r="B276" s="1">
        <v>1806</v>
      </c>
      <c r="C276" s="2">
        <v>44947</v>
      </c>
      <c r="D276" s="2">
        <v>44951</v>
      </c>
      <c r="E276" s="1" t="s">
        <v>16</v>
      </c>
      <c r="F276" s="1" t="s">
        <v>54</v>
      </c>
      <c r="G276" s="1" t="s">
        <v>24</v>
      </c>
      <c r="H276" s="1" t="s">
        <v>25</v>
      </c>
      <c r="I276" s="1" t="s">
        <v>52</v>
      </c>
      <c r="J276" s="1" t="s">
        <v>64</v>
      </c>
      <c r="K276" s="1" t="s">
        <v>33</v>
      </c>
      <c r="L276" s="1">
        <v>7</v>
      </c>
      <c r="M276" s="1">
        <v>509.1</v>
      </c>
      <c r="N276" s="1">
        <v>15</v>
      </c>
      <c r="O276" s="1">
        <v>3029.14</v>
      </c>
      <c r="P276" s="1">
        <f t="shared" si="21"/>
        <v>3563.7000000000003</v>
      </c>
      <c r="Q276" s="10">
        <f t="shared" si="22"/>
        <v>454.37099999999998</v>
      </c>
      <c r="R276" s="11">
        <f t="shared" si="23"/>
        <v>3109.3290000000002</v>
      </c>
      <c r="S276" s="1" t="str">
        <f t="shared" si="24"/>
        <v>High</v>
      </c>
      <c r="T276" s="1" t="str" cm="1">
        <f t="array" ref="T276">_xlfn.IFS(L276&gt;5,"High",L276=5,"mediam",L276&lt;5,"low")</f>
        <v>High</v>
      </c>
      <c r="U276" s="1" t="str">
        <f t="shared" si="25"/>
        <v>High</v>
      </c>
    </row>
    <row r="277" spans="1:21" x14ac:dyDescent="0.3">
      <c r="A277" s="5">
        <v>10276</v>
      </c>
      <c r="B277" s="1">
        <v>1385</v>
      </c>
      <c r="C277" s="2">
        <v>45008</v>
      </c>
      <c r="D277" s="2">
        <v>45009</v>
      </c>
      <c r="E277" s="1" t="s">
        <v>22</v>
      </c>
      <c r="F277" s="1" t="s">
        <v>23</v>
      </c>
      <c r="G277" s="1" t="s">
        <v>24</v>
      </c>
      <c r="H277" s="1" t="s">
        <v>44</v>
      </c>
      <c r="I277" s="1" t="s">
        <v>52</v>
      </c>
      <c r="J277" s="1" t="s">
        <v>53</v>
      </c>
      <c r="K277" s="1" t="s">
        <v>47</v>
      </c>
      <c r="L277" s="1">
        <v>8</v>
      </c>
      <c r="M277" s="1">
        <v>3860.72</v>
      </c>
      <c r="N277" s="1">
        <v>20</v>
      </c>
      <c r="O277" s="1">
        <v>24708.61</v>
      </c>
      <c r="P277" s="1">
        <f t="shared" si="21"/>
        <v>30885.759999999998</v>
      </c>
      <c r="Q277" s="10">
        <f t="shared" si="22"/>
        <v>4941.7220000000007</v>
      </c>
      <c r="R277" s="11">
        <f t="shared" si="23"/>
        <v>25944.037999999997</v>
      </c>
      <c r="S277" s="1" t="str">
        <f t="shared" si="24"/>
        <v>High</v>
      </c>
      <c r="T277" s="1" t="str" cm="1">
        <f t="array" ref="T277">_xlfn.IFS(L277&gt;5,"High",L277=5,"mediam",L277&lt;5,"low")</f>
        <v>High</v>
      </c>
      <c r="U277" s="1" t="str">
        <f t="shared" si="25"/>
        <v>High</v>
      </c>
    </row>
    <row r="278" spans="1:21" x14ac:dyDescent="0.3">
      <c r="A278" s="5">
        <v>10277</v>
      </c>
      <c r="B278" s="1">
        <v>1386</v>
      </c>
      <c r="C278" s="2">
        <v>44995</v>
      </c>
      <c r="D278" s="2">
        <v>45001</v>
      </c>
      <c r="E278" s="1" t="s">
        <v>40</v>
      </c>
      <c r="F278" s="1" t="s">
        <v>41</v>
      </c>
      <c r="G278" s="1" t="s">
        <v>30</v>
      </c>
      <c r="H278" s="1" t="s">
        <v>18</v>
      </c>
      <c r="I278" s="1" t="s">
        <v>26</v>
      </c>
      <c r="J278" s="1" t="s">
        <v>69</v>
      </c>
      <c r="K278" s="1" t="s">
        <v>45</v>
      </c>
      <c r="L278" s="1">
        <v>9</v>
      </c>
      <c r="M278" s="1">
        <v>670.06</v>
      </c>
      <c r="N278" s="1">
        <v>20</v>
      </c>
      <c r="O278" s="1">
        <v>4824.43</v>
      </c>
      <c r="P278" s="1">
        <f t="shared" si="21"/>
        <v>6030.5399999999991</v>
      </c>
      <c r="Q278" s="10">
        <f t="shared" si="22"/>
        <v>964.88600000000008</v>
      </c>
      <c r="R278" s="11">
        <f t="shared" si="23"/>
        <v>5065.6539999999986</v>
      </c>
      <c r="S278" s="1" t="str">
        <f t="shared" si="24"/>
        <v>High</v>
      </c>
      <c r="T278" s="1" t="str" cm="1">
        <f t="array" ref="T278">_xlfn.IFS(L278&gt;5,"High",L278=5,"mediam",L278&lt;5,"low")</f>
        <v>High</v>
      </c>
      <c r="U278" s="1" t="str">
        <f t="shared" si="25"/>
        <v>High</v>
      </c>
    </row>
    <row r="279" spans="1:21" x14ac:dyDescent="0.3">
      <c r="A279" s="5">
        <v>10278</v>
      </c>
      <c r="B279" s="1">
        <v>1112</v>
      </c>
      <c r="C279" s="2">
        <v>45057</v>
      </c>
      <c r="D279" s="2">
        <v>45061</v>
      </c>
      <c r="E279" s="1" t="s">
        <v>46</v>
      </c>
      <c r="F279" s="1" t="s">
        <v>54</v>
      </c>
      <c r="G279" s="1" t="s">
        <v>17</v>
      </c>
      <c r="H279" s="1" t="s">
        <v>18</v>
      </c>
      <c r="I279" s="1" t="s">
        <v>19</v>
      </c>
      <c r="J279" s="1" t="s">
        <v>43</v>
      </c>
      <c r="K279" s="1" t="s">
        <v>45</v>
      </c>
      <c r="L279" s="1">
        <v>6</v>
      </c>
      <c r="M279" s="1">
        <v>734.34</v>
      </c>
      <c r="N279" s="1">
        <v>10</v>
      </c>
      <c r="O279" s="1">
        <v>3965.44</v>
      </c>
      <c r="P279" s="1">
        <f t="shared" si="21"/>
        <v>4406.04</v>
      </c>
      <c r="Q279" s="10">
        <f t="shared" si="22"/>
        <v>396.54400000000004</v>
      </c>
      <c r="R279" s="11">
        <f t="shared" si="23"/>
        <v>4009.4960000000001</v>
      </c>
      <c r="S279" s="1" t="str">
        <f t="shared" si="24"/>
        <v>High</v>
      </c>
      <c r="T279" s="1" t="str" cm="1">
        <f t="array" ref="T279">_xlfn.IFS(L279&gt;5,"High",L279=5,"mediam",L279&lt;5,"low")</f>
        <v>High</v>
      </c>
      <c r="U279" s="1" t="str">
        <f t="shared" si="25"/>
        <v>High</v>
      </c>
    </row>
    <row r="280" spans="1:21" x14ac:dyDescent="0.3">
      <c r="A280" s="5">
        <v>10279</v>
      </c>
      <c r="B280" s="1">
        <v>1612</v>
      </c>
      <c r="C280" s="2">
        <v>45013</v>
      </c>
      <c r="D280" s="2">
        <v>45018</v>
      </c>
      <c r="E280" s="1" t="s">
        <v>34</v>
      </c>
      <c r="F280" s="1" t="s">
        <v>29</v>
      </c>
      <c r="G280" s="1" t="s">
        <v>24</v>
      </c>
      <c r="H280" s="1" t="s">
        <v>35</v>
      </c>
      <c r="I280" s="1" t="s">
        <v>52</v>
      </c>
      <c r="J280" s="1" t="s">
        <v>60</v>
      </c>
      <c r="K280" s="1" t="s">
        <v>28</v>
      </c>
      <c r="L280" s="1">
        <v>6</v>
      </c>
      <c r="M280" s="1">
        <v>3574.87</v>
      </c>
      <c r="N280" s="1">
        <v>0</v>
      </c>
      <c r="O280" s="1">
        <v>21449.22</v>
      </c>
      <c r="P280" s="1">
        <f t="shared" si="21"/>
        <v>21449.22</v>
      </c>
      <c r="Q280" s="10">
        <f t="shared" si="22"/>
        <v>0</v>
      </c>
      <c r="R280" s="11">
        <f t="shared" si="23"/>
        <v>21449.22</v>
      </c>
      <c r="S280" s="1" t="str">
        <f t="shared" si="24"/>
        <v>High</v>
      </c>
      <c r="T280" s="1" t="str" cm="1">
        <f t="array" ref="T280">_xlfn.IFS(L280&gt;5,"High",L280=5,"mediam",L280&lt;5,"low")</f>
        <v>High</v>
      </c>
      <c r="U280" s="1" t="str">
        <f t="shared" si="25"/>
        <v>High</v>
      </c>
    </row>
    <row r="281" spans="1:21" x14ac:dyDescent="0.3">
      <c r="A281" s="5">
        <v>10280</v>
      </c>
      <c r="B281" s="1">
        <v>1624</v>
      </c>
      <c r="C281" s="2">
        <v>45144</v>
      </c>
      <c r="D281" s="2">
        <v>45149</v>
      </c>
      <c r="E281" s="1" t="s">
        <v>46</v>
      </c>
      <c r="F281" s="1" t="s">
        <v>41</v>
      </c>
      <c r="G281" s="1" t="s">
        <v>24</v>
      </c>
      <c r="H281" s="1" t="s">
        <v>18</v>
      </c>
      <c r="I281" s="1" t="s">
        <v>49</v>
      </c>
      <c r="J281" s="1" t="s">
        <v>68</v>
      </c>
      <c r="K281" s="1" t="s">
        <v>33</v>
      </c>
      <c r="L281" s="1">
        <v>8</v>
      </c>
      <c r="M281" s="1">
        <v>3784.12</v>
      </c>
      <c r="N281" s="1">
        <v>15</v>
      </c>
      <c r="O281" s="1">
        <v>25732.02</v>
      </c>
      <c r="P281" s="1">
        <f t="shared" si="21"/>
        <v>30272.959999999999</v>
      </c>
      <c r="Q281" s="10">
        <f t="shared" si="22"/>
        <v>3859.8029999999999</v>
      </c>
      <c r="R281" s="11">
        <f t="shared" si="23"/>
        <v>26413.156999999999</v>
      </c>
      <c r="S281" s="1" t="str">
        <f t="shared" si="24"/>
        <v>High</v>
      </c>
      <c r="T281" s="1" t="str" cm="1">
        <f t="array" ref="T281">_xlfn.IFS(L281&gt;5,"High",L281=5,"mediam",L281&lt;5,"low")</f>
        <v>High</v>
      </c>
      <c r="U281" s="1" t="str">
        <f t="shared" si="25"/>
        <v>High</v>
      </c>
    </row>
    <row r="282" spans="1:21" x14ac:dyDescent="0.3">
      <c r="A282" s="5">
        <v>10281</v>
      </c>
      <c r="B282" s="1">
        <v>1951</v>
      </c>
      <c r="C282" s="2">
        <v>45231</v>
      </c>
      <c r="D282" s="2">
        <v>45240</v>
      </c>
      <c r="E282" s="1" t="s">
        <v>46</v>
      </c>
      <c r="F282" s="1" t="s">
        <v>54</v>
      </c>
      <c r="G282" s="1" t="s">
        <v>30</v>
      </c>
      <c r="H282" s="1" t="s">
        <v>44</v>
      </c>
      <c r="I282" s="1" t="s">
        <v>26</v>
      </c>
      <c r="J282" s="1" t="s">
        <v>69</v>
      </c>
      <c r="K282" s="1" t="s">
        <v>21</v>
      </c>
      <c r="L282" s="1">
        <v>5</v>
      </c>
      <c r="M282" s="1">
        <v>3098.44</v>
      </c>
      <c r="N282" s="1">
        <v>0</v>
      </c>
      <c r="O282" s="1">
        <v>15492.2</v>
      </c>
      <c r="P282" s="1">
        <f t="shared" si="21"/>
        <v>15492.2</v>
      </c>
      <c r="Q282" s="10">
        <f t="shared" si="22"/>
        <v>0</v>
      </c>
      <c r="R282" s="11">
        <f t="shared" si="23"/>
        <v>15492.2</v>
      </c>
      <c r="S282" s="1" t="str">
        <f t="shared" si="24"/>
        <v>High</v>
      </c>
      <c r="T282" s="1" t="str" cm="1">
        <f t="array" ref="T282">_xlfn.IFS(L282&gt;5,"High",L282=5,"mediam",L282&lt;5,"low")</f>
        <v>mediam</v>
      </c>
      <c r="U282" s="1" t="b">
        <f t="shared" si="25"/>
        <v>0</v>
      </c>
    </row>
    <row r="283" spans="1:21" x14ac:dyDescent="0.3">
      <c r="A283" s="5">
        <v>10282</v>
      </c>
      <c r="B283" s="1">
        <v>1080</v>
      </c>
      <c r="C283" s="2">
        <v>45271</v>
      </c>
      <c r="D283" s="2">
        <v>45272</v>
      </c>
      <c r="E283" s="1" t="s">
        <v>37</v>
      </c>
      <c r="F283" s="1" t="s">
        <v>41</v>
      </c>
      <c r="G283" s="1" t="s">
        <v>17</v>
      </c>
      <c r="H283" s="1" t="s">
        <v>42</v>
      </c>
      <c r="I283" s="1" t="s">
        <v>57</v>
      </c>
      <c r="J283" s="1" t="s">
        <v>67</v>
      </c>
      <c r="K283" s="1" t="s">
        <v>33</v>
      </c>
      <c r="L283" s="1">
        <v>3</v>
      </c>
      <c r="M283" s="1">
        <v>170.81</v>
      </c>
      <c r="N283" s="1">
        <v>20</v>
      </c>
      <c r="O283" s="1">
        <v>409.94</v>
      </c>
      <c r="P283" s="1">
        <f t="shared" si="21"/>
        <v>512.43000000000006</v>
      </c>
      <c r="Q283" s="10">
        <f t="shared" si="22"/>
        <v>81.988</v>
      </c>
      <c r="R283" s="11">
        <f t="shared" si="23"/>
        <v>430.44200000000006</v>
      </c>
      <c r="S283" s="1" t="str">
        <f t="shared" si="24"/>
        <v>Low</v>
      </c>
      <c r="T283" s="1" t="str" cm="1">
        <f t="array" ref="T283">_xlfn.IFS(L283&gt;5,"High",L283=5,"mediam",L283&lt;5,"low")</f>
        <v>low</v>
      </c>
      <c r="U283" s="1" t="b">
        <f t="shared" si="25"/>
        <v>0</v>
      </c>
    </row>
    <row r="284" spans="1:21" x14ac:dyDescent="0.3">
      <c r="A284" s="5">
        <v>10283</v>
      </c>
      <c r="B284" s="1">
        <v>1698</v>
      </c>
      <c r="C284" s="2">
        <v>45267</v>
      </c>
      <c r="D284" s="2">
        <v>45269</v>
      </c>
      <c r="E284" s="1" t="s">
        <v>16</v>
      </c>
      <c r="F284" s="1" t="s">
        <v>41</v>
      </c>
      <c r="G284" s="1" t="s">
        <v>30</v>
      </c>
      <c r="H284" s="1" t="s">
        <v>42</v>
      </c>
      <c r="I284" s="1" t="s">
        <v>49</v>
      </c>
      <c r="J284" s="1" t="s">
        <v>63</v>
      </c>
      <c r="K284" s="1" t="s">
        <v>33</v>
      </c>
      <c r="L284" s="1">
        <v>3</v>
      </c>
      <c r="M284" s="1">
        <v>155.18</v>
      </c>
      <c r="N284" s="1">
        <v>0</v>
      </c>
      <c r="O284" s="1">
        <v>465.54</v>
      </c>
      <c r="P284" s="1">
        <f t="shared" si="21"/>
        <v>465.54</v>
      </c>
      <c r="Q284" s="10">
        <f t="shared" si="22"/>
        <v>0</v>
      </c>
      <c r="R284" s="11">
        <f t="shared" si="23"/>
        <v>465.54</v>
      </c>
      <c r="S284" s="1" t="str">
        <f t="shared" si="24"/>
        <v>Low</v>
      </c>
      <c r="T284" s="1" t="str" cm="1">
        <f t="array" ref="T284">_xlfn.IFS(L284&gt;5,"High",L284=5,"mediam",L284&lt;5,"low")</f>
        <v>low</v>
      </c>
      <c r="U284" s="1" t="b">
        <f t="shared" si="25"/>
        <v>0</v>
      </c>
    </row>
    <row r="285" spans="1:21" x14ac:dyDescent="0.3">
      <c r="A285" s="5">
        <v>10284</v>
      </c>
      <c r="B285" s="1">
        <v>1112</v>
      </c>
      <c r="C285" s="2">
        <v>45087</v>
      </c>
      <c r="D285" s="2">
        <v>45093</v>
      </c>
      <c r="E285" s="1" t="s">
        <v>34</v>
      </c>
      <c r="F285" s="1" t="s">
        <v>41</v>
      </c>
      <c r="G285" s="1" t="s">
        <v>24</v>
      </c>
      <c r="H285" s="1" t="s">
        <v>35</v>
      </c>
      <c r="I285" s="1" t="s">
        <v>49</v>
      </c>
      <c r="J285" s="1" t="s">
        <v>51</v>
      </c>
      <c r="K285" s="1" t="s">
        <v>28</v>
      </c>
      <c r="L285" s="1">
        <v>6</v>
      </c>
      <c r="M285" s="1">
        <v>1605.69</v>
      </c>
      <c r="N285" s="1">
        <v>15</v>
      </c>
      <c r="O285" s="1">
        <v>8189.02</v>
      </c>
      <c r="P285" s="1">
        <f t="shared" si="21"/>
        <v>9634.14</v>
      </c>
      <c r="Q285" s="10">
        <f t="shared" si="22"/>
        <v>1228.3530000000001</v>
      </c>
      <c r="R285" s="11">
        <f t="shared" si="23"/>
        <v>8405.7870000000003</v>
      </c>
      <c r="S285" s="1" t="str">
        <f t="shared" si="24"/>
        <v>High</v>
      </c>
      <c r="T285" s="1" t="str" cm="1">
        <f t="array" ref="T285">_xlfn.IFS(L285&gt;5,"High",L285=5,"mediam",L285&lt;5,"low")</f>
        <v>High</v>
      </c>
      <c r="U285" s="1" t="str">
        <f t="shared" si="25"/>
        <v>High</v>
      </c>
    </row>
    <row r="286" spans="1:21" x14ac:dyDescent="0.3">
      <c r="A286" s="5">
        <v>10285</v>
      </c>
      <c r="B286" s="1">
        <v>1001</v>
      </c>
      <c r="C286" s="2">
        <v>45104</v>
      </c>
      <c r="D286" s="2">
        <v>45109</v>
      </c>
      <c r="E286" s="1" t="s">
        <v>15</v>
      </c>
      <c r="F286" s="1" t="s">
        <v>23</v>
      </c>
      <c r="G286" s="1" t="s">
        <v>17</v>
      </c>
      <c r="H286" s="1" t="s">
        <v>44</v>
      </c>
      <c r="I286" s="1" t="s">
        <v>52</v>
      </c>
      <c r="J286" s="1" t="s">
        <v>56</v>
      </c>
      <c r="K286" s="1" t="s">
        <v>21</v>
      </c>
      <c r="L286" s="1">
        <v>2</v>
      </c>
      <c r="M286" s="1">
        <v>702.07</v>
      </c>
      <c r="N286" s="1">
        <v>10</v>
      </c>
      <c r="O286" s="1">
        <v>1263.73</v>
      </c>
      <c r="P286" s="1">
        <f t="shared" si="21"/>
        <v>1404.14</v>
      </c>
      <c r="Q286" s="10">
        <f t="shared" si="22"/>
        <v>126.373</v>
      </c>
      <c r="R286" s="11">
        <f t="shared" si="23"/>
        <v>1277.7670000000001</v>
      </c>
      <c r="S286" s="1" t="str">
        <f t="shared" si="24"/>
        <v>Low</v>
      </c>
      <c r="T286" s="1" t="str" cm="1">
        <f t="array" ref="T286">_xlfn.IFS(L286&gt;5,"High",L286=5,"mediam",L286&lt;5,"low")</f>
        <v>low</v>
      </c>
      <c r="U286" s="1" t="b">
        <f t="shared" si="25"/>
        <v>0</v>
      </c>
    </row>
    <row r="287" spans="1:21" x14ac:dyDescent="0.3">
      <c r="A287" s="5">
        <v>10286</v>
      </c>
      <c r="B287" s="1">
        <v>1641</v>
      </c>
      <c r="C287" s="2">
        <v>45043</v>
      </c>
      <c r="D287" s="2">
        <v>45050</v>
      </c>
      <c r="E287" s="1" t="s">
        <v>15</v>
      </c>
      <c r="F287" s="1" t="s">
        <v>29</v>
      </c>
      <c r="G287" s="1" t="s">
        <v>17</v>
      </c>
      <c r="H287" s="1" t="s">
        <v>44</v>
      </c>
      <c r="I287" s="1" t="s">
        <v>57</v>
      </c>
      <c r="J287" s="1" t="s">
        <v>58</v>
      </c>
      <c r="K287" s="1" t="s">
        <v>28</v>
      </c>
      <c r="L287" s="1">
        <v>6</v>
      </c>
      <c r="M287" s="1">
        <v>220.79</v>
      </c>
      <c r="N287" s="1">
        <v>5</v>
      </c>
      <c r="O287" s="1">
        <v>1258.5</v>
      </c>
      <c r="P287" s="1">
        <f t="shared" si="21"/>
        <v>1324.74</v>
      </c>
      <c r="Q287" s="10">
        <f t="shared" si="22"/>
        <v>62.925000000000004</v>
      </c>
      <c r="R287" s="11">
        <f t="shared" si="23"/>
        <v>1261.8150000000001</v>
      </c>
      <c r="S287" s="1" t="str">
        <f t="shared" si="24"/>
        <v>High</v>
      </c>
      <c r="T287" s="1" t="str" cm="1">
        <f t="array" ref="T287">_xlfn.IFS(L287&gt;5,"High",L287=5,"mediam",L287&lt;5,"low")</f>
        <v>High</v>
      </c>
      <c r="U287" s="1" t="str">
        <f t="shared" si="25"/>
        <v>High</v>
      </c>
    </row>
    <row r="288" spans="1:21" x14ac:dyDescent="0.3">
      <c r="A288" s="5">
        <v>10287</v>
      </c>
      <c r="B288" s="1">
        <v>1219</v>
      </c>
      <c r="C288" s="2">
        <v>45122</v>
      </c>
      <c r="D288" s="2">
        <v>45125</v>
      </c>
      <c r="E288" s="1" t="s">
        <v>22</v>
      </c>
      <c r="F288" s="1" t="s">
        <v>38</v>
      </c>
      <c r="G288" s="1" t="s">
        <v>24</v>
      </c>
      <c r="H288" s="1" t="s">
        <v>18</v>
      </c>
      <c r="I288" s="1" t="s">
        <v>57</v>
      </c>
      <c r="J288" s="1" t="s">
        <v>67</v>
      </c>
      <c r="K288" s="1" t="s">
        <v>21</v>
      </c>
      <c r="L288" s="1">
        <v>6</v>
      </c>
      <c r="M288" s="1">
        <v>1936.66</v>
      </c>
      <c r="N288" s="1">
        <v>0</v>
      </c>
      <c r="O288" s="1">
        <v>11619.96</v>
      </c>
      <c r="P288" s="1">
        <f t="shared" si="21"/>
        <v>11619.960000000001</v>
      </c>
      <c r="Q288" s="10">
        <f t="shared" si="22"/>
        <v>0</v>
      </c>
      <c r="R288" s="11">
        <f t="shared" si="23"/>
        <v>11619.960000000001</v>
      </c>
      <c r="S288" s="1" t="str">
        <f t="shared" si="24"/>
        <v>High</v>
      </c>
      <c r="T288" s="1" t="str" cm="1">
        <f t="array" ref="T288">_xlfn.IFS(L288&gt;5,"High",L288=5,"mediam",L288&lt;5,"low")</f>
        <v>High</v>
      </c>
      <c r="U288" s="1" t="str">
        <f t="shared" si="25"/>
        <v>High</v>
      </c>
    </row>
    <row r="289" spans="1:21" x14ac:dyDescent="0.3">
      <c r="A289" s="5">
        <v>10288</v>
      </c>
      <c r="B289" s="1">
        <v>1565</v>
      </c>
      <c r="C289" s="2">
        <v>45253</v>
      </c>
      <c r="D289" s="2">
        <v>45256</v>
      </c>
      <c r="E289" s="1" t="s">
        <v>46</v>
      </c>
      <c r="F289" s="1" t="s">
        <v>38</v>
      </c>
      <c r="G289" s="1" t="s">
        <v>17</v>
      </c>
      <c r="H289" s="1" t="s">
        <v>44</v>
      </c>
      <c r="I289" s="1" t="s">
        <v>26</v>
      </c>
      <c r="J289" s="1" t="s">
        <v>36</v>
      </c>
      <c r="K289" s="1" t="s">
        <v>47</v>
      </c>
      <c r="L289" s="1">
        <v>8</v>
      </c>
      <c r="M289" s="1">
        <v>3780.79</v>
      </c>
      <c r="N289" s="1">
        <v>5</v>
      </c>
      <c r="O289" s="1">
        <v>28734</v>
      </c>
      <c r="P289" s="1">
        <f t="shared" si="21"/>
        <v>30246.32</v>
      </c>
      <c r="Q289" s="10">
        <f t="shared" si="22"/>
        <v>1436.7</v>
      </c>
      <c r="R289" s="11">
        <f t="shared" si="23"/>
        <v>28809.62</v>
      </c>
      <c r="S289" s="1" t="str">
        <f t="shared" si="24"/>
        <v>High</v>
      </c>
      <c r="T289" s="1" t="str" cm="1">
        <f t="array" ref="T289">_xlfn.IFS(L289&gt;5,"High",L289=5,"mediam",L289&lt;5,"low")</f>
        <v>High</v>
      </c>
      <c r="U289" s="1" t="str">
        <f t="shared" si="25"/>
        <v>High</v>
      </c>
    </row>
    <row r="290" spans="1:21" x14ac:dyDescent="0.3">
      <c r="A290" s="5">
        <v>10289</v>
      </c>
      <c r="B290" s="1">
        <v>1854</v>
      </c>
      <c r="C290" s="2">
        <v>45012</v>
      </c>
      <c r="D290" s="2">
        <v>45014</v>
      </c>
      <c r="E290" s="1" t="s">
        <v>37</v>
      </c>
      <c r="F290" s="1" t="s">
        <v>54</v>
      </c>
      <c r="G290" s="1" t="s">
        <v>17</v>
      </c>
      <c r="H290" s="1" t="s">
        <v>25</v>
      </c>
      <c r="I290" s="1" t="s">
        <v>57</v>
      </c>
      <c r="J290" s="1" t="s">
        <v>58</v>
      </c>
      <c r="K290" s="1" t="s">
        <v>21</v>
      </c>
      <c r="L290" s="1">
        <v>7</v>
      </c>
      <c r="M290" s="1">
        <v>1396.71</v>
      </c>
      <c r="N290" s="1">
        <v>20</v>
      </c>
      <c r="O290" s="1">
        <v>7821.58</v>
      </c>
      <c r="P290" s="1">
        <f t="shared" si="21"/>
        <v>9776.9700000000012</v>
      </c>
      <c r="Q290" s="10">
        <f t="shared" si="22"/>
        <v>1564.316</v>
      </c>
      <c r="R290" s="11">
        <f t="shared" si="23"/>
        <v>8212.6540000000005</v>
      </c>
      <c r="S290" s="1" t="str">
        <f t="shared" si="24"/>
        <v>High</v>
      </c>
      <c r="T290" s="1" t="str" cm="1">
        <f t="array" ref="T290">_xlfn.IFS(L290&gt;5,"High",L290=5,"mediam",L290&lt;5,"low")</f>
        <v>High</v>
      </c>
      <c r="U290" s="1" t="str">
        <f t="shared" si="25"/>
        <v>High</v>
      </c>
    </row>
    <row r="291" spans="1:21" x14ac:dyDescent="0.3">
      <c r="A291" s="5">
        <v>10290</v>
      </c>
      <c r="B291" s="1">
        <v>1996</v>
      </c>
      <c r="C291" s="2">
        <v>45215</v>
      </c>
      <c r="D291" s="2">
        <v>45218</v>
      </c>
      <c r="E291" s="1" t="s">
        <v>37</v>
      </c>
      <c r="F291" s="1" t="s">
        <v>41</v>
      </c>
      <c r="G291" s="1" t="s">
        <v>30</v>
      </c>
      <c r="H291" s="1" t="s">
        <v>18</v>
      </c>
      <c r="I291" s="1" t="s">
        <v>19</v>
      </c>
      <c r="J291" s="1" t="s">
        <v>20</v>
      </c>
      <c r="K291" s="1" t="s">
        <v>28</v>
      </c>
      <c r="L291" s="1">
        <v>8</v>
      </c>
      <c r="M291" s="1">
        <v>2695.39</v>
      </c>
      <c r="N291" s="1">
        <v>10</v>
      </c>
      <c r="O291" s="1">
        <v>19406.810000000001</v>
      </c>
      <c r="P291" s="1">
        <f t="shared" si="21"/>
        <v>21563.119999999999</v>
      </c>
      <c r="Q291" s="10">
        <f t="shared" si="22"/>
        <v>1940.6810000000003</v>
      </c>
      <c r="R291" s="11">
        <f t="shared" si="23"/>
        <v>19622.438999999998</v>
      </c>
      <c r="S291" s="1" t="str">
        <f t="shared" si="24"/>
        <v>High</v>
      </c>
      <c r="T291" s="1" t="str" cm="1">
        <f t="array" ref="T291">_xlfn.IFS(L291&gt;5,"High",L291=5,"mediam",L291&lt;5,"low")</f>
        <v>High</v>
      </c>
      <c r="U291" s="1" t="str">
        <f t="shared" si="25"/>
        <v>High</v>
      </c>
    </row>
    <row r="292" spans="1:21" x14ac:dyDescent="0.3">
      <c r="A292" s="5">
        <v>10291</v>
      </c>
      <c r="B292" s="1">
        <v>1735</v>
      </c>
      <c r="C292" s="2">
        <v>45007</v>
      </c>
      <c r="D292" s="2">
        <v>45008</v>
      </c>
      <c r="E292" s="1" t="s">
        <v>15</v>
      </c>
      <c r="F292" s="1" t="s">
        <v>54</v>
      </c>
      <c r="G292" s="1" t="s">
        <v>24</v>
      </c>
      <c r="H292" s="1" t="s">
        <v>25</v>
      </c>
      <c r="I292" s="1" t="s">
        <v>52</v>
      </c>
      <c r="J292" s="1" t="s">
        <v>53</v>
      </c>
      <c r="K292" s="1" t="s">
        <v>33</v>
      </c>
      <c r="L292" s="1">
        <v>9</v>
      </c>
      <c r="M292" s="1">
        <v>2661.11</v>
      </c>
      <c r="N292" s="1">
        <v>10</v>
      </c>
      <c r="O292" s="1">
        <v>21554.99</v>
      </c>
      <c r="P292" s="1">
        <f t="shared" si="21"/>
        <v>23949.99</v>
      </c>
      <c r="Q292" s="10">
        <f t="shared" si="22"/>
        <v>2155.4990000000003</v>
      </c>
      <c r="R292" s="11">
        <f t="shared" si="23"/>
        <v>21794.491000000002</v>
      </c>
      <c r="S292" s="1" t="str">
        <f t="shared" si="24"/>
        <v>High</v>
      </c>
      <c r="T292" s="1" t="str" cm="1">
        <f t="array" ref="T292">_xlfn.IFS(L292&gt;5,"High",L292=5,"mediam",L292&lt;5,"low")</f>
        <v>High</v>
      </c>
      <c r="U292" s="1" t="str">
        <f t="shared" si="25"/>
        <v>High</v>
      </c>
    </row>
    <row r="293" spans="1:21" x14ac:dyDescent="0.3">
      <c r="A293" s="5">
        <v>10292</v>
      </c>
      <c r="B293" s="1">
        <v>1224</v>
      </c>
      <c r="C293" s="2">
        <v>45078</v>
      </c>
      <c r="D293" s="2">
        <v>45083</v>
      </c>
      <c r="E293" s="1" t="s">
        <v>22</v>
      </c>
      <c r="F293" s="1" t="s">
        <v>23</v>
      </c>
      <c r="G293" s="1" t="s">
        <v>24</v>
      </c>
      <c r="H293" s="1" t="s">
        <v>35</v>
      </c>
      <c r="I293" s="1" t="s">
        <v>57</v>
      </c>
      <c r="J293" s="1" t="s">
        <v>67</v>
      </c>
      <c r="K293" s="1" t="s">
        <v>21</v>
      </c>
      <c r="L293" s="1">
        <v>6</v>
      </c>
      <c r="M293" s="1">
        <v>1116.6600000000001</v>
      </c>
      <c r="N293" s="1">
        <v>0</v>
      </c>
      <c r="O293" s="1">
        <v>6699.96</v>
      </c>
      <c r="P293" s="1">
        <f t="shared" si="21"/>
        <v>6699.9600000000009</v>
      </c>
      <c r="Q293" s="10">
        <f t="shared" si="22"/>
        <v>0</v>
      </c>
      <c r="R293" s="11">
        <f t="shared" si="23"/>
        <v>6699.9600000000009</v>
      </c>
      <c r="S293" s="1" t="str">
        <f t="shared" si="24"/>
        <v>High</v>
      </c>
      <c r="T293" s="1" t="str" cm="1">
        <f t="array" ref="T293">_xlfn.IFS(L293&gt;5,"High",L293=5,"mediam",L293&lt;5,"low")</f>
        <v>High</v>
      </c>
      <c r="U293" s="1" t="str">
        <f t="shared" si="25"/>
        <v>High</v>
      </c>
    </row>
    <row r="294" spans="1:21" x14ac:dyDescent="0.3">
      <c r="A294" s="5">
        <v>10293</v>
      </c>
      <c r="B294" s="1">
        <v>1384</v>
      </c>
      <c r="C294" s="2">
        <v>44987</v>
      </c>
      <c r="D294" s="2">
        <v>44992</v>
      </c>
      <c r="E294" s="1" t="s">
        <v>22</v>
      </c>
      <c r="F294" s="1" t="s">
        <v>23</v>
      </c>
      <c r="G294" s="1" t="s">
        <v>24</v>
      </c>
      <c r="H294" s="1" t="s">
        <v>42</v>
      </c>
      <c r="I294" s="1" t="s">
        <v>26</v>
      </c>
      <c r="J294" s="1" t="s">
        <v>27</v>
      </c>
      <c r="K294" s="1" t="s">
        <v>21</v>
      </c>
      <c r="L294" s="1">
        <v>3</v>
      </c>
      <c r="M294" s="1">
        <v>2654.14</v>
      </c>
      <c r="N294" s="1">
        <v>10</v>
      </c>
      <c r="O294" s="1">
        <v>7166.18</v>
      </c>
      <c r="P294" s="1">
        <f t="shared" si="21"/>
        <v>7962.42</v>
      </c>
      <c r="Q294" s="10">
        <f t="shared" si="22"/>
        <v>716.61800000000005</v>
      </c>
      <c r="R294" s="11">
        <f t="shared" si="23"/>
        <v>7245.8019999999997</v>
      </c>
      <c r="S294" s="1" t="str">
        <f t="shared" si="24"/>
        <v>Low</v>
      </c>
      <c r="T294" s="1" t="str" cm="1">
        <f t="array" ref="T294">_xlfn.IFS(L294&gt;5,"High",L294=5,"mediam",L294&lt;5,"low")</f>
        <v>low</v>
      </c>
      <c r="U294" s="1" t="b">
        <f t="shared" si="25"/>
        <v>0</v>
      </c>
    </row>
    <row r="295" spans="1:21" x14ac:dyDescent="0.3">
      <c r="A295" s="5">
        <v>10294</v>
      </c>
      <c r="B295" s="1">
        <v>1402</v>
      </c>
      <c r="C295" s="2">
        <v>44987</v>
      </c>
      <c r="D295" s="2">
        <v>44994</v>
      </c>
      <c r="E295" s="1" t="s">
        <v>22</v>
      </c>
      <c r="F295" s="1" t="s">
        <v>16</v>
      </c>
      <c r="G295" s="1" t="s">
        <v>24</v>
      </c>
      <c r="H295" s="1" t="s">
        <v>35</v>
      </c>
      <c r="I295" s="1" t="s">
        <v>19</v>
      </c>
      <c r="J295" s="1" t="s">
        <v>43</v>
      </c>
      <c r="K295" s="1" t="s">
        <v>45</v>
      </c>
      <c r="L295" s="1">
        <v>3</v>
      </c>
      <c r="M295" s="1">
        <v>967.49</v>
      </c>
      <c r="N295" s="1">
        <v>0</v>
      </c>
      <c r="O295" s="1">
        <v>2902.47</v>
      </c>
      <c r="P295" s="1">
        <f t="shared" si="21"/>
        <v>2902.4700000000003</v>
      </c>
      <c r="Q295" s="10">
        <f t="shared" si="22"/>
        <v>0</v>
      </c>
      <c r="R295" s="11">
        <f t="shared" si="23"/>
        <v>2902.4700000000003</v>
      </c>
      <c r="S295" s="1" t="str">
        <f t="shared" si="24"/>
        <v>Low</v>
      </c>
      <c r="T295" s="1" t="str" cm="1">
        <f t="array" ref="T295">_xlfn.IFS(L295&gt;5,"High",L295=5,"mediam",L295&lt;5,"low")</f>
        <v>low</v>
      </c>
      <c r="U295" s="1" t="b">
        <f t="shared" si="25"/>
        <v>0</v>
      </c>
    </row>
    <row r="296" spans="1:21" x14ac:dyDescent="0.3">
      <c r="A296" s="5">
        <v>10295</v>
      </c>
      <c r="B296" s="1">
        <v>1637</v>
      </c>
      <c r="C296" s="2">
        <v>45280</v>
      </c>
      <c r="D296" s="2">
        <v>45284</v>
      </c>
      <c r="E296" s="1" t="s">
        <v>34</v>
      </c>
      <c r="F296" s="1" t="s">
        <v>23</v>
      </c>
      <c r="G296" s="1" t="s">
        <v>24</v>
      </c>
      <c r="H296" s="1" t="s">
        <v>42</v>
      </c>
      <c r="I296" s="1" t="s">
        <v>31</v>
      </c>
      <c r="J296" s="1" t="s">
        <v>48</v>
      </c>
      <c r="K296" s="1" t="s">
        <v>33</v>
      </c>
      <c r="L296" s="1">
        <v>1</v>
      </c>
      <c r="M296" s="1">
        <v>619.73</v>
      </c>
      <c r="N296" s="1">
        <v>0</v>
      </c>
      <c r="O296" s="1">
        <v>619.73</v>
      </c>
      <c r="P296" s="1">
        <f t="shared" si="21"/>
        <v>619.73</v>
      </c>
      <c r="Q296" s="10">
        <f t="shared" si="22"/>
        <v>0</v>
      </c>
      <c r="R296" s="11">
        <f t="shared" si="23"/>
        <v>619.73</v>
      </c>
      <c r="S296" s="1" t="str">
        <f t="shared" si="24"/>
        <v>Low</v>
      </c>
      <c r="T296" s="1" t="str" cm="1">
        <f t="array" ref="T296">_xlfn.IFS(L296&gt;5,"High",L296=5,"mediam",L296&lt;5,"low")</f>
        <v>low</v>
      </c>
      <c r="U296" s="1" t="b">
        <f t="shared" si="25"/>
        <v>0</v>
      </c>
    </row>
    <row r="297" spans="1:21" x14ac:dyDescent="0.3">
      <c r="A297" s="5">
        <v>10296</v>
      </c>
      <c r="B297" s="1">
        <v>1129</v>
      </c>
      <c r="C297" s="2">
        <v>44954</v>
      </c>
      <c r="D297" s="2">
        <v>44957</v>
      </c>
      <c r="E297" s="1" t="s">
        <v>16</v>
      </c>
      <c r="F297" s="1" t="s">
        <v>16</v>
      </c>
      <c r="G297" s="1" t="s">
        <v>17</v>
      </c>
      <c r="H297" s="1" t="s">
        <v>35</v>
      </c>
      <c r="I297" s="1" t="s">
        <v>31</v>
      </c>
      <c r="J297" s="1" t="s">
        <v>48</v>
      </c>
      <c r="K297" s="1" t="s">
        <v>47</v>
      </c>
      <c r="L297" s="1">
        <v>5</v>
      </c>
      <c r="M297" s="1">
        <v>2850.33</v>
      </c>
      <c r="N297" s="1">
        <v>5</v>
      </c>
      <c r="O297" s="1">
        <v>13539.07</v>
      </c>
      <c r="P297" s="1">
        <f t="shared" si="21"/>
        <v>14251.65</v>
      </c>
      <c r="Q297" s="10">
        <f t="shared" si="22"/>
        <v>676.95350000000008</v>
      </c>
      <c r="R297" s="11">
        <f t="shared" si="23"/>
        <v>13574.6965</v>
      </c>
      <c r="S297" s="1" t="str">
        <f t="shared" si="24"/>
        <v>High</v>
      </c>
      <c r="T297" s="1" t="str" cm="1">
        <f t="array" ref="T297">_xlfn.IFS(L297&gt;5,"High",L297=5,"mediam",L297&lt;5,"low")</f>
        <v>mediam</v>
      </c>
      <c r="U297" s="1" t="b">
        <f t="shared" si="25"/>
        <v>0</v>
      </c>
    </row>
    <row r="298" spans="1:21" x14ac:dyDescent="0.3">
      <c r="A298" s="5">
        <v>10297</v>
      </c>
      <c r="B298" s="1">
        <v>1052</v>
      </c>
      <c r="C298" s="2">
        <v>44969</v>
      </c>
      <c r="D298" s="2">
        <v>44970</v>
      </c>
      <c r="E298" s="1" t="s">
        <v>34</v>
      </c>
      <c r="F298" s="1" t="s">
        <v>29</v>
      </c>
      <c r="G298" s="1" t="s">
        <v>30</v>
      </c>
      <c r="H298" s="1" t="s">
        <v>44</v>
      </c>
      <c r="I298" s="1" t="s">
        <v>19</v>
      </c>
      <c r="J298" s="1" t="s">
        <v>20</v>
      </c>
      <c r="K298" s="1" t="s">
        <v>28</v>
      </c>
      <c r="L298" s="1">
        <v>4</v>
      </c>
      <c r="M298" s="1">
        <v>586.75</v>
      </c>
      <c r="N298" s="1">
        <v>10</v>
      </c>
      <c r="O298" s="1">
        <v>2112.3000000000002</v>
      </c>
      <c r="P298" s="1">
        <f t="shared" si="21"/>
        <v>2347</v>
      </c>
      <c r="Q298" s="10">
        <f t="shared" si="22"/>
        <v>211.23000000000002</v>
      </c>
      <c r="R298" s="11">
        <f t="shared" si="23"/>
        <v>2135.77</v>
      </c>
      <c r="S298" s="1" t="str">
        <f t="shared" si="24"/>
        <v>Low</v>
      </c>
      <c r="T298" s="1" t="str" cm="1">
        <f t="array" ref="T298">_xlfn.IFS(L298&gt;5,"High",L298=5,"mediam",L298&lt;5,"low")</f>
        <v>low</v>
      </c>
      <c r="U298" s="1" t="b">
        <f t="shared" si="25"/>
        <v>0</v>
      </c>
    </row>
    <row r="299" spans="1:21" x14ac:dyDescent="0.3">
      <c r="A299" s="5">
        <v>10298</v>
      </c>
      <c r="B299" s="1">
        <v>1683</v>
      </c>
      <c r="C299" s="2">
        <v>45095</v>
      </c>
      <c r="D299" s="2">
        <v>45103</v>
      </c>
      <c r="E299" s="1" t="s">
        <v>40</v>
      </c>
      <c r="F299" s="1" t="s">
        <v>54</v>
      </c>
      <c r="G299" s="1" t="s">
        <v>24</v>
      </c>
      <c r="H299" s="1" t="s">
        <v>25</v>
      </c>
      <c r="I299" s="1" t="s">
        <v>26</v>
      </c>
      <c r="J299" s="1" t="s">
        <v>36</v>
      </c>
      <c r="K299" s="1" t="s">
        <v>47</v>
      </c>
      <c r="L299" s="1">
        <v>9</v>
      </c>
      <c r="M299" s="1">
        <v>3988.1</v>
      </c>
      <c r="N299" s="1">
        <v>0</v>
      </c>
      <c r="O299" s="1">
        <v>35892.9</v>
      </c>
      <c r="P299" s="1">
        <f t="shared" si="21"/>
        <v>35892.9</v>
      </c>
      <c r="Q299" s="10">
        <f t="shared" si="22"/>
        <v>0</v>
      </c>
      <c r="R299" s="11">
        <f t="shared" si="23"/>
        <v>35892.9</v>
      </c>
      <c r="S299" s="1" t="str">
        <f t="shared" si="24"/>
        <v>High</v>
      </c>
      <c r="T299" s="1" t="str" cm="1">
        <f t="array" ref="T299">_xlfn.IFS(L299&gt;5,"High",L299=5,"mediam",L299&lt;5,"low")</f>
        <v>High</v>
      </c>
      <c r="U299" s="1" t="str">
        <f t="shared" si="25"/>
        <v>High</v>
      </c>
    </row>
    <row r="300" spans="1:21" x14ac:dyDescent="0.3">
      <c r="A300" s="5">
        <v>10299</v>
      </c>
      <c r="B300" s="1">
        <v>1729</v>
      </c>
      <c r="C300" s="2">
        <v>45012</v>
      </c>
      <c r="D300" s="2">
        <v>45015</v>
      </c>
      <c r="E300" s="1" t="s">
        <v>40</v>
      </c>
      <c r="F300" s="1" t="s">
        <v>29</v>
      </c>
      <c r="G300" s="1" t="s">
        <v>30</v>
      </c>
      <c r="H300" s="1" t="s">
        <v>42</v>
      </c>
      <c r="I300" s="1" t="s">
        <v>19</v>
      </c>
      <c r="J300" s="1" t="s">
        <v>43</v>
      </c>
      <c r="K300" s="1" t="s">
        <v>33</v>
      </c>
      <c r="L300" s="1">
        <v>9</v>
      </c>
      <c r="M300" s="1">
        <v>856.29</v>
      </c>
      <c r="N300" s="1">
        <v>5</v>
      </c>
      <c r="O300" s="1">
        <v>7321.28</v>
      </c>
      <c r="P300" s="1">
        <f t="shared" si="21"/>
        <v>7706.61</v>
      </c>
      <c r="Q300" s="10">
        <f t="shared" si="22"/>
        <v>366.06400000000002</v>
      </c>
      <c r="R300" s="11">
        <f t="shared" si="23"/>
        <v>7340.5459999999994</v>
      </c>
      <c r="S300" s="1" t="str">
        <f t="shared" si="24"/>
        <v>High</v>
      </c>
      <c r="T300" s="1" t="str" cm="1">
        <f t="array" ref="T300">_xlfn.IFS(L300&gt;5,"High",L300=5,"mediam",L300&lt;5,"low")</f>
        <v>High</v>
      </c>
      <c r="U300" s="1" t="str">
        <f t="shared" si="25"/>
        <v>High</v>
      </c>
    </row>
    <row r="301" spans="1:21" x14ac:dyDescent="0.3">
      <c r="A301" s="5">
        <v>10300</v>
      </c>
      <c r="B301" s="1">
        <v>1671</v>
      </c>
      <c r="C301" s="2">
        <v>45103</v>
      </c>
      <c r="D301" s="2">
        <v>45105</v>
      </c>
      <c r="E301" s="1" t="s">
        <v>16</v>
      </c>
      <c r="F301" s="1" t="s">
        <v>23</v>
      </c>
      <c r="G301" s="1" t="s">
        <v>30</v>
      </c>
      <c r="H301" s="1" t="s">
        <v>18</v>
      </c>
      <c r="I301" s="1" t="s">
        <v>52</v>
      </c>
      <c r="J301" s="1" t="s">
        <v>53</v>
      </c>
      <c r="K301" s="1" t="s">
        <v>21</v>
      </c>
      <c r="L301" s="1">
        <v>5</v>
      </c>
      <c r="M301" s="1">
        <v>2437.4499999999998</v>
      </c>
      <c r="N301" s="1">
        <v>15</v>
      </c>
      <c r="O301" s="1">
        <v>10359.16</v>
      </c>
      <c r="P301" s="1">
        <f t="shared" si="21"/>
        <v>12187.25</v>
      </c>
      <c r="Q301" s="10">
        <f t="shared" si="22"/>
        <v>1553.874</v>
      </c>
      <c r="R301" s="11">
        <f t="shared" si="23"/>
        <v>10633.376</v>
      </c>
      <c r="S301" s="1" t="str">
        <f t="shared" si="24"/>
        <v>High</v>
      </c>
      <c r="T301" s="1" t="str" cm="1">
        <f t="array" ref="T301">_xlfn.IFS(L301&gt;5,"High",L301=5,"mediam",L301&lt;5,"low")</f>
        <v>mediam</v>
      </c>
      <c r="U301" s="1" t="b">
        <f t="shared" si="25"/>
        <v>0</v>
      </c>
    </row>
    <row r="302" spans="1:21" x14ac:dyDescent="0.3">
      <c r="A302" s="5">
        <v>10301</v>
      </c>
      <c r="B302" s="1">
        <v>1709</v>
      </c>
      <c r="C302" s="2">
        <v>44943</v>
      </c>
      <c r="D302" s="2">
        <v>44947</v>
      </c>
      <c r="E302" s="1" t="s">
        <v>15</v>
      </c>
      <c r="F302" s="1" t="s">
        <v>29</v>
      </c>
      <c r="G302" s="1" t="s">
        <v>17</v>
      </c>
      <c r="H302" s="1" t="s">
        <v>25</v>
      </c>
      <c r="I302" s="1" t="s">
        <v>52</v>
      </c>
      <c r="J302" s="1" t="s">
        <v>53</v>
      </c>
      <c r="K302" s="1" t="s">
        <v>21</v>
      </c>
      <c r="L302" s="1">
        <v>4</v>
      </c>
      <c r="M302" s="1">
        <v>1733.79</v>
      </c>
      <c r="N302" s="1">
        <v>5</v>
      </c>
      <c r="O302" s="1">
        <v>6588.4</v>
      </c>
      <c r="P302" s="1">
        <f t="shared" si="21"/>
        <v>6935.16</v>
      </c>
      <c r="Q302" s="10">
        <f t="shared" si="22"/>
        <v>329.42</v>
      </c>
      <c r="R302" s="11">
        <f t="shared" si="23"/>
        <v>6605.74</v>
      </c>
      <c r="S302" s="1" t="str">
        <f t="shared" si="24"/>
        <v>Low</v>
      </c>
      <c r="T302" s="1" t="str" cm="1">
        <f t="array" ref="T302">_xlfn.IFS(L302&gt;5,"High",L302=5,"mediam",L302&lt;5,"low")</f>
        <v>low</v>
      </c>
      <c r="U302" s="1" t="b">
        <f t="shared" si="25"/>
        <v>0</v>
      </c>
    </row>
    <row r="303" spans="1:21" x14ac:dyDescent="0.3">
      <c r="A303" s="5">
        <v>10302</v>
      </c>
      <c r="B303" s="1">
        <v>1415</v>
      </c>
      <c r="C303" s="2">
        <v>45024</v>
      </c>
      <c r="D303" s="2">
        <v>45027</v>
      </c>
      <c r="E303" s="1" t="s">
        <v>16</v>
      </c>
      <c r="F303" s="1" t="s">
        <v>29</v>
      </c>
      <c r="G303" s="1" t="s">
        <v>24</v>
      </c>
      <c r="H303" s="1" t="s">
        <v>18</v>
      </c>
      <c r="I303" s="1" t="s">
        <v>31</v>
      </c>
      <c r="J303" s="1" t="s">
        <v>65</v>
      </c>
      <c r="K303" s="1" t="s">
        <v>33</v>
      </c>
      <c r="L303" s="1">
        <v>7</v>
      </c>
      <c r="M303" s="1">
        <v>636.59</v>
      </c>
      <c r="N303" s="1">
        <v>5</v>
      </c>
      <c r="O303" s="1">
        <v>4233.32</v>
      </c>
      <c r="P303" s="1">
        <f t="shared" si="21"/>
        <v>4456.13</v>
      </c>
      <c r="Q303" s="10">
        <f t="shared" si="22"/>
        <v>211.666</v>
      </c>
      <c r="R303" s="11">
        <f t="shared" si="23"/>
        <v>4244.4639999999999</v>
      </c>
      <c r="S303" s="1" t="str">
        <f t="shared" si="24"/>
        <v>High</v>
      </c>
      <c r="T303" s="1" t="str" cm="1">
        <f t="array" ref="T303">_xlfn.IFS(L303&gt;5,"High",L303=5,"mediam",L303&lt;5,"low")</f>
        <v>High</v>
      </c>
      <c r="U303" s="1" t="str">
        <f t="shared" si="25"/>
        <v>High</v>
      </c>
    </row>
    <row r="304" spans="1:21" x14ac:dyDescent="0.3">
      <c r="A304" s="5">
        <v>10303</v>
      </c>
      <c r="B304" s="1">
        <v>1246</v>
      </c>
      <c r="C304" s="2">
        <v>45124</v>
      </c>
      <c r="D304" s="2">
        <v>45125</v>
      </c>
      <c r="E304" s="1" t="s">
        <v>37</v>
      </c>
      <c r="F304" s="1" t="s">
        <v>29</v>
      </c>
      <c r="G304" s="1" t="s">
        <v>17</v>
      </c>
      <c r="H304" s="1" t="s">
        <v>25</v>
      </c>
      <c r="I304" s="1" t="s">
        <v>57</v>
      </c>
      <c r="J304" s="1" t="s">
        <v>67</v>
      </c>
      <c r="K304" s="1" t="s">
        <v>21</v>
      </c>
      <c r="L304" s="1">
        <v>6</v>
      </c>
      <c r="M304" s="1">
        <v>257.2</v>
      </c>
      <c r="N304" s="1">
        <v>0</v>
      </c>
      <c r="O304" s="1">
        <v>1543.2</v>
      </c>
      <c r="P304" s="1">
        <f t="shared" si="21"/>
        <v>1543.1999999999998</v>
      </c>
      <c r="Q304" s="10">
        <f t="shared" si="22"/>
        <v>0</v>
      </c>
      <c r="R304" s="11">
        <f t="shared" si="23"/>
        <v>1543.1999999999998</v>
      </c>
      <c r="S304" s="1" t="str">
        <f t="shared" si="24"/>
        <v>High</v>
      </c>
      <c r="T304" s="1" t="str" cm="1">
        <f t="array" ref="T304">_xlfn.IFS(L304&gt;5,"High",L304=5,"mediam",L304&lt;5,"low")</f>
        <v>High</v>
      </c>
      <c r="U304" s="1" t="str">
        <f t="shared" si="25"/>
        <v>High</v>
      </c>
    </row>
    <row r="305" spans="1:21" x14ac:dyDescent="0.3">
      <c r="A305" s="5">
        <v>10304</v>
      </c>
      <c r="B305" s="1">
        <v>1835</v>
      </c>
      <c r="C305" s="2">
        <v>45024</v>
      </c>
      <c r="D305" s="2">
        <v>45027</v>
      </c>
      <c r="E305" s="1" t="s">
        <v>40</v>
      </c>
      <c r="F305" s="1" t="s">
        <v>23</v>
      </c>
      <c r="G305" s="1" t="s">
        <v>24</v>
      </c>
      <c r="H305" s="1" t="s">
        <v>25</v>
      </c>
      <c r="I305" s="1" t="s">
        <v>26</v>
      </c>
      <c r="J305" s="1" t="s">
        <v>61</v>
      </c>
      <c r="K305" s="1" t="s">
        <v>21</v>
      </c>
      <c r="L305" s="1">
        <v>4</v>
      </c>
      <c r="M305" s="1">
        <v>2547.52</v>
      </c>
      <c r="N305" s="1">
        <v>20</v>
      </c>
      <c r="O305" s="1">
        <v>8152.06</v>
      </c>
      <c r="P305" s="1">
        <f t="shared" si="21"/>
        <v>10190.08</v>
      </c>
      <c r="Q305" s="10">
        <f t="shared" si="22"/>
        <v>1630.4120000000003</v>
      </c>
      <c r="R305" s="11">
        <f t="shared" si="23"/>
        <v>8559.6679999999997</v>
      </c>
      <c r="S305" s="1" t="str">
        <f t="shared" si="24"/>
        <v>Low</v>
      </c>
      <c r="T305" s="1" t="str" cm="1">
        <f t="array" ref="T305">_xlfn.IFS(L305&gt;5,"High",L305=5,"mediam",L305&lt;5,"low")</f>
        <v>low</v>
      </c>
      <c r="U305" s="1" t="b">
        <f t="shared" si="25"/>
        <v>0</v>
      </c>
    </row>
    <row r="306" spans="1:21" x14ac:dyDescent="0.3">
      <c r="A306" s="5">
        <v>10305</v>
      </c>
      <c r="B306" s="1">
        <v>1438</v>
      </c>
      <c r="C306" s="2">
        <v>44991</v>
      </c>
      <c r="D306" s="2">
        <v>44993</v>
      </c>
      <c r="E306" s="1" t="s">
        <v>46</v>
      </c>
      <c r="F306" s="1" t="s">
        <v>41</v>
      </c>
      <c r="G306" s="1" t="s">
        <v>17</v>
      </c>
      <c r="H306" s="1" t="s">
        <v>35</v>
      </c>
      <c r="I306" s="1" t="s">
        <v>31</v>
      </c>
      <c r="J306" s="1" t="s">
        <v>48</v>
      </c>
      <c r="K306" s="1" t="s">
        <v>21</v>
      </c>
      <c r="L306" s="1">
        <v>2</v>
      </c>
      <c r="M306" s="1">
        <v>3256.02</v>
      </c>
      <c r="N306" s="1">
        <v>20</v>
      </c>
      <c r="O306" s="1">
        <v>5209.63</v>
      </c>
      <c r="P306" s="1">
        <f t="shared" si="21"/>
        <v>6512.04</v>
      </c>
      <c r="Q306" s="10">
        <f t="shared" si="22"/>
        <v>1041.9260000000002</v>
      </c>
      <c r="R306" s="11">
        <f t="shared" si="23"/>
        <v>5470.1139999999996</v>
      </c>
      <c r="S306" s="1" t="str">
        <f t="shared" si="24"/>
        <v>Low</v>
      </c>
      <c r="T306" s="1" t="str" cm="1">
        <f t="array" ref="T306">_xlfn.IFS(L306&gt;5,"High",L306=5,"mediam",L306&lt;5,"low")</f>
        <v>low</v>
      </c>
      <c r="U306" s="1" t="b">
        <f t="shared" si="25"/>
        <v>0</v>
      </c>
    </row>
    <row r="307" spans="1:21" x14ac:dyDescent="0.3">
      <c r="A307" s="5">
        <v>10306</v>
      </c>
      <c r="B307" s="1">
        <v>1202</v>
      </c>
      <c r="C307" s="2">
        <v>45256</v>
      </c>
      <c r="D307" s="2">
        <v>45264</v>
      </c>
      <c r="E307" s="1" t="s">
        <v>46</v>
      </c>
      <c r="F307" s="1" t="s">
        <v>29</v>
      </c>
      <c r="G307" s="1" t="s">
        <v>30</v>
      </c>
      <c r="H307" s="1" t="s">
        <v>42</v>
      </c>
      <c r="I307" s="1" t="s">
        <v>57</v>
      </c>
      <c r="J307" s="1" t="s">
        <v>62</v>
      </c>
      <c r="K307" s="1" t="s">
        <v>28</v>
      </c>
      <c r="L307" s="1">
        <v>1</v>
      </c>
      <c r="M307" s="1">
        <v>3391.76</v>
      </c>
      <c r="N307" s="1">
        <v>20</v>
      </c>
      <c r="O307" s="1">
        <v>2713.41</v>
      </c>
      <c r="P307" s="1">
        <f t="shared" si="21"/>
        <v>3391.76</v>
      </c>
      <c r="Q307" s="10">
        <f t="shared" si="22"/>
        <v>542.68200000000002</v>
      </c>
      <c r="R307" s="11">
        <f t="shared" si="23"/>
        <v>2849.0780000000004</v>
      </c>
      <c r="S307" s="1" t="str">
        <f t="shared" si="24"/>
        <v>Low</v>
      </c>
      <c r="T307" s="1" t="str" cm="1">
        <f t="array" ref="T307">_xlfn.IFS(L307&gt;5,"High",L307=5,"mediam",L307&lt;5,"low")</f>
        <v>low</v>
      </c>
      <c r="U307" s="1" t="b">
        <f t="shared" si="25"/>
        <v>0</v>
      </c>
    </row>
    <row r="308" spans="1:21" x14ac:dyDescent="0.3">
      <c r="A308" s="5">
        <v>10307</v>
      </c>
      <c r="B308" s="1">
        <v>1183</v>
      </c>
      <c r="C308" s="2">
        <v>45267</v>
      </c>
      <c r="D308" s="2">
        <v>45273</v>
      </c>
      <c r="E308" s="1" t="s">
        <v>15</v>
      </c>
      <c r="F308" s="1" t="s">
        <v>16</v>
      </c>
      <c r="G308" s="1" t="s">
        <v>24</v>
      </c>
      <c r="H308" s="1" t="s">
        <v>42</v>
      </c>
      <c r="I308" s="1" t="s">
        <v>57</v>
      </c>
      <c r="J308" s="1" t="s">
        <v>58</v>
      </c>
      <c r="K308" s="1" t="s">
        <v>28</v>
      </c>
      <c r="L308" s="1">
        <v>4</v>
      </c>
      <c r="M308" s="1">
        <v>2008.45</v>
      </c>
      <c r="N308" s="1">
        <v>5</v>
      </c>
      <c r="O308" s="1">
        <v>7632.11</v>
      </c>
      <c r="P308" s="1">
        <f t="shared" si="21"/>
        <v>8033.8</v>
      </c>
      <c r="Q308" s="10">
        <f t="shared" si="22"/>
        <v>381.60550000000001</v>
      </c>
      <c r="R308" s="11">
        <f t="shared" si="23"/>
        <v>7652.1945000000005</v>
      </c>
      <c r="S308" s="1" t="str">
        <f t="shared" si="24"/>
        <v>Low</v>
      </c>
      <c r="T308" s="1" t="str" cm="1">
        <f t="array" ref="T308">_xlfn.IFS(L308&gt;5,"High",L308=5,"mediam",L308&lt;5,"low")</f>
        <v>low</v>
      </c>
      <c r="U308" s="1" t="b">
        <f t="shared" si="25"/>
        <v>0</v>
      </c>
    </row>
    <row r="309" spans="1:21" x14ac:dyDescent="0.3">
      <c r="A309" s="5">
        <v>10308</v>
      </c>
      <c r="B309" s="1">
        <v>1122</v>
      </c>
      <c r="C309" s="2">
        <v>44931</v>
      </c>
      <c r="D309" s="2">
        <v>44940</v>
      </c>
      <c r="E309" s="1" t="s">
        <v>37</v>
      </c>
      <c r="F309" s="1" t="s">
        <v>23</v>
      </c>
      <c r="G309" s="1" t="s">
        <v>30</v>
      </c>
      <c r="H309" s="1" t="s">
        <v>25</v>
      </c>
      <c r="I309" s="1" t="s">
        <v>52</v>
      </c>
      <c r="J309" s="1" t="s">
        <v>53</v>
      </c>
      <c r="K309" s="1" t="s">
        <v>45</v>
      </c>
      <c r="L309" s="1">
        <v>4</v>
      </c>
      <c r="M309" s="1">
        <v>3143.2</v>
      </c>
      <c r="N309" s="1">
        <v>0</v>
      </c>
      <c r="O309" s="1">
        <v>12572.8</v>
      </c>
      <c r="P309" s="1">
        <f t="shared" si="21"/>
        <v>12572.8</v>
      </c>
      <c r="Q309" s="10">
        <f t="shared" si="22"/>
        <v>0</v>
      </c>
      <c r="R309" s="11">
        <f t="shared" si="23"/>
        <v>12572.8</v>
      </c>
      <c r="S309" s="1" t="str">
        <f t="shared" si="24"/>
        <v>Low</v>
      </c>
      <c r="T309" s="1" t="str" cm="1">
        <f t="array" ref="T309">_xlfn.IFS(L309&gt;5,"High",L309=5,"mediam",L309&lt;5,"low")</f>
        <v>low</v>
      </c>
      <c r="U309" s="1" t="b">
        <f t="shared" si="25"/>
        <v>0</v>
      </c>
    </row>
    <row r="310" spans="1:21" x14ac:dyDescent="0.3">
      <c r="A310" s="5">
        <v>10309</v>
      </c>
      <c r="B310" s="1">
        <v>1400</v>
      </c>
      <c r="C310" s="2">
        <v>44928</v>
      </c>
      <c r="D310" s="2">
        <v>44936</v>
      </c>
      <c r="E310" s="1" t="s">
        <v>34</v>
      </c>
      <c r="F310" s="1" t="s">
        <v>29</v>
      </c>
      <c r="G310" s="1" t="s">
        <v>30</v>
      </c>
      <c r="H310" s="1" t="s">
        <v>44</v>
      </c>
      <c r="I310" s="1" t="s">
        <v>49</v>
      </c>
      <c r="J310" s="1" t="s">
        <v>51</v>
      </c>
      <c r="K310" s="1" t="s">
        <v>47</v>
      </c>
      <c r="L310" s="1">
        <v>1</v>
      </c>
      <c r="M310" s="1">
        <v>2740.46</v>
      </c>
      <c r="N310" s="1">
        <v>10</v>
      </c>
      <c r="O310" s="1">
        <v>2466.41</v>
      </c>
      <c r="P310" s="1">
        <f t="shared" si="21"/>
        <v>2740.46</v>
      </c>
      <c r="Q310" s="10">
        <f t="shared" si="22"/>
        <v>246.64099999999999</v>
      </c>
      <c r="R310" s="11">
        <f t="shared" si="23"/>
        <v>2493.819</v>
      </c>
      <c r="S310" s="1" t="str">
        <f t="shared" si="24"/>
        <v>Low</v>
      </c>
      <c r="T310" s="1" t="str" cm="1">
        <f t="array" ref="T310">_xlfn.IFS(L310&gt;5,"High",L310=5,"mediam",L310&lt;5,"low")</f>
        <v>low</v>
      </c>
      <c r="U310" s="1" t="b">
        <f t="shared" si="25"/>
        <v>0</v>
      </c>
    </row>
    <row r="311" spans="1:21" x14ac:dyDescent="0.3">
      <c r="A311" s="5">
        <v>10310</v>
      </c>
      <c r="B311" s="1">
        <v>1766</v>
      </c>
      <c r="C311" s="2">
        <v>44948</v>
      </c>
      <c r="D311" s="2">
        <v>44951</v>
      </c>
      <c r="E311" s="1" t="s">
        <v>37</v>
      </c>
      <c r="F311" s="1" t="s">
        <v>41</v>
      </c>
      <c r="G311" s="1" t="s">
        <v>17</v>
      </c>
      <c r="H311" s="1" t="s">
        <v>44</v>
      </c>
      <c r="I311" s="1" t="s">
        <v>49</v>
      </c>
      <c r="J311" s="1" t="s">
        <v>51</v>
      </c>
      <c r="K311" s="1" t="s">
        <v>33</v>
      </c>
      <c r="L311" s="1">
        <v>6</v>
      </c>
      <c r="M311" s="1">
        <v>2938.38</v>
      </c>
      <c r="N311" s="1">
        <v>5</v>
      </c>
      <c r="O311" s="1">
        <v>16748.77</v>
      </c>
      <c r="P311" s="1">
        <f t="shared" si="21"/>
        <v>17630.28</v>
      </c>
      <c r="Q311" s="10">
        <f t="shared" si="22"/>
        <v>837.43850000000009</v>
      </c>
      <c r="R311" s="11">
        <f t="shared" si="23"/>
        <v>16792.841499999999</v>
      </c>
      <c r="S311" s="1" t="str">
        <f t="shared" si="24"/>
        <v>High</v>
      </c>
      <c r="T311" s="1" t="str" cm="1">
        <f t="array" ref="T311">_xlfn.IFS(L311&gt;5,"High",L311=5,"mediam",L311&lt;5,"low")</f>
        <v>High</v>
      </c>
      <c r="U311" s="1" t="str">
        <f t="shared" si="25"/>
        <v>High</v>
      </c>
    </row>
    <row r="312" spans="1:21" x14ac:dyDescent="0.3">
      <c r="A312" s="5">
        <v>10311</v>
      </c>
      <c r="B312" s="1">
        <v>1293</v>
      </c>
      <c r="C312" s="2">
        <v>45038</v>
      </c>
      <c r="D312" s="2">
        <v>45043</v>
      </c>
      <c r="E312" s="1" t="s">
        <v>46</v>
      </c>
      <c r="F312" s="1" t="s">
        <v>23</v>
      </c>
      <c r="G312" s="1" t="s">
        <v>24</v>
      </c>
      <c r="H312" s="1" t="s">
        <v>18</v>
      </c>
      <c r="I312" s="1" t="s">
        <v>19</v>
      </c>
      <c r="J312" s="1" t="s">
        <v>43</v>
      </c>
      <c r="K312" s="1" t="s">
        <v>33</v>
      </c>
      <c r="L312" s="1">
        <v>4</v>
      </c>
      <c r="M312" s="1">
        <v>2046.51</v>
      </c>
      <c r="N312" s="1">
        <v>5</v>
      </c>
      <c r="O312" s="1">
        <v>7776.74</v>
      </c>
      <c r="P312" s="1">
        <f t="shared" si="21"/>
        <v>8186.04</v>
      </c>
      <c r="Q312" s="10">
        <f t="shared" si="22"/>
        <v>388.83699999999999</v>
      </c>
      <c r="R312" s="11">
        <f t="shared" si="23"/>
        <v>7797.2029999999995</v>
      </c>
      <c r="S312" s="1" t="str">
        <f t="shared" si="24"/>
        <v>Low</v>
      </c>
      <c r="T312" s="1" t="str" cm="1">
        <f t="array" ref="T312">_xlfn.IFS(L312&gt;5,"High",L312=5,"mediam",L312&lt;5,"low")</f>
        <v>low</v>
      </c>
      <c r="U312" s="1" t="b">
        <f t="shared" si="25"/>
        <v>0</v>
      </c>
    </row>
    <row r="313" spans="1:21" x14ac:dyDescent="0.3">
      <c r="A313" s="5">
        <v>10312</v>
      </c>
      <c r="B313" s="1">
        <v>1279</v>
      </c>
      <c r="C313" s="2">
        <v>44983</v>
      </c>
      <c r="D313" s="2">
        <v>44990</v>
      </c>
      <c r="E313" s="1" t="s">
        <v>46</v>
      </c>
      <c r="F313" s="1" t="s">
        <v>38</v>
      </c>
      <c r="G313" s="1" t="s">
        <v>30</v>
      </c>
      <c r="H313" s="1" t="s">
        <v>18</v>
      </c>
      <c r="I313" s="1" t="s">
        <v>52</v>
      </c>
      <c r="J313" s="1" t="s">
        <v>56</v>
      </c>
      <c r="K313" s="1" t="s">
        <v>33</v>
      </c>
      <c r="L313" s="1">
        <v>1</v>
      </c>
      <c r="M313" s="1">
        <v>2588.64</v>
      </c>
      <c r="N313" s="1">
        <v>0</v>
      </c>
      <c r="O313" s="1">
        <v>2588.64</v>
      </c>
      <c r="P313" s="1">
        <f t="shared" si="21"/>
        <v>2588.64</v>
      </c>
      <c r="Q313" s="10">
        <f t="shared" si="22"/>
        <v>0</v>
      </c>
      <c r="R313" s="11">
        <f t="shared" si="23"/>
        <v>2588.64</v>
      </c>
      <c r="S313" s="1" t="str">
        <f t="shared" si="24"/>
        <v>Low</v>
      </c>
      <c r="T313" s="1" t="str" cm="1">
        <f t="array" ref="T313">_xlfn.IFS(L313&gt;5,"High",L313=5,"mediam",L313&lt;5,"low")</f>
        <v>low</v>
      </c>
      <c r="U313" s="1" t="b">
        <f t="shared" si="25"/>
        <v>0</v>
      </c>
    </row>
    <row r="314" spans="1:21" x14ac:dyDescent="0.3">
      <c r="A314" s="5">
        <v>10313</v>
      </c>
      <c r="B314" s="1">
        <v>1836</v>
      </c>
      <c r="C314" s="2">
        <v>44992</v>
      </c>
      <c r="D314" s="2">
        <v>44997</v>
      </c>
      <c r="E314" s="1" t="s">
        <v>40</v>
      </c>
      <c r="F314" s="1" t="s">
        <v>41</v>
      </c>
      <c r="G314" s="1" t="s">
        <v>17</v>
      </c>
      <c r="H314" s="1" t="s">
        <v>35</v>
      </c>
      <c r="I314" s="1" t="s">
        <v>57</v>
      </c>
      <c r="J314" s="1" t="s">
        <v>62</v>
      </c>
      <c r="K314" s="1" t="s">
        <v>45</v>
      </c>
      <c r="L314" s="1">
        <v>1</v>
      </c>
      <c r="M314" s="1">
        <v>3251.27</v>
      </c>
      <c r="N314" s="1">
        <v>15</v>
      </c>
      <c r="O314" s="1">
        <v>2763.58</v>
      </c>
      <c r="P314" s="1">
        <f t="shared" si="21"/>
        <v>3251.27</v>
      </c>
      <c r="Q314" s="10">
        <f t="shared" si="22"/>
        <v>414.53699999999998</v>
      </c>
      <c r="R314" s="11">
        <f t="shared" si="23"/>
        <v>2836.7330000000002</v>
      </c>
      <c r="S314" s="1" t="str">
        <f t="shared" si="24"/>
        <v>Low</v>
      </c>
      <c r="T314" s="1" t="str" cm="1">
        <f t="array" ref="T314">_xlfn.IFS(L314&gt;5,"High",L314=5,"mediam",L314&lt;5,"low")</f>
        <v>low</v>
      </c>
      <c r="U314" s="1" t="b">
        <f t="shared" si="25"/>
        <v>0</v>
      </c>
    </row>
    <row r="315" spans="1:21" x14ac:dyDescent="0.3">
      <c r="A315" s="5">
        <v>10314</v>
      </c>
      <c r="B315" s="1">
        <v>1883</v>
      </c>
      <c r="C315" s="2">
        <v>45256</v>
      </c>
      <c r="D315" s="2">
        <v>45264</v>
      </c>
      <c r="E315" s="1" t="s">
        <v>37</v>
      </c>
      <c r="F315" s="1" t="s">
        <v>16</v>
      </c>
      <c r="G315" s="1" t="s">
        <v>24</v>
      </c>
      <c r="H315" s="1" t="s">
        <v>25</v>
      </c>
      <c r="I315" s="1" t="s">
        <v>26</v>
      </c>
      <c r="J315" s="1" t="s">
        <v>69</v>
      </c>
      <c r="K315" s="1" t="s">
        <v>28</v>
      </c>
      <c r="L315" s="1">
        <v>1</v>
      </c>
      <c r="M315" s="1">
        <v>1681.85</v>
      </c>
      <c r="N315" s="1">
        <v>5</v>
      </c>
      <c r="O315" s="1">
        <v>1597.76</v>
      </c>
      <c r="P315" s="1">
        <f t="shared" si="21"/>
        <v>1681.85</v>
      </c>
      <c r="Q315" s="10">
        <f t="shared" si="22"/>
        <v>79.888000000000005</v>
      </c>
      <c r="R315" s="11">
        <f t="shared" si="23"/>
        <v>1601.962</v>
      </c>
      <c r="S315" s="1" t="str">
        <f t="shared" si="24"/>
        <v>Low</v>
      </c>
      <c r="T315" s="1" t="str" cm="1">
        <f t="array" ref="T315">_xlfn.IFS(L315&gt;5,"High",L315=5,"mediam",L315&lt;5,"low")</f>
        <v>low</v>
      </c>
      <c r="U315" s="1" t="b">
        <f t="shared" si="25"/>
        <v>0</v>
      </c>
    </row>
    <row r="316" spans="1:21" x14ac:dyDescent="0.3">
      <c r="A316" s="5">
        <v>10315</v>
      </c>
      <c r="B316" s="1">
        <v>1609</v>
      </c>
      <c r="C316" s="2">
        <v>45024</v>
      </c>
      <c r="D316" s="2">
        <v>45029</v>
      </c>
      <c r="E316" s="1" t="s">
        <v>37</v>
      </c>
      <c r="F316" s="1" t="s">
        <v>29</v>
      </c>
      <c r="G316" s="1" t="s">
        <v>24</v>
      </c>
      <c r="H316" s="1" t="s">
        <v>18</v>
      </c>
      <c r="I316" s="1" t="s">
        <v>49</v>
      </c>
      <c r="J316" s="1" t="s">
        <v>50</v>
      </c>
      <c r="K316" s="1" t="s">
        <v>45</v>
      </c>
      <c r="L316" s="1">
        <v>8</v>
      </c>
      <c r="M316" s="1">
        <v>3253.02</v>
      </c>
      <c r="N316" s="1">
        <v>15</v>
      </c>
      <c r="O316" s="1">
        <v>22120.54</v>
      </c>
      <c r="P316" s="1">
        <f t="shared" si="21"/>
        <v>26024.16</v>
      </c>
      <c r="Q316" s="10">
        <f t="shared" si="22"/>
        <v>3318.0810000000001</v>
      </c>
      <c r="R316" s="11">
        <f t="shared" si="23"/>
        <v>22706.078999999998</v>
      </c>
      <c r="S316" s="1" t="str">
        <f t="shared" si="24"/>
        <v>High</v>
      </c>
      <c r="T316" s="1" t="str" cm="1">
        <f t="array" ref="T316">_xlfn.IFS(L316&gt;5,"High",L316=5,"mediam",L316&lt;5,"low")</f>
        <v>High</v>
      </c>
      <c r="U316" s="1" t="str">
        <f t="shared" si="25"/>
        <v>High</v>
      </c>
    </row>
    <row r="317" spans="1:21" x14ac:dyDescent="0.3">
      <c r="A317" s="5">
        <v>10316</v>
      </c>
      <c r="B317" s="1">
        <v>1197</v>
      </c>
      <c r="C317" s="2">
        <v>45070</v>
      </c>
      <c r="D317" s="2">
        <v>45071</v>
      </c>
      <c r="E317" s="1" t="s">
        <v>46</v>
      </c>
      <c r="F317" s="1" t="s">
        <v>38</v>
      </c>
      <c r="G317" s="1" t="s">
        <v>30</v>
      </c>
      <c r="H317" s="1" t="s">
        <v>18</v>
      </c>
      <c r="I317" s="1" t="s">
        <v>57</v>
      </c>
      <c r="J317" s="1" t="s">
        <v>58</v>
      </c>
      <c r="K317" s="1" t="s">
        <v>33</v>
      </c>
      <c r="L317" s="1">
        <v>8</v>
      </c>
      <c r="M317" s="1">
        <v>2429.2600000000002</v>
      </c>
      <c r="N317" s="1">
        <v>15</v>
      </c>
      <c r="O317" s="1">
        <v>16518.97</v>
      </c>
      <c r="P317" s="1">
        <f t="shared" si="21"/>
        <v>19434.080000000002</v>
      </c>
      <c r="Q317" s="10">
        <f t="shared" si="22"/>
        <v>2477.8454999999999</v>
      </c>
      <c r="R317" s="11">
        <f t="shared" si="23"/>
        <v>16956.234500000002</v>
      </c>
      <c r="S317" s="1" t="str">
        <f t="shared" si="24"/>
        <v>High</v>
      </c>
      <c r="T317" s="1" t="str" cm="1">
        <f t="array" ref="T317">_xlfn.IFS(L317&gt;5,"High",L317=5,"mediam",L317&lt;5,"low")</f>
        <v>High</v>
      </c>
      <c r="U317" s="1" t="str">
        <f t="shared" si="25"/>
        <v>High</v>
      </c>
    </row>
    <row r="318" spans="1:21" x14ac:dyDescent="0.3">
      <c r="A318" s="5">
        <v>10317</v>
      </c>
      <c r="B318" s="1">
        <v>1981</v>
      </c>
      <c r="C318" s="2">
        <v>45051</v>
      </c>
      <c r="D318" s="2">
        <v>45056</v>
      </c>
      <c r="E318" s="1" t="s">
        <v>34</v>
      </c>
      <c r="F318" s="1" t="s">
        <v>38</v>
      </c>
      <c r="G318" s="1" t="s">
        <v>24</v>
      </c>
      <c r="H318" s="1" t="s">
        <v>25</v>
      </c>
      <c r="I318" s="1" t="s">
        <v>49</v>
      </c>
      <c r="J318" s="1" t="s">
        <v>63</v>
      </c>
      <c r="K318" s="1" t="s">
        <v>47</v>
      </c>
      <c r="L318" s="1">
        <v>2</v>
      </c>
      <c r="M318" s="1">
        <v>788.72</v>
      </c>
      <c r="N318" s="1">
        <v>20</v>
      </c>
      <c r="O318" s="1">
        <v>1261.95</v>
      </c>
      <c r="P318" s="1">
        <f t="shared" si="21"/>
        <v>1577.44</v>
      </c>
      <c r="Q318" s="10">
        <f t="shared" si="22"/>
        <v>252.39000000000001</v>
      </c>
      <c r="R318" s="11">
        <f t="shared" si="23"/>
        <v>1325.05</v>
      </c>
      <c r="S318" s="1" t="str">
        <f t="shared" si="24"/>
        <v>Low</v>
      </c>
      <c r="T318" s="1" t="str" cm="1">
        <f t="array" ref="T318">_xlfn.IFS(L318&gt;5,"High",L318=5,"mediam",L318&lt;5,"low")</f>
        <v>low</v>
      </c>
      <c r="U318" s="1" t="b">
        <f t="shared" si="25"/>
        <v>0</v>
      </c>
    </row>
    <row r="319" spans="1:21" x14ac:dyDescent="0.3">
      <c r="A319" s="5">
        <v>10318</v>
      </c>
      <c r="B319" s="1">
        <v>1906</v>
      </c>
      <c r="C319" s="2">
        <v>45093</v>
      </c>
      <c r="D319" s="2">
        <v>45097</v>
      </c>
      <c r="E319" s="1" t="s">
        <v>15</v>
      </c>
      <c r="F319" s="1" t="s">
        <v>23</v>
      </c>
      <c r="G319" s="1" t="s">
        <v>30</v>
      </c>
      <c r="H319" s="1" t="s">
        <v>35</v>
      </c>
      <c r="I319" s="1" t="s">
        <v>49</v>
      </c>
      <c r="J319" s="1" t="s">
        <v>68</v>
      </c>
      <c r="K319" s="1" t="s">
        <v>21</v>
      </c>
      <c r="L319" s="1">
        <v>7</v>
      </c>
      <c r="M319" s="1">
        <v>245.03</v>
      </c>
      <c r="N319" s="1">
        <v>0</v>
      </c>
      <c r="O319" s="1">
        <v>1715.21</v>
      </c>
      <c r="P319" s="1">
        <f t="shared" si="21"/>
        <v>1715.21</v>
      </c>
      <c r="Q319" s="10">
        <f t="shared" si="22"/>
        <v>0</v>
      </c>
      <c r="R319" s="11">
        <f t="shared" si="23"/>
        <v>1715.21</v>
      </c>
      <c r="S319" s="1" t="str">
        <f t="shared" si="24"/>
        <v>High</v>
      </c>
      <c r="T319" s="1" t="str" cm="1">
        <f t="array" ref="T319">_xlfn.IFS(L319&gt;5,"High",L319=5,"mediam",L319&lt;5,"low")</f>
        <v>High</v>
      </c>
      <c r="U319" s="1" t="str">
        <f t="shared" si="25"/>
        <v>High</v>
      </c>
    </row>
    <row r="320" spans="1:21" x14ac:dyDescent="0.3">
      <c r="A320" s="5">
        <v>10319</v>
      </c>
      <c r="B320" s="1">
        <v>1510</v>
      </c>
      <c r="C320" s="2">
        <v>45012</v>
      </c>
      <c r="D320" s="2">
        <v>45018</v>
      </c>
      <c r="E320" s="1" t="s">
        <v>22</v>
      </c>
      <c r="F320" s="1" t="s">
        <v>38</v>
      </c>
      <c r="G320" s="1" t="s">
        <v>24</v>
      </c>
      <c r="H320" s="1" t="s">
        <v>18</v>
      </c>
      <c r="I320" s="1" t="s">
        <v>49</v>
      </c>
      <c r="J320" s="1" t="s">
        <v>50</v>
      </c>
      <c r="K320" s="1" t="s">
        <v>28</v>
      </c>
      <c r="L320" s="1">
        <v>8</v>
      </c>
      <c r="M320" s="1">
        <v>1546.6</v>
      </c>
      <c r="N320" s="1">
        <v>15</v>
      </c>
      <c r="O320" s="1">
        <v>10516.88</v>
      </c>
      <c r="P320" s="1">
        <f t="shared" si="21"/>
        <v>12372.8</v>
      </c>
      <c r="Q320" s="10">
        <f t="shared" si="22"/>
        <v>1577.5319999999999</v>
      </c>
      <c r="R320" s="11">
        <f t="shared" si="23"/>
        <v>10795.268</v>
      </c>
      <c r="S320" s="1" t="str">
        <f t="shared" si="24"/>
        <v>High</v>
      </c>
      <c r="T320" s="1" t="str" cm="1">
        <f t="array" ref="T320">_xlfn.IFS(L320&gt;5,"High",L320=5,"mediam",L320&lt;5,"low")</f>
        <v>High</v>
      </c>
      <c r="U320" s="1" t="str">
        <f t="shared" si="25"/>
        <v>High</v>
      </c>
    </row>
    <row r="321" spans="1:21" x14ac:dyDescent="0.3">
      <c r="A321" s="5">
        <v>10320</v>
      </c>
      <c r="B321" s="1">
        <v>1751</v>
      </c>
      <c r="C321" s="2">
        <v>45002</v>
      </c>
      <c r="D321" s="2">
        <v>45005</v>
      </c>
      <c r="E321" s="1" t="s">
        <v>15</v>
      </c>
      <c r="F321" s="1" t="s">
        <v>16</v>
      </c>
      <c r="G321" s="1" t="s">
        <v>17</v>
      </c>
      <c r="H321" s="1" t="s">
        <v>35</v>
      </c>
      <c r="I321" s="1" t="s">
        <v>26</v>
      </c>
      <c r="J321" s="1" t="s">
        <v>36</v>
      </c>
      <c r="K321" s="1" t="s">
        <v>28</v>
      </c>
      <c r="L321" s="1">
        <v>8</v>
      </c>
      <c r="M321" s="1">
        <v>2254.7800000000002</v>
      </c>
      <c r="N321" s="1">
        <v>0</v>
      </c>
      <c r="O321" s="1">
        <v>18038.240000000002</v>
      </c>
      <c r="P321" s="1">
        <f t="shared" si="21"/>
        <v>18038.240000000002</v>
      </c>
      <c r="Q321" s="10">
        <f t="shared" si="22"/>
        <v>0</v>
      </c>
      <c r="R321" s="11">
        <f t="shared" si="23"/>
        <v>18038.240000000002</v>
      </c>
      <c r="S321" s="1" t="str">
        <f t="shared" si="24"/>
        <v>High</v>
      </c>
      <c r="T321" s="1" t="str" cm="1">
        <f t="array" ref="T321">_xlfn.IFS(L321&gt;5,"High",L321=5,"mediam",L321&lt;5,"low")</f>
        <v>High</v>
      </c>
      <c r="U321" s="1" t="str">
        <f t="shared" si="25"/>
        <v>High</v>
      </c>
    </row>
    <row r="322" spans="1:21" x14ac:dyDescent="0.3">
      <c r="A322" s="5">
        <v>10321</v>
      </c>
      <c r="B322" s="1">
        <v>1143</v>
      </c>
      <c r="C322" s="2">
        <v>45270</v>
      </c>
      <c r="D322" s="2">
        <v>45275</v>
      </c>
      <c r="E322" s="1" t="s">
        <v>37</v>
      </c>
      <c r="F322" s="1" t="s">
        <v>16</v>
      </c>
      <c r="G322" s="1" t="s">
        <v>30</v>
      </c>
      <c r="H322" s="1" t="s">
        <v>42</v>
      </c>
      <c r="I322" s="1" t="s">
        <v>52</v>
      </c>
      <c r="J322" s="1" t="s">
        <v>60</v>
      </c>
      <c r="K322" s="1" t="s">
        <v>45</v>
      </c>
      <c r="L322" s="1">
        <v>7</v>
      </c>
      <c r="M322" s="1">
        <v>3383.31</v>
      </c>
      <c r="N322" s="1">
        <v>20</v>
      </c>
      <c r="O322" s="1">
        <v>18946.54</v>
      </c>
      <c r="P322" s="1">
        <f t="shared" si="21"/>
        <v>23683.17</v>
      </c>
      <c r="Q322" s="10">
        <f t="shared" si="22"/>
        <v>3789.3080000000004</v>
      </c>
      <c r="R322" s="11">
        <f t="shared" si="23"/>
        <v>19893.861999999997</v>
      </c>
      <c r="S322" s="1" t="str">
        <f t="shared" si="24"/>
        <v>High</v>
      </c>
      <c r="T322" s="1" t="str" cm="1">
        <f t="array" ref="T322">_xlfn.IFS(L322&gt;5,"High",L322=5,"mediam",L322&lt;5,"low")</f>
        <v>High</v>
      </c>
      <c r="U322" s="1" t="str">
        <f t="shared" si="25"/>
        <v>High</v>
      </c>
    </row>
    <row r="323" spans="1:21" x14ac:dyDescent="0.3">
      <c r="A323" s="5">
        <v>10322</v>
      </c>
      <c r="B323" s="1">
        <v>1608</v>
      </c>
      <c r="C323" s="2">
        <v>45220</v>
      </c>
      <c r="D323" s="2">
        <v>45222</v>
      </c>
      <c r="E323" s="1" t="s">
        <v>15</v>
      </c>
      <c r="F323" s="1" t="s">
        <v>54</v>
      </c>
      <c r="G323" s="1" t="s">
        <v>30</v>
      </c>
      <c r="H323" s="1" t="s">
        <v>35</v>
      </c>
      <c r="I323" s="1" t="s">
        <v>26</v>
      </c>
      <c r="J323" s="1" t="s">
        <v>61</v>
      </c>
      <c r="K323" s="1" t="s">
        <v>28</v>
      </c>
      <c r="L323" s="1">
        <v>5</v>
      </c>
      <c r="M323" s="1">
        <v>640.82000000000005</v>
      </c>
      <c r="N323" s="1">
        <v>0</v>
      </c>
      <c r="O323" s="1">
        <v>3204.1</v>
      </c>
      <c r="P323" s="1">
        <f t="shared" ref="P323:P386" si="26">L323*M323</f>
        <v>3204.1000000000004</v>
      </c>
      <c r="Q323" s="10">
        <f t="shared" ref="Q323:Q386" si="27">O323*N323%</f>
        <v>0</v>
      </c>
      <c r="R323" s="11">
        <f t="shared" ref="R323:R386" si="28">P323-Q323</f>
        <v>3204.1000000000004</v>
      </c>
      <c r="S323" s="1" t="str">
        <f t="shared" ref="S323:S386" si="29">IF(L323&gt;=5,"High","Low")</f>
        <v>High</v>
      </c>
      <c r="T323" s="1" t="str" cm="1">
        <f t="array" ref="T323">_xlfn.IFS(L323&gt;5,"High",L323=5,"mediam",L323&lt;5,"low")</f>
        <v>mediam</v>
      </c>
      <c r="U323" s="1" t="b">
        <f t="shared" si="25"/>
        <v>0</v>
      </c>
    </row>
    <row r="324" spans="1:21" x14ac:dyDescent="0.3">
      <c r="A324" s="5">
        <v>10323</v>
      </c>
      <c r="B324" s="1">
        <v>1200</v>
      </c>
      <c r="C324" s="2">
        <v>44985</v>
      </c>
      <c r="D324" s="2">
        <v>44991</v>
      </c>
      <c r="E324" s="1" t="s">
        <v>46</v>
      </c>
      <c r="F324" s="1" t="s">
        <v>16</v>
      </c>
      <c r="G324" s="1" t="s">
        <v>24</v>
      </c>
      <c r="H324" s="1" t="s">
        <v>44</v>
      </c>
      <c r="I324" s="1" t="s">
        <v>31</v>
      </c>
      <c r="J324" s="1" t="s">
        <v>48</v>
      </c>
      <c r="K324" s="1" t="s">
        <v>33</v>
      </c>
      <c r="L324" s="1">
        <v>1</v>
      </c>
      <c r="M324" s="1">
        <v>3230.79</v>
      </c>
      <c r="N324" s="1">
        <v>5</v>
      </c>
      <c r="O324" s="1">
        <v>3069.25</v>
      </c>
      <c r="P324" s="1">
        <f t="shared" si="26"/>
        <v>3230.79</v>
      </c>
      <c r="Q324" s="10">
        <f t="shared" si="27"/>
        <v>153.46250000000001</v>
      </c>
      <c r="R324" s="11">
        <f t="shared" si="28"/>
        <v>3077.3274999999999</v>
      </c>
      <c r="S324" s="1" t="str">
        <f t="shared" si="29"/>
        <v>Low</v>
      </c>
      <c r="T324" s="1" t="str" cm="1">
        <f t="array" ref="T324">_xlfn.IFS(L324&gt;5,"High",L324=5,"mediam",L324&lt;5,"low")</f>
        <v>low</v>
      </c>
      <c r="U324" s="1" t="b">
        <f t="shared" si="25"/>
        <v>0</v>
      </c>
    </row>
    <row r="325" spans="1:21" x14ac:dyDescent="0.3">
      <c r="A325" s="5">
        <v>10324</v>
      </c>
      <c r="B325" s="1">
        <v>1123</v>
      </c>
      <c r="C325" s="2">
        <v>45064</v>
      </c>
      <c r="D325" s="2">
        <v>45070</v>
      </c>
      <c r="E325" s="1" t="s">
        <v>46</v>
      </c>
      <c r="F325" s="1" t="s">
        <v>41</v>
      </c>
      <c r="G325" s="1" t="s">
        <v>24</v>
      </c>
      <c r="H325" s="1" t="s">
        <v>44</v>
      </c>
      <c r="I325" s="1" t="s">
        <v>57</v>
      </c>
      <c r="J325" s="1" t="s">
        <v>58</v>
      </c>
      <c r="K325" s="1" t="s">
        <v>33</v>
      </c>
      <c r="L325" s="1">
        <v>9</v>
      </c>
      <c r="M325" s="1">
        <v>3472.58</v>
      </c>
      <c r="N325" s="1">
        <v>15</v>
      </c>
      <c r="O325" s="1">
        <v>26565.24</v>
      </c>
      <c r="P325" s="1">
        <f t="shared" si="26"/>
        <v>31253.22</v>
      </c>
      <c r="Q325" s="10">
        <f t="shared" si="27"/>
        <v>3984.7860000000001</v>
      </c>
      <c r="R325" s="11">
        <f t="shared" si="28"/>
        <v>27268.434000000001</v>
      </c>
      <c r="S325" s="1" t="str">
        <f t="shared" si="29"/>
        <v>High</v>
      </c>
      <c r="T325" s="1" t="str" cm="1">
        <f t="array" ref="T325">_xlfn.IFS(L325&gt;5,"High",L325=5,"mediam",L325&lt;5,"low")</f>
        <v>High</v>
      </c>
      <c r="U325" s="1" t="str">
        <f t="shared" si="25"/>
        <v>High</v>
      </c>
    </row>
    <row r="326" spans="1:21" x14ac:dyDescent="0.3">
      <c r="A326" s="5">
        <v>10325</v>
      </c>
      <c r="B326" s="1">
        <v>1186</v>
      </c>
      <c r="C326" s="2">
        <v>45025</v>
      </c>
      <c r="D326" s="2">
        <v>45030</v>
      </c>
      <c r="E326" s="1" t="s">
        <v>37</v>
      </c>
      <c r="F326" s="1" t="s">
        <v>38</v>
      </c>
      <c r="G326" s="1" t="s">
        <v>30</v>
      </c>
      <c r="H326" s="1" t="s">
        <v>35</v>
      </c>
      <c r="I326" s="1" t="s">
        <v>52</v>
      </c>
      <c r="J326" s="1" t="s">
        <v>64</v>
      </c>
      <c r="K326" s="1" t="s">
        <v>45</v>
      </c>
      <c r="L326" s="1">
        <v>7</v>
      </c>
      <c r="M326" s="1">
        <v>730.15</v>
      </c>
      <c r="N326" s="1">
        <v>0</v>
      </c>
      <c r="O326" s="1">
        <v>5111.05</v>
      </c>
      <c r="P326" s="1">
        <f t="shared" si="26"/>
        <v>5111.05</v>
      </c>
      <c r="Q326" s="10">
        <f t="shared" si="27"/>
        <v>0</v>
      </c>
      <c r="R326" s="11">
        <f t="shared" si="28"/>
        <v>5111.05</v>
      </c>
      <c r="S326" s="1" t="str">
        <f t="shared" si="29"/>
        <v>High</v>
      </c>
      <c r="T326" s="1" t="str" cm="1">
        <f t="array" ref="T326">_xlfn.IFS(L326&gt;5,"High",L326=5,"mediam",L326&lt;5,"low")</f>
        <v>High</v>
      </c>
      <c r="U326" s="1" t="str">
        <f t="shared" si="25"/>
        <v>High</v>
      </c>
    </row>
    <row r="327" spans="1:21" x14ac:dyDescent="0.3">
      <c r="A327" s="5">
        <v>10326</v>
      </c>
      <c r="B327" s="1">
        <v>1325</v>
      </c>
      <c r="C327" s="2">
        <v>45118</v>
      </c>
      <c r="D327" s="2">
        <v>45124</v>
      </c>
      <c r="E327" s="1" t="s">
        <v>37</v>
      </c>
      <c r="F327" s="1" t="s">
        <v>16</v>
      </c>
      <c r="G327" s="1" t="s">
        <v>24</v>
      </c>
      <c r="H327" s="1" t="s">
        <v>44</v>
      </c>
      <c r="I327" s="1" t="s">
        <v>52</v>
      </c>
      <c r="J327" s="1" t="s">
        <v>60</v>
      </c>
      <c r="K327" s="1" t="s">
        <v>33</v>
      </c>
      <c r="L327" s="1">
        <v>2</v>
      </c>
      <c r="M327" s="1">
        <v>3428.64</v>
      </c>
      <c r="N327" s="1">
        <v>10</v>
      </c>
      <c r="O327" s="1">
        <v>6171.55</v>
      </c>
      <c r="P327" s="1">
        <f t="shared" si="26"/>
        <v>6857.28</v>
      </c>
      <c r="Q327" s="10">
        <f t="shared" si="27"/>
        <v>617.15500000000009</v>
      </c>
      <c r="R327" s="11">
        <f t="shared" si="28"/>
        <v>6240.125</v>
      </c>
      <c r="S327" s="1" t="str">
        <f t="shared" si="29"/>
        <v>Low</v>
      </c>
      <c r="T327" s="1" t="str" cm="1">
        <f t="array" ref="T327">_xlfn.IFS(L327&gt;5,"High",L327=5,"mediam",L327&lt;5,"low")</f>
        <v>low</v>
      </c>
      <c r="U327" s="1" t="b">
        <f t="shared" si="25"/>
        <v>0</v>
      </c>
    </row>
    <row r="328" spans="1:21" x14ac:dyDescent="0.3">
      <c r="A328" s="5">
        <v>10327</v>
      </c>
      <c r="B328" s="1">
        <v>1463</v>
      </c>
      <c r="C328" s="2">
        <v>45169</v>
      </c>
      <c r="D328" s="2">
        <v>45176</v>
      </c>
      <c r="E328" s="1" t="s">
        <v>22</v>
      </c>
      <c r="F328" s="1" t="s">
        <v>23</v>
      </c>
      <c r="G328" s="1" t="s">
        <v>17</v>
      </c>
      <c r="H328" s="1" t="s">
        <v>42</v>
      </c>
      <c r="I328" s="1" t="s">
        <v>52</v>
      </c>
      <c r="J328" s="1" t="s">
        <v>60</v>
      </c>
      <c r="K328" s="1" t="s">
        <v>47</v>
      </c>
      <c r="L328" s="1">
        <v>6</v>
      </c>
      <c r="M328" s="1">
        <v>3967.1</v>
      </c>
      <c r="N328" s="1">
        <v>0</v>
      </c>
      <c r="O328" s="1">
        <v>23802.6</v>
      </c>
      <c r="P328" s="1">
        <f t="shared" si="26"/>
        <v>23802.6</v>
      </c>
      <c r="Q328" s="10">
        <f t="shared" si="27"/>
        <v>0</v>
      </c>
      <c r="R328" s="11">
        <f t="shared" si="28"/>
        <v>23802.6</v>
      </c>
      <c r="S328" s="1" t="str">
        <f t="shared" si="29"/>
        <v>High</v>
      </c>
      <c r="T328" s="1" t="str" cm="1">
        <f t="array" ref="T328">_xlfn.IFS(L328&gt;5,"High",L328=5,"mediam",L328&lt;5,"low")</f>
        <v>High</v>
      </c>
      <c r="U328" s="1" t="str">
        <f t="shared" si="25"/>
        <v>High</v>
      </c>
    </row>
    <row r="329" spans="1:21" x14ac:dyDescent="0.3">
      <c r="A329" s="5">
        <v>10328</v>
      </c>
      <c r="B329" s="1">
        <v>1348</v>
      </c>
      <c r="C329" s="2">
        <v>45245</v>
      </c>
      <c r="D329" s="2">
        <v>45250</v>
      </c>
      <c r="E329" s="1" t="s">
        <v>22</v>
      </c>
      <c r="F329" s="1" t="s">
        <v>54</v>
      </c>
      <c r="G329" s="1" t="s">
        <v>24</v>
      </c>
      <c r="H329" s="1" t="s">
        <v>25</v>
      </c>
      <c r="I329" s="1" t="s">
        <v>52</v>
      </c>
      <c r="J329" s="1" t="s">
        <v>53</v>
      </c>
      <c r="K329" s="1" t="s">
        <v>45</v>
      </c>
      <c r="L329" s="1">
        <v>2</v>
      </c>
      <c r="M329" s="1">
        <v>2948.33</v>
      </c>
      <c r="N329" s="1">
        <v>15</v>
      </c>
      <c r="O329" s="1">
        <v>5012.16</v>
      </c>
      <c r="P329" s="1">
        <f t="shared" si="26"/>
        <v>5896.66</v>
      </c>
      <c r="Q329" s="10">
        <f t="shared" si="27"/>
        <v>751.82399999999996</v>
      </c>
      <c r="R329" s="11">
        <f t="shared" si="28"/>
        <v>5144.8360000000002</v>
      </c>
      <c r="S329" s="1" t="str">
        <f t="shared" si="29"/>
        <v>Low</v>
      </c>
      <c r="T329" s="1" t="str" cm="1">
        <f t="array" ref="T329">_xlfn.IFS(L329&gt;5,"High",L329=5,"mediam",L329&lt;5,"low")</f>
        <v>low</v>
      </c>
      <c r="U329" s="1" t="b">
        <f t="shared" ref="U329:U392" si="30">IF(L329&gt;5,"High",IF(L329="Mediam","Low"))</f>
        <v>0</v>
      </c>
    </row>
    <row r="330" spans="1:21" x14ac:dyDescent="0.3">
      <c r="A330" s="5">
        <v>10329</v>
      </c>
      <c r="B330" s="1">
        <v>1770</v>
      </c>
      <c r="C330" s="2">
        <v>44975</v>
      </c>
      <c r="D330" s="2">
        <v>44976</v>
      </c>
      <c r="E330" s="1" t="s">
        <v>40</v>
      </c>
      <c r="F330" s="1" t="s">
        <v>38</v>
      </c>
      <c r="G330" s="1" t="s">
        <v>17</v>
      </c>
      <c r="H330" s="1" t="s">
        <v>44</v>
      </c>
      <c r="I330" s="1" t="s">
        <v>26</v>
      </c>
      <c r="J330" s="1" t="s">
        <v>27</v>
      </c>
      <c r="K330" s="1" t="s">
        <v>47</v>
      </c>
      <c r="L330" s="1">
        <v>1</v>
      </c>
      <c r="M330" s="1">
        <v>3171.36</v>
      </c>
      <c r="N330" s="1">
        <v>20</v>
      </c>
      <c r="O330" s="1">
        <v>2537.09</v>
      </c>
      <c r="P330" s="1">
        <f t="shared" si="26"/>
        <v>3171.36</v>
      </c>
      <c r="Q330" s="10">
        <f t="shared" si="27"/>
        <v>507.41800000000006</v>
      </c>
      <c r="R330" s="11">
        <f t="shared" si="28"/>
        <v>2663.942</v>
      </c>
      <c r="S330" s="1" t="str">
        <f t="shared" si="29"/>
        <v>Low</v>
      </c>
      <c r="T330" s="1" t="str" cm="1">
        <f t="array" ref="T330">_xlfn.IFS(L330&gt;5,"High",L330=5,"mediam",L330&lt;5,"low")</f>
        <v>low</v>
      </c>
      <c r="U330" s="1" t="b">
        <f t="shared" si="30"/>
        <v>0</v>
      </c>
    </row>
    <row r="331" spans="1:21" x14ac:dyDescent="0.3">
      <c r="A331" s="5">
        <v>10330</v>
      </c>
      <c r="B331" s="1">
        <v>1659</v>
      </c>
      <c r="C331" s="2">
        <v>44958</v>
      </c>
      <c r="D331" s="2">
        <v>44966</v>
      </c>
      <c r="E331" s="1" t="s">
        <v>37</v>
      </c>
      <c r="F331" s="1" t="s">
        <v>54</v>
      </c>
      <c r="G331" s="1" t="s">
        <v>17</v>
      </c>
      <c r="H331" s="1" t="s">
        <v>44</v>
      </c>
      <c r="I331" s="1" t="s">
        <v>52</v>
      </c>
      <c r="J331" s="1" t="s">
        <v>64</v>
      </c>
      <c r="K331" s="1" t="s">
        <v>21</v>
      </c>
      <c r="L331" s="1">
        <v>7</v>
      </c>
      <c r="M331" s="1">
        <v>3978.5</v>
      </c>
      <c r="N331" s="1">
        <v>20</v>
      </c>
      <c r="O331" s="1">
        <v>22279.599999999999</v>
      </c>
      <c r="P331" s="1">
        <f t="shared" si="26"/>
        <v>27849.5</v>
      </c>
      <c r="Q331" s="10">
        <f t="shared" si="27"/>
        <v>4455.92</v>
      </c>
      <c r="R331" s="11">
        <f t="shared" si="28"/>
        <v>23393.58</v>
      </c>
      <c r="S331" s="1" t="str">
        <f t="shared" si="29"/>
        <v>High</v>
      </c>
      <c r="T331" s="1" t="str" cm="1">
        <f t="array" ref="T331">_xlfn.IFS(L331&gt;5,"High",L331=5,"mediam",L331&lt;5,"low")</f>
        <v>High</v>
      </c>
      <c r="U331" s="1" t="str">
        <f t="shared" si="30"/>
        <v>High</v>
      </c>
    </row>
    <row r="332" spans="1:21" x14ac:dyDescent="0.3">
      <c r="A332" s="5">
        <v>10331</v>
      </c>
      <c r="B332" s="1">
        <v>1763</v>
      </c>
      <c r="C332" s="2">
        <v>45203</v>
      </c>
      <c r="D332" s="2">
        <v>45207</v>
      </c>
      <c r="E332" s="1" t="s">
        <v>34</v>
      </c>
      <c r="F332" s="1" t="s">
        <v>38</v>
      </c>
      <c r="G332" s="1" t="s">
        <v>17</v>
      </c>
      <c r="H332" s="1" t="s">
        <v>35</v>
      </c>
      <c r="I332" s="1" t="s">
        <v>19</v>
      </c>
      <c r="J332" s="1" t="s">
        <v>55</v>
      </c>
      <c r="K332" s="1" t="s">
        <v>47</v>
      </c>
      <c r="L332" s="1">
        <v>2</v>
      </c>
      <c r="M332" s="1">
        <v>2481.1</v>
      </c>
      <c r="N332" s="1">
        <v>15</v>
      </c>
      <c r="O332" s="1">
        <v>4217.87</v>
      </c>
      <c r="P332" s="1">
        <f t="shared" si="26"/>
        <v>4962.2</v>
      </c>
      <c r="Q332" s="10">
        <f t="shared" si="27"/>
        <v>632.68049999999994</v>
      </c>
      <c r="R332" s="11">
        <f t="shared" si="28"/>
        <v>4329.5195000000003</v>
      </c>
      <c r="S332" s="1" t="str">
        <f t="shared" si="29"/>
        <v>Low</v>
      </c>
      <c r="T332" s="1" t="str" cm="1">
        <f t="array" ref="T332">_xlfn.IFS(L332&gt;5,"High",L332=5,"mediam",L332&lt;5,"low")</f>
        <v>low</v>
      </c>
      <c r="U332" s="1" t="b">
        <f t="shared" si="30"/>
        <v>0</v>
      </c>
    </row>
    <row r="333" spans="1:21" x14ac:dyDescent="0.3">
      <c r="A333" s="5">
        <v>10332</v>
      </c>
      <c r="B333" s="1">
        <v>1954</v>
      </c>
      <c r="C333" s="2">
        <v>44946</v>
      </c>
      <c r="D333" s="2">
        <v>44955</v>
      </c>
      <c r="E333" s="1" t="s">
        <v>15</v>
      </c>
      <c r="F333" s="1" t="s">
        <v>23</v>
      </c>
      <c r="G333" s="1" t="s">
        <v>17</v>
      </c>
      <c r="H333" s="1" t="s">
        <v>42</v>
      </c>
      <c r="I333" s="1" t="s">
        <v>57</v>
      </c>
      <c r="J333" s="1" t="s">
        <v>67</v>
      </c>
      <c r="K333" s="1" t="s">
        <v>21</v>
      </c>
      <c r="L333" s="1">
        <v>2</v>
      </c>
      <c r="M333" s="1">
        <v>1335.36</v>
      </c>
      <c r="N333" s="1">
        <v>5</v>
      </c>
      <c r="O333" s="1">
        <v>2537.1799999999998</v>
      </c>
      <c r="P333" s="1">
        <f t="shared" si="26"/>
        <v>2670.72</v>
      </c>
      <c r="Q333" s="10">
        <f t="shared" si="27"/>
        <v>126.85899999999999</v>
      </c>
      <c r="R333" s="11">
        <f t="shared" si="28"/>
        <v>2543.8609999999999</v>
      </c>
      <c r="S333" s="1" t="str">
        <f t="shared" si="29"/>
        <v>Low</v>
      </c>
      <c r="T333" s="1" t="str" cm="1">
        <f t="array" ref="T333">_xlfn.IFS(L333&gt;5,"High",L333=5,"mediam",L333&lt;5,"low")</f>
        <v>low</v>
      </c>
      <c r="U333" s="1" t="b">
        <f t="shared" si="30"/>
        <v>0</v>
      </c>
    </row>
    <row r="334" spans="1:21" x14ac:dyDescent="0.3">
      <c r="A334" s="5">
        <v>10333</v>
      </c>
      <c r="B334" s="1">
        <v>1931</v>
      </c>
      <c r="C334" s="2">
        <v>45080</v>
      </c>
      <c r="D334" s="2">
        <v>45086</v>
      </c>
      <c r="E334" s="1" t="s">
        <v>37</v>
      </c>
      <c r="F334" s="1" t="s">
        <v>54</v>
      </c>
      <c r="G334" s="1" t="s">
        <v>17</v>
      </c>
      <c r="H334" s="1" t="s">
        <v>25</v>
      </c>
      <c r="I334" s="1" t="s">
        <v>52</v>
      </c>
      <c r="J334" s="1" t="s">
        <v>60</v>
      </c>
      <c r="K334" s="1" t="s">
        <v>21</v>
      </c>
      <c r="L334" s="1">
        <v>5</v>
      </c>
      <c r="M334" s="1">
        <v>3374.49</v>
      </c>
      <c r="N334" s="1">
        <v>5</v>
      </c>
      <c r="O334" s="1">
        <v>16028.83</v>
      </c>
      <c r="P334" s="1">
        <f t="shared" si="26"/>
        <v>16872.449999999997</v>
      </c>
      <c r="Q334" s="10">
        <f t="shared" si="27"/>
        <v>801.44150000000002</v>
      </c>
      <c r="R334" s="11">
        <f t="shared" si="28"/>
        <v>16071.008499999996</v>
      </c>
      <c r="S334" s="1" t="str">
        <f t="shared" si="29"/>
        <v>High</v>
      </c>
      <c r="T334" s="1" t="str" cm="1">
        <f t="array" ref="T334">_xlfn.IFS(L334&gt;5,"High",L334=5,"mediam",L334&lt;5,"low")</f>
        <v>mediam</v>
      </c>
      <c r="U334" s="1" t="b">
        <f t="shared" si="30"/>
        <v>0</v>
      </c>
    </row>
    <row r="335" spans="1:21" x14ac:dyDescent="0.3">
      <c r="A335" s="5">
        <v>10334</v>
      </c>
      <c r="B335" s="1">
        <v>1402</v>
      </c>
      <c r="C335" s="2">
        <v>44994</v>
      </c>
      <c r="D335" s="2">
        <v>44995</v>
      </c>
      <c r="E335" s="1" t="s">
        <v>16</v>
      </c>
      <c r="F335" s="1" t="s">
        <v>29</v>
      </c>
      <c r="G335" s="1" t="s">
        <v>24</v>
      </c>
      <c r="H335" s="1" t="s">
        <v>35</v>
      </c>
      <c r="I335" s="1" t="s">
        <v>57</v>
      </c>
      <c r="J335" s="1" t="s">
        <v>59</v>
      </c>
      <c r="K335" s="1" t="s">
        <v>47</v>
      </c>
      <c r="L335" s="1">
        <v>5</v>
      </c>
      <c r="M335" s="1">
        <v>2515.77</v>
      </c>
      <c r="N335" s="1">
        <v>20</v>
      </c>
      <c r="O335" s="1">
        <v>10063.08</v>
      </c>
      <c r="P335" s="1">
        <f t="shared" si="26"/>
        <v>12578.85</v>
      </c>
      <c r="Q335" s="10">
        <f t="shared" si="27"/>
        <v>2012.616</v>
      </c>
      <c r="R335" s="11">
        <f t="shared" si="28"/>
        <v>10566.234</v>
      </c>
      <c r="S335" s="1" t="str">
        <f t="shared" si="29"/>
        <v>High</v>
      </c>
      <c r="T335" s="1" t="str" cm="1">
        <f t="array" ref="T335">_xlfn.IFS(L335&gt;5,"High",L335=5,"mediam",L335&lt;5,"low")</f>
        <v>mediam</v>
      </c>
      <c r="U335" s="1" t="b">
        <f t="shared" si="30"/>
        <v>0</v>
      </c>
    </row>
    <row r="336" spans="1:21" x14ac:dyDescent="0.3">
      <c r="A336" s="5">
        <v>10335</v>
      </c>
      <c r="B336" s="1">
        <v>1345</v>
      </c>
      <c r="C336" s="2">
        <v>45140</v>
      </c>
      <c r="D336" s="2">
        <v>45143</v>
      </c>
      <c r="E336" s="1" t="s">
        <v>40</v>
      </c>
      <c r="F336" s="1" t="s">
        <v>41</v>
      </c>
      <c r="G336" s="1" t="s">
        <v>17</v>
      </c>
      <c r="H336" s="1" t="s">
        <v>35</v>
      </c>
      <c r="I336" s="1" t="s">
        <v>19</v>
      </c>
      <c r="J336" s="1" t="s">
        <v>43</v>
      </c>
      <c r="K336" s="1" t="s">
        <v>45</v>
      </c>
      <c r="L336" s="1">
        <v>7</v>
      </c>
      <c r="M336" s="1">
        <v>2387.6</v>
      </c>
      <c r="N336" s="1">
        <v>20</v>
      </c>
      <c r="O336" s="1">
        <v>13370.56</v>
      </c>
      <c r="P336" s="1">
        <f t="shared" si="26"/>
        <v>16713.2</v>
      </c>
      <c r="Q336" s="10">
        <f t="shared" si="27"/>
        <v>2674.1120000000001</v>
      </c>
      <c r="R336" s="11">
        <f t="shared" si="28"/>
        <v>14039.088</v>
      </c>
      <c r="S336" s="1" t="str">
        <f t="shared" si="29"/>
        <v>High</v>
      </c>
      <c r="T336" s="1" t="str" cm="1">
        <f t="array" ref="T336">_xlfn.IFS(L336&gt;5,"High",L336=5,"mediam",L336&lt;5,"low")</f>
        <v>High</v>
      </c>
      <c r="U336" s="1" t="str">
        <f t="shared" si="30"/>
        <v>High</v>
      </c>
    </row>
    <row r="337" spans="1:21" x14ac:dyDescent="0.3">
      <c r="A337" s="5">
        <v>10336</v>
      </c>
      <c r="B337" s="1">
        <v>1962</v>
      </c>
      <c r="C337" s="2">
        <v>45069</v>
      </c>
      <c r="D337" s="2">
        <v>45072</v>
      </c>
      <c r="E337" s="1" t="s">
        <v>16</v>
      </c>
      <c r="F337" s="1" t="s">
        <v>41</v>
      </c>
      <c r="G337" s="1" t="s">
        <v>24</v>
      </c>
      <c r="H337" s="1" t="s">
        <v>42</v>
      </c>
      <c r="I337" s="1" t="s">
        <v>19</v>
      </c>
      <c r="J337" s="1" t="s">
        <v>66</v>
      </c>
      <c r="K337" s="1" t="s">
        <v>33</v>
      </c>
      <c r="L337" s="1">
        <v>1</v>
      </c>
      <c r="M337" s="1">
        <v>1126.5</v>
      </c>
      <c r="N337" s="1">
        <v>15</v>
      </c>
      <c r="O337" s="1">
        <v>957.52</v>
      </c>
      <c r="P337" s="1">
        <f t="shared" si="26"/>
        <v>1126.5</v>
      </c>
      <c r="Q337" s="10">
        <f t="shared" si="27"/>
        <v>143.62799999999999</v>
      </c>
      <c r="R337" s="11">
        <f t="shared" si="28"/>
        <v>982.87200000000007</v>
      </c>
      <c r="S337" s="1" t="str">
        <f t="shared" si="29"/>
        <v>Low</v>
      </c>
      <c r="T337" s="1" t="str" cm="1">
        <f t="array" ref="T337">_xlfn.IFS(L337&gt;5,"High",L337=5,"mediam",L337&lt;5,"low")</f>
        <v>low</v>
      </c>
      <c r="U337" s="1" t="b">
        <f t="shared" si="30"/>
        <v>0</v>
      </c>
    </row>
    <row r="338" spans="1:21" x14ac:dyDescent="0.3">
      <c r="A338" s="5">
        <v>10337</v>
      </c>
      <c r="B338" s="1">
        <v>1510</v>
      </c>
      <c r="C338" s="2">
        <v>45158</v>
      </c>
      <c r="D338" s="2">
        <v>45162</v>
      </c>
      <c r="E338" s="1" t="s">
        <v>46</v>
      </c>
      <c r="F338" s="1" t="s">
        <v>38</v>
      </c>
      <c r="G338" s="1" t="s">
        <v>17</v>
      </c>
      <c r="H338" s="1" t="s">
        <v>25</v>
      </c>
      <c r="I338" s="1" t="s">
        <v>57</v>
      </c>
      <c r="J338" s="1" t="s">
        <v>62</v>
      </c>
      <c r="K338" s="1" t="s">
        <v>33</v>
      </c>
      <c r="L338" s="1">
        <v>8</v>
      </c>
      <c r="M338" s="1">
        <v>3061.89</v>
      </c>
      <c r="N338" s="1">
        <v>5</v>
      </c>
      <c r="O338" s="1">
        <v>23270.36</v>
      </c>
      <c r="P338" s="1">
        <f t="shared" si="26"/>
        <v>24495.119999999999</v>
      </c>
      <c r="Q338" s="10">
        <f t="shared" si="27"/>
        <v>1163.518</v>
      </c>
      <c r="R338" s="11">
        <f t="shared" si="28"/>
        <v>23331.601999999999</v>
      </c>
      <c r="S338" s="1" t="str">
        <f t="shared" si="29"/>
        <v>High</v>
      </c>
      <c r="T338" s="1" t="str" cm="1">
        <f t="array" ref="T338">_xlfn.IFS(L338&gt;5,"High",L338=5,"mediam",L338&lt;5,"low")</f>
        <v>High</v>
      </c>
      <c r="U338" s="1" t="str">
        <f t="shared" si="30"/>
        <v>High</v>
      </c>
    </row>
    <row r="339" spans="1:21" x14ac:dyDescent="0.3">
      <c r="A339" s="5">
        <v>10338</v>
      </c>
      <c r="B339" s="1">
        <v>1146</v>
      </c>
      <c r="C339" s="2">
        <v>45139</v>
      </c>
      <c r="D339" s="2">
        <v>45145</v>
      </c>
      <c r="E339" s="1" t="s">
        <v>22</v>
      </c>
      <c r="F339" s="1" t="s">
        <v>29</v>
      </c>
      <c r="G339" s="1" t="s">
        <v>30</v>
      </c>
      <c r="H339" s="1" t="s">
        <v>42</v>
      </c>
      <c r="I339" s="1" t="s">
        <v>49</v>
      </c>
      <c r="J339" s="1" t="s">
        <v>50</v>
      </c>
      <c r="K339" s="1" t="s">
        <v>21</v>
      </c>
      <c r="L339" s="1">
        <v>3</v>
      </c>
      <c r="M339" s="1">
        <v>464.42</v>
      </c>
      <c r="N339" s="1">
        <v>20</v>
      </c>
      <c r="O339" s="1">
        <v>1114.6099999999999</v>
      </c>
      <c r="P339" s="1">
        <f t="shared" si="26"/>
        <v>1393.26</v>
      </c>
      <c r="Q339" s="10">
        <f t="shared" si="27"/>
        <v>222.922</v>
      </c>
      <c r="R339" s="11">
        <f t="shared" si="28"/>
        <v>1170.338</v>
      </c>
      <c r="S339" s="1" t="str">
        <f t="shared" si="29"/>
        <v>Low</v>
      </c>
      <c r="T339" s="1" t="str" cm="1">
        <f t="array" ref="T339">_xlfn.IFS(L339&gt;5,"High",L339=5,"mediam",L339&lt;5,"low")</f>
        <v>low</v>
      </c>
      <c r="U339" s="1" t="b">
        <f t="shared" si="30"/>
        <v>0</v>
      </c>
    </row>
    <row r="340" spans="1:21" x14ac:dyDescent="0.3">
      <c r="A340" s="5">
        <v>10339</v>
      </c>
      <c r="B340" s="1">
        <v>1147</v>
      </c>
      <c r="C340" s="2">
        <v>45005</v>
      </c>
      <c r="D340" s="2">
        <v>45012</v>
      </c>
      <c r="E340" s="1" t="s">
        <v>15</v>
      </c>
      <c r="F340" s="1" t="s">
        <v>54</v>
      </c>
      <c r="G340" s="1" t="s">
        <v>17</v>
      </c>
      <c r="H340" s="1" t="s">
        <v>25</v>
      </c>
      <c r="I340" s="1" t="s">
        <v>31</v>
      </c>
      <c r="J340" s="1" t="s">
        <v>32</v>
      </c>
      <c r="K340" s="1" t="s">
        <v>21</v>
      </c>
      <c r="L340" s="1">
        <v>4</v>
      </c>
      <c r="M340" s="1">
        <v>3708.51</v>
      </c>
      <c r="N340" s="1">
        <v>5</v>
      </c>
      <c r="O340" s="1">
        <v>14092.34</v>
      </c>
      <c r="P340" s="1">
        <f t="shared" si="26"/>
        <v>14834.04</v>
      </c>
      <c r="Q340" s="10">
        <f t="shared" si="27"/>
        <v>704.61700000000008</v>
      </c>
      <c r="R340" s="11">
        <f t="shared" si="28"/>
        <v>14129.423000000001</v>
      </c>
      <c r="S340" s="1" t="str">
        <f t="shared" si="29"/>
        <v>Low</v>
      </c>
      <c r="T340" s="1" t="str" cm="1">
        <f t="array" ref="T340">_xlfn.IFS(L340&gt;5,"High",L340=5,"mediam",L340&lt;5,"low")</f>
        <v>low</v>
      </c>
      <c r="U340" s="1" t="b">
        <f t="shared" si="30"/>
        <v>0</v>
      </c>
    </row>
    <row r="341" spans="1:21" x14ac:dyDescent="0.3">
      <c r="A341" s="5">
        <v>10340</v>
      </c>
      <c r="B341" s="1">
        <v>1863</v>
      </c>
      <c r="C341" s="2">
        <v>45140</v>
      </c>
      <c r="D341" s="2">
        <v>45144</v>
      </c>
      <c r="E341" s="1" t="s">
        <v>37</v>
      </c>
      <c r="F341" s="1" t="s">
        <v>29</v>
      </c>
      <c r="G341" s="1" t="s">
        <v>30</v>
      </c>
      <c r="H341" s="1" t="s">
        <v>42</v>
      </c>
      <c r="I341" s="1" t="s">
        <v>49</v>
      </c>
      <c r="J341" s="1" t="s">
        <v>50</v>
      </c>
      <c r="K341" s="1" t="s">
        <v>45</v>
      </c>
      <c r="L341" s="1">
        <v>9</v>
      </c>
      <c r="M341" s="1">
        <v>1404.42</v>
      </c>
      <c r="N341" s="1">
        <v>20</v>
      </c>
      <c r="O341" s="1">
        <v>10111.82</v>
      </c>
      <c r="P341" s="1">
        <f t="shared" si="26"/>
        <v>12639.78</v>
      </c>
      <c r="Q341" s="10">
        <f t="shared" si="27"/>
        <v>2022.364</v>
      </c>
      <c r="R341" s="11">
        <f t="shared" si="28"/>
        <v>10617.416000000001</v>
      </c>
      <c r="S341" s="1" t="str">
        <f t="shared" si="29"/>
        <v>High</v>
      </c>
      <c r="T341" s="1" t="str" cm="1">
        <f t="array" ref="T341">_xlfn.IFS(L341&gt;5,"High",L341=5,"mediam",L341&lt;5,"low")</f>
        <v>High</v>
      </c>
      <c r="U341" s="1" t="str">
        <f t="shared" si="30"/>
        <v>High</v>
      </c>
    </row>
    <row r="342" spans="1:21" x14ac:dyDescent="0.3">
      <c r="A342" s="5">
        <v>10341</v>
      </c>
      <c r="B342" s="1">
        <v>1710</v>
      </c>
      <c r="C342" s="2">
        <v>45042</v>
      </c>
      <c r="D342" s="2">
        <v>45048</v>
      </c>
      <c r="E342" s="1" t="s">
        <v>16</v>
      </c>
      <c r="F342" s="1" t="s">
        <v>29</v>
      </c>
      <c r="G342" s="1" t="s">
        <v>17</v>
      </c>
      <c r="H342" s="1" t="s">
        <v>35</v>
      </c>
      <c r="I342" s="1" t="s">
        <v>49</v>
      </c>
      <c r="J342" s="1" t="s">
        <v>51</v>
      </c>
      <c r="K342" s="1" t="s">
        <v>28</v>
      </c>
      <c r="L342" s="1">
        <v>4</v>
      </c>
      <c r="M342" s="1">
        <v>641.92999999999995</v>
      </c>
      <c r="N342" s="1">
        <v>0</v>
      </c>
      <c r="O342" s="1">
        <v>2567.7199999999998</v>
      </c>
      <c r="P342" s="1">
        <f t="shared" si="26"/>
        <v>2567.7199999999998</v>
      </c>
      <c r="Q342" s="10">
        <f t="shared" si="27"/>
        <v>0</v>
      </c>
      <c r="R342" s="11">
        <f t="shared" si="28"/>
        <v>2567.7199999999998</v>
      </c>
      <c r="S342" s="1" t="str">
        <f t="shared" si="29"/>
        <v>Low</v>
      </c>
      <c r="T342" s="1" t="str" cm="1">
        <f t="array" ref="T342">_xlfn.IFS(L342&gt;5,"High",L342=5,"mediam",L342&lt;5,"low")</f>
        <v>low</v>
      </c>
      <c r="U342" s="1" t="b">
        <f t="shared" si="30"/>
        <v>0</v>
      </c>
    </row>
    <row r="343" spans="1:21" x14ac:dyDescent="0.3">
      <c r="A343" s="5">
        <v>10342</v>
      </c>
      <c r="B343" s="1">
        <v>1819</v>
      </c>
      <c r="C343" s="2">
        <v>45018</v>
      </c>
      <c r="D343" s="2">
        <v>45019</v>
      </c>
      <c r="E343" s="1" t="s">
        <v>15</v>
      </c>
      <c r="F343" s="1" t="s">
        <v>54</v>
      </c>
      <c r="G343" s="1" t="s">
        <v>17</v>
      </c>
      <c r="H343" s="1" t="s">
        <v>35</v>
      </c>
      <c r="I343" s="1" t="s">
        <v>26</v>
      </c>
      <c r="J343" s="1" t="s">
        <v>27</v>
      </c>
      <c r="K343" s="1" t="s">
        <v>47</v>
      </c>
      <c r="L343" s="1">
        <v>5</v>
      </c>
      <c r="M343" s="1">
        <v>1853.11</v>
      </c>
      <c r="N343" s="1">
        <v>10</v>
      </c>
      <c r="O343" s="1">
        <v>8338.99</v>
      </c>
      <c r="P343" s="1">
        <f t="shared" si="26"/>
        <v>9265.5499999999993</v>
      </c>
      <c r="Q343" s="10">
        <f t="shared" si="27"/>
        <v>833.899</v>
      </c>
      <c r="R343" s="11">
        <f t="shared" si="28"/>
        <v>8431.6509999999998</v>
      </c>
      <c r="S343" s="1" t="str">
        <f t="shared" si="29"/>
        <v>High</v>
      </c>
      <c r="T343" s="1" t="str" cm="1">
        <f t="array" ref="T343">_xlfn.IFS(L343&gt;5,"High",L343=5,"mediam",L343&lt;5,"low")</f>
        <v>mediam</v>
      </c>
      <c r="U343" s="1" t="b">
        <f t="shared" si="30"/>
        <v>0</v>
      </c>
    </row>
    <row r="344" spans="1:21" x14ac:dyDescent="0.3">
      <c r="A344" s="5">
        <v>10343</v>
      </c>
      <c r="B344" s="1">
        <v>1488</v>
      </c>
      <c r="C344" s="2">
        <v>45196</v>
      </c>
      <c r="D344" s="2">
        <v>45204</v>
      </c>
      <c r="E344" s="1" t="s">
        <v>46</v>
      </c>
      <c r="F344" s="1" t="s">
        <v>23</v>
      </c>
      <c r="G344" s="1" t="s">
        <v>17</v>
      </c>
      <c r="H344" s="1" t="s">
        <v>18</v>
      </c>
      <c r="I344" s="1" t="s">
        <v>49</v>
      </c>
      <c r="J344" s="1" t="s">
        <v>51</v>
      </c>
      <c r="K344" s="1" t="s">
        <v>21</v>
      </c>
      <c r="L344" s="1">
        <v>7</v>
      </c>
      <c r="M344" s="1">
        <v>313.51</v>
      </c>
      <c r="N344" s="1">
        <v>0</v>
      </c>
      <c r="O344" s="1">
        <v>2194.5700000000002</v>
      </c>
      <c r="P344" s="1">
        <f t="shared" si="26"/>
        <v>2194.5699999999997</v>
      </c>
      <c r="Q344" s="10">
        <f t="shared" si="27"/>
        <v>0</v>
      </c>
      <c r="R344" s="11">
        <f t="shared" si="28"/>
        <v>2194.5699999999997</v>
      </c>
      <c r="S344" s="1" t="str">
        <f t="shared" si="29"/>
        <v>High</v>
      </c>
      <c r="T344" s="1" t="str" cm="1">
        <f t="array" ref="T344">_xlfn.IFS(L344&gt;5,"High",L344=5,"mediam",L344&lt;5,"low")</f>
        <v>High</v>
      </c>
      <c r="U344" s="1" t="str">
        <f t="shared" si="30"/>
        <v>High</v>
      </c>
    </row>
    <row r="345" spans="1:21" x14ac:dyDescent="0.3">
      <c r="A345" s="5">
        <v>10344</v>
      </c>
      <c r="B345" s="1">
        <v>1928</v>
      </c>
      <c r="C345" s="2">
        <v>45094</v>
      </c>
      <c r="D345" s="2">
        <v>45101</v>
      </c>
      <c r="E345" s="1" t="s">
        <v>22</v>
      </c>
      <c r="F345" s="1" t="s">
        <v>29</v>
      </c>
      <c r="G345" s="1" t="s">
        <v>30</v>
      </c>
      <c r="H345" s="1" t="s">
        <v>44</v>
      </c>
      <c r="I345" s="1" t="s">
        <v>52</v>
      </c>
      <c r="J345" s="1" t="s">
        <v>56</v>
      </c>
      <c r="K345" s="1" t="s">
        <v>33</v>
      </c>
      <c r="L345" s="1">
        <v>4</v>
      </c>
      <c r="M345" s="1">
        <v>2785.81</v>
      </c>
      <c r="N345" s="1">
        <v>20</v>
      </c>
      <c r="O345" s="1">
        <v>8914.59</v>
      </c>
      <c r="P345" s="1">
        <f t="shared" si="26"/>
        <v>11143.24</v>
      </c>
      <c r="Q345" s="10">
        <f t="shared" si="27"/>
        <v>1782.9180000000001</v>
      </c>
      <c r="R345" s="11">
        <f t="shared" si="28"/>
        <v>9360.3220000000001</v>
      </c>
      <c r="S345" s="1" t="str">
        <f t="shared" si="29"/>
        <v>Low</v>
      </c>
      <c r="T345" s="1" t="str" cm="1">
        <f t="array" ref="T345">_xlfn.IFS(L345&gt;5,"High",L345=5,"mediam",L345&lt;5,"low")</f>
        <v>low</v>
      </c>
      <c r="U345" s="1" t="b">
        <f t="shared" si="30"/>
        <v>0</v>
      </c>
    </row>
    <row r="346" spans="1:21" x14ac:dyDescent="0.3">
      <c r="A346" s="5">
        <v>10345</v>
      </c>
      <c r="B346" s="1">
        <v>1935</v>
      </c>
      <c r="C346" s="2">
        <v>44984</v>
      </c>
      <c r="D346" s="2">
        <v>44993</v>
      </c>
      <c r="E346" s="1" t="s">
        <v>34</v>
      </c>
      <c r="F346" s="1" t="s">
        <v>29</v>
      </c>
      <c r="G346" s="1" t="s">
        <v>30</v>
      </c>
      <c r="H346" s="1" t="s">
        <v>42</v>
      </c>
      <c r="I346" s="1" t="s">
        <v>26</v>
      </c>
      <c r="J346" s="1" t="s">
        <v>36</v>
      </c>
      <c r="K346" s="1" t="s">
        <v>45</v>
      </c>
      <c r="L346" s="1">
        <v>1</v>
      </c>
      <c r="M346" s="1">
        <v>3625.42</v>
      </c>
      <c r="N346" s="1">
        <v>10</v>
      </c>
      <c r="O346" s="1">
        <v>3262.88</v>
      </c>
      <c r="P346" s="1">
        <f t="shared" si="26"/>
        <v>3625.42</v>
      </c>
      <c r="Q346" s="10">
        <f t="shared" si="27"/>
        <v>326.28800000000001</v>
      </c>
      <c r="R346" s="11">
        <f t="shared" si="28"/>
        <v>3299.1320000000001</v>
      </c>
      <c r="S346" s="1" t="str">
        <f t="shared" si="29"/>
        <v>Low</v>
      </c>
      <c r="T346" s="1" t="str" cm="1">
        <f t="array" ref="T346">_xlfn.IFS(L346&gt;5,"High",L346=5,"mediam",L346&lt;5,"low")</f>
        <v>low</v>
      </c>
      <c r="U346" s="1" t="b">
        <f t="shared" si="30"/>
        <v>0</v>
      </c>
    </row>
    <row r="347" spans="1:21" x14ac:dyDescent="0.3">
      <c r="A347" s="5">
        <v>10346</v>
      </c>
      <c r="B347" s="1">
        <v>1639</v>
      </c>
      <c r="C347" s="2">
        <v>45210</v>
      </c>
      <c r="D347" s="2">
        <v>45213</v>
      </c>
      <c r="E347" s="1" t="s">
        <v>40</v>
      </c>
      <c r="F347" s="1" t="s">
        <v>23</v>
      </c>
      <c r="G347" s="1" t="s">
        <v>17</v>
      </c>
      <c r="H347" s="1" t="s">
        <v>18</v>
      </c>
      <c r="I347" s="1" t="s">
        <v>26</v>
      </c>
      <c r="J347" s="1" t="s">
        <v>36</v>
      </c>
      <c r="K347" s="1" t="s">
        <v>47</v>
      </c>
      <c r="L347" s="1">
        <v>9</v>
      </c>
      <c r="M347" s="1">
        <v>3373.46</v>
      </c>
      <c r="N347" s="1">
        <v>10</v>
      </c>
      <c r="O347" s="1">
        <v>27325.03</v>
      </c>
      <c r="P347" s="1">
        <f t="shared" si="26"/>
        <v>30361.14</v>
      </c>
      <c r="Q347" s="10">
        <f t="shared" si="27"/>
        <v>2732.5030000000002</v>
      </c>
      <c r="R347" s="11">
        <f t="shared" si="28"/>
        <v>27628.636999999999</v>
      </c>
      <c r="S347" s="1" t="str">
        <f t="shared" si="29"/>
        <v>High</v>
      </c>
      <c r="T347" s="1" t="str" cm="1">
        <f t="array" ref="T347">_xlfn.IFS(L347&gt;5,"High",L347=5,"mediam",L347&lt;5,"low")</f>
        <v>High</v>
      </c>
      <c r="U347" s="1" t="str">
        <f t="shared" si="30"/>
        <v>High</v>
      </c>
    </row>
    <row r="348" spans="1:21" x14ac:dyDescent="0.3">
      <c r="A348" s="5">
        <v>10347</v>
      </c>
      <c r="B348" s="1">
        <v>1550</v>
      </c>
      <c r="C348" s="2">
        <v>44952</v>
      </c>
      <c r="D348" s="2">
        <v>44954</v>
      </c>
      <c r="E348" s="1" t="s">
        <v>15</v>
      </c>
      <c r="F348" s="1" t="s">
        <v>29</v>
      </c>
      <c r="G348" s="1" t="s">
        <v>24</v>
      </c>
      <c r="H348" s="1" t="s">
        <v>44</v>
      </c>
      <c r="I348" s="1" t="s">
        <v>19</v>
      </c>
      <c r="J348" s="1" t="s">
        <v>20</v>
      </c>
      <c r="K348" s="1" t="s">
        <v>45</v>
      </c>
      <c r="L348" s="1">
        <v>4</v>
      </c>
      <c r="M348" s="1">
        <v>640.37</v>
      </c>
      <c r="N348" s="1">
        <v>20</v>
      </c>
      <c r="O348" s="1">
        <v>2049.1799999999998</v>
      </c>
      <c r="P348" s="1">
        <f t="shared" si="26"/>
        <v>2561.48</v>
      </c>
      <c r="Q348" s="10">
        <f t="shared" si="27"/>
        <v>409.83600000000001</v>
      </c>
      <c r="R348" s="11">
        <f t="shared" si="28"/>
        <v>2151.6440000000002</v>
      </c>
      <c r="S348" s="1" t="str">
        <f t="shared" si="29"/>
        <v>Low</v>
      </c>
      <c r="T348" s="1" t="str" cm="1">
        <f t="array" ref="T348">_xlfn.IFS(L348&gt;5,"High",L348=5,"mediam",L348&lt;5,"low")</f>
        <v>low</v>
      </c>
      <c r="U348" s="1" t="b">
        <f t="shared" si="30"/>
        <v>0</v>
      </c>
    </row>
    <row r="349" spans="1:21" x14ac:dyDescent="0.3">
      <c r="A349" s="5">
        <v>10348</v>
      </c>
      <c r="B349" s="1">
        <v>1337</v>
      </c>
      <c r="C349" s="2">
        <v>44992</v>
      </c>
      <c r="D349" s="2">
        <v>44993</v>
      </c>
      <c r="E349" s="1" t="s">
        <v>15</v>
      </c>
      <c r="F349" s="1" t="s">
        <v>29</v>
      </c>
      <c r="G349" s="1" t="s">
        <v>17</v>
      </c>
      <c r="H349" s="1" t="s">
        <v>42</v>
      </c>
      <c r="I349" s="1" t="s">
        <v>49</v>
      </c>
      <c r="J349" s="1" t="s">
        <v>68</v>
      </c>
      <c r="K349" s="1" t="s">
        <v>47</v>
      </c>
      <c r="L349" s="1">
        <v>9</v>
      </c>
      <c r="M349" s="1">
        <v>636.14</v>
      </c>
      <c r="N349" s="1">
        <v>20</v>
      </c>
      <c r="O349" s="1">
        <v>4580.21</v>
      </c>
      <c r="P349" s="1">
        <f t="shared" si="26"/>
        <v>5725.26</v>
      </c>
      <c r="Q349" s="10">
        <f t="shared" si="27"/>
        <v>916.04200000000003</v>
      </c>
      <c r="R349" s="11">
        <f t="shared" si="28"/>
        <v>4809.2179999999998</v>
      </c>
      <c r="S349" s="1" t="str">
        <f t="shared" si="29"/>
        <v>High</v>
      </c>
      <c r="T349" s="1" t="str" cm="1">
        <f t="array" ref="T349">_xlfn.IFS(L349&gt;5,"High",L349=5,"mediam",L349&lt;5,"low")</f>
        <v>High</v>
      </c>
      <c r="U349" s="1" t="str">
        <f t="shared" si="30"/>
        <v>High</v>
      </c>
    </row>
    <row r="350" spans="1:21" x14ac:dyDescent="0.3">
      <c r="A350" s="5">
        <v>10349</v>
      </c>
      <c r="B350" s="1">
        <v>1871</v>
      </c>
      <c r="C350" s="2">
        <v>45174</v>
      </c>
      <c r="D350" s="2">
        <v>45177</v>
      </c>
      <c r="E350" s="1" t="s">
        <v>34</v>
      </c>
      <c r="F350" s="1" t="s">
        <v>29</v>
      </c>
      <c r="G350" s="1" t="s">
        <v>30</v>
      </c>
      <c r="H350" s="1" t="s">
        <v>25</v>
      </c>
      <c r="I350" s="1" t="s">
        <v>19</v>
      </c>
      <c r="J350" s="1" t="s">
        <v>55</v>
      </c>
      <c r="K350" s="1" t="s">
        <v>47</v>
      </c>
      <c r="L350" s="1">
        <v>6</v>
      </c>
      <c r="M350" s="1">
        <v>3281.72</v>
      </c>
      <c r="N350" s="1">
        <v>5</v>
      </c>
      <c r="O350" s="1">
        <v>18705.8</v>
      </c>
      <c r="P350" s="1">
        <f t="shared" si="26"/>
        <v>19690.32</v>
      </c>
      <c r="Q350" s="10">
        <f t="shared" si="27"/>
        <v>935.29</v>
      </c>
      <c r="R350" s="11">
        <f t="shared" si="28"/>
        <v>18755.03</v>
      </c>
      <c r="S350" s="1" t="str">
        <f t="shared" si="29"/>
        <v>High</v>
      </c>
      <c r="T350" s="1" t="str" cm="1">
        <f t="array" ref="T350">_xlfn.IFS(L350&gt;5,"High",L350=5,"mediam",L350&lt;5,"low")</f>
        <v>High</v>
      </c>
      <c r="U350" s="1" t="str">
        <f t="shared" si="30"/>
        <v>High</v>
      </c>
    </row>
    <row r="351" spans="1:21" x14ac:dyDescent="0.3">
      <c r="A351" s="5">
        <v>10350</v>
      </c>
      <c r="B351" s="1">
        <v>1640</v>
      </c>
      <c r="C351" s="2">
        <v>45180</v>
      </c>
      <c r="D351" s="2">
        <v>45185</v>
      </c>
      <c r="E351" s="1" t="s">
        <v>15</v>
      </c>
      <c r="F351" s="1" t="s">
        <v>41</v>
      </c>
      <c r="G351" s="1" t="s">
        <v>17</v>
      </c>
      <c r="H351" s="1" t="s">
        <v>44</v>
      </c>
      <c r="I351" s="1" t="s">
        <v>57</v>
      </c>
      <c r="J351" s="1" t="s">
        <v>62</v>
      </c>
      <c r="K351" s="1" t="s">
        <v>21</v>
      </c>
      <c r="L351" s="1">
        <v>1</v>
      </c>
      <c r="M351" s="1">
        <v>3708.38</v>
      </c>
      <c r="N351" s="1">
        <v>20</v>
      </c>
      <c r="O351" s="1">
        <v>2966.7</v>
      </c>
      <c r="P351" s="1">
        <f t="shared" si="26"/>
        <v>3708.38</v>
      </c>
      <c r="Q351" s="10">
        <f t="shared" si="27"/>
        <v>593.34</v>
      </c>
      <c r="R351" s="11">
        <f t="shared" si="28"/>
        <v>3115.04</v>
      </c>
      <c r="S351" s="1" t="str">
        <f t="shared" si="29"/>
        <v>Low</v>
      </c>
      <c r="T351" s="1" t="str" cm="1">
        <f t="array" ref="T351">_xlfn.IFS(L351&gt;5,"High",L351=5,"mediam",L351&lt;5,"low")</f>
        <v>low</v>
      </c>
      <c r="U351" s="1" t="b">
        <f t="shared" si="30"/>
        <v>0</v>
      </c>
    </row>
    <row r="352" spans="1:21" x14ac:dyDescent="0.3">
      <c r="A352" s="5">
        <v>10351</v>
      </c>
      <c r="B352" s="1">
        <v>1778</v>
      </c>
      <c r="C352" s="2">
        <v>44970</v>
      </c>
      <c r="D352" s="2">
        <v>44972</v>
      </c>
      <c r="E352" s="1" t="s">
        <v>46</v>
      </c>
      <c r="F352" s="1" t="s">
        <v>16</v>
      </c>
      <c r="G352" s="1" t="s">
        <v>30</v>
      </c>
      <c r="H352" s="1" t="s">
        <v>35</v>
      </c>
      <c r="I352" s="1" t="s">
        <v>31</v>
      </c>
      <c r="J352" s="1" t="s">
        <v>32</v>
      </c>
      <c r="K352" s="1" t="s">
        <v>45</v>
      </c>
      <c r="L352" s="1">
        <v>3</v>
      </c>
      <c r="M352" s="1">
        <v>1923.58</v>
      </c>
      <c r="N352" s="1">
        <v>15</v>
      </c>
      <c r="O352" s="1">
        <v>4905.13</v>
      </c>
      <c r="P352" s="1">
        <f t="shared" si="26"/>
        <v>5770.74</v>
      </c>
      <c r="Q352" s="10">
        <f t="shared" si="27"/>
        <v>735.76949999999999</v>
      </c>
      <c r="R352" s="11">
        <f t="shared" si="28"/>
        <v>5034.9704999999994</v>
      </c>
      <c r="S352" s="1" t="str">
        <f t="shared" si="29"/>
        <v>Low</v>
      </c>
      <c r="T352" s="1" t="str" cm="1">
        <f t="array" ref="T352">_xlfn.IFS(L352&gt;5,"High",L352=5,"mediam",L352&lt;5,"low")</f>
        <v>low</v>
      </c>
      <c r="U352" s="1" t="b">
        <f t="shared" si="30"/>
        <v>0</v>
      </c>
    </row>
    <row r="353" spans="1:21" x14ac:dyDescent="0.3">
      <c r="A353" s="5">
        <v>10352</v>
      </c>
      <c r="B353" s="1">
        <v>1987</v>
      </c>
      <c r="C353" s="2">
        <v>45023</v>
      </c>
      <c r="D353" s="2">
        <v>45026</v>
      </c>
      <c r="E353" s="1" t="s">
        <v>46</v>
      </c>
      <c r="F353" s="1" t="s">
        <v>23</v>
      </c>
      <c r="G353" s="1" t="s">
        <v>30</v>
      </c>
      <c r="H353" s="1" t="s">
        <v>18</v>
      </c>
      <c r="I353" s="1" t="s">
        <v>26</v>
      </c>
      <c r="J353" s="1" t="s">
        <v>36</v>
      </c>
      <c r="K353" s="1" t="s">
        <v>45</v>
      </c>
      <c r="L353" s="1">
        <v>2</v>
      </c>
      <c r="M353" s="1">
        <v>2071.04</v>
      </c>
      <c r="N353" s="1">
        <v>20</v>
      </c>
      <c r="O353" s="1">
        <v>3313.66</v>
      </c>
      <c r="P353" s="1">
        <f t="shared" si="26"/>
        <v>4142.08</v>
      </c>
      <c r="Q353" s="10">
        <f t="shared" si="27"/>
        <v>662.73199999999997</v>
      </c>
      <c r="R353" s="11">
        <f t="shared" si="28"/>
        <v>3479.348</v>
      </c>
      <c r="S353" s="1" t="str">
        <f t="shared" si="29"/>
        <v>Low</v>
      </c>
      <c r="T353" s="1" t="str" cm="1">
        <f t="array" ref="T353">_xlfn.IFS(L353&gt;5,"High",L353=5,"mediam",L353&lt;5,"low")</f>
        <v>low</v>
      </c>
      <c r="U353" s="1" t="b">
        <f t="shared" si="30"/>
        <v>0</v>
      </c>
    </row>
    <row r="354" spans="1:21" x14ac:dyDescent="0.3">
      <c r="A354" s="5">
        <v>10353</v>
      </c>
      <c r="B354" s="1">
        <v>1952</v>
      </c>
      <c r="C354" s="2">
        <v>44968</v>
      </c>
      <c r="D354" s="2">
        <v>44972</v>
      </c>
      <c r="E354" s="1" t="s">
        <v>34</v>
      </c>
      <c r="F354" s="1" t="s">
        <v>29</v>
      </c>
      <c r="G354" s="1" t="s">
        <v>30</v>
      </c>
      <c r="H354" s="1" t="s">
        <v>44</v>
      </c>
      <c r="I354" s="1" t="s">
        <v>57</v>
      </c>
      <c r="J354" s="1" t="s">
        <v>67</v>
      </c>
      <c r="K354" s="1" t="s">
        <v>33</v>
      </c>
      <c r="L354" s="1">
        <v>9</v>
      </c>
      <c r="M354" s="1">
        <v>1375.31</v>
      </c>
      <c r="N354" s="1">
        <v>15</v>
      </c>
      <c r="O354" s="1">
        <v>10521.12</v>
      </c>
      <c r="P354" s="1">
        <f t="shared" si="26"/>
        <v>12377.789999999999</v>
      </c>
      <c r="Q354" s="10">
        <f t="shared" si="27"/>
        <v>1578.1680000000001</v>
      </c>
      <c r="R354" s="11">
        <f t="shared" si="28"/>
        <v>10799.621999999999</v>
      </c>
      <c r="S354" s="1" t="str">
        <f t="shared" si="29"/>
        <v>High</v>
      </c>
      <c r="T354" s="1" t="str" cm="1">
        <f t="array" ref="T354">_xlfn.IFS(L354&gt;5,"High",L354=5,"mediam",L354&lt;5,"low")</f>
        <v>High</v>
      </c>
      <c r="U354" s="1" t="str">
        <f t="shared" si="30"/>
        <v>High</v>
      </c>
    </row>
    <row r="355" spans="1:21" x14ac:dyDescent="0.3">
      <c r="A355" s="5">
        <v>10354</v>
      </c>
      <c r="B355" s="1">
        <v>1472</v>
      </c>
      <c r="C355" s="2">
        <v>45153</v>
      </c>
      <c r="D355" s="2">
        <v>45160</v>
      </c>
      <c r="E355" s="1" t="s">
        <v>40</v>
      </c>
      <c r="F355" s="1" t="s">
        <v>41</v>
      </c>
      <c r="G355" s="1" t="s">
        <v>17</v>
      </c>
      <c r="H355" s="1" t="s">
        <v>44</v>
      </c>
      <c r="I355" s="1" t="s">
        <v>57</v>
      </c>
      <c r="J355" s="1" t="s">
        <v>58</v>
      </c>
      <c r="K355" s="1" t="s">
        <v>33</v>
      </c>
      <c r="L355" s="1">
        <v>1</v>
      </c>
      <c r="M355" s="1">
        <v>3592.92</v>
      </c>
      <c r="N355" s="1">
        <v>20</v>
      </c>
      <c r="O355" s="1">
        <v>2874.34</v>
      </c>
      <c r="P355" s="1">
        <f t="shared" si="26"/>
        <v>3592.92</v>
      </c>
      <c r="Q355" s="10">
        <f t="shared" si="27"/>
        <v>574.86800000000005</v>
      </c>
      <c r="R355" s="11">
        <f t="shared" si="28"/>
        <v>3018.0520000000001</v>
      </c>
      <c r="S355" s="1" t="str">
        <f t="shared" si="29"/>
        <v>Low</v>
      </c>
      <c r="T355" s="1" t="str" cm="1">
        <f t="array" ref="T355">_xlfn.IFS(L355&gt;5,"High",L355=5,"mediam",L355&lt;5,"low")</f>
        <v>low</v>
      </c>
      <c r="U355" s="1" t="b">
        <f t="shared" si="30"/>
        <v>0</v>
      </c>
    </row>
    <row r="356" spans="1:21" x14ac:dyDescent="0.3">
      <c r="A356" s="5">
        <v>10355</v>
      </c>
      <c r="B356" s="1">
        <v>1945</v>
      </c>
      <c r="C356" s="2">
        <v>45188</v>
      </c>
      <c r="D356" s="2">
        <v>45191</v>
      </c>
      <c r="E356" s="1" t="s">
        <v>37</v>
      </c>
      <c r="F356" s="1" t="s">
        <v>23</v>
      </c>
      <c r="G356" s="1" t="s">
        <v>30</v>
      </c>
      <c r="H356" s="1" t="s">
        <v>35</v>
      </c>
      <c r="I356" s="1" t="s">
        <v>52</v>
      </c>
      <c r="J356" s="1" t="s">
        <v>53</v>
      </c>
      <c r="K356" s="1" t="s">
        <v>21</v>
      </c>
      <c r="L356" s="1">
        <v>9</v>
      </c>
      <c r="M356" s="1">
        <v>2632.88</v>
      </c>
      <c r="N356" s="1">
        <v>5</v>
      </c>
      <c r="O356" s="1">
        <v>22511.119999999999</v>
      </c>
      <c r="P356" s="1">
        <f t="shared" si="26"/>
        <v>23695.920000000002</v>
      </c>
      <c r="Q356" s="10">
        <f t="shared" si="27"/>
        <v>1125.556</v>
      </c>
      <c r="R356" s="11">
        <f t="shared" si="28"/>
        <v>22570.364000000001</v>
      </c>
      <c r="S356" s="1" t="str">
        <f t="shared" si="29"/>
        <v>High</v>
      </c>
      <c r="T356" s="1" t="str" cm="1">
        <f t="array" ref="T356">_xlfn.IFS(L356&gt;5,"High",L356=5,"mediam",L356&lt;5,"low")</f>
        <v>High</v>
      </c>
      <c r="U356" s="1" t="str">
        <f t="shared" si="30"/>
        <v>High</v>
      </c>
    </row>
    <row r="357" spans="1:21" x14ac:dyDescent="0.3">
      <c r="A357" s="5">
        <v>10356</v>
      </c>
      <c r="B357" s="1">
        <v>1150</v>
      </c>
      <c r="C357" s="2">
        <v>45093</v>
      </c>
      <c r="D357" s="2">
        <v>45102</v>
      </c>
      <c r="E357" s="1" t="s">
        <v>16</v>
      </c>
      <c r="F357" s="1" t="s">
        <v>38</v>
      </c>
      <c r="G357" s="1" t="s">
        <v>30</v>
      </c>
      <c r="H357" s="1" t="s">
        <v>42</v>
      </c>
      <c r="I357" s="1" t="s">
        <v>31</v>
      </c>
      <c r="J357" s="1" t="s">
        <v>48</v>
      </c>
      <c r="K357" s="1" t="s">
        <v>21</v>
      </c>
      <c r="L357" s="1">
        <v>9</v>
      </c>
      <c r="M357" s="1">
        <v>1259.77</v>
      </c>
      <c r="N357" s="1">
        <v>15</v>
      </c>
      <c r="O357" s="1">
        <v>9637.24</v>
      </c>
      <c r="P357" s="1">
        <f t="shared" si="26"/>
        <v>11337.93</v>
      </c>
      <c r="Q357" s="10">
        <f t="shared" si="27"/>
        <v>1445.586</v>
      </c>
      <c r="R357" s="11">
        <f t="shared" si="28"/>
        <v>9892.344000000001</v>
      </c>
      <c r="S357" s="1" t="str">
        <f t="shared" si="29"/>
        <v>High</v>
      </c>
      <c r="T357" s="1" t="str" cm="1">
        <f t="array" ref="T357">_xlfn.IFS(L357&gt;5,"High",L357=5,"mediam",L357&lt;5,"low")</f>
        <v>High</v>
      </c>
      <c r="U357" s="1" t="str">
        <f t="shared" si="30"/>
        <v>High</v>
      </c>
    </row>
    <row r="358" spans="1:21" x14ac:dyDescent="0.3">
      <c r="A358" s="5">
        <v>10357</v>
      </c>
      <c r="B358" s="1">
        <v>1414</v>
      </c>
      <c r="C358" s="2">
        <v>45205</v>
      </c>
      <c r="D358" s="2">
        <v>45213</v>
      </c>
      <c r="E358" s="1" t="s">
        <v>37</v>
      </c>
      <c r="F358" s="1" t="s">
        <v>38</v>
      </c>
      <c r="G358" s="1" t="s">
        <v>17</v>
      </c>
      <c r="H358" s="1" t="s">
        <v>25</v>
      </c>
      <c r="I358" s="1" t="s">
        <v>57</v>
      </c>
      <c r="J358" s="1" t="s">
        <v>58</v>
      </c>
      <c r="K358" s="1" t="s">
        <v>28</v>
      </c>
      <c r="L358" s="1">
        <v>8</v>
      </c>
      <c r="M358" s="1">
        <v>1300.31</v>
      </c>
      <c r="N358" s="1">
        <v>0</v>
      </c>
      <c r="O358" s="1">
        <v>10402.48</v>
      </c>
      <c r="P358" s="1">
        <f t="shared" si="26"/>
        <v>10402.48</v>
      </c>
      <c r="Q358" s="10">
        <f t="shared" si="27"/>
        <v>0</v>
      </c>
      <c r="R358" s="11">
        <f t="shared" si="28"/>
        <v>10402.48</v>
      </c>
      <c r="S358" s="1" t="str">
        <f t="shared" si="29"/>
        <v>High</v>
      </c>
      <c r="T358" s="1" t="str" cm="1">
        <f t="array" ref="T358">_xlfn.IFS(L358&gt;5,"High",L358=5,"mediam",L358&lt;5,"low")</f>
        <v>High</v>
      </c>
      <c r="U358" s="1" t="str">
        <f t="shared" si="30"/>
        <v>High</v>
      </c>
    </row>
    <row r="359" spans="1:21" x14ac:dyDescent="0.3">
      <c r="A359" s="5">
        <v>10358</v>
      </c>
      <c r="B359" s="1">
        <v>1989</v>
      </c>
      <c r="C359" s="2">
        <v>45015</v>
      </c>
      <c r="D359" s="2">
        <v>45019</v>
      </c>
      <c r="E359" s="1" t="s">
        <v>15</v>
      </c>
      <c r="F359" s="1" t="s">
        <v>29</v>
      </c>
      <c r="G359" s="1" t="s">
        <v>30</v>
      </c>
      <c r="H359" s="1" t="s">
        <v>35</v>
      </c>
      <c r="I359" s="1" t="s">
        <v>57</v>
      </c>
      <c r="J359" s="1" t="s">
        <v>58</v>
      </c>
      <c r="K359" s="1" t="s">
        <v>33</v>
      </c>
      <c r="L359" s="1">
        <v>8</v>
      </c>
      <c r="M359" s="1">
        <v>3581.12</v>
      </c>
      <c r="N359" s="1">
        <v>15</v>
      </c>
      <c r="O359" s="1">
        <v>24351.62</v>
      </c>
      <c r="P359" s="1">
        <f t="shared" si="26"/>
        <v>28648.959999999999</v>
      </c>
      <c r="Q359" s="10">
        <f t="shared" si="27"/>
        <v>3652.7429999999999</v>
      </c>
      <c r="R359" s="11">
        <f t="shared" si="28"/>
        <v>24996.217000000001</v>
      </c>
      <c r="S359" s="1" t="str">
        <f t="shared" si="29"/>
        <v>High</v>
      </c>
      <c r="T359" s="1" t="str" cm="1">
        <f t="array" ref="T359">_xlfn.IFS(L359&gt;5,"High",L359=5,"mediam",L359&lt;5,"low")</f>
        <v>High</v>
      </c>
      <c r="U359" s="1" t="str">
        <f t="shared" si="30"/>
        <v>High</v>
      </c>
    </row>
    <row r="360" spans="1:21" x14ac:dyDescent="0.3">
      <c r="A360" s="5">
        <v>10359</v>
      </c>
      <c r="B360" s="1">
        <v>1297</v>
      </c>
      <c r="C360" s="2">
        <v>45104</v>
      </c>
      <c r="D360" s="2">
        <v>45105</v>
      </c>
      <c r="E360" s="1" t="s">
        <v>16</v>
      </c>
      <c r="F360" s="1" t="s">
        <v>41</v>
      </c>
      <c r="G360" s="1" t="s">
        <v>17</v>
      </c>
      <c r="H360" s="1" t="s">
        <v>25</v>
      </c>
      <c r="I360" s="1" t="s">
        <v>31</v>
      </c>
      <c r="J360" s="1" t="s">
        <v>48</v>
      </c>
      <c r="K360" s="1" t="s">
        <v>47</v>
      </c>
      <c r="L360" s="1">
        <v>1</v>
      </c>
      <c r="M360" s="1">
        <v>202.49</v>
      </c>
      <c r="N360" s="1">
        <v>5</v>
      </c>
      <c r="O360" s="1">
        <v>192.37</v>
      </c>
      <c r="P360" s="1">
        <f t="shared" si="26"/>
        <v>202.49</v>
      </c>
      <c r="Q360" s="10">
        <f t="shared" si="27"/>
        <v>9.6185000000000009</v>
      </c>
      <c r="R360" s="11">
        <f t="shared" si="28"/>
        <v>192.8715</v>
      </c>
      <c r="S360" s="1" t="str">
        <f t="shared" si="29"/>
        <v>Low</v>
      </c>
      <c r="T360" s="1" t="str" cm="1">
        <f t="array" ref="T360">_xlfn.IFS(L360&gt;5,"High",L360=5,"mediam",L360&lt;5,"low")</f>
        <v>low</v>
      </c>
      <c r="U360" s="1" t="b">
        <f t="shared" si="30"/>
        <v>0</v>
      </c>
    </row>
    <row r="361" spans="1:21" x14ac:dyDescent="0.3">
      <c r="A361" s="5">
        <v>10360</v>
      </c>
      <c r="B361" s="1">
        <v>1610</v>
      </c>
      <c r="C361" s="2">
        <v>45123</v>
      </c>
      <c r="D361" s="2">
        <v>45124</v>
      </c>
      <c r="E361" s="1" t="s">
        <v>34</v>
      </c>
      <c r="F361" s="1" t="s">
        <v>41</v>
      </c>
      <c r="G361" s="1" t="s">
        <v>30</v>
      </c>
      <c r="H361" s="1" t="s">
        <v>42</v>
      </c>
      <c r="I361" s="1" t="s">
        <v>31</v>
      </c>
      <c r="J361" s="1" t="s">
        <v>32</v>
      </c>
      <c r="K361" s="1" t="s">
        <v>45</v>
      </c>
      <c r="L361" s="1">
        <v>8</v>
      </c>
      <c r="M361" s="1">
        <v>1392.5</v>
      </c>
      <c r="N361" s="1">
        <v>15</v>
      </c>
      <c r="O361" s="1">
        <v>9469</v>
      </c>
      <c r="P361" s="1">
        <f t="shared" si="26"/>
        <v>11140</v>
      </c>
      <c r="Q361" s="10">
        <f t="shared" si="27"/>
        <v>1420.35</v>
      </c>
      <c r="R361" s="11">
        <f t="shared" si="28"/>
        <v>9719.65</v>
      </c>
      <c r="S361" s="1" t="str">
        <f t="shared" si="29"/>
        <v>High</v>
      </c>
      <c r="T361" s="1" t="str" cm="1">
        <f t="array" ref="T361">_xlfn.IFS(L361&gt;5,"High",L361=5,"mediam",L361&lt;5,"low")</f>
        <v>High</v>
      </c>
      <c r="U361" s="1" t="str">
        <f t="shared" si="30"/>
        <v>High</v>
      </c>
    </row>
    <row r="362" spans="1:21" x14ac:dyDescent="0.3">
      <c r="A362" s="5">
        <v>10361</v>
      </c>
      <c r="B362" s="1">
        <v>1262</v>
      </c>
      <c r="C362" s="2">
        <v>45233</v>
      </c>
      <c r="D362" s="2">
        <v>45234</v>
      </c>
      <c r="E362" s="1" t="s">
        <v>34</v>
      </c>
      <c r="F362" s="1" t="s">
        <v>23</v>
      </c>
      <c r="G362" s="1" t="s">
        <v>24</v>
      </c>
      <c r="H362" s="1" t="s">
        <v>44</v>
      </c>
      <c r="I362" s="1" t="s">
        <v>57</v>
      </c>
      <c r="J362" s="1" t="s">
        <v>59</v>
      </c>
      <c r="K362" s="1" t="s">
        <v>21</v>
      </c>
      <c r="L362" s="1">
        <v>3</v>
      </c>
      <c r="M362" s="1">
        <v>2284.27</v>
      </c>
      <c r="N362" s="1">
        <v>20</v>
      </c>
      <c r="O362" s="1">
        <v>5482.25</v>
      </c>
      <c r="P362" s="1">
        <f t="shared" si="26"/>
        <v>6852.8099999999995</v>
      </c>
      <c r="Q362" s="10">
        <f t="shared" si="27"/>
        <v>1096.45</v>
      </c>
      <c r="R362" s="11">
        <f t="shared" si="28"/>
        <v>5756.36</v>
      </c>
      <c r="S362" s="1" t="str">
        <f t="shared" si="29"/>
        <v>Low</v>
      </c>
      <c r="T362" s="1" t="str" cm="1">
        <f t="array" ref="T362">_xlfn.IFS(L362&gt;5,"High",L362=5,"mediam",L362&lt;5,"low")</f>
        <v>low</v>
      </c>
      <c r="U362" s="1" t="b">
        <f t="shared" si="30"/>
        <v>0</v>
      </c>
    </row>
    <row r="363" spans="1:21" x14ac:dyDescent="0.3">
      <c r="A363" s="5">
        <v>10362</v>
      </c>
      <c r="B363" s="1">
        <v>1763</v>
      </c>
      <c r="C363" s="2">
        <v>45193</v>
      </c>
      <c r="D363" s="2">
        <v>45194</v>
      </c>
      <c r="E363" s="1" t="s">
        <v>40</v>
      </c>
      <c r="F363" s="1" t="s">
        <v>23</v>
      </c>
      <c r="G363" s="1" t="s">
        <v>24</v>
      </c>
      <c r="H363" s="1" t="s">
        <v>25</v>
      </c>
      <c r="I363" s="1" t="s">
        <v>31</v>
      </c>
      <c r="J363" s="1" t="s">
        <v>48</v>
      </c>
      <c r="K363" s="1" t="s">
        <v>45</v>
      </c>
      <c r="L363" s="1">
        <v>7</v>
      </c>
      <c r="M363" s="1">
        <v>720.64</v>
      </c>
      <c r="N363" s="1">
        <v>20</v>
      </c>
      <c r="O363" s="1">
        <v>4035.58</v>
      </c>
      <c r="P363" s="1">
        <f t="shared" si="26"/>
        <v>5044.4799999999996</v>
      </c>
      <c r="Q363" s="10">
        <f t="shared" si="27"/>
        <v>807.11599999999999</v>
      </c>
      <c r="R363" s="11">
        <f t="shared" si="28"/>
        <v>4237.3639999999996</v>
      </c>
      <c r="S363" s="1" t="str">
        <f t="shared" si="29"/>
        <v>High</v>
      </c>
      <c r="T363" s="1" t="str" cm="1">
        <f t="array" ref="T363">_xlfn.IFS(L363&gt;5,"High",L363=5,"mediam",L363&lt;5,"low")</f>
        <v>High</v>
      </c>
      <c r="U363" s="1" t="str">
        <f t="shared" si="30"/>
        <v>High</v>
      </c>
    </row>
    <row r="364" spans="1:21" x14ac:dyDescent="0.3">
      <c r="A364" s="5">
        <v>10363</v>
      </c>
      <c r="B364" s="1">
        <v>1143</v>
      </c>
      <c r="C364" s="2">
        <v>45194</v>
      </c>
      <c r="D364" s="2">
        <v>45202</v>
      </c>
      <c r="E364" s="1" t="s">
        <v>16</v>
      </c>
      <c r="F364" s="1" t="s">
        <v>41</v>
      </c>
      <c r="G364" s="1" t="s">
        <v>30</v>
      </c>
      <c r="H364" s="1" t="s">
        <v>18</v>
      </c>
      <c r="I364" s="1" t="s">
        <v>57</v>
      </c>
      <c r="J364" s="1" t="s">
        <v>62</v>
      </c>
      <c r="K364" s="1" t="s">
        <v>45</v>
      </c>
      <c r="L364" s="1">
        <v>1</v>
      </c>
      <c r="M364" s="1">
        <v>504.58</v>
      </c>
      <c r="N364" s="1">
        <v>5</v>
      </c>
      <c r="O364" s="1">
        <v>479.35</v>
      </c>
      <c r="P364" s="1">
        <f t="shared" si="26"/>
        <v>504.58</v>
      </c>
      <c r="Q364" s="10">
        <f t="shared" si="27"/>
        <v>23.967500000000001</v>
      </c>
      <c r="R364" s="11">
        <f t="shared" si="28"/>
        <v>480.61249999999995</v>
      </c>
      <c r="S364" s="1" t="str">
        <f t="shared" si="29"/>
        <v>Low</v>
      </c>
      <c r="T364" s="1" t="str" cm="1">
        <f t="array" ref="T364">_xlfn.IFS(L364&gt;5,"High",L364=5,"mediam",L364&lt;5,"low")</f>
        <v>low</v>
      </c>
      <c r="U364" s="1" t="b">
        <f t="shared" si="30"/>
        <v>0</v>
      </c>
    </row>
    <row r="365" spans="1:21" x14ac:dyDescent="0.3">
      <c r="A365" s="5">
        <v>10364</v>
      </c>
      <c r="B365" s="1">
        <v>1345</v>
      </c>
      <c r="C365" s="2">
        <v>45000</v>
      </c>
      <c r="D365" s="2">
        <v>45003</v>
      </c>
      <c r="E365" s="1" t="s">
        <v>46</v>
      </c>
      <c r="F365" s="1" t="s">
        <v>23</v>
      </c>
      <c r="G365" s="1" t="s">
        <v>24</v>
      </c>
      <c r="H365" s="1" t="s">
        <v>18</v>
      </c>
      <c r="I365" s="1" t="s">
        <v>57</v>
      </c>
      <c r="J365" s="1" t="s">
        <v>67</v>
      </c>
      <c r="K365" s="1" t="s">
        <v>28</v>
      </c>
      <c r="L365" s="1">
        <v>1</v>
      </c>
      <c r="M365" s="1">
        <v>3288.81</v>
      </c>
      <c r="N365" s="1">
        <v>10</v>
      </c>
      <c r="O365" s="1">
        <v>2959.93</v>
      </c>
      <c r="P365" s="1">
        <f t="shared" si="26"/>
        <v>3288.81</v>
      </c>
      <c r="Q365" s="10">
        <f t="shared" si="27"/>
        <v>295.99299999999999</v>
      </c>
      <c r="R365" s="11">
        <f t="shared" si="28"/>
        <v>2992.817</v>
      </c>
      <c r="S365" s="1" t="str">
        <f t="shared" si="29"/>
        <v>Low</v>
      </c>
      <c r="T365" s="1" t="str" cm="1">
        <f t="array" ref="T365">_xlfn.IFS(L365&gt;5,"High",L365=5,"mediam",L365&lt;5,"low")</f>
        <v>low</v>
      </c>
      <c r="U365" s="1" t="b">
        <f t="shared" si="30"/>
        <v>0</v>
      </c>
    </row>
    <row r="366" spans="1:21" x14ac:dyDescent="0.3">
      <c r="A366" s="5">
        <v>10365</v>
      </c>
      <c r="B366" s="1">
        <v>1623</v>
      </c>
      <c r="C366" s="2">
        <v>44934</v>
      </c>
      <c r="D366" s="2">
        <v>44940</v>
      </c>
      <c r="E366" s="1" t="s">
        <v>16</v>
      </c>
      <c r="F366" s="1" t="s">
        <v>41</v>
      </c>
      <c r="G366" s="1" t="s">
        <v>17</v>
      </c>
      <c r="H366" s="1" t="s">
        <v>35</v>
      </c>
      <c r="I366" s="1" t="s">
        <v>52</v>
      </c>
      <c r="J366" s="1" t="s">
        <v>53</v>
      </c>
      <c r="K366" s="1" t="s">
        <v>33</v>
      </c>
      <c r="L366" s="1">
        <v>5</v>
      </c>
      <c r="M366" s="1">
        <v>3593.46</v>
      </c>
      <c r="N366" s="1">
        <v>20</v>
      </c>
      <c r="O366" s="1">
        <v>14373.84</v>
      </c>
      <c r="P366" s="1">
        <f t="shared" si="26"/>
        <v>17967.3</v>
      </c>
      <c r="Q366" s="10">
        <f t="shared" si="27"/>
        <v>2874.768</v>
      </c>
      <c r="R366" s="11">
        <f t="shared" si="28"/>
        <v>15092.531999999999</v>
      </c>
      <c r="S366" s="1" t="str">
        <f t="shared" si="29"/>
        <v>High</v>
      </c>
      <c r="T366" s="1" t="str" cm="1">
        <f t="array" ref="T366">_xlfn.IFS(L366&gt;5,"High",L366=5,"mediam",L366&lt;5,"low")</f>
        <v>mediam</v>
      </c>
      <c r="U366" s="1" t="b">
        <f t="shared" si="30"/>
        <v>0</v>
      </c>
    </row>
    <row r="367" spans="1:21" x14ac:dyDescent="0.3">
      <c r="A367" s="5">
        <v>10366</v>
      </c>
      <c r="B367" s="1">
        <v>1571</v>
      </c>
      <c r="C367" s="2">
        <v>45223</v>
      </c>
      <c r="D367" s="2">
        <v>45226</v>
      </c>
      <c r="E367" s="1" t="s">
        <v>15</v>
      </c>
      <c r="F367" s="1" t="s">
        <v>16</v>
      </c>
      <c r="G367" s="1" t="s">
        <v>24</v>
      </c>
      <c r="H367" s="1" t="s">
        <v>42</v>
      </c>
      <c r="I367" s="1" t="s">
        <v>49</v>
      </c>
      <c r="J367" s="1" t="s">
        <v>63</v>
      </c>
      <c r="K367" s="1" t="s">
        <v>21</v>
      </c>
      <c r="L367" s="1">
        <v>5</v>
      </c>
      <c r="M367" s="1">
        <v>3320.88</v>
      </c>
      <c r="N367" s="1">
        <v>0</v>
      </c>
      <c r="O367" s="1">
        <v>16604.400000000001</v>
      </c>
      <c r="P367" s="1">
        <f t="shared" si="26"/>
        <v>16604.400000000001</v>
      </c>
      <c r="Q367" s="10">
        <f t="shared" si="27"/>
        <v>0</v>
      </c>
      <c r="R367" s="11">
        <f t="shared" si="28"/>
        <v>16604.400000000001</v>
      </c>
      <c r="S367" s="1" t="str">
        <f t="shared" si="29"/>
        <v>High</v>
      </c>
      <c r="T367" s="1" t="str" cm="1">
        <f t="array" ref="T367">_xlfn.IFS(L367&gt;5,"High",L367=5,"mediam",L367&lt;5,"low")</f>
        <v>mediam</v>
      </c>
      <c r="U367" s="1" t="b">
        <f t="shared" si="30"/>
        <v>0</v>
      </c>
    </row>
    <row r="368" spans="1:21" x14ac:dyDescent="0.3">
      <c r="A368" s="5">
        <v>10367</v>
      </c>
      <c r="B368" s="1">
        <v>1880</v>
      </c>
      <c r="C368" s="2">
        <v>45090</v>
      </c>
      <c r="D368" s="2">
        <v>45095</v>
      </c>
      <c r="E368" s="1" t="s">
        <v>46</v>
      </c>
      <c r="F368" s="1" t="s">
        <v>41</v>
      </c>
      <c r="G368" s="1" t="s">
        <v>30</v>
      </c>
      <c r="H368" s="1" t="s">
        <v>35</v>
      </c>
      <c r="I368" s="1" t="s">
        <v>57</v>
      </c>
      <c r="J368" s="1" t="s">
        <v>62</v>
      </c>
      <c r="K368" s="1" t="s">
        <v>45</v>
      </c>
      <c r="L368" s="1">
        <v>8</v>
      </c>
      <c r="M368" s="1">
        <v>3610.33</v>
      </c>
      <c r="N368" s="1">
        <v>5</v>
      </c>
      <c r="O368" s="1">
        <v>27438.51</v>
      </c>
      <c r="P368" s="1">
        <f t="shared" si="26"/>
        <v>28882.639999999999</v>
      </c>
      <c r="Q368" s="10">
        <f t="shared" si="27"/>
        <v>1371.9255000000001</v>
      </c>
      <c r="R368" s="11">
        <f t="shared" si="28"/>
        <v>27510.714499999998</v>
      </c>
      <c r="S368" s="1" t="str">
        <f t="shared" si="29"/>
        <v>High</v>
      </c>
      <c r="T368" s="1" t="str" cm="1">
        <f t="array" ref="T368">_xlfn.IFS(L368&gt;5,"High",L368=5,"mediam",L368&lt;5,"low")</f>
        <v>High</v>
      </c>
      <c r="U368" s="1" t="str">
        <f t="shared" si="30"/>
        <v>High</v>
      </c>
    </row>
    <row r="369" spans="1:21" x14ac:dyDescent="0.3">
      <c r="A369" s="5">
        <v>10368</v>
      </c>
      <c r="B369" s="1">
        <v>1001</v>
      </c>
      <c r="C369" s="2">
        <v>45011</v>
      </c>
      <c r="D369" s="2">
        <v>45018</v>
      </c>
      <c r="E369" s="1" t="s">
        <v>22</v>
      </c>
      <c r="F369" s="1" t="s">
        <v>38</v>
      </c>
      <c r="G369" s="1" t="s">
        <v>30</v>
      </c>
      <c r="H369" s="1" t="s">
        <v>35</v>
      </c>
      <c r="I369" s="1" t="s">
        <v>19</v>
      </c>
      <c r="J369" s="1" t="s">
        <v>20</v>
      </c>
      <c r="K369" s="1" t="s">
        <v>21</v>
      </c>
      <c r="L369" s="1">
        <v>7</v>
      </c>
      <c r="M369" s="1">
        <v>2279.48</v>
      </c>
      <c r="N369" s="1">
        <v>15</v>
      </c>
      <c r="O369" s="1">
        <v>13562.91</v>
      </c>
      <c r="P369" s="1">
        <f t="shared" si="26"/>
        <v>15956.36</v>
      </c>
      <c r="Q369" s="10">
        <f t="shared" si="27"/>
        <v>2034.4364999999998</v>
      </c>
      <c r="R369" s="11">
        <f t="shared" si="28"/>
        <v>13921.923500000001</v>
      </c>
      <c r="S369" s="1" t="str">
        <f t="shared" si="29"/>
        <v>High</v>
      </c>
      <c r="T369" s="1" t="str" cm="1">
        <f t="array" ref="T369">_xlfn.IFS(L369&gt;5,"High",L369=5,"mediam",L369&lt;5,"low")</f>
        <v>High</v>
      </c>
      <c r="U369" s="1" t="str">
        <f t="shared" si="30"/>
        <v>High</v>
      </c>
    </row>
    <row r="370" spans="1:21" x14ac:dyDescent="0.3">
      <c r="A370" s="5">
        <v>10369</v>
      </c>
      <c r="B370" s="1">
        <v>1896</v>
      </c>
      <c r="C370" s="2">
        <v>44998</v>
      </c>
      <c r="D370" s="2">
        <v>45000</v>
      </c>
      <c r="E370" s="1" t="s">
        <v>22</v>
      </c>
      <c r="F370" s="1" t="s">
        <v>23</v>
      </c>
      <c r="G370" s="1" t="s">
        <v>17</v>
      </c>
      <c r="H370" s="1" t="s">
        <v>35</v>
      </c>
      <c r="I370" s="1" t="s">
        <v>26</v>
      </c>
      <c r="J370" s="1" t="s">
        <v>36</v>
      </c>
      <c r="K370" s="1" t="s">
        <v>47</v>
      </c>
      <c r="L370" s="1">
        <v>8</v>
      </c>
      <c r="M370" s="1">
        <v>3277.19</v>
      </c>
      <c r="N370" s="1">
        <v>15</v>
      </c>
      <c r="O370" s="1">
        <v>22284.89</v>
      </c>
      <c r="P370" s="1">
        <f t="shared" si="26"/>
        <v>26217.52</v>
      </c>
      <c r="Q370" s="10">
        <f t="shared" si="27"/>
        <v>3342.7334999999998</v>
      </c>
      <c r="R370" s="11">
        <f t="shared" si="28"/>
        <v>22874.786500000002</v>
      </c>
      <c r="S370" s="1" t="str">
        <f t="shared" si="29"/>
        <v>High</v>
      </c>
      <c r="T370" s="1" t="str" cm="1">
        <f t="array" ref="T370">_xlfn.IFS(L370&gt;5,"High",L370=5,"mediam",L370&lt;5,"low")</f>
        <v>High</v>
      </c>
      <c r="U370" s="1" t="str">
        <f t="shared" si="30"/>
        <v>High</v>
      </c>
    </row>
    <row r="371" spans="1:21" x14ac:dyDescent="0.3">
      <c r="A371" s="5">
        <v>10370</v>
      </c>
      <c r="B371" s="1">
        <v>1303</v>
      </c>
      <c r="C371" s="2">
        <v>44981</v>
      </c>
      <c r="D371" s="2">
        <v>44987</v>
      </c>
      <c r="E371" s="1" t="s">
        <v>22</v>
      </c>
      <c r="F371" s="1" t="s">
        <v>41</v>
      </c>
      <c r="G371" s="1" t="s">
        <v>30</v>
      </c>
      <c r="H371" s="1" t="s">
        <v>18</v>
      </c>
      <c r="I371" s="1" t="s">
        <v>49</v>
      </c>
      <c r="J371" s="1" t="s">
        <v>63</v>
      </c>
      <c r="K371" s="1" t="s">
        <v>28</v>
      </c>
      <c r="L371" s="1">
        <v>6</v>
      </c>
      <c r="M371" s="1">
        <v>1628.56</v>
      </c>
      <c r="N371" s="1">
        <v>0</v>
      </c>
      <c r="O371" s="1">
        <v>9771.36</v>
      </c>
      <c r="P371" s="1">
        <f t="shared" si="26"/>
        <v>9771.36</v>
      </c>
      <c r="Q371" s="10">
        <f t="shared" si="27"/>
        <v>0</v>
      </c>
      <c r="R371" s="11">
        <f t="shared" si="28"/>
        <v>9771.36</v>
      </c>
      <c r="S371" s="1" t="str">
        <f t="shared" si="29"/>
        <v>High</v>
      </c>
      <c r="T371" s="1" t="str" cm="1">
        <f t="array" ref="T371">_xlfn.IFS(L371&gt;5,"High",L371=5,"mediam",L371&lt;5,"low")</f>
        <v>High</v>
      </c>
      <c r="U371" s="1" t="str">
        <f t="shared" si="30"/>
        <v>High</v>
      </c>
    </row>
    <row r="372" spans="1:21" x14ac:dyDescent="0.3">
      <c r="A372" s="5">
        <v>10371</v>
      </c>
      <c r="B372" s="1">
        <v>1253</v>
      </c>
      <c r="C372" s="2">
        <v>44973</v>
      </c>
      <c r="D372" s="2">
        <v>44979</v>
      </c>
      <c r="E372" s="1" t="s">
        <v>34</v>
      </c>
      <c r="F372" s="1" t="s">
        <v>41</v>
      </c>
      <c r="G372" s="1" t="s">
        <v>17</v>
      </c>
      <c r="H372" s="1" t="s">
        <v>18</v>
      </c>
      <c r="I372" s="1" t="s">
        <v>49</v>
      </c>
      <c r="J372" s="1" t="s">
        <v>68</v>
      </c>
      <c r="K372" s="1" t="s">
        <v>47</v>
      </c>
      <c r="L372" s="1">
        <v>6</v>
      </c>
      <c r="M372" s="1">
        <v>2715.13</v>
      </c>
      <c r="N372" s="1">
        <v>20</v>
      </c>
      <c r="O372" s="1">
        <v>13032.62</v>
      </c>
      <c r="P372" s="1">
        <f t="shared" si="26"/>
        <v>16290.78</v>
      </c>
      <c r="Q372" s="10">
        <f t="shared" si="27"/>
        <v>2606.5240000000003</v>
      </c>
      <c r="R372" s="11">
        <f t="shared" si="28"/>
        <v>13684.256000000001</v>
      </c>
      <c r="S372" s="1" t="str">
        <f t="shared" si="29"/>
        <v>High</v>
      </c>
      <c r="T372" s="1" t="str" cm="1">
        <f t="array" ref="T372">_xlfn.IFS(L372&gt;5,"High",L372=5,"mediam",L372&lt;5,"low")</f>
        <v>High</v>
      </c>
      <c r="U372" s="1" t="str">
        <f t="shared" si="30"/>
        <v>High</v>
      </c>
    </row>
    <row r="373" spans="1:21" x14ac:dyDescent="0.3">
      <c r="A373" s="5">
        <v>10372</v>
      </c>
      <c r="B373" s="1">
        <v>1651</v>
      </c>
      <c r="C373" s="2">
        <v>45164</v>
      </c>
      <c r="D373" s="2">
        <v>45167</v>
      </c>
      <c r="E373" s="1" t="s">
        <v>16</v>
      </c>
      <c r="F373" s="1" t="s">
        <v>23</v>
      </c>
      <c r="G373" s="1" t="s">
        <v>24</v>
      </c>
      <c r="H373" s="1" t="s">
        <v>35</v>
      </c>
      <c r="I373" s="1" t="s">
        <v>49</v>
      </c>
      <c r="J373" s="1" t="s">
        <v>63</v>
      </c>
      <c r="K373" s="1" t="s">
        <v>21</v>
      </c>
      <c r="L373" s="1">
        <v>2</v>
      </c>
      <c r="M373" s="1">
        <v>3957.02</v>
      </c>
      <c r="N373" s="1">
        <v>5</v>
      </c>
      <c r="O373" s="1">
        <v>7518.34</v>
      </c>
      <c r="P373" s="1">
        <f t="shared" si="26"/>
        <v>7914.04</v>
      </c>
      <c r="Q373" s="10">
        <f t="shared" si="27"/>
        <v>375.91700000000003</v>
      </c>
      <c r="R373" s="11">
        <f t="shared" si="28"/>
        <v>7538.1229999999996</v>
      </c>
      <c r="S373" s="1" t="str">
        <f t="shared" si="29"/>
        <v>Low</v>
      </c>
      <c r="T373" s="1" t="str" cm="1">
        <f t="array" ref="T373">_xlfn.IFS(L373&gt;5,"High",L373=5,"mediam",L373&lt;5,"low")</f>
        <v>low</v>
      </c>
      <c r="U373" s="1" t="b">
        <f t="shared" si="30"/>
        <v>0</v>
      </c>
    </row>
    <row r="374" spans="1:21" x14ac:dyDescent="0.3">
      <c r="A374" s="5">
        <v>10373</v>
      </c>
      <c r="B374" s="1">
        <v>1452</v>
      </c>
      <c r="C374" s="2">
        <v>45030</v>
      </c>
      <c r="D374" s="2">
        <v>45036</v>
      </c>
      <c r="E374" s="1" t="s">
        <v>22</v>
      </c>
      <c r="F374" s="1" t="s">
        <v>16</v>
      </c>
      <c r="G374" s="1" t="s">
        <v>24</v>
      </c>
      <c r="H374" s="1" t="s">
        <v>18</v>
      </c>
      <c r="I374" s="1" t="s">
        <v>52</v>
      </c>
      <c r="J374" s="1" t="s">
        <v>53</v>
      </c>
      <c r="K374" s="1" t="s">
        <v>21</v>
      </c>
      <c r="L374" s="1">
        <v>6</v>
      </c>
      <c r="M374" s="1">
        <v>1019.05</v>
      </c>
      <c r="N374" s="1">
        <v>0</v>
      </c>
      <c r="O374" s="1">
        <v>6114.3</v>
      </c>
      <c r="P374" s="1">
        <f t="shared" si="26"/>
        <v>6114.2999999999993</v>
      </c>
      <c r="Q374" s="10">
        <f t="shared" si="27"/>
        <v>0</v>
      </c>
      <c r="R374" s="11">
        <f t="shared" si="28"/>
        <v>6114.2999999999993</v>
      </c>
      <c r="S374" s="1" t="str">
        <f t="shared" si="29"/>
        <v>High</v>
      </c>
      <c r="T374" s="1" t="str" cm="1">
        <f t="array" ref="T374">_xlfn.IFS(L374&gt;5,"High",L374=5,"mediam",L374&lt;5,"low")</f>
        <v>High</v>
      </c>
      <c r="U374" s="1" t="str">
        <f t="shared" si="30"/>
        <v>High</v>
      </c>
    </row>
    <row r="375" spans="1:21" x14ac:dyDescent="0.3">
      <c r="A375" s="5">
        <v>10374</v>
      </c>
      <c r="B375" s="1">
        <v>1036</v>
      </c>
      <c r="C375" s="2">
        <v>45136</v>
      </c>
      <c r="D375" s="2">
        <v>45141</v>
      </c>
      <c r="E375" s="1" t="s">
        <v>37</v>
      </c>
      <c r="F375" s="1" t="s">
        <v>16</v>
      </c>
      <c r="G375" s="1" t="s">
        <v>17</v>
      </c>
      <c r="H375" s="1" t="s">
        <v>42</v>
      </c>
      <c r="I375" s="1" t="s">
        <v>57</v>
      </c>
      <c r="J375" s="1" t="s">
        <v>58</v>
      </c>
      <c r="K375" s="1" t="s">
        <v>33</v>
      </c>
      <c r="L375" s="1">
        <v>5</v>
      </c>
      <c r="M375" s="1">
        <v>1651.11</v>
      </c>
      <c r="N375" s="1">
        <v>20</v>
      </c>
      <c r="O375" s="1">
        <v>6604.44</v>
      </c>
      <c r="P375" s="1">
        <f t="shared" si="26"/>
        <v>8255.5499999999993</v>
      </c>
      <c r="Q375" s="10">
        <f t="shared" si="27"/>
        <v>1320.8879999999999</v>
      </c>
      <c r="R375" s="11">
        <f t="shared" si="28"/>
        <v>6934.6619999999994</v>
      </c>
      <c r="S375" s="1" t="str">
        <f t="shared" si="29"/>
        <v>High</v>
      </c>
      <c r="T375" s="1" t="str" cm="1">
        <f t="array" ref="T375">_xlfn.IFS(L375&gt;5,"High",L375=5,"mediam",L375&lt;5,"low")</f>
        <v>mediam</v>
      </c>
      <c r="U375" s="1" t="b">
        <f t="shared" si="30"/>
        <v>0</v>
      </c>
    </row>
    <row r="376" spans="1:21" x14ac:dyDescent="0.3">
      <c r="A376" s="5">
        <v>10375</v>
      </c>
      <c r="B376" s="1">
        <v>1159</v>
      </c>
      <c r="C376" s="2">
        <v>44968</v>
      </c>
      <c r="D376" s="2">
        <v>44970</v>
      </c>
      <c r="E376" s="1" t="s">
        <v>40</v>
      </c>
      <c r="F376" s="1" t="s">
        <v>23</v>
      </c>
      <c r="G376" s="1" t="s">
        <v>17</v>
      </c>
      <c r="H376" s="1" t="s">
        <v>35</v>
      </c>
      <c r="I376" s="1" t="s">
        <v>52</v>
      </c>
      <c r="J376" s="1" t="s">
        <v>60</v>
      </c>
      <c r="K376" s="1" t="s">
        <v>45</v>
      </c>
      <c r="L376" s="1">
        <v>3</v>
      </c>
      <c r="M376" s="1">
        <v>1998.18</v>
      </c>
      <c r="N376" s="1">
        <v>5</v>
      </c>
      <c r="O376" s="1">
        <v>5694.81</v>
      </c>
      <c r="P376" s="1">
        <f t="shared" si="26"/>
        <v>5994.54</v>
      </c>
      <c r="Q376" s="10">
        <f t="shared" si="27"/>
        <v>284.74050000000005</v>
      </c>
      <c r="R376" s="11">
        <f t="shared" si="28"/>
        <v>5709.7995000000001</v>
      </c>
      <c r="S376" s="1" t="str">
        <f t="shared" si="29"/>
        <v>Low</v>
      </c>
      <c r="T376" s="1" t="str" cm="1">
        <f t="array" ref="T376">_xlfn.IFS(L376&gt;5,"High",L376=5,"mediam",L376&lt;5,"low")</f>
        <v>low</v>
      </c>
      <c r="U376" s="1" t="b">
        <f t="shared" si="30"/>
        <v>0</v>
      </c>
    </row>
    <row r="377" spans="1:21" x14ac:dyDescent="0.3">
      <c r="A377" s="5">
        <v>10376</v>
      </c>
      <c r="B377" s="1">
        <v>1008</v>
      </c>
      <c r="C377" s="2">
        <v>45242</v>
      </c>
      <c r="D377" s="2">
        <v>45251</v>
      </c>
      <c r="E377" s="1" t="s">
        <v>37</v>
      </c>
      <c r="F377" s="1" t="s">
        <v>54</v>
      </c>
      <c r="G377" s="1" t="s">
        <v>30</v>
      </c>
      <c r="H377" s="1" t="s">
        <v>18</v>
      </c>
      <c r="I377" s="1" t="s">
        <v>57</v>
      </c>
      <c r="J377" s="1" t="s">
        <v>59</v>
      </c>
      <c r="K377" s="1" t="s">
        <v>45</v>
      </c>
      <c r="L377" s="1">
        <v>6</v>
      </c>
      <c r="M377" s="1">
        <v>681.36</v>
      </c>
      <c r="N377" s="1">
        <v>15</v>
      </c>
      <c r="O377" s="1">
        <v>3474.94</v>
      </c>
      <c r="P377" s="1">
        <f t="shared" si="26"/>
        <v>4088.16</v>
      </c>
      <c r="Q377" s="10">
        <f t="shared" si="27"/>
        <v>521.24099999999999</v>
      </c>
      <c r="R377" s="11">
        <f t="shared" si="28"/>
        <v>3566.9189999999999</v>
      </c>
      <c r="S377" s="1" t="str">
        <f t="shared" si="29"/>
        <v>High</v>
      </c>
      <c r="T377" s="1" t="str" cm="1">
        <f t="array" ref="T377">_xlfn.IFS(L377&gt;5,"High",L377=5,"mediam",L377&lt;5,"low")</f>
        <v>High</v>
      </c>
      <c r="U377" s="1" t="str">
        <f t="shared" si="30"/>
        <v>High</v>
      </c>
    </row>
    <row r="378" spans="1:21" x14ac:dyDescent="0.3">
      <c r="A378" s="5">
        <v>10377</v>
      </c>
      <c r="B378" s="1">
        <v>1232</v>
      </c>
      <c r="C378" s="2">
        <v>45194</v>
      </c>
      <c r="D378" s="2">
        <v>45202</v>
      </c>
      <c r="E378" s="1" t="s">
        <v>22</v>
      </c>
      <c r="F378" s="1" t="s">
        <v>23</v>
      </c>
      <c r="G378" s="1" t="s">
        <v>24</v>
      </c>
      <c r="H378" s="1" t="s">
        <v>25</v>
      </c>
      <c r="I378" s="1" t="s">
        <v>52</v>
      </c>
      <c r="J378" s="1" t="s">
        <v>56</v>
      </c>
      <c r="K378" s="1" t="s">
        <v>47</v>
      </c>
      <c r="L378" s="1">
        <v>8</v>
      </c>
      <c r="M378" s="1">
        <v>462</v>
      </c>
      <c r="N378" s="1">
        <v>5</v>
      </c>
      <c r="O378" s="1">
        <v>3511.2</v>
      </c>
      <c r="P378" s="1">
        <f t="shared" si="26"/>
        <v>3696</v>
      </c>
      <c r="Q378" s="10">
        <f t="shared" si="27"/>
        <v>175.56</v>
      </c>
      <c r="R378" s="11">
        <f t="shared" si="28"/>
        <v>3520.44</v>
      </c>
      <c r="S378" s="1" t="str">
        <f t="shared" si="29"/>
        <v>High</v>
      </c>
      <c r="T378" s="1" t="str" cm="1">
        <f t="array" ref="T378">_xlfn.IFS(L378&gt;5,"High",L378=5,"mediam",L378&lt;5,"low")</f>
        <v>High</v>
      </c>
      <c r="U378" s="1" t="str">
        <f t="shared" si="30"/>
        <v>High</v>
      </c>
    </row>
    <row r="379" spans="1:21" x14ac:dyDescent="0.3">
      <c r="A379" s="5">
        <v>10378</v>
      </c>
      <c r="B379" s="1">
        <v>1098</v>
      </c>
      <c r="C379" s="2">
        <v>45189</v>
      </c>
      <c r="D379" s="2">
        <v>45192</v>
      </c>
      <c r="E379" s="1" t="s">
        <v>40</v>
      </c>
      <c r="F379" s="1" t="s">
        <v>23</v>
      </c>
      <c r="G379" s="1" t="s">
        <v>17</v>
      </c>
      <c r="H379" s="1" t="s">
        <v>35</v>
      </c>
      <c r="I379" s="1" t="s">
        <v>52</v>
      </c>
      <c r="J379" s="1" t="s">
        <v>64</v>
      </c>
      <c r="K379" s="1" t="s">
        <v>28</v>
      </c>
      <c r="L379" s="1">
        <v>9</v>
      </c>
      <c r="M379" s="1">
        <v>3344.43</v>
      </c>
      <c r="N379" s="1">
        <v>10</v>
      </c>
      <c r="O379" s="1">
        <v>27089.88</v>
      </c>
      <c r="P379" s="1">
        <f t="shared" si="26"/>
        <v>30099.87</v>
      </c>
      <c r="Q379" s="10">
        <f t="shared" si="27"/>
        <v>2708.9880000000003</v>
      </c>
      <c r="R379" s="11">
        <f t="shared" si="28"/>
        <v>27390.881999999998</v>
      </c>
      <c r="S379" s="1" t="str">
        <f t="shared" si="29"/>
        <v>High</v>
      </c>
      <c r="T379" s="1" t="str" cm="1">
        <f t="array" ref="T379">_xlfn.IFS(L379&gt;5,"High",L379=5,"mediam",L379&lt;5,"low")</f>
        <v>High</v>
      </c>
      <c r="U379" s="1" t="str">
        <f t="shared" si="30"/>
        <v>High</v>
      </c>
    </row>
    <row r="380" spans="1:21" x14ac:dyDescent="0.3">
      <c r="A380" s="5">
        <v>10379</v>
      </c>
      <c r="B380" s="1">
        <v>1658</v>
      </c>
      <c r="C380" s="2">
        <v>45262</v>
      </c>
      <c r="D380" s="2">
        <v>45270</v>
      </c>
      <c r="E380" s="1" t="s">
        <v>15</v>
      </c>
      <c r="F380" s="1" t="s">
        <v>16</v>
      </c>
      <c r="G380" s="1" t="s">
        <v>24</v>
      </c>
      <c r="H380" s="1" t="s">
        <v>35</v>
      </c>
      <c r="I380" s="1" t="s">
        <v>26</v>
      </c>
      <c r="J380" s="1" t="s">
        <v>69</v>
      </c>
      <c r="K380" s="1" t="s">
        <v>45</v>
      </c>
      <c r="L380" s="1">
        <v>1</v>
      </c>
      <c r="M380" s="1">
        <v>3910.66</v>
      </c>
      <c r="N380" s="1">
        <v>5</v>
      </c>
      <c r="O380" s="1">
        <v>3715.13</v>
      </c>
      <c r="P380" s="1">
        <f t="shared" si="26"/>
        <v>3910.66</v>
      </c>
      <c r="Q380" s="10">
        <f t="shared" si="27"/>
        <v>185.75650000000002</v>
      </c>
      <c r="R380" s="11">
        <f t="shared" si="28"/>
        <v>3724.9034999999999</v>
      </c>
      <c r="S380" s="1" t="str">
        <f t="shared" si="29"/>
        <v>Low</v>
      </c>
      <c r="T380" s="1" t="str" cm="1">
        <f t="array" ref="T380">_xlfn.IFS(L380&gt;5,"High",L380=5,"mediam",L380&lt;5,"low")</f>
        <v>low</v>
      </c>
      <c r="U380" s="1" t="b">
        <f t="shared" si="30"/>
        <v>0</v>
      </c>
    </row>
    <row r="381" spans="1:21" x14ac:dyDescent="0.3">
      <c r="A381" s="5">
        <v>10380</v>
      </c>
      <c r="B381" s="1">
        <v>1815</v>
      </c>
      <c r="C381" s="2">
        <v>45291</v>
      </c>
      <c r="D381" s="2">
        <v>45300</v>
      </c>
      <c r="E381" s="1" t="s">
        <v>37</v>
      </c>
      <c r="F381" s="1" t="s">
        <v>16</v>
      </c>
      <c r="G381" s="1" t="s">
        <v>17</v>
      </c>
      <c r="H381" s="1" t="s">
        <v>42</v>
      </c>
      <c r="I381" s="1" t="s">
        <v>19</v>
      </c>
      <c r="J381" s="1" t="s">
        <v>55</v>
      </c>
      <c r="K381" s="1" t="s">
        <v>33</v>
      </c>
      <c r="L381" s="1">
        <v>3</v>
      </c>
      <c r="M381" s="1">
        <v>1708.19</v>
      </c>
      <c r="N381" s="1">
        <v>10</v>
      </c>
      <c r="O381" s="1">
        <v>4612.1099999999997</v>
      </c>
      <c r="P381" s="1">
        <f t="shared" si="26"/>
        <v>5124.57</v>
      </c>
      <c r="Q381" s="10">
        <f t="shared" si="27"/>
        <v>461.21100000000001</v>
      </c>
      <c r="R381" s="11">
        <f t="shared" si="28"/>
        <v>4663.3589999999995</v>
      </c>
      <c r="S381" s="1" t="str">
        <f t="shared" si="29"/>
        <v>Low</v>
      </c>
      <c r="T381" s="1" t="str" cm="1">
        <f t="array" ref="T381">_xlfn.IFS(L381&gt;5,"High",L381=5,"mediam",L381&lt;5,"low")</f>
        <v>low</v>
      </c>
      <c r="U381" s="1" t="b">
        <f t="shared" si="30"/>
        <v>0</v>
      </c>
    </row>
    <row r="382" spans="1:21" x14ac:dyDescent="0.3">
      <c r="A382" s="5">
        <v>10381</v>
      </c>
      <c r="B382" s="1">
        <v>1207</v>
      </c>
      <c r="C382" s="2">
        <v>45185</v>
      </c>
      <c r="D382" s="2">
        <v>45188</v>
      </c>
      <c r="E382" s="1" t="s">
        <v>16</v>
      </c>
      <c r="F382" s="1" t="s">
        <v>23</v>
      </c>
      <c r="G382" s="1" t="s">
        <v>24</v>
      </c>
      <c r="H382" s="1" t="s">
        <v>44</v>
      </c>
      <c r="I382" s="1" t="s">
        <v>52</v>
      </c>
      <c r="J382" s="1" t="s">
        <v>56</v>
      </c>
      <c r="K382" s="1" t="s">
        <v>47</v>
      </c>
      <c r="L382" s="1">
        <v>3</v>
      </c>
      <c r="M382" s="1">
        <v>487.45</v>
      </c>
      <c r="N382" s="1">
        <v>5</v>
      </c>
      <c r="O382" s="1">
        <v>1389.23</v>
      </c>
      <c r="P382" s="1">
        <f t="shared" si="26"/>
        <v>1462.35</v>
      </c>
      <c r="Q382" s="10">
        <f t="shared" si="27"/>
        <v>69.461500000000001</v>
      </c>
      <c r="R382" s="11">
        <f t="shared" si="28"/>
        <v>1392.8885</v>
      </c>
      <c r="S382" s="1" t="str">
        <f t="shared" si="29"/>
        <v>Low</v>
      </c>
      <c r="T382" s="1" t="str" cm="1">
        <f t="array" ref="T382">_xlfn.IFS(L382&gt;5,"High",L382=5,"mediam",L382&lt;5,"low")</f>
        <v>low</v>
      </c>
      <c r="U382" s="1" t="b">
        <f t="shared" si="30"/>
        <v>0</v>
      </c>
    </row>
    <row r="383" spans="1:21" x14ac:dyDescent="0.3">
      <c r="A383" s="5">
        <v>10382</v>
      </c>
      <c r="B383" s="1">
        <v>1130</v>
      </c>
      <c r="C383" s="2">
        <v>45209</v>
      </c>
      <c r="D383" s="2">
        <v>45212</v>
      </c>
      <c r="E383" s="1" t="s">
        <v>16</v>
      </c>
      <c r="F383" s="1" t="s">
        <v>23</v>
      </c>
      <c r="G383" s="1" t="s">
        <v>30</v>
      </c>
      <c r="H383" s="1" t="s">
        <v>44</v>
      </c>
      <c r="I383" s="1" t="s">
        <v>26</v>
      </c>
      <c r="J383" s="1" t="s">
        <v>36</v>
      </c>
      <c r="K383" s="1" t="s">
        <v>47</v>
      </c>
      <c r="L383" s="1">
        <v>8</v>
      </c>
      <c r="M383" s="1">
        <v>403.38</v>
      </c>
      <c r="N383" s="1">
        <v>10</v>
      </c>
      <c r="O383" s="1">
        <v>2904.34</v>
      </c>
      <c r="P383" s="1">
        <f t="shared" si="26"/>
        <v>3227.04</v>
      </c>
      <c r="Q383" s="10">
        <f t="shared" si="27"/>
        <v>290.43400000000003</v>
      </c>
      <c r="R383" s="11">
        <f t="shared" si="28"/>
        <v>2936.6059999999998</v>
      </c>
      <c r="S383" s="1" t="str">
        <f t="shared" si="29"/>
        <v>High</v>
      </c>
      <c r="T383" s="1" t="str" cm="1">
        <f t="array" ref="T383">_xlfn.IFS(L383&gt;5,"High",L383=5,"mediam",L383&lt;5,"low")</f>
        <v>High</v>
      </c>
      <c r="U383" s="1" t="str">
        <f t="shared" si="30"/>
        <v>High</v>
      </c>
    </row>
    <row r="384" spans="1:21" x14ac:dyDescent="0.3">
      <c r="A384" s="5">
        <v>10383</v>
      </c>
      <c r="B384" s="1">
        <v>1403</v>
      </c>
      <c r="C384" s="2">
        <v>45040</v>
      </c>
      <c r="D384" s="2">
        <v>45042</v>
      </c>
      <c r="E384" s="1" t="s">
        <v>37</v>
      </c>
      <c r="F384" s="1" t="s">
        <v>23</v>
      </c>
      <c r="G384" s="1" t="s">
        <v>24</v>
      </c>
      <c r="H384" s="1" t="s">
        <v>42</v>
      </c>
      <c r="I384" s="1" t="s">
        <v>31</v>
      </c>
      <c r="J384" s="1" t="s">
        <v>48</v>
      </c>
      <c r="K384" s="1" t="s">
        <v>33</v>
      </c>
      <c r="L384" s="1">
        <v>1</v>
      </c>
      <c r="M384" s="1">
        <v>3581.58</v>
      </c>
      <c r="N384" s="1">
        <v>15</v>
      </c>
      <c r="O384" s="1">
        <v>3044.34</v>
      </c>
      <c r="P384" s="1">
        <f t="shared" si="26"/>
        <v>3581.58</v>
      </c>
      <c r="Q384" s="10">
        <f t="shared" si="27"/>
        <v>456.65100000000001</v>
      </c>
      <c r="R384" s="11">
        <f t="shared" si="28"/>
        <v>3124.9290000000001</v>
      </c>
      <c r="S384" s="1" t="str">
        <f t="shared" si="29"/>
        <v>Low</v>
      </c>
      <c r="T384" s="1" t="str" cm="1">
        <f t="array" ref="T384">_xlfn.IFS(L384&gt;5,"High",L384=5,"mediam",L384&lt;5,"low")</f>
        <v>low</v>
      </c>
      <c r="U384" s="1" t="b">
        <f t="shared" si="30"/>
        <v>0</v>
      </c>
    </row>
    <row r="385" spans="1:21" x14ac:dyDescent="0.3">
      <c r="A385" s="5">
        <v>10384</v>
      </c>
      <c r="B385" s="1">
        <v>1151</v>
      </c>
      <c r="C385" s="2">
        <v>45289</v>
      </c>
      <c r="D385" s="2">
        <v>45297</v>
      </c>
      <c r="E385" s="1" t="s">
        <v>22</v>
      </c>
      <c r="F385" s="1" t="s">
        <v>16</v>
      </c>
      <c r="G385" s="1" t="s">
        <v>24</v>
      </c>
      <c r="H385" s="1" t="s">
        <v>42</v>
      </c>
      <c r="I385" s="1" t="s">
        <v>19</v>
      </c>
      <c r="J385" s="1" t="s">
        <v>55</v>
      </c>
      <c r="K385" s="1" t="s">
        <v>28</v>
      </c>
      <c r="L385" s="1">
        <v>5</v>
      </c>
      <c r="M385" s="1">
        <v>1935.68</v>
      </c>
      <c r="N385" s="1">
        <v>20</v>
      </c>
      <c r="O385" s="1">
        <v>7742.72</v>
      </c>
      <c r="P385" s="1">
        <f t="shared" si="26"/>
        <v>9678.4</v>
      </c>
      <c r="Q385" s="10">
        <f t="shared" si="27"/>
        <v>1548.5440000000001</v>
      </c>
      <c r="R385" s="11">
        <f t="shared" si="28"/>
        <v>8129.8559999999998</v>
      </c>
      <c r="S385" s="1" t="str">
        <f t="shared" si="29"/>
        <v>High</v>
      </c>
      <c r="T385" s="1" t="str" cm="1">
        <f t="array" ref="T385">_xlfn.IFS(L385&gt;5,"High",L385=5,"mediam",L385&lt;5,"low")</f>
        <v>mediam</v>
      </c>
      <c r="U385" s="1" t="b">
        <f t="shared" si="30"/>
        <v>0</v>
      </c>
    </row>
    <row r="386" spans="1:21" x14ac:dyDescent="0.3">
      <c r="A386" s="5">
        <v>10385</v>
      </c>
      <c r="B386" s="1">
        <v>1053</v>
      </c>
      <c r="C386" s="2">
        <v>44966</v>
      </c>
      <c r="D386" s="2">
        <v>44967</v>
      </c>
      <c r="E386" s="1" t="s">
        <v>16</v>
      </c>
      <c r="F386" s="1" t="s">
        <v>23</v>
      </c>
      <c r="G386" s="1" t="s">
        <v>24</v>
      </c>
      <c r="H386" s="1" t="s">
        <v>42</v>
      </c>
      <c r="I386" s="1" t="s">
        <v>52</v>
      </c>
      <c r="J386" s="1" t="s">
        <v>64</v>
      </c>
      <c r="K386" s="1" t="s">
        <v>33</v>
      </c>
      <c r="L386" s="1">
        <v>3</v>
      </c>
      <c r="M386" s="1">
        <v>1382.11</v>
      </c>
      <c r="N386" s="1">
        <v>10</v>
      </c>
      <c r="O386" s="1">
        <v>3731.7</v>
      </c>
      <c r="P386" s="1">
        <f t="shared" si="26"/>
        <v>4146.33</v>
      </c>
      <c r="Q386" s="10">
        <f t="shared" si="27"/>
        <v>373.17</v>
      </c>
      <c r="R386" s="11">
        <f t="shared" si="28"/>
        <v>3773.16</v>
      </c>
      <c r="S386" s="1" t="str">
        <f t="shared" si="29"/>
        <v>Low</v>
      </c>
      <c r="T386" s="1" t="str" cm="1">
        <f t="array" ref="T386">_xlfn.IFS(L386&gt;5,"High",L386=5,"mediam",L386&lt;5,"low")</f>
        <v>low</v>
      </c>
      <c r="U386" s="1" t="b">
        <f t="shared" si="30"/>
        <v>0</v>
      </c>
    </row>
    <row r="387" spans="1:21" x14ac:dyDescent="0.3">
      <c r="A387" s="5">
        <v>10386</v>
      </c>
      <c r="B387" s="1">
        <v>1119</v>
      </c>
      <c r="C387" s="2">
        <v>45146</v>
      </c>
      <c r="D387" s="2">
        <v>45154</v>
      </c>
      <c r="E387" s="1" t="s">
        <v>15</v>
      </c>
      <c r="F387" s="1" t="s">
        <v>23</v>
      </c>
      <c r="G387" s="1" t="s">
        <v>24</v>
      </c>
      <c r="H387" s="1" t="s">
        <v>44</v>
      </c>
      <c r="I387" s="1" t="s">
        <v>49</v>
      </c>
      <c r="J387" s="1" t="s">
        <v>68</v>
      </c>
      <c r="K387" s="1" t="s">
        <v>28</v>
      </c>
      <c r="L387" s="1">
        <v>2</v>
      </c>
      <c r="M387" s="1">
        <v>1984.38</v>
      </c>
      <c r="N387" s="1">
        <v>10</v>
      </c>
      <c r="O387" s="1">
        <v>3571.88</v>
      </c>
      <c r="P387" s="1">
        <f t="shared" ref="P387:P450" si="31">L387*M387</f>
        <v>3968.76</v>
      </c>
      <c r="Q387" s="10">
        <f t="shared" ref="Q387:Q450" si="32">O387*N387%</f>
        <v>357.18800000000005</v>
      </c>
      <c r="R387" s="11">
        <f t="shared" ref="R387:R450" si="33">P387-Q387</f>
        <v>3611.5720000000001</v>
      </c>
      <c r="S387" s="1" t="str">
        <f t="shared" ref="S387:S450" si="34">IF(L387&gt;=5,"High","Low")</f>
        <v>Low</v>
      </c>
      <c r="T387" s="1" t="str" cm="1">
        <f t="array" ref="T387">_xlfn.IFS(L387&gt;5,"High",L387=5,"mediam",L387&lt;5,"low")</f>
        <v>low</v>
      </c>
      <c r="U387" s="1" t="b">
        <f t="shared" si="30"/>
        <v>0</v>
      </c>
    </row>
    <row r="388" spans="1:21" x14ac:dyDescent="0.3">
      <c r="A388" s="5">
        <v>10387</v>
      </c>
      <c r="B388" s="1">
        <v>1672</v>
      </c>
      <c r="C388" s="2">
        <v>45055</v>
      </c>
      <c r="D388" s="2">
        <v>45062</v>
      </c>
      <c r="E388" s="1" t="s">
        <v>46</v>
      </c>
      <c r="F388" s="1" t="s">
        <v>29</v>
      </c>
      <c r="G388" s="1" t="s">
        <v>24</v>
      </c>
      <c r="H388" s="1" t="s">
        <v>42</v>
      </c>
      <c r="I388" s="1" t="s">
        <v>31</v>
      </c>
      <c r="J388" s="1" t="s">
        <v>32</v>
      </c>
      <c r="K388" s="1" t="s">
        <v>33</v>
      </c>
      <c r="L388" s="1">
        <v>8</v>
      </c>
      <c r="M388" s="1">
        <v>1375.47</v>
      </c>
      <c r="N388" s="1">
        <v>15</v>
      </c>
      <c r="O388" s="1">
        <v>9353.2000000000007</v>
      </c>
      <c r="P388" s="1">
        <f t="shared" si="31"/>
        <v>11003.76</v>
      </c>
      <c r="Q388" s="10">
        <f t="shared" si="32"/>
        <v>1402.98</v>
      </c>
      <c r="R388" s="11">
        <f t="shared" si="33"/>
        <v>9600.7800000000007</v>
      </c>
      <c r="S388" s="1" t="str">
        <f t="shared" si="34"/>
        <v>High</v>
      </c>
      <c r="T388" s="1" t="str" cm="1">
        <f t="array" ref="T388">_xlfn.IFS(L388&gt;5,"High",L388=5,"mediam",L388&lt;5,"low")</f>
        <v>High</v>
      </c>
      <c r="U388" s="1" t="str">
        <f t="shared" si="30"/>
        <v>High</v>
      </c>
    </row>
    <row r="389" spans="1:21" x14ac:dyDescent="0.3">
      <c r="A389" s="5">
        <v>10388</v>
      </c>
      <c r="B389" s="1">
        <v>1919</v>
      </c>
      <c r="C389" s="2">
        <v>44934</v>
      </c>
      <c r="D389" s="2">
        <v>44941</v>
      </c>
      <c r="E389" s="1" t="s">
        <v>22</v>
      </c>
      <c r="F389" s="1" t="s">
        <v>54</v>
      </c>
      <c r="G389" s="1" t="s">
        <v>30</v>
      </c>
      <c r="H389" s="1" t="s">
        <v>18</v>
      </c>
      <c r="I389" s="1" t="s">
        <v>31</v>
      </c>
      <c r="J389" s="1" t="s">
        <v>39</v>
      </c>
      <c r="K389" s="1" t="s">
        <v>33</v>
      </c>
      <c r="L389" s="1">
        <v>3</v>
      </c>
      <c r="M389" s="1">
        <v>2032.79</v>
      </c>
      <c r="N389" s="1">
        <v>10</v>
      </c>
      <c r="O389" s="1">
        <v>5488.53</v>
      </c>
      <c r="P389" s="1">
        <f t="shared" si="31"/>
        <v>6098.37</v>
      </c>
      <c r="Q389" s="10">
        <f t="shared" si="32"/>
        <v>548.85299999999995</v>
      </c>
      <c r="R389" s="11">
        <f t="shared" si="33"/>
        <v>5549.5169999999998</v>
      </c>
      <c r="S389" s="1" t="str">
        <f t="shared" si="34"/>
        <v>Low</v>
      </c>
      <c r="T389" s="1" t="str" cm="1">
        <f t="array" ref="T389">_xlfn.IFS(L389&gt;5,"High",L389=5,"mediam",L389&lt;5,"low")</f>
        <v>low</v>
      </c>
      <c r="U389" s="1" t="b">
        <f t="shared" si="30"/>
        <v>0</v>
      </c>
    </row>
    <row r="390" spans="1:21" x14ac:dyDescent="0.3">
      <c r="A390" s="5">
        <v>10389</v>
      </c>
      <c r="B390" s="1">
        <v>1627</v>
      </c>
      <c r="C390" s="2">
        <v>45027</v>
      </c>
      <c r="D390" s="2">
        <v>45030</v>
      </c>
      <c r="E390" s="1" t="s">
        <v>15</v>
      </c>
      <c r="F390" s="1" t="s">
        <v>38</v>
      </c>
      <c r="G390" s="1" t="s">
        <v>17</v>
      </c>
      <c r="H390" s="1" t="s">
        <v>35</v>
      </c>
      <c r="I390" s="1" t="s">
        <v>26</v>
      </c>
      <c r="J390" s="1" t="s">
        <v>69</v>
      </c>
      <c r="K390" s="1" t="s">
        <v>21</v>
      </c>
      <c r="L390" s="1">
        <v>7</v>
      </c>
      <c r="M390" s="1">
        <v>3459.29</v>
      </c>
      <c r="N390" s="1">
        <v>0</v>
      </c>
      <c r="O390" s="1">
        <v>24215.03</v>
      </c>
      <c r="P390" s="1">
        <f t="shared" si="31"/>
        <v>24215.03</v>
      </c>
      <c r="Q390" s="10">
        <f t="shared" si="32"/>
        <v>0</v>
      </c>
      <c r="R390" s="11">
        <f t="shared" si="33"/>
        <v>24215.03</v>
      </c>
      <c r="S390" s="1" t="str">
        <f t="shared" si="34"/>
        <v>High</v>
      </c>
      <c r="T390" s="1" t="str" cm="1">
        <f t="array" ref="T390">_xlfn.IFS(L390&gt;5,"High",L390=5,"mediam",L390&lt;5,"low")</f>
        <v>High</v>
      </c>
      <c r="U390" s="1" t="str">
        <f t="shared" si="30"/>
        <v>High</v>
      </c>
    </row>
    <row r="391" spans="1:21" x14ac:dyDescent="0.3">
      <c r="A391" s="5">
        <v>10390</v>
      </c>
      <c r="B391" s="1">
        <v>1586</v>
      </c>
      <c r="C391" s="2">
        <v>45102</v>
      </c>
      <c r="D391" s="2">
        <v>45103</v>
      </c>
      <c r="E391" s="1" t="s">
        <v>40</v>
      </c>
      <c r="F391" s="1" t="s">
        <v>54</v>
      </c>
      <c r="G391" s="1" t="s">
        <v>24</v>
      </c>
      <c r="H391" s="1" t="s">
        <v>35</v>
      </c>
      <c r="I391" s="1" t="s">
        <v>31</v>
      </c>
      <c r="J391" s="1" t="s">
        <v>48</v>
      </c>
      <c r="K391" s="1" t="s">
        <v>47</v>
      </c>
      <c r="L391" s="1">
        <v>1</v>
      </c>
      <c r="M391" s="1">
        <v>2430.36</v>
      </c>
      <c r="N391" s="1">
        <v>15</v>
      </c>
      <c r="O391" s="1">
        <v>2065.81</v>
      </c>
      <c r="P391" s="1">
        <f t="shared" si="31"/>
        <v>2430.36</v>
      </c>
      <c r="Q391" s="10">
        <f t="shared" si="32"/>
        <v>309.87149999999997</v>
      </c>
      <c r="R391" s="11">
        <f t="shared" si="33"/>
        <v>2120.4885000000004</v>
      </c>
      <c r="S391" s="1" t="str">
        <f t="shared" si="34"/>
        <v>Low</v>
      </c>
      <c r="T391" s="1" t="str" cm="1">
        <f t="array" ref="T391">_xlfn.IFS(L391&gt;5,"High",L391=5,"mediam",L391&lt;5,"low")</f>
        <v>low</v>
      </c>
      <c r="U391" s="1" t="b">
        <f t="shared" si="30"/>
        <v>0</v>
      </c>
    </row>
    <row r="392" spans="1:21" x14ac:dyDescent="0.3">
      <c r="A392" s="5">
        <v>10391</v>
      </c>
      <c r="B392" s="1">
        <v>1624</v>
      </c>
      <c r="C392" s="2">
        <v>45033</v>
      </c>
      <c r="D392" s="2">
        <v>45037</v>
      </c>
      <c r="E392" s="1" t="s">
        <v>15</v>
      </c>
      <c r="F392" s="1" t="s">
        <v>29</v>
      </c>
      <c r="G392" s="1" t="s">
        <v>30</v>
      </c>
      <c r="H392" s="1" t="s">
        <v>25</v>
      </c>
      <c r="I392" s="1" t="s">
        <v>19</v>
      </c>
      <c r="J392" s="1" t="s">
        <v>66</v>
      </c>
      <c r="K392" s="1" t="s">
        <v>33</v>
      </c>
      <c r="L392" s="1">
        <v>6</v>
      </c>
      <c r="M392" s="1">
        <v>2824.42</v>
      </c>
      <c r="N392" s="1">
        <v>0</v>
      </c>
      <c r="O392" s="1">
        <v>16946.52</v>
      </c>
      <c r="P392" s="1">
        <f t="shared" si="31"/>
        <v>16946.52</v>
      </c>
      <c r="Q392" s="10">
        <f t="shared" si="32"/>
        <v>0</v>
      </c>
      <c r="R392" s="11">
        <f t="shared" si="33"/>
        <v>16946.52</v>
      </c>
      <c r="S392" s="1" t="str">
        <f t="shared" si="34"/>
        <v>High</v>
      </c>
      <c r="T392" s="1" t="str" cm="1">
        <f t="array" ref="T392">_xlfn.IFS(L392&gt;5,"High",L392=5,"mediam",L392&lt;5,"low")</f>
        <v>High</v>
      </c>
      <c r="U392" s="1" t="str">
        <f t="shared" si="30"/>
        <v>High</v>
      </c>
    </row>
    <row r="393" spans="1:21" x14ac:dyDescent="0.3">
      <c r="A393" s="5">
        <v>10392</v>
      </c>
      <c r="B393" s="1">
        <v>1967</v>
      </c>
      <c r="C393" s="2">
        <v>45027</v>
      </c>
      <c r="D393" s="2">
        <v>45036</v>
      </c>
      <c r="E393" s="1" t="s">
        <v>22</v>
      </c>
      <c r="F393" s="1" t="s">
        <v>38</v>
      </c>
      <c r="G393" s="1" t="s">
        <v>24</v>
      </c>
      <c r="H393" s="1" t="s">
        <v>25</v>
      </c>
      <c r="I393" s="1" t="s">
        <v>52</v>
      </c>
      <c r="J393" s="1" t="s">
        <v>60</v>
      </c>
      <c r="K393" s="1" t="s">
        <v>33</v>
      </c>
      <c r="L393" s="1">
        <v>3</v>
      </c>
      <c r="M393" s="1">
        <v>1553.98</v>
      </c>
      <c r="N393" s="1">
        <v>15</v>
      </c>
      <c r="O393" s="1">
        <v>3962.65</v>
      </c>
      <c r="P393" s="1">
        <f t="shared" si="31"/>
        <v>4661.9400000000005</v>
      </c>
      <c r="Q393" s="10">
        <f t="shared" si="32"/>
        <v>594.39750000000004</v>
      </c>
      <c r="R393" s="11">
        <f t="shared" si="33"/>
        <v>4067.5425000000005</v>
      </c>
      <c r="S393" s="1" t="str">
        <f t="shared" si="34"/>
        <v>Low</v>
      </c>
      <c r="T393" s="1" t="str" cm="1">
        <f t="array" ref="T393">_xlfn.IFS(L393&gt;5,"High",L393=5,"mediam",L393&lt;5,"low")</f>
        <v>low</v>
      </c>
      <c r="U393" s="1" t="b">
        <f t="shared" ref="U393:U456" si="35">IF(L393&gt;5,"High",IF(L393="Mediam","Low"))</f>
        <v>0</v>
      </c>
    </row>
    <row r="394" spans="1:21" x14ac:dyDescent="0.3">
      <c r="A394" s="5">
        <v>10393</v>
      </c>
      <c r="B394" s="1">
        <v>1419</v>
      </c>
      <c r="C394" s="2">
        <v>45186</v>
      </c>
      <c r="D394" s="2">
        <v>45191</v>
      </c>
      <c r="E394" s="1" t="s">
        <v>40</v>
      </c>
      <c r="F394" s="1" t="s">
        <v>23</v>
      </c>
      <c r="G394" s="1" t="s">
        <v>24</v>
      </c>
      <c r="H394" s="1" t="s">
        <v>35</v>
      </c>
      <c r="I394" s="1" t="s">
        <v>52</v>
      </c>
      <c r="J394" s="1" t="s">
        <v>60</v>
      </c>
      <c r="K394" s="1" t="s">
        <v>45</v>
      </c>
      <c r="L394" s="1">
        <v>8</v>
      </c>
      <c r="M394" s="1">
        <v>2993.25</v>
      </c>
      <c r="N394" s="1">
        <v>10</v>
      </c>
      <c r="O394" s="1">
        <v>21551.4</v>
      </c>
      <c r="P394" s="1">
        <f t="shared" si="31"/>
        <v>23946</v>
      </c>
      <c r="Q394" s="10">
        <f t="shared" si="32"/>
        <v>2155.1400000000003</v>
      </c>
      <c r="R394" s="11">
        <f t="shared" si="33"/>
        <v>21790.86</v>
      </c>
      <c r="S394" s="1" t="str">
        <f t="shared" si="34"/>
        <v>High</v>
      </c>
      <c r="T394" s="1" t="str" cm="1">
        <f t="array" ref="T394">_xlfn.IFS(L394&gt;5,"High",L394=5,"mediam",L394&lt;5,"low")</f>
        <v>High</v>
      </c>
      <c r="U394" s="1" t="str">
        <f t="shared" si="35"/>
        <v>High</v>
      </c>
    </row>
    <row r="395" spans="1:21" x14ac:dyDescent="0.3">
      <c r="A395" s="5">
        <v>10394</v>
      </c>
      <c r="B395" s="1">
        <v>1421</v>
      </c>
      <c r="C395" s="2">
        <v>45172</v>
      </c>
      <c r="D395" s="2">
        <v>45173</v>
      </c>
      <c r="E395" s="1" t="s">
        <v>22</v>
      </c>
      <c r="F395" s="1" t="s">
        <v>29</v>
      </c>
      <c r="G395" s="1" t="s">
        <v>17</v>
      </c>
      <c r="H395" s="1" t="s">
        <v>18</v>
      </c>
      <c r="I395" s="1" t="s">
        <v>49</v>
      </c>
      <c r="J395" s="1" t="s">
        <v>50</v>
      </c>
      <c r="K395" s="1" t="s">
        <v>47</v>
      </c>
      <c r="L395" s="1">
        <v>6</v>
      </c>
      <c r="M395" s="1">
        <v>2716.48</v>
      </c>
      <c r="N395" s="1">
        <v>0</v>
      </c>
      <c r="O395" s="1">
        <v>16298.88</v>
      </c>
      <c r="P395" s="1">
        <f t="shared" si="31"/>
        <v>16298.880000000001</v>
      </c>
      <c r="Q395" s="10">
        <f t="shared" si="32"/>
        <v>0</v>
      </c>
      <c r="R395" s="11">
        <f t="shared" si="33"/>
        <v>16298.880000000001</v>
      </c>
      <c r="S395" s="1" t="str">
        <f t="shared" si="34"/>
        <v>High</v>
      </c>
      <c r="T395" s="1" t="str" cm="1">
        <f t="array" ref="T395">_xlfn.IFS(L395&gt;5,"High",L395=5,"mediam",L395&lt;5,"low")</f>
        <v>High</v>
      </c>
      <c r="U395" s="1" t="str">
        <f t="shared" si="35"/>
        <v>High</v>
      </c>
    </row>
    <row r="396" spans="1:21" x14ac:dyDescent="0.3">
      <c r="A396" s="5">
        <v>10395</v>
      </c>
      <c r="B396" s="1">
        <v>1103</v>
      </c>
      <c r="C396" s="2">
        <v>45201</v>
      </c>
      <c r="D396" s="2">
        <v>45206</v>
      </c>
      <c r="E396" s="1" t="s">
        <v>16</v>
      </c>
      <c r="F396" s="1" t="s">
        <v>23</v>
      </c>
      <c r="G396" s="1" t="s">
        <v>24</v>
      </c>
      <c r="H396" s="1" t="s">
        <v>44</v>
      </c>
      <c r="I396" s="1" t="s">
        <v>26</v>
      </c>
      <c r="J396" s="1" t="s">
        <v>36</v>
      </c>
      <c r="K396" s="1" t="s">
        <v>45</v>
      </c>
      <c r="L396" s="1">
        <v>2</v>
      </c>
      <c r="M396" s="1">
        <v>610.30999999999995</v>
      </c>
      <c r="N396" s="1">
        <v>10</v>
      </c>
      <c r="O396" s="1">
        <v>1098.56</v>
      </c>
      <c r="P396" s="1">
        <f t="shared" si="31"/>
        <v>1220.6199999999999</v>
      </c>
      <c r="Q396" s="10">
        <f t="shared" si="32"/>
        <v>109.85599999999999</v>
      </c>
      <c r="R396" s="11">
        <f t="shared" si="33"/>
        <v>1110.7639999999999</v>
      </c>
      <c r="S396" s="1" t="str">
        <f t="shared" si="34"/>
        <v>Low</v>
      </c>
      <c r="T396" s="1" t="str" cm="1">
        <f t="array" ref="T396">_xlfn.IFS(L396&gt;5,"High",L396=5,"mediam",L396&lt;5,"low")</f>
        <v>low</v>
      </c>
      <c r="U396" s="1" t="b">
        <f t="shared" si="35"/>
        <v>0</v>
      </c>
    </row>
    <row r="397" spans="1:21" x14ac:dyDescent="0.3">
      <c r="A397" s="5">
        <v>10396</v>
      </c>
      <c r="B397" s="1">
        <v>1851</v>
      </c>
      <c r="C397" s="2">
        <v>44958</v>
      </c>
      <c r="D397" s="2">
        <v>44966</v>
      </c>
      <c r="E397" s="1" t="s">
        <v>46</v>
      </c>
      <c r="F397" s="1" t="s">
        <v>16</v>
      </c>
      <c r="G397" s="1" t="s">
        <v>30</v>
      </c>
      <c r="H397" s="1" t="s">
        <v>44</v>
      </c>
      <c r="I397" s="1" t="s">
        <v>49</v>
      </c>
      <c r="J397" s="1" t="s">
        <v>51</v>
      </c>
      <c r="K397" s="1" t="s">
        <v>47</v>
      </c>
      <c r="L397" s="1">
        <v>6</v>
      </c>
      <c r="M397" s="1">
        <v>2354.67</v>
      </c>
      <c r="N397" s="1">
        <v>15</v>
      </c>
      <c r="O397" s="1">
        <v>12008.82</v>
      </c>
      <c r="P397" s="1">
        <f t="shared" si="31"/>
        <v>14128.02</v>
      </c>
      <c r="Q397" s="10">
        <f t="shared" si="32"/>
        <v>1801.3229999999999</v>
      </c>
      <c r="R397" s="11">
        <f t="shared" si="33"/>
        <v>12326.697</v>
      </c>
      <c r="S397" s="1" t="str">
        <f t="shared" si="34"/>
        <v>High</v>
      </c>
      <c r="T397" s="1" t="str" cm="1">
        <f t="array" ref="T397">_xlfn.IFS(L397&gt;5,"High",L397=5,"mediam",L397&lt;5,"low")</f>
        <v>High</v>
      </c>
      <c r="U397" s="1" t="str">
        <f t="shared" si="35"/>
        <v>High</v>
      </c>
    </row>
    <row r="398" spans="1:21" x14ac:dyDescent="0.3">
      <c r="A398" s="5">
        <v>10397</v>
      </c>
      <c r="B398" s="1">
        <v>1253</v>
      </c>
      <c r="C398" s="2">
        <v>45063</v>
      </c>
      <c r="D398" s="2">
        <v>45071</v>
      </c>
      <c r="E398" s="1" t="s">
        <v>22</v>
      </c>
      <c r="F398" s="1" t="s">
        <v>41</v>
      </c>
      <c r="G398" s="1" t="s">
        <v>30</v>
      </c>
      <c r="H398" s="1" t="s">
        <v>18</v>
      </c>
      <c r="I398" s="1" t="s">
        <v>31</v>
      </c>
      <c r="J398" s="1" t="s">
        <v>39</v>
      </c>
      <c r="K398" s="1" t="s">
        <v>45</v>
      </c>
      <c r="L398" s="1">
        <v>7</v>
      </c>
      <c r="M398" s="1">
        <v>1138.46</v>
      </c>
      <c r="N398" s="1">
        <v>10</v>
      </c>
      <c r="O398" s="1">
        <v>7172.3</v>
      </c>
      <c r="P398" s="1">
        <f t="shared" si="31"/>
        <v>7969.22</v>
      </c>
      <c r="Q398" s="10">
        <f t="shared" si="32"/>
        <v>717.23</v>
      </c>
      <c r="R398" s="11">
        <f t="shared" si="33"/>
        <v>7251.99</v>
      </c>
      <c r="S398" s="1" t="str">
        <f t="shared" si="34"/>
        <v>High</v>
      </c>
      <c r="T398" s="1" t="str" cm="1">
        <f t="array" ref="T398">_xlfn.IFS(L398&gt;5,"High",L398=5,"mediam",L398&lt;5,"low")</f>
        <v>High</v>
      </c>
      <c r="U398" s="1" t="str">
        <f t="shared" si="35"/>
        <v>High</v>
      </c>
    </row>
    <row r="399" spans="1:21" x14ac:dyDescent="0.3">
      <c r="A399" s="5">
        <v>10398</v>
      </c>
      <c r="B399" s="1">
        <v>1226</v>
      </c>
      <c r="C399" s="2">
        <v>44938</v>
      </c>
      <c r="D399" s="2">
        <v>44943</v>
      </c>
      <c r="E399" s="1" t="s">
        <v>22</v>
      </c>
      <c r="F399" s="1" t="s">
        <v>29</v>
      </c>
      <c r="G399" s="1" t="s">
        <v>17</v>
      </c>
      <c r="H399" s="1" t="s">
        <v>44</v>
      </c>
      <c r="I399" s="1" t="s">
        <v>49</v>
      </c>
      <c r="J399" s="1" t="s">
        <v>63</v>
      </c>
      <c r="K399" s="1" t="s">
        <v>33</v>
      </c>
      <c r="L399" s="1">
        <v>5</v>
      </c>
      <c r="M399" s="1">
        <v>3245.77</v>
      </c>
      <c r="N399" s="1">
        <v>0</v>
      </c>
      <c r="O399" s="1">
        <v>16228.85</v>
      </c>
      <c r="P399" s="1">
        <f t="shared" si="31"/>
        <v>16228.85</v>
      </c>
      <c r="Q399" s="10">
        <f t="shared" si="32"/>
        <v>0</v>
      </c>
      <c r="R399" s="11">
        <f t="shared" si="33"/>
        <v>16228.85</v>
      </c>
      <c r="S399" s="1" t="str">
        <f t="shared" si="34"/>
        <v>High</v>
      </c>
      <c r="T399" s="1" t="str" cm="1">
        <f t="array" ref="T399">_xlfn.IFS(L399&gt;5,"High",L399=5,"mediam",L399&lt;5,"low")</f>
        <v>mediam</v>
      </c>
      <c r="U399" s="1" t="b">
        <f t="shared" si="35"/>
        <v>0</v>
      </c>
    </row>
    <row r="400" spans="1:21" x14ac:dyDescent="0.3">
      <c r="A400" s="5">
        <v>10399</v>
      </c>
      <c r="B400" s="1">
        <v>1111</v>
      </c>
      <c r="C400" s="2">
        <v>45228</v>
      </c>
      <c r="D400" s="2">
        <v>45237</v>
      </c>
      <c r="E400" s="1" t="s">
        <v>16</v>
      </c>
      <c r="F400" s="1" t="s">
        <v>16</v>
      </c>
      <c r="G400" s="1" t="s">
        <v>24</v>
      </c>
      <c r="H400" s="1" t="s">
        <v>42</v>
      </c>
      <c r="I400" s="1" t="s">
        <v>19</v>
      </c>
      <c r="J400" s="1" t="s">
        <v>43</v>
      </c>
      <c r="K400" s="1" t="s">
        <v>33</v>
      </c>
      <c r="L400" s="1">
        <v>3</v>
      </c>
      <c r="M400" s="1">
        <v>1789.86</v>
      </c>
      <c r="N400" s="1">
        <v>0</v>
      </c>
      <c r="O400" s="1">
        <v>5369.58</v>
      </c>
      <c r="P400" s="1">
        <f t="shared" si="31"/>
        <v>5369.58</v>
      </c>
      <c r="Q400" s="10">
        <f t="shared" si="32"/>
        <v>0</v>
      </c>
      <c r="R400" s="11">
        <f t="shared" si="33"/>
        <v>5369.58</v>
      </c>
      <c r="S400" s="1" t="str">
        <f t="shared" si="34"/>
        <v>Low</v>
      </c>
      <c r="T400" s="1" t="str" cm="1">
        <f t="array" ref="T400">_xlfn.IFS(L400&gt;5,"High",L400=5,"mediam",L400&lt;5,"low")</f>
        <v>low</v>
      </c>
      <c r="U400" s="1" t="b">
        <f t="shared" si="35"/>
        <v>0</v>
      </c>
    </row>
    <row r="401" spans="1:21" x14ac:dyDescent="0.3">
      <c r="A401" s="5">
        <v>10400</v>
      </c>
      <c r="B401" s="1">
        <v>1509</v>
      </c>
      <c r="C401" s="2">
        <v>44942</v>
      </c>
      <c r="D401" s="2">
        <v>44943</v>
      </c>
      <c r="E401" s="1" t="s">
        <v>34</v>
      </c>
      <c r="F401" s="1" t="s">
        <v>29</v>
      </c>
      <c r="G401" s="1" t="s">
        <v>30</v>
      </c>
      <c r="H401" s="1" t="s">
        <v>35</v>
      </c>
      <c r="I401" s="1" t="s">
        <v>52</v>
      </c>
      <c r="J401" s="1" t="s">
        <v>60</v>
      </c>
      <c r="K401" s="1" t="s">
        <v>21</v>
      </c>
      <c r="L401" s="1">
        <v>4</v>
      </c>
      <c r="M401" s="1">
        <v>3979.53</v>
      </c>
      <c r="N401" s="1">
        <v>10</v>
      </c>
      <c r="O401" s="1">
        <v>14326.31</v>
      </c>
      <c r="P401" s="1">
        <f t="shared" si="31"/>
        <v>15918.12</v>
      </c>
      <c r="Q401" s="10">
        <f t="shared" si="32"/>
        <v>1432.6310000000001</v>
      </c>
      <c r="R401" s="11">
        <f t="shared" si="33"/>
        <v>14485.489000000001</v>
      </c>
      <c r="S401" s="1" t="str">
        <f t="shared" si="34"/>
        <v>Low</v>
      </c>
      <c r="T401" s="1" t="str" cm="1">
        <f t="array" ref="T401">_xlfn.IFS(L401&gt;5,"High",L401=5,"mediam",L401&lt;5,"low")</f>
        <v>low</v>
      </c>
      <c r="U401" s="1" t="b">
        <f t="shared" si="35"/>
        <v>0</v>
      </c>
    </row>
    <row r="402" spans="1:21" x14ac:dyDescent="0.3">
      <c r="A402" s="5">
        <v>10401</v>
      </c>
      <c r="B402" s="1">
        <v>1472</v>
      </c>
      <c r="C402" s="2">
        <v>45055</v>
      </c>
      <c r="D402" s="2">
        <v>45059</v>
      </c>
      <c r="E402" s="1" t="s">
        <v>16</v>
      </c>
      <c r="F402" s="1" t="s">
        <v>29</v>
      </c>
      <c r="G402" s="1" t="s">
        <v>24</v>
      </c>
      <c r="H402" s="1" t="s">
        <v>35</v>
      </c>
      <c r="I402" s="1" t="s">
        <v>31</v>
      </c>
      <c r="J402" s="1" t="s">
        <v>48</v>
      </c>
      <c r="K402" s="1" t="s">
        <v>45</v>
      </c>
      <c r="L402" s="1">
        <v>4</v>
      </c>
      <c r="M402" s="1">
        <v>506.13</v>
      </c>
      <c r="N402" s="1">
        <v>5</v>
      </c>
      <c r="O402" s="1">
        <v>1923.29</v>
      </c>
      <c r="P402" s="1">
        <f t="shared" si="31"/>
        <v>2024.52</v>
      </c>
      <c r="Q402" s="10">
        <f t="shared" si="32"/>
        <v>96.164500000000004</v>
      </c>
      <c r="R402" s="11">
        <f t="shared" si="33"/>
        <v>1928.3554999999999</v>
      </c>
      <c r="S402" s="1" t="str">
        <f t="shared" si="34"/>
        <v>Low</v>
      </c>
      <c r="T402" s="1" t="str" cm="1">
        <f t="array" ref="T402">_xlfn.IFS(L402&gt;5,"High",L402=5,"mediam",L402&lt;5,"low")</f>
        <v>low</v>
      </c>
      <c r="U402" s="1" t="b">
        <f t="shared" si="35"/>
        <v>0</v>
      </c>
    </row>
    <row r="403" spans="1:21" x14ac:dyDescent="0.3">
      <c r="A403" s="5">
        <v>10402</v>
      </c>
      <c r="B403" s="1">
        <v>1098</v>
      </c>
      <c r="C403" s="2">
        <v>44989</v>
      </c>
      <c r="D403" s="2">
        <v>44992</v>
      </c>
      <c r="E403" s="1" t="s">
        <v>40</v>
      </c>
      <c r="F403" s="1" t="s">
        <v>16</v>
      </c>
      <c r="G403" s="1" t="s">
        <v>24</v>
      </c>
      <c r="H403" s="1" t="s">
        <v>18</v>
      </c>
      <c r="I403" s="1" t="s">
        <v>49</v>
      </c>
      <c r="J403" s="1" t="s">
        <v>51</v>
      </c>
      <c r="K403" s="1" t="s">
        <v>28</v>
      </c>
      <c r="L403" s="1">
        <v>6</v>
      </c>
      <c r="M403" s="1">
        <v>3154.34</v>
      </c>
      <c r="N403" s="1">
        <v>15</v>
      </c>
      <c r="O403" s="1">
        <v>16087.13</v>
      </c>
      <c r="P403" s="1">
        <f t="shared" si="31"/>
        <v>18926.04</v>
      </c>
      <c r="Q403" s="10">
        <f t="shared" si="32"/>
        <v>2413.0694999999996</v>
      </c>
      <c r="R403" s="11">
        <f t="shared" si="33"/>
        <v>16512.970500000003</v>
      </c>
      <c r="S403" s="1" t="str">
        <f t="shared" si="34"/>
        <v>High</v>
      </c>
      <c r="T403" s="1" t="str" cm="1">
        <f t="array" ref="T403">_xlfn.IFS(L403&gt;5,"High",L403=5,"mediam",L403&lt;5,"low")</f>
        <v>High</v>
      </c>
      <c r="U403" s="1" t="str">
        <f t="shared" si="35"/>
        <v>High</v>
      </c>
    </row>
    <row r="404" spans="1:21" x14ac:dyDescent="0.3">
      <c r="A404" s="5">
        <v>10403</v>
      </c>
      <c r="B404" s="1">
        <v>1152</v>
      </c>
      <c r="C404" s="2">
        <v>45035</v>
      </c>
      <c r="D404" s="2">
        <v>45037</v>
      </c>
      <c r="E404" s="1" t="s">
        <v>16</v>
      </c>
      <c r="F404" s="1" t="s">
        <v>38</v>
      </c>
      <c r="G404" s="1" t="s">
        <v>24</v>
      </c>
      <c r="H404" s="1" t="s">
        <v>44</v>
      </c>
      <c r="I404" s="1" t="s">
        <v>26</v>
      </c>
      <c r="J404" s="1" t="s">
        <v>36</v>
      </c>
      <c r="K404" s="1" t="s">
        <v>21</v>
      </c>
      <c r="L404" s="1">
        <v>1</v>
      </c>
      <c r="M404" s="1">
        <v>2743.75</v>
      </c>
      <c r="N404" s="1">
        <v>15</v>
      </c>
      <c r="O404" s="1">
        <v>2332.19</v>
      </c>
      <c r="P404" s="1">
        <f t="shared" si="31"/>
        <v>2743.75</v>
      </c>
      <c r="Q404" s="10">
        <f t="shared" si="32"/>
        <v>349.82850000000002</v>
      </c>
      <c r="R404" s="11">
        <f t="shared" si="33"/>
        <v>2393.9214999999999</v>
      </c>
      <c r="S404" s="1" t="str">
        <f t="shared" si="34"/>
        <v>Low</v>
      </c>
      <c r="T404" s="1" t="str" cm="1">
        <f t="array" ref="T404">_xlfn.IFS(L404&gt;5,"High",L404=5,"mediam",L404&lt;5,"low")</f>
        <v>low</v>
      </c>
      <c r="U404" s="1" t="b">
        <f t="shared" si="35"/>
        <v>0</v>
      </c>
    </row>
    <row r="405" spans="1:21" x14ac:dyDescent="0.3">
      <c r="A405" s="5">
        <v>10404</v>
      </c>
      <c r="B405" s="1">
        <v>1860</v>
      </c>
      <c r="C405" s="2">
        <v>44947</v>
      </c>
      <c r="D405" s="2">
        <v>44955</v>
      </c>
      <c r="E405" s="1" t="s">
        <v>16</v>
      </c>
      <c r="F405" s="1" t="s">
        <v>54</v>
      </c>
      <c r="G405" s="1" t="s">
        <v>17</v>
      </c>
      <c r="H405" s="1" t="s">
        <v>25</v>
      </c>
      <c r="I405" s="1" t="s">
        <v>19</v>
      </c>
      <c r="J405" s="1" t="s">
        <v>66</v>
      </c>
      <c r="K405" s="1" t="s">
        <v>45</v>
      </c>
      <c r="L405" s="1">
        <v>4</v>
      </c>
      <c r="M405" s="1">
        <v>3104.87</v>
      </c>
      <c r="N405" s="1">
        <v>10</v>
      </c>
      <c r="O405" s="1">
        <v>11177.53</v>
      </c>
      <c r="P405" s="1">
        <f t="shared" si="31"/>
        <v>12419.48</v>
      </c>
      <c r="Q405" s="10">
        <f t="shared" si="32"/>
        <v>1117.7530000000002</v>
      </c>
      <c r="R405" s="11">
        <f t="shared" si="33"/>
        <v>11301.726999999999</v>
      </c>
      <c r="S405" s="1" t="str">
        <f t="shared" si="34"/>
        <v>Low</v>
      </c>
      <c r="T405" s="1" t="str" cm="1">
        <f t="array" ref="T405">_xlfn.IFS(L405&gt;5,"High",L405=5,"mediam",L405&lt;5,"low")</f>
        <v>low</v>
      </c>
      <c r="U405" s="1" t="b">
        <f t="shared" si="35"/>
        <v>0</v>
      </c>
    </row>
    <row r="406" spans="1:21" x14ac:dyDescent="0.3">
      <c r="A406" s="5">
        <v>10405</v>
      </c>
      <c r="B406" s="1">
        <v>1913</v>
      </c>
      <c r="C406" s="2">
        <v>45084</v>
      </c>
      <c r="D406" s="2">
        <v>45091</v>
      </c>
      <c r="E406" s="1" t="s">
        <v>46</v>
      </c>
      <c r="F406" s="1" t="s">
        <v>23</v>
      </c>
      <c r="G406" s="1" t="s">
        <v>24</v>
      </c>
      <c r="H406" s="1" t="s">
        <v>25</v>
      </c>
      <c r="I406" s="1" t="s">
        <v>19</v>
      </c>
      <c r="J406" s="1" t="s">
        <v>66</v>
      </c>
      <c r="K406" s="1" t="s">
        <v>45</v>
      </c>
      <c r="L406" s="1">
        <v>4</v>
      </c>
      <c r="M406" s="1">
        <v>1333.99</v>
      </c>
      <c r="N406" s="1">
        <v>5</v>
      </c>
      <c r="O406" s="1">
        <v>5069.16</v>
      </c>
      <c r="P406" s="1">
        <f t="shared" si="31"/>
        <v>5335.96</v>
      </c>
      <c r="Q406" s="10">
        <f t="shared" si="32"/>
        <v>253.458</v>
      </c>
      <c r="R406" s="11">
        <f t="shared" si="33"/>
        <v>5082.5020000000004</v>
      </c>
      <c r="S406" s="1" t="str">
        <f t="shared" si="34"/>
        <v>Low</v>
      </c>
      <c r="T406" s="1" t="str" cm="1">
        <f t="array" ref="T406">_xlfn.IFS(L406&gt;5,"High",L406=5,"mediam",L406&lt;5,"low")</f>
        <v>low</v>
      </c>
      <c r="U406" s="1" t="b">
        <f t="shared" si="35"/>
        <v>0</v>
      </c>
    </row>
    <row r="407" spans="1:21" x14ac:dyDescent="0.3">
      <c r="A407" s="5">
        <v>10406</v>
      </c>
      <c r="B407" s="1">
        <v>1895</v>
      </c>
      <c r="C407" s="2">
        <v>45195</v>
      </c>
      <c r="D407" s="2">
        <v>45204</v>
      </c>
      <c r="E407" s="1" t="s">
        <v>16</v>
      </c>
      <c r="F407" s="1" t="s">
        <v>29</v>
      </c>
      <c r="G407" s="1" t="s">
        <v>30</v>
      </c>
      <c r="H407" s="1" t="s">
        <v>44</v>
      </c>
      <c r="I407" s="1" t="s">
        <v>49</v>
      </c>
      <c r="J407" s="1" t="s">
        <v>51</v>
      </c>
      <c r="K407" s="1" t="s">
        <v>21</v>
      </c>
      <c r="L407" s="1">
        <v>1</v>
      </c>
      <c r="M407" s="1">
        <v>2044.41</v>
      </c>
      <c r="N407" s="1">
        <v>0</v>
      </c>
      <c r="O407" s="1">
        <v>2044.41</v>
      </c>
      <c r="P407" s="1">
        <f t="shared" si="31"/>
        <v>2044.41</v>
      </c>
      <c r="Q407" s="10">
        <f t="shared" si="32"/>
        <v>0</v>
      </c>
      <c r="R407" s="11">
        <f t="shared" si="33"/>
        <v>2044.41</v>
      </c>
      <c r="S407" s="1" t="str">
        <f t="shared" si="34"/>
        <v>Low</v>
      </c>
      <c r="T407" s="1" t="str" cm="1">
        <f t="array" ref="T407">_xlfn.IFS(L407&gt;5,"High",L407=5,"mediam",L407&lt;5,"low")</f>
        <v>low</v>
      </c>
      <c r="U407" s="1" t="b">
        <f t="shared" si="35"/>
        <v>0</v>
      </c>
    </row>
    <row r="408" spans="1:21" x14ac:dyDescent="0.3">
      <c r="A408" s="5">
        <v>10407</v>
      </c>
      <c r="B408" s="1">
        <v>1877</v>
      </c>
      <c r="C408" s="2">
        <v>45088</v>
      </c>
      <c r="D408" s="2">
        <v>45090</v>
      </c>
      <c r="E408" s="1" t="s">
        <v>22</v>
      </c>
      <c r="F408" s="1" t="s">
        <v>23</v>
      </c>
      <c r="G408" s="1" t="s">
        <v>24</v>
      </c>
      <c r="H408" s="1" t="s">
        <v>25</v>
      </c>
      <c r="I408" s="1" t="s">
        <v>52</v>
      </c>
      <c r="J408" s="1" t="s">
        <v>53</v>
      </c>
      <c r="K408" s="1" t="s">
        <v>33</v>
      </c>
      <c r="L408" s="1">
        <v>9</v>
      </c>
      <c r="M408" s="1">
        <v>3216.56</v>
      </c>
      <c r="N408" s="1">
        <v>20</v>
      </c>
      <c r="O408" s="1">
        <v>23159.23</v>
      </c>
      <c r="P408" s="1">
        <f t="shared" si="31"/>
        <v>28949.040000000001</v>
      </c>
      <c r="Q408" s="10">
        <f t="shared" si="32"/>
        <v>4631.8460000000005</v>
      </c>
      <c r="R408" s="11">
        <f t="shared" si="33"/>
        <v>24317.194</v>
      </c>
      <c r="S408" s="1" t="str">
        <f t="shared" si="34"/>
        <v>High</v>
      </c>
      <c r="T408" s="1" t="str" cm="1">
        <f t="array" ref="T408">_xlfn.IFS(L408&gt;5,"High",L408=5,"mediam",L408&lt;5,"low")</f>
        <v>High</v>
      </c>
      <c r="U408" s="1" t="str">
        <f t="shared" si="35"/>
        <v>High</v>
      </c>
    </row>
    <row r="409" spans="1:21" x14ac:dyDescent="0.3">
      <c r="A409" s="5">
        <v>10408</v>
      </c>
      <c r="B409" s="1">
        <v>1337</v>
      </c>
      <c r="C409" s="2">
        <v>45186</v>
      </c>
      <c r="D409" s="2">
        <v>45190</v>
      </c>
      <c r="E409" s="1" t="s">
        <v>46</v>
      </c>
      <c r="F409" s="1" t="s">
        <v>41</v>
      </c>
      <c r="G409" s="1" t="s">
        <v>30</v>
      </c>
      <c r="H409" s="1" t="s">
        <v>18</v>
      </c>
      <c r="I409" s="1" t="s">
        <v>49</v>
      </c>
      <c r="J409" s="1" t="s">
        <v>63</v>
      </c>
      <c r="K409" s="1" t="s">
        <v>45</v>
      </c>
      <c r="L409" s="1">
        <v>4</v>
      </c>
      <c r="M409" s="1">
        <v>1045.28</v>
      </c>
      <c r="N409" s="1">
        <v>20</v>
      </c>
      <c r="O409" s="1">
        <v>3344.9</v>
      </c>
      <c r="P409" s="1">
        <f t="shared" si="31"/>
        <v>4181.12</v>
      </c>
      <c r="Q409" s="10">
        <f t="shared" si="32"/>
        <v>668.98</v>
      </c>
      <c r="R409" s="11">
        <f t="shared" si="33"/>
        <v>3512.14</v>
      </c>
      <c r="S409" s="1" t="str">
        <f t="shared" si="34"/>
        <v>Low</v>
      </c>
      <c r="T409" s="1" t="str" cm="1">
        <f t="array" ref="T409">_xlfn.IFS(L409&gt;5,"High",L409=5,"mediam",L409&lt;5,"low")</f>
        <v>low</v>
      </c>
      <c r="U409" s="1" t="b">
        <f t="shared" si="35"/>
        <v>0</v>
      </c>
    </row>
    <row r="410" spans="1:21" x14ac:dyDescent="0.3">
      <c r="A410" s="5">
        <v>10409</v>
      </c>
      <c r="B410" s="1">
        <v>1705</v>
      </c>
      <c r="C410" s="2">
        <v>45028</v>
      </c>
      <c r="D410" s="2">
        <v>45034</v>
      </c>
      <c r="E410" s="1" t="s">
        <v>37</v>
      </c>
      <c r="F410" s="1" t="s">
        <v>16</v>
      </c>
      <c r="G410" s="1" t="s">
        <v>24</v>
      </c>
      <c r="H410" s="1" t="s">
        <v>18</v>
      </c>
      <c r="I410" s="1" t="s">
        <v>31</v>
      </c>
      <c r="J410" s="1" t="s">
        <v>39</v>
      </c>
      <c r="K410" s="1" t="s">
        <v>33</v>
      </c>
      <c r="L410" s="1">
        <v>7</v>
      </c>
      <c r="M410" s="1">
        <v>1020.23</v>
      </c>
      <c r="N410" s="1">
        <v>10</v>
      </c>
      <c r="O410" s="1">
        <v>6427.45</v>
      </c>
      <c r="P410" s="1">
        <f t="shared" si="31"/>
        <v>7141.6100000000006</v>
      </c>
      <c r="Q410" s="10">
        <f t="shared" si="32"/>
        <v>642.745</v>
      </c>
      <c r="R410" s="11">
        <f t="shared" si="33"/>
        <v>6498.8650000000007</v>
      </c>
      <c r="S410" s="1" t="str">
        <f t="shared" si="34"/>
        <v>High</v>
      </c>
      <c r="T410" s="1" t="str" cm="1">
        <f t="array" ref="T410">_xlfn.IFS(L410&gt;5,"High",L410=5,"mediam",L410&lt;5,"low")</f>
        <v>High</v>
      </c>
      <c r="U410" s="1" t="str">
        <f t="shared" si="35"/>
        <v>High</v>
      </c>
    </row>
    <row r="411" spans="1:21" x14ac:dyDescent="0.3">
      <c r="A411" s="5">
        <v>10410</v>
      </c>
      <c r="B411" s="1">
        <v>1821</v>
      </c>
      <c r="C411" s="2">
        <v>45149</v>
      </c>
      <c r="D411" s="2">
        <v>45152</v>
      </c>
      <c r="E411" s="1" t="s">
        <v>34</v>
      </c>
      <c r="F411" s="1" t="s">
        <v>23</v>
      </c>
      <c r="G411" s="1" t="s">
        <v>30</v>
      </c>
      <c r="H411" s="1" t="s">
        <v>44</v>
      </c>
      <c r="I411" s="1" t="s">
        <v>49</v>
      </c>
      <c r="J411" s="1" t="s">
        <v>50</v>
      </c>
      <c r="K411" s="1" t="s">
        <v>21</v>
      </c>
      <c r="L411" s="1">
        <v>3</v>
      </c>
      <c r="M411" s="1">
        <v>2271.5500000000002</v>
      </c>
      <c r="N411" s="1">
        <v>5</v>
      </c>
      <c r="O411" s="1">
        <v>6473.92</v>
      </c>
      <c r="P411" s="1">
        <f t="shared" si="31"/>
        <v>6814.6500000000005</v>
      </c>
      <c r="Q411" s="10">
        <f t="shared" si="32"/>
        <v>323.69600000000003</v>
      </c>
      <c r="R411" s="11">
        <f t="shared" si="33"/>
        <v>6490.9540000000006</v>
      </c>
      <c r="S411" s="1" t="str">
        <f t="shared" si="34"/>
        <v>Low</v>
      </c>
      <c r="T411" s="1" t="str" cm="1">
        <f t="array" ref="T411">_xlfn.IFS(L411&gt;5,"High",L411=5,"mediam",L411&lt;5,"low")</f>
        <v>low</v>
      </c>
      <c r="U411" s="1" t="b">
        <f t="shared" si="35"/>
        <v>0</v>
      </c>
    </row>
    <row r="412" spans="1:21" x14ac:dyDescent="0.3">
      <c r="A412" s="5">
        <v>10411</v>
      </c>
      <c r="B412" s="1">
        <v>1162</v>
      </c>
      <c r="C412" s="2">
        <v>44985</v>
      </c>
      <c r="D412" s="2">
        <v>44993</v>
      </c>
      <c r="E412" s="1" t="s">
        <v>46</v>
      </c>
      <c r="F412" s="1" t="s">
        <v>16</v>
      </c>
      <c r="G412" s="1" t="s">
        <v>30</v>
      </c>
      <c r="H412" s="1" t="s">
        <v>25</v>
      </c>
      <c r="I412" s="1" t="s">
        <v>19</v>
      </c>
      <c r="J412" s="1" t="s">
        <v>43</v>
      </c>
      <c r="K412" s="1" t="s">
        <v>33</v>
      </c>
      <c r="L412" s="1">
        <v>3</v>
      </c>
      <c r="M412" s="1">
        <v>2165.7199999999998</v>
      </c>
      <c r="N412" s="1">
        <v>5</v>
      </c>
      <c r="O412" s="1">
        <v>6172.3</v>
      </c>
      <c r="P412" s="1">
        <f t="shared" si="31"/>
        <v>6497.16</v>
      </c>
      <c r="Q412" s="10">
        <f t="shared" si="32"/>
        <v>308.61500000000001</v>
      </c>
      <c r="R412" s="11">
        <f t="shared" si="33"/>
        <v>6188.5450000000001</v>
      </c>
      <c r="S412" s="1" t="str">
        <f t="shared" si="34"/>
        <v>Low</v>
      </c>
      <c r="T412" s="1" t="str" cm="1">
        <f t="array" ref="T412">_xlfn.IFS(L412&gt;5,"High",L412=5,"mediam",L412&lt;5,"low")</f>
        <v>low</v>
      </c>
      <c r="U412" s="1" t="b">
        <f t="shared" si="35"/>
        <v>0</v>
      </c>
    </row>
    <row r="413" spans="1:21" x14ac:dyDescent="0.3">
      <c r="A413" s="5">
        <v>10412</v>
      </c>
      <c r="B413" s="1">
        <v>1719</v>
      </c>
      <c r="C413" s="2">
        <v>45173</v>
      </c>
      <c r="D413" s="2">
        <v>45176</v>
      </c>
      <c r="E413" s="1" t="s">
        <v>40</v>
      </c>
      <c r="F413" s="1" t="s">
        <v>23</v>
      </c>
      <c r="G413" s="1" t="s">
        <v>24</v>
      </c>
      <c r="H413" s="1" t="s">
        <v>18</v>
      </c>
      <c r="I413" s="1" t="s">
        <v>49</v>
      </c>
      <c r="J413" s="1" t="s">
        <v>63</v>
      </c>
      <c r="K413" s="1" t="s">
        <v>47</v>
      </c>
      <c r="L413" s="1">
        <v>8</v>
      </c>
      <c r="M413" s="1">
        <v>1236.71</v>
      </c>
      <c r="N413" s="1">
        <v>15</v>
      </c>
      <c r="O413" s="1">
        <v>8409.6299999999992</v>
      </c>
      <c r="P413" s="1">
        <f t="shared" si="31"/>
        <v>9893.68</v>
      </c>
      <c r="Q413" s="10">
        <f t="shared" si="32"/>
        <v>1261.4444999999998</v>
      </c>
      <c r="R413" s="11">
        <f t="shared" si="33"/>
        <v>8632.2355000000007</v>
      </c>
      <c r="S413" s="1" t="str">
        <f t="shared" si="34"/>
        <v>High</v>
      </c>
      <c r="T413" s="1" t="str" cm="1">
        <f t="array" ref="T413">_xlfn.IFS(L413&gt;5,"High",L413=5,"mediam",L413&lt;5,"low")</f>
        <v>High</v>
      </c>
      <c r="U413" s="1" t="str">
        <f t="shared" si="35"/>
        <v>High</v>
      </c>
    </row>
    <row r="414" spans="1:21" x14ac:dyDescent="0.3">
      <c r="A414" s="5">
        <v>10413</v>
      </c>
      <c r="B414" s="1">
        <v>1956</v>
      </c>
      <c r="C414" s="2">
        <v>45054</v>
      </c>
      <c r="D414" s="2">
        <v>45056</v>
      </c>
      <c r="E414" s="1" t="s">
        <v>37</v>
      </c>
      <c r="F414" s="1" t="s">
        <v>54</v>
      </c>
      <c r="G414" s="1" t="s">
        <v>24</v>
      </c>
      <c r="H414" s="1" t="s">
        <v>18</v>
      </c>
      <c r="I414" s="1" t="s">
        <v>52</v>
      </c>
      <c r="J414" s="1" t="s">
        <v>53</v>
      </c>
      <c r="K414" s="1" t="s">
        <v>28</v>
      </c>
      <c r="L414" s="1">
        <v>8</v>
      </c>
      <c r="M414" s="1">
        <v>1297.5899999999999</v>
      </c>
      <c r="N414" s="1">
        <v>0</v>
      </c>
      <c r="O414" s="1">
        <v>10380.719999999999</v>
      </c>
      <c r="P414" s="1">
        <f t="shared" si="31"/>
        <v>10380.719999999999</v>
      </c>
      <c r="Q414" s="10">
        <f t="shared" si="32"/>
        <v>0</v>
      </c>
      <c r="R414" s="11">
        <f t="shared" si="33"/>
        <v>10380.719999999999</v>
      </c>
      <c r="S414" s="1" t="str">
        <f t="shared" si="34"/>
        <v>High</v>
      </c>
      <c r="T414" s="1" t="str" cm="1">
        <f t="array" ref="T414">_xlfn.IFS(L414&gt;5,"High",L414=5,"mediam",L414&lt;5,"low")</f>
        <v>High</v>
      </c>
      <c r="U414" s="1" t="str">
        <f t="shared" si="35"/>
        <v>High</v>
      </c>
    </row>
    <row r="415" spans="1:21" x14ac:dyDescent="0.3">
      <c r="A415" s="5">
        <v>10414</v>
      </c>
      <c r="B415" s="1">
        <v>1680</v>
      </c>
      <c r="C415" s="2">
        <v>45209</v>
      </c>
      <c r="D415" s="2">
        <v>45212</v>
      </c>
      <c r="E415" s="1" t="s">
        <v>46</v>
      </c>
      <c r="F415" s="1" t="s">
        <v>54</v>
      </c>
      <c r="G415" s="1" t="s">
        <v>30</v>
      </c>
      <c r="H415" s="1" t="s">
        <v>42</v>
      </c>
      <c r="I415" s="1" t="s">
        <v>26</v>
      </c>
      <c r="J415" s="1" t="s">
        <v>36</v>
      </c>
      <c r="K415" s="1" t="s">
        <v>45</v>
      </c>
      <c r="L415" s="1">
        <v>1</v>
      </c>
      <c r="M415" s="1">
        <v>1219.7</v>
      </c>
      <c r="N415" s="1">
        <v>5</v>
      </c>
      <c r="O415" s="1">
        <v>1158.71</v>
      </c>
      <c r="P415" s="1">
        <f t="shared" si="31"/>
        <v>1219.7</v>
      </c>
      <c r="Q415" s="10">
        <f t="shared" si="32"/>
        <v>57.935500000000005</v>
      </c>
      <c r="R415" s="11">
        <f t="shared" si="33"/>
        <v>1161.7645</v>
      </c>
      <c r="S415" s="1" t="str">
        <f t="shared" si="34"/>
        <v>Low</v>
      </c>
      <c r="T415" s="1" t="str" cm="1">
        <f t="array" ref="T415">_xlfn.IFS(L415&gt;5,"High",L415=5,"mediam",L415&lt;5,"low")</f>
        <v>low</v>
      </c>
      <c r="U415" s="1" t="b">
        <f t="shared" si="35"/>
        <v>0</v>
      </c>
    </row>
    <row r="416" spans="1:21" x14ac:dyDescent="0.3">
      <c r="A416" s="5">
        <v>10415</v>
      </c>
      <c r="B416" s="1">
        <v>1995</v>
      </c>
      <c r="C416" s="2">
        <v>45251</v>
      </c>
      <c r="D416" s="2">
        <v>45257</v>
      </c>
      <c r="E416" s="1" t="s">
        <v>46</v>
      </c>
      <c r="F416" s="1" t="s">
        <v>54</v>
      </c>
      <c r="G416" s="1" t="s">
        <v>17</v>
      </c>
      <c r="H416" s="1" t="s">
        <v>42</v>
      </c>
      <c r="I416" s="1" t="s">
        <v>57</v>
      </c>
      <c r="J416" s="1" t="s">
        <v>67</v>
      </c>
      <c r="K416" s="1" t="s">
        <v>28</v>
      </c>
      <c r="L416" s="1">
        <v>2</v>
      </c>
      <c r="M416" s="1">
        <v>3120.32</v>
      </c>
      <c r="N416" s="1">
        <v>20</v>
      </c>
      <c r="O416" s="1">
        <v>4992.51</v>
      </c>
      <c r="P416" s="1">
        <f t="shared" si="31"/>
        <v>6240.64</v>
      </c>
      <c r="Q416" s="10">
        <f t="shared" si="32"/>
        <v>998.50200000000007</v>
      </c>
      <c r="R416" s="11">
        <f t="shared" si="33"/>
        <v>5242.1379999999999</v>
      </c>
      <c r="S416" s="1" t="str">
        <f t="shared" si="34"/>
        <v>Low</v>
      </c>
      <c r="T416" s="1" t="str" cm="1">
        <f t="array" ref="T416">_xlfn.IFS(L416&gt;5,"High",L416=5,"mediam",L416&lt;5,"low")</f>
        <v>low</v>
      </c>
      <c r="U416" s="1" t="b">
        <f t="shared" si="35"/>
        <v>0</v>
      </c>
    </row>
    <row r="417" spans="1:21" x14ac:dyDescent="0.3">
      <c r="A417" s="5">
        <v>10416</v>
      </c>
      <c r="B417" s="1">
        <v>1160</v>
      </c>
      <c r="C417" s="2">
        <v>44951</v>
      </c>
      <c r="D417" s="2">
        <v>44953</v>
      </c>
      <c r="E417" s="1" t="s">
        <v>34</v>
      </c>
      <c r="F417" s="1" t="s">
        <v>54</v>
      </c>
      <c r="G417" s="1" t="s">
        <v>24</v>
      </c>
      <c r="H417" s="1" t="s">
        <v>18</v>
      </c>
      <c r="I417" s="1" t="s">
        <v>49</v>
      </c>
      <c r="J417" s="1" t="s">
        <v>63</v>
      </c>
      <c r="K417" s="1" t="s">
        <v>33</v>
      </c>
      <c r="L417" s="1">
        <v>8</v>
      </c>
      <c r="M417" s="1">
        <v>2659.82</v>
      </c>
      <c r="N417" s="1">
        <v>0</v>
      </c>
      <c r="O417" s="1">
        <v>21278.560000000001</v>
      </c>
      <c r="P417" s="1">
        <f t="shared" si="31"/>
        <v>21278.560000000001</v>
      </c>
      <c r="Q417" s="10">
        <f t="shared" si="32"/>
        <v>0</v>
      </c>
      <c r="R417" s="11">
        <f t="shared" si="33"/>
        <v>21278.560000000001</v>
      </c>
      <c r="S417" s="1" t="str">
        <f t="shared" si="34"/>
        <v>High</v>
      </c>
      <c r="T417" s="1" t="str" cm="1">
        <f t="array" ref="T417">_xlfn.IFS(L417&gt;5,"High",L417=5,"mediam",L417&lt;5,"low")</f>
        <v>High</v>
      </c>
      <c r="U417" s="1" t="str">
        <f t="shared" si="35"/>
        <v>High</v>
      </c>
    </row>
    <row r="418" spans="1:21" x14ac:dyDescent="0.3">
      <c r="A418" s="5">
        <v>10417</v>
      </c>
      <c r="B418" s="1">
        <v>1579</v>
      </c>
      <c r="C418" s="2">
        <v>45057</v>
      </c>
      <c r="D418" s="2">
        <v>45065</v>
      </c>
      <c r="E418" s="1" t="s">
        <v>22</v>
      </c>
      <c r="F418" s="1" t="s">
        <v>54</v>
      </c>
      <c r="G418" s="1" t="s">
        <v>17</v>
      </c>
      <c r="H418" s="1" t="s">
        <v>44</v>
      </c>
      <c r="I418" s="1" t="s">
        <v>52</v>
      </c>
      <c r="J418" s="1" t="s">
        <v>64</v>
      </c>
      <c r="K418" s="1" t="s">
        <v>45</v>
      </c>
      <c r="L418" s="1">
        <v>1</v>
      </c>
      <c r="M418" s="1">
        <v>3354.81</v>
      </c>
      <c r="N418" s="1">
        <v>0</v>
      </c>
      <c r="O418" s="1">
        <v>3354.81</v>
      </c>
      <c r="P418" s="1">
        <f t="shared" si="31"/>
        <v>3354.81</v>
      </c>
      <c r="Q418" s="10">
        <f t="shared" si="32"/>
        <v>0</v>
      </c>
      <c r="R418" s="11">
        <f t="shared" si="33"/>
        <v>3354.81</v>
      </c>
      <c r="S418" s="1" t="str">
        <f t="shared" si="34"/>
        <v>Low</v>
      </c>
      <c r="T418" s="1" t="str" cm="1">
        <f t="array" ref="T418">_xlfn.IFS(L418&gt;5,"High",L418=5,"mediam",L418&lt;5,"low")</f>
        <v>low</v>
      </c>
      <c r="U418" s="1" t="b">
        <f t="shared" si="35"/>
        <v>0</v>
      </c>
    </row>
    <row r="419" spans="1:21" x14ac:dyDescent="0.3">
      <c r="A419" s="5">
        <v>10418</v>
      </c>
      <c r="B419" s="1">
        <v>1800</v>
      </c>
      <c r="C419" s="2">
        <v>45279</v>
      </c>
      <c r="D419" s="2">
        <v>45280</v>
      </c>
      <c r="E419" s="1" t="s">
        <v>40</v>
      </c>
      <c r="F419" s="1" t="s">
        <v>54</v>
      </c>
      <c r="G419" s="1" t="s">
        <v>24</v>
      </c>
      <c r="H419" s="1" t="s">
        <v>35</v>
      </c>
      <c r="I419" s="1" t="s">
        <v>52</v>
      </c>
      <c r="J419" s="1" t="s">
        <v>56</v>
      </c>
      <c r="K419" s="1" t="s">
        <v>33</v>
      </c>
      <c r="L419" s="1">
        <v>8</v>
      </c>
      <c r="M419" s="1">
        <v>3905.57</v>
      </c>
      <c r="N419" s="1">
        <v>10</v>
      </c>
      <c r="O419" s="1">
        <v>28120.1</v>
      </c>
      <c r="P419" s="1">
        <f t="shared" si="31"/>
        <v>31244.560000000001</v>
      </c>
      <c r="Q419" s="10">
        <f t="shared" si="32"/>
        <v>2812.01</v>
      </c>
      <c r="R419" s="11">
        <f t="shared" si="33"/>
        <v>28432.550000000003</v>
      </c>
      <c r="S419" s="1" t="str">
        <f t="shared" si="34"/>
        <v>High</v>
      </c>
      <c r="T419" s="1" t="str" cm="1">
        <f t="array" ref="T419">_xlfn.IFS(L419&gt;5,"High",L419=5,"mediam",L419&lt;5,"low")</f>
        <v>High</v>
      </c>
      <c r="U419" s="1" t="str">
        <f t="shared" si="35"/>
        <v>High</v>
      </c>
    </row>
    <row r="420" spans="1:21" x14ac:dyDescent="0.3">
      <c r="A420" s="5">
        <v>10419</v>
      </c>
      <c r="B420" s="1">
        <v>1397</v>
      </c>
      <c r="C420" s="2">
        <v>45122</v>
      </c>
      <c r="D420" s="2">
        <v>45129</v>
      </c>
      <c r="E420" s="1" t="s">
        <v>15</v>
      </c>
      <c r="F420" s="1" t="s">
        <v>16</v>
      </c>
      <c r="G420" s="1" t="s">
        <v>24</v>
      </c>
      <c r="H420" s="1" t="s">
        <v>35</v>
      </c>
      <c r="I420" s="1" t="s">
        <v>26</v>
      </c>
      <c r="J420" s="1" t="s">
        <v>27</v>
      </c>
      <c r="K420" s="1" t="s">
        <v>47</v>
      </c>
      <c r="L420" s="1">
        <v>8</v>
      </c>
      <c r="M420" s="1">
        <v>1975.53</v>
      </c>
      <c r="N420" s="1">
        <v>5</v>
      </c>
      <c r="O420" s="1">
        <v>15014.03</v>
      </c>
      <c r="P420" s="1">
        <f t="shared" si="31"/>
        <v>15804.24</v>
      </c>
      <c r="Q420" s="10">
        <f t="shared" si="32"/>
        <v>750.70150000000012</v>
      </c>
      <c r="R420" s="11">
        <f t="shared" si="33"/>
        <v>15053.538499999999</v>
      </c>
      <c r="S420" s="1" t="str">
        <f t="shared" si="34"/>
        <v>High</v>
      </c>
      <c r="T420" s="1" t="str" cm="1">
        <f t="array" ref="T420">_xlfn.IFS(L420&gt;5,"High",L420=5,"mediam",L420&lt;5,"low")</f>
        <v>High</v>
      </c>
      <c r="U420" s="1" t="str">
        <f t="shared" si="35"/>
        <v>High</v>
      </c>
    </row>
    <row r="421" spans="1:21" x14ac:dyDescent="0.3">
      <c r="A421" s="5">
        <v>10420</v>
      </c>
      <c r="B421" s="1">
        <v>1276</v>
      </c>
      <c r="C421" s="2">
        <v>45207</v>
      </c>
      <c r="D421" s="2">
        <v>45209</v>
      </c>
      <c r="E421" s="1" t="s">
        <v>15</v>
      </c>
      <c r="F421" s="1" t="s">
        <v>29</v>
      </c>
      <c r="G421" s="1" t="s">
        <v>24</v>
      </c>
      <c r="H421" s="1" t="s">
        <v>18</v>
      </c>
      <c r="I421" s="1" t="s">
        <v>19</v>
      </c>
      <c r="J421" s="1" t="s">
        <v>66</v>
      </c>
      <c r="K421" s="1" t="s">
        <v>21</v>
      </c>
      <c r="L421" s="1">
        <v>2</v>
      </c>
      <c r="M421" s="1">
        <v>406.77</v>
      </c>
      <c r="N421" s="1">
        <v>10</v>
      </c>
      <c r="O421" s="1">
        <v>732.19</v>
      </c>
      <c r="P421" s="1">
        <f t="shared" si="31"/>
        <v>813.54</v>
      </c>
      <c r="Q421" s="10">
        <f t="shared" si="32"/>
        <v>73.219000000000008</v>
      </c>
      <c r="R421" s="11">
        <f t="shared" si="33"/>
        <v>740.32099999999991</v>
      </c>
      <c r="S421" s="1" t="str">
        <f t="shared" si="34"/>
        <v>Low</v>
      </c>
      <c r="T421" s="1" t="str" cm="1">
        <f t="array" ref="T421">_xlfn.IFS(L421&gt;5,"High",L421=5,"mediam",L421&lt;5,"low")</f>
        <v>low</v>
      </c>
      <c r="U421" s="1" t="b">
        <f t="shared" si="35"/>
        <v>0</v>
      </c>
    </row>
    <row r="422" spans="1:21" x14ac:dyDescent="0.3">
      <c r="A422" s="5">
        <v>10421</v>
      </c>
      <c r="B422" s="1">
        <v>1815</v>
      </c>
      <c r="C422" s="2">
        <v>45080</v>
      </c>
      <c r="D422" s="2">
        <v>45086</v>
      </c>
      <c r="E422" s="1" t="s">
        <v>46</v>
      </c>
      <c r="F422" s="1" t="s">
        <v>23</v>
      </c>
      <c r="G422" s="1" t="s">
        <v>24</v>
      </c>
      <c r="H422" s="1" t="s">
        <v>18</v>
      </c>
      <c r="I422" s="1" t="s">
        <v>52</v>
      </c>
      <c r="J422" s="1" t="s">
        <v>64</v>
      </c>
      <c r="K422" s="1" t="s">
        <v>45</v>
      </c>
      <c r="L422" s="1">
        <v>4</v>
      </c>
      <c r="M422" s="1">
        <v>335.16</v>
      </c>
      <c r="N422" s="1">
        <v>5</v>
      </c>
      <c r="O422" s="1">
        <v>1273.6099999999999</v>
      </c>
      <c r="P422" s="1">
        <f t="shared" si="31"/>
        <v>1340.64</v>
      </c>
      <c r="Q422" s="10">
        <f t="shared" si="32"/>
        <v>63.680499999999995</v>
      </c>
      <c r="R422" s="11">
        <f t="shared" si="33"/>
        <v>1276.9595000000002</v>
      </c>
      <c r="S422" s="1" t="str">
        <f t="shared" si="34"/>
        <v>Low</v>
      </c>
      <c r="T422" s="1" t="str" cm="1">
        <f t="array" ref="T422">_xlfn.IFS(L422&gt;5,"High",L422=5,"mediam",L422&lt;5,"low")</f>
        <v>low</v>
      </c>
      <c r="U422" s="1" t="b">
        <f t="shared" si="35"/>
        <v>0</v>
      </c>
    </row>
    <row r="423" spans="1:21" x14ac:dyDescent="0.3">
      <c r="A423" s="5">
        <v>10422</v>
      </c>
      <c r="B423" s="1">
        <v>1915</v>
      </c>
      <c r="C423" s="2">
        <v>45059</v>
      </c>
      <c r="D423" s="2">
        <v>45061</v>
      </c>
      <c r="E423" s="1" t="s">
        <v>16</v>
      </c>
      <c r="F423" s="1" t="s">
        <v>54</v>
      </c>
      <c r="G423" s="1" t="s">
        <v>17</v>
      </c>
      <c r="H423" s="1" t="s">
        <v>18</v>
      </c>
      <c r="I423" s="1" t="s">
        <v>52</v>
      </c>
      <c r="J423" s="1" t="s">
        <v>64</v>
      </c>
      <c r="K423" s="1" t="s">
        <v>47</v>
      </c>
      <c r="L423" s="1">
        <v>6</v>
      </c>
      <c r="M423" s="1">
        <v>1288.31</v>
      </c>
      <c r="N423" s="1">
        <v>15</v>
      </c>
      <c r="O423" s="1">
        <v>6570.38</v>
      </c>
      <c r="P423" s="1">
        <f t="shared" si="31"/>
        <v>7729.86</v>
      </c>
      <c r="Q423" s="10">
        <f t="shared" si="32"/>
        <v>985.55700000000002</v>
      </c>
      <c r="R423" s="11">
        <f t="shared" si="33"/>
        <v>6744.3029999999999</v>
      </c>
      <c r="S423" s="1" t="str">
        <f t="shared" si="34"/>
        <v>High</v>
      </c>
      <c r="T423" s="1" t="str" cm="1">
        <f t="array" ref="T423">_xlfn.IFS(L423&gt;5,"High",L423=5,"mediam",L423&lt;5,"low")</f>
        <v>High</v>
      </c>
      <c r="U423" s="1" t="str">
        <f t="shared" si="35"/>
        <v>High</v>
      </c>
    </row>
    <row r="424" spans="1:21" x14ac:dyDescent="0.3">
      <c r="A424" s="5">
        <v>10423</v>
      </c>
      <c r="B424" s="1">
        <v>1503</v>
      </c>
      <c r="C424" s="2">
        <v>45153</v>
      </c>
      <c r="D424" s="2">
        <v>45155</v>
      </c>
      <c r="E424" s="1" t="s">
        <v>40</v>
      </c>
      <c r="F424" s="1" t="s">
        <v>16</v>
      </c>
      <c r="G424" s="1" t="s">
        <v>24</v>
      </c>
      <c r="H424" s="1" t="s">
        <v>44</v>
      </c>
      <c r="I424" s="1" t="s">
        <v>52</v>
      </c>
      <c r="J424" s="1" t="s">
        <v>60</v>
      </c>
      <c r="K424" s="1" t="s">
        <v>47</v>
      </c>
      <c r="L424" s="1">
        <v>9</v>
      </c>
      <c r="M424" s="1">
        <v>3740.3</v>
      </c>
      <c r="N424" s="1">
        <v>10</v>
      </c>
      <c r="O424" s="1">
        <v>30296.43</v>
      </c>
      <c r="P424" s="1">
        <f t="shared" si="31"/>
        <v>33662.700000000004</v>
      </c>
      <c r="Q424" s="10">
        <f t="shared" si="32"/>
        <v>3029.643</v>
      </c>
      <c r="R424" s="11">
        <f t="shared" si="33"/>
        <v>30633.057000000004</v>
      </c>
      <c r="S424" s="1" t="str">
        <f t="shared" si="34"/>
        <v>High</v>
      </c>
      <c r="T424" s="1" t="str" cm="1">
        <f t="array" ref="T424">_xlfn.IFS(L424&gt;5,"High",L424=5,"mediam",L424&lt;5,"low")</f>
        <v>High</v>
      </c>
      <c r="U424" s="1" t="str">
        <f t="shared" si="35"/>
        <v>High</v>
      </c>
    </row>
    <row r="425" spans="1:21" x14ac:dyDescent="0.3">
      <c r="A425" s="5">
        <v>10424</v>
      </c>
      <c r="B425" s="1">
        <v>1895</v>
      </c>
      <c r="C425" s="2">
        <v>45115</v>
      </c>
      <c r="D425" s="2">
        <v>45123</v>
      </c>
      <c r="E425" s="1" t="s">
        <v>37</v>
      </c>
      <c r="F425" s="1" t="s">
        <v>16</v>
      </c>
      <c r="G425" s="1" t="s">
        <v>30</v>
      </c>
      <c r="H425" s="1" t="s">
        <v>42</v>
      </c>
      <c r="I425" s="1" t="s">
        <v>52</v>
      </c>
      <c r="J425" s="1" t="s">
        <v>56</v>
      </c>
      <c r="K425" s="1" t="s">
        <v>45</v>
      </c>
      <c r="L425" s="1">
        <v>8</v>
      </c>
      <c r="M425" s="1">
        <v>2164.37</v>
      </c>
      <c r="N425" s="1">
        <v>10</v>
      </c>
      <c r="O425" s="1">
        <v>15583.46</v>
      </c>
      <c r="P425" s="1">
        <f t="shared" si="31"/>
        <v>17314.96</v>
      </c>
      <c r="Q425" s="10">
        <f t="shared" si="32"/>
        <v>1558.346</v>
      </c>
      <c r="R425" s="11">
        <f t="shared" si="33"/>
        <v>15756.614</v>
      </c>
      <c r="S425" s="1" t="str">
        <f t="shared" si="34"/>
        <v>High</v>
      </c>
      <c r="T425" s="1" t="str" cm="1">
        <f t="array" ref="T425">_xlfn.IFS(L425&gt;5,"High",L425=5,"mediam",L425&lt;5,"low")</f>
        <v>High</v>
      </c>
      <c r="U425" s="1" t="str">
        <f t="shared" si="35"/>
        <v>High</v>
      </c>
    </row>
    <row r="426" spans="1:21" x14ac:dyDescent="0.3">
      <c r="A426" s="5">
        <v>10425</v>
      </c>
      <c r="B426" s="1">
        <v>1391</v>
      </c>
      <c r="C426" s="2">
        <v>45191</v>
      </c>
      <c r="D426" s="2">
        <v>45193</v>
      </c>
      <c r="E426" s="1" t="s">
        <v>16</v>
      </c>
      <c r="F426" s="1" t="s">
        <v>16</v>
      </c>
      <c r="G426" s="1" t="s">
        <v>30</v>
      </c>
      <c r="H426" s="1" t="s">
        <v>18</v>
      </c>
      <c r="I426" s="1" t="s">
        <v>31</v>
      </c>
      <c r="J426" s="1" t="s">
        <v>39</v>
      </c>
      <c r="K426" s="1" t="s">
        <v>33</v>
      </c>
      <c r="L426" s="1">
        <v>8</v>
      </c>
      <c r="M426" s="1">
        <v>1196.3800000000001</v>
      </c>
      <c r="N426" s="1">
        <v>20</v>
      </c>
      <c r="O426" s="1">
        <v>7656.83</v>
      </c>
      <c r="P426" s="1">
        <f t="shared" si="31"/>
        <v>9571.0400000000009</v>
      </c>
      <c r="Q426" s="10">
        <f t="shared" si="32"/>
        <v>1531.366</v>
      </c>
      <c r="R426" s="11">
        <f t="shared" si="33"/>
        <v>8039.6740000000009</v>
      </c>
      <c r="S426" s="1" t="str">
        <f t="shared" si="34"/>
        <v>High</v>
      </c>
      <c r="T426" s="1" t="str" cm="1">
        <f t="array" ref="T426">_xlfn.IFS(L426&gt;5,"High",L426=5,"mediam",L426&lt;5,"low")</f>
        <v>High</v>
      </c>
      <c r="U426" s="1" t="str">
        <f t="shared" si="35"/>
        <v>High</v>
      </c>
    </row>
    <row r="427" spans="1:21" x14ac:dyDescent="0.3">
      <c r="A427" s="5">
        <v>10426</v>
      </c>
      <c r="B427" s="1">
        <v>1134</v>
      </c>
      <c r="C427" s="2">
        <v>45060</v>
      </c>
      <c r="D427" s="2">
        <v>45067</v>
      </c>
      <c r="E427" s="1" t="s">
        <v>16</v>
      </c>
      <c r="F427" s="1" t="s">
        <v>29</v>
      </c>
      <c r="G427" s="1" t="s">
        <v>17</v>
      </c>
      <c r="H427" s="1" t="s">
        <v>18</v>
      </c>
      <c r="I427" s="1" t="s">
        <v>31</v>
      </c>
      <c r="J427" s="1" t="s">
        <v>32</v>
      </c>
      <c r="K427" s="1" t="s">
        <v>47</v>
      </c>
      <c r="L427" s="1">
        <v>7</v>
      </c>
      <c r="M427" s="1">
        <v>1686.79</v>
      </c>
      <c r="N427" s="1">
        <v>10</v>
      </c>
      <c r="O427" s="1">
        <v>10626.78</v>
      </c>
      <c r="P427" s="1">
        <f t="shared" si="31"/>
        <v>11807.529999999999</v>
      </c>
      <c r="Q427" s="10">
        <f t="shared" si="32"/>
        <v>1062.6780000000001</v>
      </c>
      <c r="R427" s="11">
        <f t="shared" si="33"/>
        <v>10744.851999999999</v>
      </c>
      <c r="S427" s="1" t="str">
        <f t="shared" si="34"/>
        <v>High</v>
      </c>
      <c r="T427" s="1" t="str" cm="1">
        <f t="array" ref="T427">_xlfn.IFS(L427&gt;5,"High",L427=5,"mediam",L427&lt;5,"low")</f>
        <v>High</v>
      </c>
      <c r="U427" s="1" t="str">
        <f t="shared" si="35"/>
        <v>High</v>
      </c>
    </row>
    <row r="428" spans="1:21" x14ac:dyDescent="0.3">
      <c r="A428" s="5">
        <v>10427</v>
      </c>
      <c r="B428" s="1">
        <v>1194</v>
      </c>
      <c r="C428" s="2">
        <v>45137</v>
      </c>
      <c r="D428" s="2">
        <v>45140</v>
      </c>
      <c r="E428" s="1" t="s">
        <v>40</v>
      </c>
      <c r="F428" s="1" t="s">
        <v>23</v>
      </c>
      <c r="G428" s="1" t="s">
        <v>24</v>
      </c>
      <c r="H428" s="1" t="s">
        <v>25</v>
      </c>
      <c r="I428" s="1" t="s">
        <v>19</v>
      </c>
      <c r="J428" s="1" t="s">
        <v>55</v>
      </c>
      <c r="K428" s="1" t="s">
        <v>28</v>
      </c>
      <c r="L428" s="1">
        <v>9</v>
      </c>
      <c r="M428" s="1">
        <v>2454.59</v>
      </c>
      <c r="N428" s="1">
        <v>5</v>
      </c>
      <c r="O428" s="1">
        <v>20986.74</v>
      </c>
      <c r="P428" s="1">
        <f t="shared" si="31"/>
        <v>22091.31</v>
      </c>
      <c r="Q428" s="10">
        <f t="shared" si="32"/>
        <v>1049.3370000000002</v>
      </c>
      <c r="R428" s="11">
        <f t="shared" si="33"/>
        <v>21041.973000000002</v>
      </c>
      <c r="S428" s="1" t="str">
        <f t="shared" si="34"/>
        <v>High</v>
      </c>
      <c r="T428" s="1" t="str" cm="1">
        <f t="array" ref="T428">_xlfn.IFS(L428&gt;5,"High",L428=5,"mediam",L428&lt;5,"low")</f>
        <v>High</v>
      </c>
      <c r="U428" s="1" t="str">
        <f t="shared" si="35"/>
        <v>High</v>
      </c>
    </row>
    <row r="429" spans="1:21" x14ac:dyDescent="0.3">
      <c r="A429" s="5">
        <v>10428</v>
      </c>
      <c r="B429" s="1">
        <v>1400</v>
      </c>
      <c r="C429" s="2">
        <v>44986</v>
      </c>
      <c r="D429" s="2">
        <v>44994</v>
      </c>
      <c r="E429" s="1" t="s">
        <v>22</v>
      </c>
      <c r="F429" s="1" t="s">
        <v>29</v>
      </c>
      <c r="G429" s="1" t="s">
        <v>30</v>
      </c>
      <c r="H429" s="1" t="s">
        <v>44</v>
      </c>
      <c r="I429" s="1" t="s">
        <v>49</v>
      </c>
      <c r="J429" s="1" t="s">
        <v>51</v>
      </c>
      <c r="K429" s="1" t="s">
        <v>47</v>
      </c>
      <c r="L429" s="1">
        <v>2</v>
      </c>
      <c r="M429" s="1">
        <v>2663.86</v>
      </c>
      <c r="N429" s="1">
        <v>20</v>
      </c>
      <c r="O429" s="1">
        <v>4262.18</v>
      </c>
      <c r="P429" s="1">
        <f t="shared" si="31"/>
        <v>5327.72</v>
      </c>
      <c r="Q429" s="10">
        <f t="shared" si="32"/>
        <v>852.43600000000015</v>
      </c>
      <c r="R429" s="11">
        <f t="shared" si="33"/>
        <v>4475.2839999999997</v>
      </c>
      <c r="S429" s="1" t="str">
        <f t="shared" si="34"/>
        <v>Low</v>
      </c>
      <c r="T429" s="1" t="str" cm="1">
        <f t="array" ref="T429">_xlfn.IFS(L429&gt;5,"High",L429=5,"mediam",L429&lt;5,"low")</f>
        <v>low</v>
      </c>
      <c r="U429" s="1" t="b">
        <f t="shared" si="35"/>
        <v>0</v>
      </c>
    </row>
    <row r="430" spans="1:21" x14ac:dyDescent="0.3">
      <c r="A430" s="5">
        <v>10429</v>
      </c>
      <c r="B430" s="1">
        <v>1639</v>
      </c>
      <c r="C430" s="2">
        <v>45290</v>
      </c>
      <c r="D430" s="2">
        <v>45297</v>
      </c>
      <c r="E430" s="1" t="s">
        <v>46</v>
      </c>
      <c r="F430" s="1" t="s">
        <v>38</v>
      </c>
      <c r="G430" s="1" t="s">
        <v>17</v>
      </c>
      <c r="H430" s="1" t="s">
        <v>18</v>
      </c>
      <c r="I430" s="1" t="s">
        <v>52</v>
      </c>
      <c r="J430" s="1" t="s">
        <v>56</v>
      </c>
      <c r="K430" s="1" t="s">
        <v>33</v>
      </c>
      <c r="L430" s="1">
        <v>3</v>
      </c>
      <c r="M430" s="1">
        <v>742.59</v>
      </c>
      <c r="N430" s="1">
        <v>10</v>
      </c>
      <c r="O430" s="1">
        <v>2004.99</v>
      </c>
      <c r="P430" s="1">
        <f t="shared" si="31"/>
        <v>2227.77</v>
      </c>
      <c r="Q430" s="10">
        <f t="shared" si="32"/>
        <v>200.49900000000002</v>
      </c>
      <c r="R430" s="11">
        <f t="shared" si="33"/>
        <v>2027.271</v>
      </c>
      <c r="S430" s="1" t="str">
        <f t="shared" si="34"/>
        <v>Low</v>
      </c>
      <c r="T430" s="1" t="str" cm="1">
        <f t="array" ref="T430">_xlfn.IFS(L430&gt;5,"High",L430=5,"mediam",L430&lt;5,"low")</f>
        <v>low</v>
      </c>
      <c r="U430" s="1" t="b">
        <f t="shared" si="35"/>
        <v>0</v>
      </c>
    </row>
    <row r="431" spans="1:21" x14ac:dyDescent="0.3">
      <c r="A431" s="5">
        <v>10430</v>
      </c>
      <c r="B431" s="1">
        <v>1032</v>
      </c>
      <c r="C431" s="2">
        <v>45290</v>
      </c>
      <c r="D431" s="2">
        <v>45298</v>
      </c>
      <c r="E431" s="1" t="s">
        <v>46</v>
      </c>
      <c r="F431" s="1" t="s">
        <v>16</v>
      </c>
      <c r="G431" s="1" t="s">
        <v>24</v>
      </c>
      <c r="H431" s="1" t="s">
        <v>25</v>
      </c>
      <c r="I431" s="1" t="s">
        <v>26</v>
      </c>
      <c r="J431" s="1" t="s">
        <v>69</v>
      </c>
      <c r="K431" s="1" t="s">
        <v>33</v>
      </c>
      <c r="L431" s="1">
        <v>8</v>
      </c>
      <c r="M431" s="1">
        <v>3911.57</v>
      </c>
      <c r="N431" s="1">
        <v>10</v>
      </c>
      <c r="O431" s="1">
        <v>28163.3</v>
      </c>
      <c r="P431" s="1">
        <f t="shared" si="31"/>
        <v>31292.560000000001</v>
      </c>
      <c r="Q431" s="10">
        <f t="shared" si="32"/>
        <v>2816.33</v>
      </c>
      <c r="R431" s="11">
        <f t="shared" si="33"/>
        <v>28476.230000000003</v>
      </c>
      <c r="S431" s="1" t="str">
        <f t="shared" si="34"/>
        <v>High</v>
      </c>
      <c r="T431" s="1" t="str" cm="1">
        <f t="array" ref="T431">_xlfn.IFS(L431&gt;5,"High",L431=5,"mediam",L431&lt;5,"low")</f>
        <v>High</v>
      </c>
      <c r="U431" s="1" t="str">
        <f t="shared" si="35"/>
        <v>High</v>
      </c>
    </row>
    <row r="432" spans="1:21" x14ac:dyDescent="0.3">
      <c r="A432" s="5">
        <v>10431</v>
      </c>
      <c r="B432" s="1">
        <v>1687</v>
      </c>
      <c r="C432" s="2">
        <v>45139</v>
      </c>
      <c r="D432" s="2">
        <v>45146</v>
      </c>
      <c r="E432" s="1" t="s">
        <v>46</v>
      </c>
      <c r="F432" s="1" t="s">
        <v>38</v>
      </c>
      <c r="G432" s="1" t="s">
        <v>30</v>
      </c>
      <c r="H432" s="1" t="s">
        <v>35</v>
      </c>
      <c r="I432" s="1" t="s">
        <v>49</v>
      </c>
      <c r="J432" s="1" t="s">
        <v>51</v>
      </c>
      <c r="K432" s="1" t="s">
        <v>28</v>
      </c>
      <c r="L432" s="1">
        <v>6</v>
      </c>
      <c r="M432" s="1">
        <v>2247.37</v>
      </c>
      <c r="N432" s="1">
        <v>15</v>
      </c>
      <c r="O432" s="1">
        <v>11461.59</v>
      </c>
      <c r="P432" s="1">
        <f t="shared" si="31"/>
        <v>13484.22</v>
      </c>
      <c r="Q432" s="10">
        <f t="shared" si="32"/>
        <v>1719.2384999999999</v>
      </c>
      <c r="R432" s="11">
        <f t="shared" si="33"/>
        <v>11764.9815</v>
      </c>
      <c r="S432" s="1" t="str">
        <f t="shared" si="34"/>
        <v>High</v>
      </c>
      <c r="T432" s="1" t="str" cm="1">
        <f t="array" ref="T432">_xlfn.IFS(L432&gt;5,"High",L432=5,"mediam",L432&lt;5,"low")</f>
        <v>High</v>
      </c>
      <c r="U432" s="1" t="str">
        <f t="shared" si="35"/>
        <v>High</v>
      </c>
    </row>
    <row r="433" spans="1:21" x14ac:dyDescent="0.3">
      <c r="A433" s="5">
        <v>10432</v>
      </c>
      <c r="B433" s="1">
        <v>1459</v>
      </c>
      <c r="C433" s="2">
        <v>45142</v>
      </c>
      <c r="D433" s="2">
        <v>45148</v>
      </c>
      <c r="E433" s="1" t="s">
        <v>46</v>
      </c>
      <c r="F433" s="1" t="s">
        <v>41</v>
      </c>
      <c r="G433" s="1" t="s">
        <v>30</v>
      </c>
      <c r="H433" s="1" t="s">
        <v>18</v>
      </c>
      <c r="I433" s="1" t="s">
        <v>26</v>
      </c>
      <c r="J433" s="1" t="s">
        <v>61</v>
      </c>
      <c r="K433" s="1" t="s">
        <v>47</v>
      </c>
      <c r="L433" s="1">
        <v>9</v>
      </c>
      <c r="M433" s="1">
        <v>672.4</v>
      </c>
      <c r="N433" s="1">
        <v>10</v>
      </c>
      <c r="O433" s="1">
        <v>5446.44</v>
      </c>
      <c r="P433" s="1">
        <f t="shared" si="31"/>
        <v>6051.5999999999995</v>
      </c>
      <c r="Q433" s="10">
        <f t="shared" si="32"/>
        <v>544.64400000000001</v>
      </c>
      <c r="R433" s="11">
        <f t="shared" si="33"/>
        <v>5506.9559999999992</v>
      </c>
      <c r="S433" s="1" t="str">
        <f t="shared" si="34"/>
        <v>High</v>
      </c>
      <c r="T433" s="1" t="str" cm="1">
        <f t="array" ref="T433">_xlfn.IFS(L433&gt;5,"High",L433=5,"mediam",L433&lt;5,"low")</f>
        <v>High</v>
      </c>
      <c r="U433" s="1" t="str">
        <f t="shared" si="35"/>
        <v>High</v>
      </c>
    </row>
    <row r="434" spans="1:21" x14ac:dyDescent="0.3">
      <c r="A434" s="5">
        <v>10433</v>
      </c>
      <c r="B434" s="1">
        <v>1954</v>
      </c>
      <c r="C434" s="2">
        <v>45152</v>
      </c>
      <c r="D434" s="2">
        <v>45159</v>
      </c>
      <c r="E434" s="1" t="s">
        <v>15</v>
      </c>
      <c r="F434" s="1" t="s">
        <v>54</v>
      </c>
      <c r="G434" s="1" t="s">
        <v>17</v>
      </c>
      <c r="H434" s="1" t="s">
        <v>18</v>
      </c>
      <c r="I434" s="1" t="s">
        <v>49</v>
      </c>
      <c r="J434" s="1" t="s">
        <v>51</v>
      </c>
      <c r="K434" s="1" t="s">
        <v>33</v>
      </c>
      <c r="L434" s="1">
        <v>4</v>
      </c>
      <c r="M434" s="1">
        <v>3590.5</v>
      </c>
      <c r="N434" s="1">
        <v>0</v>
      </c>
      <c r="O434" s="1">
        <v>14362</v>
      </c>
      <c r="P434" s="1">
        <f t="shared" si="31"/>
        <v>14362</v>
      </c>
      <c r="Q434" s="10">
        <f t="shared" si="32"/>
        <v>0</v>
      </c>
      <c r="R434" s="11">
        <f t="shared" si="33"/>
        <v>14362</v>
      </c>
      <c r="S434" s="1" t="str">
        <f t="shared" si="34"/>
        <v>Low</v>
      </c>
      <c r="T434" s="1" t="str" cm="1">
        <f t="array" ref="T434">_xlfn.IFS(L434&gt;5,"High",L434=5,"mediam",L434&lt;5,"low")</f>
        <v>low</v>
      </c>
      <c r="U434" s="1" t="b">
        <f t="shared" si="35"/>
        <v>0</v>
      </c>
    </row>
    <row r="435" spans="1:21" x14ac:dyDescent="0.3">
      <c r="A435" s="5">
        <v>10434</v>
      </c>
      <c r="B435" s="1">
        <v>1882</v>
      </c>
      <c r="C435" s="2">
        <v>45057</v>
      </c>
      <c r="D435" s="2">
        <v>45062</v>
      </c>
      <c r="E435" s="1" t="s">
        <v>46</v>
      </c>
      <c r="F435" s="1" t="s">
        <v>54</v>
      </c>
      <c r="G435" s="1" t="s">
        <v>24</v>
      </c>
      <c r="H435" s="1" t="s">
        <v>25</v>
      </c>
      <c r="I435" s="1" t="s">
        <v>19</v>
      </c>
      <c r="J435" s="1" t="s">
        <v>20</v>
      </c>
      <c r="K435" s="1" t="s">
        <v>45</v>
      </c>
      <c r="L435" s="1">
        <v>8</v>
      </c>
      <c r="M435" s="1">
        <v>437.36</v>
      </c>
      <c r="N435" s="1">
        <v>20</v>
      </c>
      <c r="O435" s="1">
        <v>2799.1</v>
      </c>
      <c r="P435" s="1">
        <f t="shared" si="31"/>
        <v>3498.88</v>
      </c>
      <c r="Q435" s="10">
        <f t="shared" si="32"/>
        <v>559.82000000000005</v>
      </c>
      <c r="R435" s="11">
        <f t="shared" si="33"/>
        <v>2939.06</v>
      </c>
      <c r="S435" s="1" t="str">
        <f t="shared" si="34"/>
        <v>High</v>
      </c>
      <c r="T435" s="1" t="str" cm="1">
        <f t="array" ref="T435">_xlfn.IFS(L435&gt;5,"High",L435=5,"mediam",L435&lt;5,"low")</f>
        <v>High</v>
      </c>
      <c r="U435" s="1" t="str">
        <f t="shared" si="35"/>
        <v>High</v>
      </c>
    </row>
    <row r="436" spans="1:21" x14ac:dyDescent="0.3">
      <c r="A436" s="5">
        <v>10435</v>
      </c>
      <c r="B436" s="1">
        <v>1469</v>
      </c>
      <c r="C436" s="2">
        <v>45002</v>
      </c>
      <c r="D436" s="2">
        <v>45009</v>
      </c>
      <c r="E436" s="1" t="s">
        <v>15</v>
      </c>
      <c r="F436" s="1" t="s">
        <v>29</v>
      </c>
      <c r="G436" s="1" t="s">
        <v>24</v>
      </c>
      <c r="H436" s="1" t="s">
        <v>44</v>
      </c>
      <c r="I436" s="1" t="s">
        <v>52</v>
      </c>
      <c r="J436" s="1" t="s">
        <v>56</v>
      </c>
      <c r="K436" s="1" t="s">
        <v>21</v>
      </c>
      <c r="L436" s="1">
        <v>3</v>
      </c>
      <c r="M436" s="1">
        <v>3644.78</v>
      </c>
      <c r="N436" s="1">
        <v>0</v>
      </c>
      <c r="O436" s="1">
        <v>10934.34</v>
      </c>
      <c r="P436" s="1">
        <f t="shared" si="31"/>
        <v>10934.34</v>
      </c>
      <c r="Q436" s="10">
        <f t="shared" si="32"/>
        <v>0</v>
      </c>
      <c r="R436" s="11">
        <f t="shared" si="33"/>
        <v>10934.34</v>
      </c>
      <c r="S436" s="1" t="str">
        <f t="shared" si="34"/>
        <v>Low</v>
      </c>
      <c r="T436" s="1" t="str" cm="1">
        <f t="array" ref="T436">_xlfn.IFS(L436&gt;5,"High",L436=5,"mediam",L436&lt;5,"low")</f>
        <v>low</v>
      </c>
      <c r="U436" s="1" t="b">
        <f t="shared" si="35"/>
        <v>0</v>
      </c>
    </row>
    <row r="437" spans="1:21" x14ac:dyDescent="0.3">
      <c r="A437" s="5">
        <v>10436</v>
      </c>
      <c r="B437" s="1">
        <v>1374</v>
      </c>
      <c r="C437" s="2">
        <v>45212</v>
      </c>
      <c r="D437" s="2">
        <v>45213</v>
      </c>
      <c r="E437" s="1" t="s">
        <v>15</v>
      </c>
      <c r="F437" s="1" t="s">
        <v>23</v>
      </c>
      <c r="G437" s="1" t="s">
        <v>30</v>
      </c>
      <c r="H437" s="1" t="s">
        <v>18</v>
      </c>
      <c r="I437" s="1" t="s">
        <v>52</v>
      </c>
      <c r="J437" s="1" t="s">
        <v>60</v>
      </c>
      <c r="K437" s="1" t="s">
        <v>21</v>
      </c>
      <c r="L437" s="1">
        <v>3</v>
      </c>
      <c r="M437" s="1">
        <v>3986.78</v>
      </c>
      <c r="N437" s="1">
        <v>20</v>
      </c>
      <c r="O437" s="1">
        <v>9568.27</v>
      </c>
      <c r="P437" s="1">
        <f t="shared" si="31"/>
        <v>11960.34</v>
      </c>
      <c r="Q437" s="10">
        <f t="shared" si="32"/>
        <v>1913.6540000000002</v>
      </c>
      <c r="R437" s="11">
        <f t="shared" si="33"/>
        <v>10046.686</v>
      </c>
      <c r="S437" s="1" t="str">
        <f t="shared" si="34"/>
        <v>Low</v>
      </c>
      <c r="T437" s="1" t="str" cm="1">
        <f t="array" ref="T437">_xlfn.IFS(L437&gt;5,"High",L437=5,"mediam",L437&lt;5,"low")</f>
        <v>low</v>
      </c>
      <c r="U437" s="1" t="b">
        <f t="shared" si="35"/>
        <v>0</v>
      </c>
    </row>
    <row r="438" spans="1:21" x14ac:dyDescent="0.3">
      <c r="A438" s="5">
        <v>10437</v>
      </c>
      <c r="B438" s="1">
        <v>1021</v>
      </c>
      <c r="C438" s="2">
        <v>45203</v>
      </c>
      <c r="D438" s="2">
        <v>45204</v>
      </c>
      <c r="E438" s="1" t="s">
        <v>22</v>
      </c>
      <c r="F438" s="1" t="s">
        <v>38</v>
      </c>
      <c r="G438" s="1" t="s">
        <v>30</v>
      </c>
      <c r="H438" s="1" t="s">
        <v>35</v>
      </c>
      <c r="I438" s="1" t="s">
        <v>57</v>
      </c>
      <c r="J438" s="1" t="s">
        <v>62</v>
      </c>
      <c r="K438" s="1" t="s">
        <v>21</v>
      </c>
      <c r="L438" s="1">
        <v>8</v>
      </c>
      <c r="M438" s="1">
        <v>2846.66</v>
      </c>
      <c r="N438" s="1">
        <v>15</v>
      </c>
      <c r="O438" s="1">
        <v>19357.29</v>
      </c>
      <c r="P438" s="1">
        <f t="shared" si="31"/>
        <v>22773.279999999999</v>
      </c>
      <c r="Q438" s="10">
        <f t="shared" si="32"/>
        <v>2903.5934999999999</v>
      </c>
      <c r="R438" s="11">
        <f t="shared" si="33"/>
        <v>19869.6865</v>
      </c>
      <c r="S438" s="1" t="str">
        <f t="shared" si="34"/>
        <v>High</v>
      </c>
      <c r="T438" s="1" t="str" cm="1">
        <f t="array" ref="T438">_xlfn.IFS(L438&gt;5,"High",L438=5,"mediam",L438&lt;5,"low")</f>
        <v>High</v>
      </c>
      <c r="U438" s="1" t="str">
        <f t="shared" si="35"/>
        <v>High</v>
      </c>
    </row>
    <row r="439" spans="1:21" x14ac:dyDescent="0.3">
      <c r="A439" s="5">
        <v>10438</v>
      </c>
      <c r="B439" s="1">
        <v>1749</v>
      </c>
      <c r="C439" s="2">
        <v>45082</v>
      </c>
      <c r="D439" s="2">
        <v>45091</v>
      </c>
      <c r="E439" s="1" t="s">
        <v>46</v>
      </c>
      <c r="F439" s="1" t="s">
        <v>23</v>
      </c>
      <c r="G439" s="1" t="s">
        <v>30</v>
      </c>
      <c r="H439" s="1" t="s">
        <v>18</v>
      </c>
      <c r="I439" s="1" t="s">
        <v>26</v>
      </c>
      <c r="J439" s="1" t="s">
        <v>61</v>
      </c>
      <c r="K439" s="1" t="s">
        <v>47</v>
      </c>
      <c r="L439" s="1">
        <v>5</v>
      </c>
      <c r="M439" s="1">
        <v>3116.22</v>
      </c>
      <c r="N439" s="1">
        <v>10</v>
      </c>
      <c r="O439" s="1">
        <v>14022.99</v>
      </c>
      <c r="P439" s="1">
        <f t="shared" si="31"/>
        <v>15581.099999999999</v>
      </c>
      <c r="Q439" s="10">
        <f t="shared" si="32"/>
        <v>1402.299</v>
      </c>
      <c r="R439" s="11">
        <f t="shared" si="33"/>
        <v>14178.800999999999</v>
      </c>
      <c r="S439" s="1" t="str">
        <f t="shared" si="34"/>
        <v>High</v>
      </c>
      <c r="T439" s="1" t="str" cm="1">
        <f t="array" ref="T439">_xlfn.IFS(L439&gt;5,"High",L439=5,"mediam",L439&lt;5,"low")</f>
        <v>mediam</v>
      </c>
      <c r="U439" s="1" t="b">
        <f t="shared" si="35"/>
        <v>0</v>
      </c>
    </row>
    <row r="440" spans="1:21" x14ac:dyDescent="0.3">
      <c r="A440" s="5">
        <v>10439</v>
      </c>
      <c r="B440" s="1">
        <v>1669</v>
      </c>
      <c r="C440" s="2">
        <v>45174</v>
      </c>
      <c r="D440" s="2">
        <v>45179</v>
      </c>
      <c r="E440" s="1" t="s">
        <v>34</v>
      </c>
      <c r="F440" s="1" t="s">
        <v>29</v>
      </c>
      <c r="G440" s="1" t="s">
        <v>24</v>
      </c>
      <c r="H440" s="1" t="s">
        <v>35</v>
      </c>
      <c r="I440" s="1" t="s">
        <v>49</v>
      </c>
      <c r="J440" s="1" t="s">
        <v>51</v>
      </c>
      <c r="K440" s="1" t="s">
        <v>28</v>
      </c>
      <c r="L440" s="1">
        <v>3</v>
      </c>
      <c r="M440" s="1">
        <v>1448.62</v>
      </c>
      <c r="N440" s="1">
        <v>10</v>
      </c>
      <c r="O440" s="1">
        <v>3911.27</v>
      </c>
      <c r="P440" s="1">
        <f t="shared" si="31"/>
        <v>4345.8599999999997</v>
      </c>
      <c r="Q440" s="10">
        <f t="shared" si="32"/>
        <v>391.12700000000001</v>
      </c>
      <c r="R440" s="11">
        <f t="shared" si="33"/>
        <v>3954.7329999999997</v>
      </c>
      <c r="S440" s="1" t="str">
        <f t="shared" si="34"/>
        <v>Low</v>
      </c>
      <c r="T440" s="1" t="str" cm="1">
        <f t="array" ref="T440">_xlfn.IFS(L440&gt;5,"High",L440=5,"mediam",L440&lt;5,"low")</f>
        <v>low</v>
      </c>
      <c r="U440" s="1" t="b">
        <f t="shared" si="35"/>
        <v>0</v>
      </c>
    </row>
    <row r="441" spans="1:21" x14ac:dyDescent="0.3">
      <c r="A441" s="5">
        <v>10440</v>
      </c>
      <c r="B441" s="1">
        <v>1037</v>
      </c>
      <c r="C441" s="2">
        <v>45144</v>
      </c>
      <c r="D441" s="2">
        <v>45149</v>
      </c>
      <c r="E441" s="1" t="s">
        <v>37</v>
      </c>
      <c r="F441" s="1" t="s">
        <v>54</v>
      </c>
      <c r="G441" s="1" t="s">
        <v>17</v>
      </c>
      <c r="H441" s="1" t="s">
        <v>42</v>
      </c>
      <c r="I441" s="1" t="s">
        <v>49</v>
      </c>
      <c r="J441" s="1" t="s">
        <v>50</v>
      </c>
      <c r="K441" s="1" t="s">
        <v>33</v>
      </c>
      <c r="L441" s="1">
        <v>1</v>
      </c>
      <c r="M441" s="1">
        <v>3775.07</v>
      </c>
      <c r="N441" s="1">
        <v>10</v>
      </c>
      <c r="O441" s="1">
        <v>3397.56</v>
      </c>
      <c r="P441" s="1">
        <f t="shared" si="31"/>
        <v>3775.07</v>
      </c>
      <c r="Q441" s="10">
        <f t="shared" si="32"/>
        <v>339.75600000000003</v>
      </c>
      <c r="R441" s="11">
        <f t="shared" si="33"/>
        <v>3435.3140000000003</v>
      </c>
      <c r="S441" s="1" t="str">
        <f t="shared" si="34"/>
        <v>Low</v>
      </c>
      <c r="T441" s="1" t="str" cm="1">
        <f t="array" ref="T441">_xlfn.IFS(L441&gt;5,"High",L441=5,"mediam",L441&lt;5,"low")</f>
        <v>low</v>
      </c>
      <c r="U441" s="1" t="b">
        <f t="shared" si="35"/>
        <v>0</v>
      </c>
    </row>
    <row r="442" spans="1:21" x14ac:dyDescent="0.3">
      <c r="A442" s="5">
        <v>10441</v>
      </c>
      <c r="B442" s="1">
        <v>1229</v>
      </c>
      <c r="C442" s="2">
        <v>45116</v>
      </c>
      <c r="D442" s="2">
        <v>45119</v>
      </c>
      <c r="E442" s="1" t="s">
        <v>16</v>
      </c>
      <c r="F442" s="1" t="s">
        <v>23</v>
      </c>
      <c r="G442" s="1" t="s">
        <v>17</v>
      </c>
      <c r="H442" s="1" t="s">
        <v>42</v>
      </c>
      <c r="I442" s="1" t="s">
        <v>31</v>
      </c>
      <c r="J442" s="1" t="s">
        <v>65</v>
      </c>
      <c r="K442" s="1" t="s">
        <v>45</v>
      </c>
      <c r="L442" s="1">
        <v>3</v>
      </c>
      <c r="M442" s="1">
        <v>2189.4</v>
      </c>
      <c r="N442" s="1">
        <v>20</v>
      </c>
      <c r="O442" s="1">
        <v>5254.56</v>
      </c>
      <c r="P442" s="1">
        <f t="shared" si="31"/>
        <v>6568.2000000000007</v>
      </c>
      <c r="Q442" s="10">
        <f t="shared" si="32"/>
        <v>1050.912</v>
      </c>
      <c r="R442" s="11">
        <f t="shared" si="33"/>
        <v>5517.2880000000005</v>
      </c>
      <c r="S442" s="1" t="str">
        <f t="shared" si="34"/>
        <v>Low</v>
      </c>
      <c r="T442" s="1" t="str" cm="1">
        <f t="array" ref="T442">_xlfn.IFS(L442&gt;5,"High",L442=5,"mediam",L442&lt;5,"low")</f>
        <v>low</v>
      </c>
      <c r="U442" s="1" t="b">
        <f t="shared" si="35"/>
        <v>0</v>
      </c>
    </row>
    <row r="443" spans="1:21" x14ac:dyDescent="0.3">
      <c r="A443" s="5">
        <v>10442</v>
      </c>
      <c r="B443" s="1">
        <v>1364</v>
      </c>
      <c r="C443" s="2">
        <v>45089</v>
      </c>
      <c r="D443" s="2">
        <v>45094</v>
      </c>
      <c r="E443" s="1" t="s">
        <v>15</v>
      </c>
      <c r="F443" s="1" t="s">
        <v>23</v>
      </c>
      <c r="G443" s="1" t="s">
        <v>24</v>
      </c>
      <c r="H443" s="1" t="s">
        <v>35</v>
      </c>
      <c r="I443" s="1" t="s">
        <v>57</v>
      </c>
      <c r="J443" s="1" t="s">
        <v>58</v>
      </c>
      <c r="K443" s="1" t="s">
        <v>45</v>
      </c>
      <c r="L443" s="1">
        <v>9</v>
      </c>
      <c r="M443" s="1">
        <v>2969.7</v>
      </c>
      <c r="N443" s="1">
        <v>10</v>
      </c>
      <c r="O443" s="1">
        <v>24054.57</v>
      </c>
      <c r="P443" s="1">
        <f t="shared" si="31"/>
        <v>26727.3</v>
      </c>
      <c r="Q443" s="10">
        <f t="shared" si="32"/>
        <v>2405.4569999999999</v>
      </c>
      <c r="R443" s="11">
        <f t="shared" si="33"/>
        <v>24321.843000000001</v>
      </c>
      <c r="S443" s="1" t="str">
        <f t="shared" si="34"/>
        <v>High</v>
      </c>
      <c r="T443" s="1" t="str" cm="1">
        <f t="array" ref="T443">_xlfn.IFS(L443&gt;5,"High",L443=5,"mediam",L443&lt;5,"low")</f>
        <v>High</v>
      </c>
      <c r="U443" s="1" t="str">
        <f t="shared" si="35"/>
        <v>High</v>
      </c>
    </row>
    <row r="444" spans="1:21" x14ac:dyDescent="0.3">
      <c r="A444" s="5">
        <v>10443</v>
      </c>
      <c r="B444" s="1">
        <v>1562</v>
      </c>
      <c r="C444" s="2">
        <v>45106</v>
      </c>
      <c r="D444" s="2">
        <v>45109</v>
      </c>
      <c r="E444" s="1" t="s">
        <v>40</v>
      </c>
      <c r="F444" s="1" t="s">
        <v>54</v>
      </c>
      <c r="G444" s="1" t="s">
        <v>17</v>
      </c>
      <c r="H444" s="1" t="s">
        <v>44</v>
      </c>
      <c r="I444" s="1" t="s">
        <v>31</v>
      </c>
      <c r="J444" s="1" t="s">
        <v>65</v>
      </c>
      <c r="K444" s="1" t="s">
        <v>47</v>
      </c>
      <c r="L444" s="1">
        <v>5</v>
      </c>
      <c r="M444" s="1">
        <v>3707.81</v>
      </c>
      <c r="N444" s="1">
        <v>0</v>
      </c>
      <c r="O444" s="1">
        <v>18539.05</v>
      </c>
      <c r="P444" s="1">
        <f t="shared" si="31"/>
        <v>18539.05</v>
      </c>
      <c r="Q444" s="10">
        <f t="shared" si="32"/>
        <v>0</v>
      </c>
      <c r="R444" s="11">
        <f t="shared" si="33"/>
        <v>18539.05</v>
      </c>
      <c r="S444" s="1" t="str">
        <f t="shared" si="34"/>
        <v>High</v>
      </c>
      <c r="T444" s="1" t="str" cm="1">
        <f t="array" ref="T444">_xlfn.IFS(L444&gt;5,"High",L444=5,"mediam",L444&lt;5,"low")</f>
        <v>mediam</v>
      </c>
      <c r="U444" s="1" t="b">
        <f t="shared" si="35"/>
        <v>0</v>
      </c>
    </row>
    <row r="445" spans="1:21" x14ac:dyDescent="0.3">
      <c r="A445" s="5">
        <v>10444</v>
      </c>
      <c r="B445" s="1">
        <v>1437</v>
      </c>
      <c r="C445" s="2">
        <v>44960</v>
      </c>
      <c r="D445" s="2">
        <v>44969</v>
      </c>
      <c r="E445" s="1" t="s">
        <v>40</v>
      </c>
      <c r="F445" s="1" t="s">
        <v>38</v>
      </c>
      <c r="G445" s="1" t="s">
        <v>30</v>
      </c>
      <c r="H445" s="1" t="s">
        <v>18</v>
      </c>
      <c r="I445" s="1" t="s">
        <v>31</v>
      </c>
      <c r="J445" s="1" t="s">
        <v>32</v>
      </c>
      <c r="K445" s="1" t="s">
        <v>21</v>
      </c>
      <c r="L445" s="1">
        <v>2</v>
      </c>
      <c r="M445" s="1">
        <v>3904.44</v>
      </c>
      <c r="N445" s="1">
        <v>10</v>
      </c>
      <c r="O445" s="1">
        <v>7027.99</v>
      </c>
      <c r="P445" s="1">
        <f t="shared" si="31"/>
        <v>7808.88</v>
      </c>
      <c r="Q445" s="10">
        <f t="shared" si="32"/>
        <v>702.79899999999998</v>
      </c>
      <c r="R445" s="11">
        <f t="shared" si="33"/>
        <v>7106.0810000000001</v>
      </c>
      <c r="S445" s="1" t="str">
        <f t="shared" si="34"/>
        <v>Low</v>
      </c>
      <c r="T445" s="1" t="str" cm="1">
        <f t="array" ref="T445">_xlfn.IFS(L445&gt;5,"High",L445=5,"mediam",L445&lt;5,"low")</f>
        <v>low</v>
      </c>
      <c r="U445" s="1" t="b">
        <f t="shared" si="35"/>
        <v>0</v>
      </c>
    </row>
    <row r="446" spans="1:21" x14ac:dyDescent="0.3">
      <c r="A446" s="5">
        <v>10445</v>
      </c>
      <c r="B446" s="1">
        <v>1775</v>
      </c>
      <c r="C446" s="2">
        <v>44967</v>
      </c>
      <c r="D446" s="2">
        <v>44976</v>
      </c>
      <c r="E446" s="1" t="s">
        <v>37</v>
      </c>
      <c r="F446" s="1" t="s">
        <v>54</v>
      </c>
      <c r="G446" s="1" t="s">
        <v>17</v>
      </c>
      <c r="H446" s="1" t="s">
        <v>18</v>
      </c>
      <c r="I446" s="1" t="s">
        <v>31</v>
      </c>
      <c r="J446" s="1" t="s">
        <v>48</v>
      </c>
      <c r="K446" s="1" t="s">
        <v>47</v>
      </c>
      <c r="L446" s="1">
        <v>7</v>
      </c>
      <c r="M446" s="1">
        <v>3357.84</v>
      </c>
      <c r="N446" s="1">
        <v>15</v>
      </c>
      <c r="O446" s="1">
        <v>19979.150000000001</v>
      </c>
      <c r="P446" s="1">
        <f t="shared" si="31"/>
        <v>23504.880000000001</v>
      </c>
      <c r="Q446" s="10">
        <f t="shared" si="32"/>
        <v>2996.8724999999999</v>
      </c>
      <c r="R446" s="11">
        <f t="shared" si="33"/>
        <v>20508.0075</v>
      </c>
      <c r="S446" s="1" t="str">
        <f t="shared" si="34"/>
        <v>High</v>
      </c>
      <c r="T446" s="1" t="str" cm="1">
        <f t="array" ref="T446">_xlfn.IFS(L446&gt;5,"High",L446=5,"mediam",L446&lt;5,"low")</f>
        <v>High</v>
      </c>
      <c r="U446" s="1" t="str">
        <f t="shared" si="35"/>
        <v>High</v>
      </c>
    </row>
    <row r="447" spans="1:21" x14ac:dyDescent="0.3">
      <c r="A447" s="5">
        <v>10446</v>
      </c>
      <c r="B447" s="1">
        <v>1282</v>
      </c>
      <c r="C447" s="2">
        <v>45233</v>
      </c>
      <c r="D447" s="2">
        <v>45239</v>
      </c>
      <c r="E447" s="1" t="s">
        <v>40</v>
      </c>
      <c r="F447" s="1" t="s">
        <v>23</v>
      </c>
      <c r="G447" s="1" t="s">
        <v>17</v>
      </c>
      <c r="H447" s="1" t="s">
        <v>42</v>
      </c>
      <c r="I447" s="1" t="s">
        <v>26</v>
      </c>
      <c r="J447" s="1" t="s">
        <v>27</v>
      </c>
      <c r="K447" s="1" t="s">
        <v>28</v>
      </c>
      <c r="L447" s="1">
        <v>2</v>
      </c>
      <c r="M447" s="1">
        <v>1316.62</v>
      </c>
      <c r="N447" s="1">
        <v>0</v>
      </c>
      <c r="O447" s="1">
        <v>2633.24</v>
      </c>
      <c r="P447" s="1">
        <f t="shared" si="31"/>
        <v>2633.24</v>
      </c>
      <c r="Q447" s="10">
        <f t="shared" si="32"/>
        <v>0</v>
      </c>
      <c r="R447" s="11">
        <f t="shared" si="33"/>
        <v>2633.24</v>
      </c>
      <c r="S447" s="1" t="str">
        <f t="shared" si="34"/>
        <v>Low</v>
      </c>
      <c r="T447" s="1" t="str" cm="1">
        <f t="array" ref="T447">_xlfn.IFS(L447&gt;5,"High",L447=5,"mediam",L447&lt;5,"low")</f>
        <v>low</v>
      </c>
      <c r="U447" s="1" t="b">
        <f t="shared" si="35"/>
        <v>0</v>
      </c>
    </row>
    <row r="448" spans="1:21" x14ac:dyDescent="0.3">
      <c r="A448" s="5">
        <v>10447</v>
      </c>
      <c r="B448" s="1">
        <v>1026</v>
      </c>
      <c r="C448" s="2">
        <v>45264</v>
      </c>
      <c r="D448" s="2">
        <v>45265</v>
      </c>
      <c r="E448" s="1" t="s">
        <v>34</v>
      </c>
      <c r="F448" s="1" t="s">
        <v>38</v>
      </c>
      <c r="G448" s="1" t="s">
        <v>17</v>
      </c>
      <c r="H448" s="1" t="s">
        <v>35</v>
      </c>
      <c r="I448" s="1" t="s">
        <v>26</v>
      </c>
      <c r="J448" s="1" t="s">
        <v>69</v>
      </c>
      <c r="K448" s="1" t="s">
        <v>28</v>
      </c>
      <c r="L448" s="1">
        <v>4</v>
      </c>
      <c r="M448" s="1">
        <v>3871.21</v>
      </c>
      <c r="N448" s="1">
        <v>10</v>
      </c>
      <c r="O448" s="1">
        <v>13936.36</v>
      </c>
      <c r="P448" s="1">
        <f t="shared" si="31"/>
        <v>15484.84</v>
      </c>
      <c r="Q448" s="10">
        <f t="shared" si="32"/>
        <v>1393.6360000000002</v>
      </c>
      <c r="R448" s="11">
        <f t="shared" si="33"/>
        <v>14091.204</v>
      </c>
      <c r="S448" s="1" t="str">
        <f t="shared" si="34"/>
        <v>Low</v>
      </c>
      <c r="T448" s="1" t="str" cm="1">
        <f t="array" ref="T448">_xlfn.IFS(L448&gt;5,"High",L448=5,"mediam",L448&lt;5,"low")</f>
        <v>low</v>
      </c>
      <c r="U448" s="1" t="b">
        <f t="shared" si="35"/>
        <v>0</v>
      </c>
    </row>
    <row r="449" spans="1:21" x14ac:dyDescent="0.3">
      <c r="A449" s="5">
        <v>10448</v>
      </c>
      <c r="B449" s="1">
        <v>1225</v>
      </c>
      <c r="C449" s="2">
        <v>45240</v>
      </c>
      <c r="D449" s="2">
        <v>45247</v>
      </c>
      <c r="E449" s="1" t="s">
        <v>40</v>
      </c>
      <c r="F449" s="1" t="s">
        <v>38</v>
      </c>
      <c r="G449" s="1" t="s">
        <v>30</v>
      </c>
      <c r="H449" s="1" t="s">
        <v>18</v>
      </c>
      <c r="I449" s="1" t="s">
        <v>19</v>
      </c>
      <c r="J449" s="1" t="s">
        <v>20</v>
      </c>
      <c r="K449" s="1" t="s">
        <v>33</v>
      </c>
      <c r="L449" s="1">
        <v>7</v>
      </c>
      <c r="M449" s="1">
        <v>2568.2600000000002</v>
      </c>
      <c r="N449" s="1">
        <v>10</v>
      </c>
      <c r="O449" s="1">
        <v>16180.04</v>
      </c>
      <c r="P449" s="1">
        <f t="shared" si="31"/>
        <v>17977.82</v>
      </c>
      <c r="Q449" s="10">
        <f t="shared" si="32"/>
        <v>1618.0040000000001</v>
      </c>
      <c r="R449" s="11">
        <f t="shared" si="33"/>
        <v>16359.815999999999</v>
      </c>
      <c r="S449" s="1" t="str">
        <f t="shared" si="34"/>
        <v>High</v>
      </c>
      <c r="T449" s="1" t="str" cm="1">
        <f t="array" ref="T449">_xlfn.IFS(L449&gt;5,"High",L449=5,"mediam",L449&lt;5,"low")</f>
        <v>High</v>
      </c>
      <c r="U449" s="1" t="str">
        <f t="shared" si="35"/>
        <v>High</v>
      </c>
    </row>
    <row r="450" spans="1:21" x14ac:dyDescent="0.3">
      <c r="A450" s="5">
        <v>10449</v>
      </c>
      <c r="B450" s="1">
        <v>1276</v>
      </c>
      <c r="C450" s="2">
        <v>45001</v>
      </c>
      <c r="D450" s="2">
        <v>45008</v>
      </c>
      <c r="E450" s="1" t="s">
        <v>16</v>
      </c>
      <c r="F450" s="1" t="s">
        <v>54</v>
      </c>
      <c r="G450" s="1" t="s">
        <v>24</v>
      </c>
      <c r="H450" s="1" t="s">
        <v>18</v>
      </c>
      <c r="I450" s="1" t="s">
        <v>19</v>
      </c>
      <c r="J450" s="1" t="s">
        <v>66</v>
      </c>
      <c r="K450" s="1" t="s">
        <v>33</v>
      </c>
      <c r="L450" s="1">
        <v>4</v>
      </c>
      <c r="M450" s="1">
        <v>3732.97</v>
      </c>
      <c r="N450" s="1">
        <v>5</v>
      </c>
      <c r="O450" s="1">
        <v>14185.29</v>
      </c>
      <c r="P450" s="1">
        <f t="shared" si="31"/>
        <v>14931.88</v>
      </c>
      <c r="Q450" s="10">
        <f t="shared" si="32"/>
        <v>709.26450000000011</v>
      </c>
      <c r="R450" s="11">
        <f t="shared" si="33"/>
        <v>14222.6155</v>
      </c>
      <c r="S450" s="1" t="str">
        <f t="shared" si="34"/>
        <v>Low</v>
      </c>
      <c r="T450" s="1" t="str" cm="1">
        <f t="array" ref="T450">_xlfn.IFS(L450&gt;5,"High",L450=5,"mediam",L450&lt;5,"low")</f>
        <v>low</v>
      </c>
      <c r="U450" s="1" t="b">
        <f t="shared" si="35"/>
        <v>0</v>
      </c>
    </row>
    <row r="451" spans="1:21" x14ac:dyDescent="0.3">
      <c r="A451" s="5">
        <v>10450</v>
      </c>
      <c r="B451" s="1">
        <v>1797</v>
      </c>
      <c r="C451" s="2">
        <v>45205</v>
      </c>
      <c r="D451" s="2">
        <v>45209</v>
      </c>
      <c r="E451" s="1" t="s">
        <v>16</v>
      </c>
      <c r="F451" s="1" t="s">
        <v>23</v>
      </c>
      <c r="G451" s="1" t="s">
        <v>30</v>
      </c>
      <c r="H451" s="1" t="s">
        <v>44</v>
      </c>
      <c r="I451" s="1" t="s">
        <v>31</v>
      </c>
      <c r="J451" s="1" t="s">
        <v>32</v>
      </c>
      <c r="K451" s="1" t="s">
        <v>28</v>
      </c>
      <c r="L451" s="1">
        <v>7</v>
      </c>
      <c r="M451" s="1">
        <v>2753</v>
      </c>
      <c r="N451" s="1">
        <v>20</v>
      </c>
      <c r="O451" s="1">
        <v>15416.8</v>
      </c>
      <c r="P451" s="1">
        <f t="shared" ref="P451:P500" si="36">L451*M451</f>
        <v>19271</v>
      </c>
      <c r="Q451" s="10">
        <f t="shared" ref="Q451:Q501" si="37">O451*N451%</f>
        <v>3083.36</v>
      </c>
      <c r="R451" s="11">
        <f t="shared" ref="R451:R501" si="38">P451-Q451</f>
        <v>16187.64</v>
      </c>
      <c r="S451" s="1" t="str">
        <f t="shared" ref="S451:S501" si="39">IF(L451&gt;=5,"High","Low")</f>
        <v>High</v>
      </c>
      <c r="T451" s="1" t="str" cm="1">
        <f t="array" ref="T451">_xlfn.IFS(L451&gt;5,"High",L451=5,"mediam",L451&lt;5,"low")</f>
        <v>High</v>
      </c>
      <c r="U451" s="1" t="str">
        <f t="shared" si="35"/>
        <v>High</v>
      </c>
    </row>
    <row r="452" spans="1:21" x14ac:dyDescent="0.3">
      <c r="A452" s="5">
        <v>10451</v>
      </c>
      <c r="B452" s="1">
        <v>1608</v>
      </c>
      <c r="C452" s="2">
        <v>45102</v>
      </c>
      <c r="D452" s="2">
        <v>45110</v>
      </c>
      <c r="E452" s="1" t="s">
        <v>15</v>
      </c>
      <c r="F452" s="1" t="s">
        <v>29</v>
      </c>
      <c r="G452" s="1" t="s">
        <v>24</v>
      </c>
      <c r="H452" s="1" t="s">
        <v>25</v>
      </c>
      <c r="I452" s="1" t="s">
        <v>57</v>
      </c>
      <c r="J452" s="1" t="s">
        <v>59</v>
      </c>
      <c r="K452" s="1" t="s">
        <v>28</v>
      </c>
      <c r="L452" s="1">
        <v>7</v>
      </c>
      <c r="M452" s="1">
        <v>1332.87</v>
      </c>
      <c r="N452" s="1">
        <v>0</v>
      </c>
      <c r="O452" s="1">
        <v>9330.09</v>
      </c>
      <c r="P452" s="1">
        <f t="shared" si="36"/>
        <v>9330.09</v>
      </c>
      <c r="Q452" s="10">
        <f t="shared" si="37"/>
        <v>0</v>
      </c>
      <c r="R452" s="11">
        <f t="shared" si="38"/>
        <v>9330.09</v>
      </c>
      <c r="S452" s="1" t="str">
        <f t="shared" si="39"/>
        <v>High</v>
      </c>
      <c r="T452" s="1" t="str" cm="1">
        <f t="array" ref="T452">_xlfn.IFS(L452&gt;5,"High",L452=5,"mediam",L452&lt;5,"low")</f>
        <v>High</v>
      </c>
      <c r="U452" s="1" t="str">
        <f t="shared" si="35"/>
        <v>High</v>
      </c>
    </row>
    <row r="453" spans="1:21" x14ac:dyDescent="0.3">
      <c r="A453" s="5">
        <v>10452</v>
      </c>
      <c r="B453" s="1">
        <v>1283</v>
      </c>
      <c r="C453" s="2">
        <v>45076</v>
      </c>
      <c r="D453" s="2">
        <v>45082</v>
      </c>
      <c r="E453" s="1" t="s">
        <v>46</v>
      </c>
      <c r="F453" s="1" t="s">
        <v>23</v>
      </c>
      <c r="G453" s="1" t="s">
        <v>24</v>
      </c>
      <c r="H453" s="1" t="s">
        <v>42</v>
      </c>
      <c r="I453" s="1" t="s">
        <v>49</v>
      </c>
      <c r="J453" s="1" t="s">
        <v>68</v>
      </c>
      <c r="K453" s="1" t="s">
        <v>28</v>
      </c>
      <c r="L453" s="1">
        <v>1</v>
      </c>
      <c r="M453" s="1">
        <v>1574.59</v>
      </c>
      <c r="N453" s="1">
        <v>5</v>
      </c>
      <c r="O453" s="1">
        <v>1495.86</v>
      </c>
      <c r="P453" s="1">
        <f t="shared" si="36"/>
        <v>1574.59</v>
      </c>
      <c r="Q453" s="10">
        <f t="shared" si="37"/>
        <v>74.792999999999992</v>
      </c>
      <c r="R453" s="11">
        <f t="shared" si="38"/>
        <v>1499.797</v>
      </c>
      <c r="S453" s="1" t="str">
        <f t="shared" si="39"/>
        <v>Low</v>
      </c>
      <c r="T453" s="1" t="str" cm="1">
        <f t="array" ref="T453">_xlfn.IFS(L453&gt;5,"High",L453=5,"mediam",L453&lt;5,"low")</f>
        <v>low</v>
      </c>
      <c r="U453" s="1" t="b">
        <f t="shared" si="35"/>
        <v>0</v>
      </c>
    </row>
    <row r="454" spans="1:21" x14ac:dyDescent="0.3">
      <c r="A454" s="5">
        <v>10453</v>
      </c>
      <c r="B454" s="1">
        <v>1878</v>
      </c>
      <c r="C454" s="2">
        <v>45199</v>
      </c>
      <c r="D454" s="2">
        <v>45203</v>
      </c>
      <c r="E454" s="1" t="s">
        <v>22</v>
      </c>
      <c r="F454" s="1" t="s">
        <v>16</v>
      </c>
      <c r="G454" s="1" t="s">
        <v>24</v>
      </c>
      <c r="H454" s="1" t="s">
        <v>42</v>
      </c>
      <c r="I454" s="1" t="s">
        <v>26</v>
      </c>
      <c r="J454" s="1" t="s">
        <v>27</v>
      </c>
      <c r="K454" s="1" t="s">
        <v>47</v>
      </c>
      <c r="L454" s="1">
        <v>6</v>
      </c>
      <c r="M454" s="1">
        <v>2269.3200000000002</v>
      </c>
      <c r="N454" s="1">
        <v>15</v>
      </c>
      <c r="O454" s="1">
        <v>11573.53</v>
      </c>
      <c r="P454" s="1">
        <f t="shared" si="36"/>
        <v>13615.920000000002</v>
      </c>
      <c r="Q454" s="10">
        <f t="shared" si="37"/>
        <v>1736.0295000000001</v>
      </c>
      <c r="R454" s="11">
        <f t="shared" si="38"/>
        <v>11879.890500000001</v>
      </c>
      <c r="S454" s="1" t="str">
        <f t="shared" si="39"/>
        <v>High</v>
      </c>
      <c r="T454" s="1" t="str" cm="1">
        <f t="array" ref="T454">_xlfn.IFS(L454&gt;5,"High",L454=5,"mediam",L454&lt;5,"low")</f>
        <v>High</v>
      </c>
      <c r="U454" s="1" t="str">
        <f t="shared" si="35"/>
        <v>High</v>
      </c>
    </row>
    <row r="455" spans="1:21" x14ac:dyDescent="0.3">
      <c r="A455" s="5">
        <v>10454</v>
      </c>
      <c r="B455" s="1">
        <v>1959</v>
      </c>
      <c r="C455" s="2">
        <v>45251</v>
      </c>
      <c r="D455" s="2">
        <v>45255</v>
      </c>
      <c r="E455" s="1" t="s">
        <v>34</v>
      </c>
      <c r="F455" s="1" t="s">
        <v>41</v>
      </c>
      <c r="G455" s="1" t="s">
        <v>17</v>
      </c>
      <c r="H455" s="1" t="s">
        <v>25</v>
      </c>
      <c r="I455" s="1" t="s">
        <v>57</v>
      </c>
      <c r="J455" s="1" t="s">
        <v>58</v>
      </c>
      <c r="K455" s="1" t="s">
        <v>28</v>
      </c>
      <c r="L455" s="1">
        <v>9</v>
      </c>
      <c r="M455" s="1">
        <v>3191.56</v>
      </c>
      <c r="N455" s="1">
        <v>20</v>
      </c>
      <c r="O455" s="1">
        <v>22979.23</v>
      </c>
      <c r="P455" s="1">
        <f t="shared" si="36"/>
        <v>28724.04</v>
      </c>
      <c r="Q455" s="10">
        <f t="shared" si="37"/>
        <v>4595.8460000000005</v>
      </c>
      <c r="R455" s="11">
        <f t="shared" si="38"/>
        <v>24128.194</v>
      </c>
      <c r="S455" s="1" t="str">
        <f t="shared" si="39"/>
        <v>High</v>
      </c>
      <c r="T455" s="1" t="str" cm="1">
        <f t="array" ref="T455">_xlfn.IFS(L455&gt;5,"High",L455=5,"mediam",L455&lt;5,"low")</f>
        <v>High</v>
      </c>
      <c r="U455" s="1" t="str">
        <f t="shared" si="35"/>
        <v>High</v>
      </c>
    </row>
    <row r="456" spans="1:21" x14ac:dyDescent="0.3">
      <c r="A456" s="5">
        <v>10455</v>
      </c>
      <c r="B456" s="1">
        <v>1480</v>
      </c>
      <c r="C456" s="2">
        <v>45034</v>
      </c>
      <c r="D456" s="2">
        <v>45036</v>
      </c>
      <c r="E456" s="1" t="s">
        <v>15</v>
      </c>
      <c r="F456" s="1" t="s">
        <v>29</v>
      </c>
      <c r="G456" s="1" t="s">
        <v>17</v>
      </c>
      <c r="H456" s="1" t="s">
        <v>18</v>
      </c>
      <c r="I456" s="1" t="s">
        <v>52</v>
      </c>
      <c r="J456" s="1" t="s">
        <v>64</v>
      </c>
      <c r="K456" s="1" t="s">
        <v>45</v>
      </c>
      <c r="L456" s="1">
        <v>2</v>
      </c>
      <c r="M456" s="1">
        <v>1374.23</v>
      </c>
      <c r="N456" s="1">
        <v>0</v>
      </c>
      <c r="O456" s="1">
        <v>2748.46</v>
      </c>
      <c r="P456" s="1">
        <f t="shared" si="36"/>
        <v>2748.46</v>
      </c>
      <c r="Q456" s="10">
        <f t="shared" si="37"/>
        <v>0</v>
      </c>
      <c r="R456" s="11">
        <f t="shared" si="38"/>
        <v>2748.46</v>
      </c>
      <c r="S456" s="1" t="str">
        <f t="shared" si="39"/>
        <v>Low</v>
      </c>
      <c r="T456" s="1" t="str" cm="1">
        <f t="array" ref="T456">_xlfn.IFS(L456&gt;5,"High",L456=5,"mediam",L456&lt;5,"low")</f>
        <v>low</v>
      </c>
      <c r="U456" s="1" t="b">
        <f t="shared" si="35"/>
        <v>0</v>
      </c>
    </row>
    <row r="457" spans="1:21" x14ac:dyDescent="0.3">
      <c r="A457" s="5">
        <v>10456</v>
      </c>
      <c r="B457" s="1">
        <v>1452</v>
      </c>
      <c r="C457" s="2">
        <v>45065</v>
      </c>
      <c r="D457" s="2">
        <v>45067</v>
      </c>
      <c r="E457" s="1" t="s">
        <v>34</v>
      </c>
      <c r="F457" s="1" t="s">
        <v>38</v>
      </c>
      <c r="G457" s="1" t="s">
        <v>24</v>
      </c>
      <c r="H457" s="1" t="s">
        <v>44</v>
      </c>
      <c r="I457" s="1" t="s">
        <v>26</v>
      </c>
      <c r="J457" s="1" t="s">
        <v>27</v>
      </c>
      <c r="K457" s="1" t="s">
        <v>21</v>
      </c>
      <c r="L457" s="1">
        <v>3</v>
      </c>
      <c r="M457" s="1">
        <v>2381.96</v>
      </c>
      <c r="N457" s="1">
        <v>10</v>
      </c>
      <c r="O457" s="1">
        <v>6431.29</v>
      </c>
      <c r="P457" s="1">
        <f t="shared" si="36"/>
        <v>7145.88</v>
      </c>
      <c r="Q457" s="10">
        <f t="shared" si="37"/>
        <v>643.12900000000002</v>
      </c>
      <c r="R457" s="11">
        <f t="shared" si="38"/>
        <v>6502.7510000000002</v>
      </c>
      <c r="S457" s="1" t="str">
        <f t="shared" si="39"/>
        <v>Low</v>
      </c>
      <c r="T457" s="1" t="str" cm="1">
        <f t="array" ref="T457">_xlfn.IFS(L457&gt;5,"High",L457=5,"mediam",L457&lt;5,"low")</f>
        <v>low</v>
      </c>
      <c r="U457" s="1" t="b">
        <f t="shared" ref="U457:U501" si="40">IF(L457&gt;5,"High",IF(L457="Mediam","Low"))</f>
        <v>0</v>
      </c>
    </row>
    <row r="458" spans="1:21" x14ac:dyDescent="0.3">
      <c r="A458" s="5">
        <v>10457</v>
      </c>
      <c r="B458" s="1">
        <v>1828</v>
      </c>
      <c r="C458" s="2">
        <v>45276</v>
      </c>
      <c r="D458" s="2">
        <v>45280</v>
      </c>
      <c r="E458" s="1" t="s">
        <v>46</v>
      </c>
      <c r="F458" s="1" t="s">
        <v>29</v>
      </c>
      <c r="G458" s="1" t="s">
        <v>24</v>
      </c>
      <c r="H458" s="1" t="s">
        <v>44</v>
      </c>
      <c r="I458" s="1" t="s">
        <v>26</v>
      </c>
      <c r="J458" s="1" t="s">
        <v>27</v>
      </c>
      <c r="K458" s="1" t="s">
        <v>28</v>
      </c>
      <c r="L458" s="1">
        <v>5</v>
      </c>
      <c r="M458" s="1">
        <v>1480.66</v>
      </c>
      <c r="N458" s="1">
        <v>0</v>
      </c>
      <c r="O458" s="1">
        <v>7403.3</v>
      </c>
      <c r="P458" s="1">
        <f t="shared" si="36"/>
        <v>7403.3</v>
      </c>
      <c r="Q458" s="10">
        <f t="shared" si="37"/>
        <v>0</v>
      </c>
      <c r="R458" s="11">
        <f t="shared" si="38"/>
        <v>7403.3</v>
      </c>
      <c r="S458" s="1" t="str">
        <f t="shared" si="39"/>
        <v>High</v>
      </c>
      <c r="T458" s="1" t="str" cm="1">
        <f t="array" ref="T458">_xlfn.IFS(L458&gt;5,"High",L458=5,"mediam",L458&lt;5,"low")</f>
        <v>mediam</v>
      </c>
      <c r="U458" s="1" t="b">
        <f t="shared" si="40"/>
        <v>0</v>
      </c>
    </row>
    <row r="459" spans="1:21" x14ac:dyDescent="0.3">
      <c r="A459" s="5">
        <v>10458</v>
      </c>
      <c r="B459" s="1">
        <v>1815</v>
      </c>
      <c r="C459" s="2">
        <v>45197</v>
      </c>
      <c r="D459" s="2">
        <v>45202</v>
      </c>
      <c r="E459" s="1" t="s">
        <v>40</v>
      </c>
      <c r="F459" s="1" t="s">
        <v>38</v>
      </c>
      <c r="G459" s="1" t="s">
        <v>17</v>
      </c>
      <c r="H459" s="1" t="s">
        <v>42</v>
      </c>
      <c r="I459" s="1" t="s">
        <v>19</v>
      </c>
      <c r="J459" s="1" t="s">
        <v>55</v>
      </c>
      <c r="K459" s="1" t="s">
        <v>21</v>
      </c>
      <c r="L459" s="1">
        <v>9</v>
      </c>
      <c r="M459" s="1">
        <v>3290.71</v>
      </c>
      <c r="N459" s="1">
        <v>10</v>
      </c>
      <c r="O459" s="1">
        <v>26654.75</v>
      </c>
      <c r="P459" s="1">
        <f t="shared" si="36"/>
        <v>29616.39</v>
      </c>
      <c r="Q459" s="10">
        <f t="shared" si="37"/>
        <v>2665.4750000000004</v>
      </c>
      <c r="R459" s="11">
        <f t="shared" si="38"/>
        <v>26950.915000000001</v>
      </c>
      <c r="S459" s="1" t="str">
        <f t="shared" si="39"/>
        <v>High</v>
      </c>
      <c r="T459" s="1" t="str" cm="1">
        <f t="array" ref="T459">_xlfn.IFS(L459&gt;5,"High",L459=5,"mediam",L459&lt;5,"low")</f>
        <v>High</v>
      </c>
      <c r="U459" s="1" t="str">
        <f t="shared" si="40"/>
        <v>High</v>
      </c>
    </row>
    <row r="460" spans="1:21" x14ac:dyDescent="0.3">
      <c r="A460" s="5">
        <v>10459</v>
      </c>
      <c r="B460" s="1">
        <v>1658</v>
      </c>
      <c r="C460" s="2">
        <v>45273</v>
      </c>
      <c r="D460" s="2">
        <v>45281</v>
      </c>
      <c r="E460" s="1" t="s">
        <v>40</v>
      </c>
      <c r="F460" s="1" t="s">
        <v>38</v>
      </c>
      <c r="G460" s="1" t="s">
        <v>30</v>
      </c>
      <c r="H460" s="1" t="s">
        <v>44</v>
      </c>
      <c r="I460" s="1" t="s">
        <v>49</v>
      </c>
      <c r="J460" s="1" t="s">
        <v>63</v>
      </c>
      <c r="K460" s="1" t="s">
        <v>47</v>
      </c>
      <c r="L460" s="1">
        <v>4</v>
      </c>
      <c r="M460" s="1">
        <v>1946.9</v>
      </c>
      <c r="N460" s="1">
        <v>20</v>
      </c>
      <c r="O460" s="1">
        <v>6230.08</v>
      </c>
      <c r="P460" s="1">
        <f t="shared" si="36"/>
        <v>7787.6</v>
      </c>
      <c r="Q460" s="10">
        <f t="shared" si="37"/>
        <v>1246.0160000000001</v>
      </c>
      <c r="R460" s="11">
        <f t="shared" si="38"/>
        <v>6541.5840000000007</v>
      </c>
      <c r="S460" s="1" t="str">
        <f t="shared" si="39"/>
        <v>Low</v>
      </c>
      <c r="T460" s="1" t="str" cm="1">
        <f t="array" ref="T460">_xlfn.IFS(L460&gt;5,"High",L460=5,"mediam",L460&lt;5,"low")</f>
        <v>low</v>
      </c>
      <c r="U460" s="1" t="b">
        <f t="shared" si="40"/>
        <v>0</v>
      </c>
    </row>
    <row r="461" spans="1:21" x14ac:dyDescent="0.3">
      <c r="A461" s="5">
        <v>10460</v>
      </c>
      <c r="B461" s="1">
        <v>1515</v>
      </c>
      <c r="C461" s="2">
        <v>45215</v>
      </c>
      <c r="D461" s="2">
        <v>45221</v>
      </c>
      <c r="E461" s="1" t="s">
        <v>22</v>
      </c>
      <c r="F461" s="1" t="s">
        <v>29</v>
      </c>
      <c r="G461" s="1" t="s">
        <v>24</v>
      </c>
      <c r="H461" s="1" t="s">
        <v>25</v>
      </c>
      <c r="I461" s="1" t="s">
        <v>49</v>
      </c>
      <c r="J461" s="1" t="s">
        <v>50</v>
      </c>
      <c r="K461" s="1" t="s">
        <v>21</v>
      </c>
      <c r="L461" s="1">
        <v>1</v>
      </c>
      <c r="M461" s="1">
        <v>445.38</v>
      </c>
      <c r="N461" s="1">
        <v>10</v>
      </c>
      <c r="O461" s="1">
        <v>400.84</v>
      </c>
      <c r="P461" s="1">
        <f t="shared" si="36"/>
        <v>445.38</v>
      </c>
      <c r="Q461" s="10">
        <f t="shared" si="37"/>
        <v>40.084000000000003</v>
      </c>
      <c r="R461" s="11">
        <f t="shared" si="38"/>
        <v>405.29599999999999</v>
      </c>
      <c r="S461" s="1" t="str">
        <f t="shared" si="39"/>
        <v>Low</v>
      </c>
      <c r="T461" s="1" t="str" cm="1">
        <f t="array" ref="T461">_xlfn.IFS(L461&gt;5,"High",L461=5,"mediam",L461&lt;5,"low")</f>
        <v>low</v>
      </c>
      <c r="U461" s="1" t="b">
        <f t="shared" si="40"/>
        <v>0</v>
      </c>
    </row>
    <row r="462" spans="1:21" x14ac:dyDescent="0.3">
      <c r="A462" s="5">
        <v>10461</v>
      </c>
      <c r="B462" s="1">
        <v>1546</v>
      </c>
      <c r="C462" s="2">
        <v>45138</v>
      </c>
      <c r="D462" s="2">
        <v>45142</v>
      </c>
      <c r="E462" s="1" t="s">
        <v>46</v>
      </c>
      <c r="F462" s="1" t="s">
        <v>38</v>
      </c>
      <c r="G462" s="1" t="s">
        <v>30</v>
      </c>
      <c r="H462" s="1" t="s">
        <v>18</v>
      </c>
      <c r="I462" s="1" t="s">
        <v>52</v>
      </c>
      <c r="J462" s="1" t="s">
        <v>64</v>
      </c>
      <c r="K462" s="1" t="s">
        <v>47</v>
      </c>
      <c r="L462" s="1">
        <v>4</v>
      </c>
      <c r="M462" s="1">
        <v>789.3</v>
      </c>
      <c r="N462" s="1">
        <v>15</v>
      </c>
      <c r="O462" s="1">
        <v>2683.62</v>
      </c>
      <c r="P462" s="1">
        <f t="shared" si="36"/>
        <v>3157.2</v>
      </c>
      <c r="Q462" s="10">
        <f t="shared" si="37"/>
        <v>402.54299999999995</v>
      </c>
      <c r="R462" s="11">
        <f t="shared" si="38"/>
        <v>2754.6569999999997</v>
      </c>
      <c r="S462" s="1" t="str">
        <f t="shared" si="39"/>
        <v>Low</v>
      </c>
      <c r="T462" s="1" t="str" cm="1">
        <f t="array" ref="T462">_xlfn.IFS(L462&gt;5,"High",L462=5,"mediam",L462&lt;5,"low")</f>
        <v>low</v>
      </c>
      <c r="U462" s="1" t="b">
        <f t="shared" si="40"/>
        <v>0</v>
      </c>
    </row>
    <row r="463" spans="1:21" x14ac:dyDescent="0.3">
      <c r="A463" s="5">
        <v>10462</v>
      </c>
      <c r="B463" s="1">
        <v>1191</v>
      </c>
      <c r="C463" s="2">
        <v>45198</v>
      </c>
      <c r="D463" s="2">
        <v>45205</v>
      </c>
      <c r="E463" s="1" t="s">
        <v>15</v>
      </c>
      <c r="F463" s="1" t="s">
        <v>38</v>
      </c>
      <c r="G463" s="1" t="s">
        <v>17</v>
      </c>
      <c r="H463" s="1" t="s">
        <v>25</v>
      </c>
      <c r="I463" s="1" t="s">
        <v>52</v>
      </c>
      <c r="J463" s="1" t="s">
        <v>64</v>
      </c>
      <c r="K463" s="1" t="s">
        <v>45</v>
      </c>
      <c r="L463" s="1">
        <v>6</v>
      </c>
      <c r="M463" s="1">
        <v>385.25</v>
      </c>
      <c r="N463" s="1">
        <v>10</v>
      </c>
      <c r="O463" s="1">
        <v>2080.35</v>
      </c>
      <c r="P463" s="1">
        <f t="shared" si="36"/>
        <v>2311.5</v>
      </c>
      <c r="Q463" s="10">
        <f t="shared" si="37"/>
        <v>208.035</v>
      </c>
      <c r="R463" s="11">
        <f t="shared" si="38"/>
        <v>2103.4650000000001</v>
      </c>
      <c r="S463" s="1" t="str">
        <f t="shared" si="39"/>
        <v>High</v>
      </c>
      <c r="T463" s="1" t="str" cm="1">
        <f t="array" ref="T463">_xlfn.IFS(L463&gt;5,"High",L463=5,"mediam",L463&lt;5,"low")</f>
        <v>High</v>
      </c>
      <c r="U463" s="1" t="str">
        <f t="shared" si="40"/>
        <v>High</v>
      </c>
    </row>
    <row r="464" spans="1:21" x14ac:dyDescent="0.3">
      <c r="A464" s="5">
        <v>10463</v>
      </c>
      <c r="B464" s="1">
        <v>1048</v>
      </c>
      <c r="C464" s="2">
        <v>44992</v>
      </c>
      <c r="D464" s="2">
        <v>45000</v>
      </c>
      <c r="E464" s="1" t="s">
        <v>22</v>
      </c>
      <c r="F464" s="1" t="s">
        <v>16</v>
      </c>
      <c r="G464" s="1" t="s">
        <v>24</v>
      </c>
      <c r="H464" s="1" t="s">
        <v>35</v>
      </c>
      <c r="I464" s="1" t="s">
        <v>26</v>
      </c>
      <c r="J464" s="1" t="s">
        <v>36</v>
      </c>
      <c r="K464" s="1" t="s">
        <v>47</v>
      </c>
      <c r="L464" s="1">
        <v>5</v>
      </c>
      <c r="M464" s="1">
        <v>2072.3200000000002</v>
      </c>
      <c r="N464" s="1">
        <v>15</v>
      </c>
      <c r="O464" s="1">
        <v>8807.36</v>
      </c>
      <c r="P464" s="1">
        <f t="shared" si="36"/>
        <v>10361.6</v>
      </c>
      <c r="Q464" s="10">
        <f t="shared" si="37"/>
        <v>1321.104</v>
      </c>
      <c r="R464" s="11">
        <f t="shared" si="38"/>
        <v>9040.496000000001</v>
      </c>
      <c r="S464" s="1" t="str">
        <f t="shared" si="39"/>
        <v>High</v>
      </c>
      <c r="T464" s="1" t="str" cm="1">
        <f t="array" ref="T464">_xlfn.IFS(L464&gt;5,"High",L464=5,"mediam",L464&lt;5,"low")</f>
        <v>mediam</v>
      </c>
      <c r="U464" s="1" t="b">
        <f t="shared" si="40"/>
        <v>0</v>
      </c>
    </row>
    <row r="465" spans="1:21" x14ac:dyDescent="0.3">
      <c r="A465" s="5">
        <v>10464</v>
      </c>
      <c r="B465" s="1">
        <v>1511</v>
      </c>
      <c r="C465" s="2">
        <v>45174</v>
      </c>
      <c r="D465" s="2">
        <v>45176</v>
      </c>
      <c r="E465" s="1" t="s">
        <v>46</v>
      </c>
      <c r="F465" s="1" t="s">
        <v>23</v>
      </c>
      <c r="G465" s="1" t="s">
        <v>30</v>
      </c>
      <c r="H465" s="1" t="s">
        <v>42</v>
      </c>
      <c r="I465" s="1" t="s">
        <v>31</v>
      </c>
      <c r="J465" s="1" t="s">
        <v>65</v>
      </c>
      <c r="K465" s="1" t="s">
        <v>47</v>
      </c>
      <c r="L465" s="1">
        <v>1</v>
      </c>
      <c r="M465" s="1">
        <v>559.4</v>
      </c>
      <c r="N465" s="1">
        <v>20</v>
      </c>
      <c r="O465" s="1">
        <v>447.52</v>
      </c>
      <c r="P465" s="1">
        <f t="shared" si="36"/>
        <v>559.4</v>
      </c>
      <c r="Q465" s="10">
        <f t="shared" si="37"/>
        <v>89.504000000000005</v>
      </c>
      <c r="R465" s="11">
        <f t="shared" si="38"/>
        <v>469.89599999999996</v>
      </c>
      <c r="S465" s="1" t="str">
        <f t="shared" si="39"/>
        <v>Low</v>
      </c>
      <c r="T465" s="1" t="str" cm="1">
        <f t="array" ref="T465">_xlfn.IFS(L465&gt;5,"High",L465=5,"mediam",L465&lt;5,"low")</f>
        <v>low</v>
      </c>
      <c r="U465" s="1" t="b">
        <f t="shared" si="40"/>
        <v>0</v>
      </c>
    </row>
    <row r="466" spans="1:21" x14ac:dyDescent="0.3">
      <c r="A466" s="5">
        <v>10465</v>
      </c>
      <c r="B466" s="1">
        <v>1016</v>
      </c>
      <c r="C466" s="2">
        <v>45082</v>
      </c>
      <c r="D466" s="2">
        <v>45089</v>
      </c>
      <c r="E466" s="1" t="s">
        <v>37</v>
      </c>
      <c r="F466" s="1" t="s">
        <v>23</v>
      </c>
      <c r="G466" s="1" t="s">
        <v>30</v>
      </c>
      <c r="H466" s="1" t="s">
        <v>44</v>
      </c>
      <c r="I466" s="1" t="s">
        <v>19</v>
      </c>
      <c r="J466" s="1" t="s">
        <v>43</v>
      </c>
      <c r="K466" s="1" t="s">
        <v>33</v>
      </c>
      <c r="L466" s="1">
        <v>4</v>
      </c>
      <c r="M466" s="1">
        <v>589.44000000000005</v>
      </c>
      <c r="N466" s="1">
        <v>20</v>
      </c>
      <c r="O466" s="1">
        <v>1886.21</v>
      </c>
      <c r="P466" s="1">
        <f t="shared" si="36"/>
        <v>2357.7600000000002</v>
      </c>
      <c r="Q466" s="10">
        <f t="shared" si="37"/>
        <v>377.24200000000002</v>
      </c>
      <c r="R466" s="11">
        <f t="shared" si="38"/>
        <v>1980.5180000000003</v>
      </c>
      <c r="S466" s="1" t="str">
        <f t="shared" si="39"/>
        <v>Low</v>
      </c>
      <c r="T466" s="1" t="str" cm="1">
        <f t="array" ref="T466">_xlfn.IFS(L466&gt;5,"High",L466=5,"mediam",L466&lt;5,"low")</f>
        <v>low</v>
      </c>
      <c r="U466" s="1" t="b">
        <f t="shared" si="40"/>
        <v>0</v>
      </c>
    </row>
    <row r="467" spans="1:21" x14ac:dyDescent="0.3">
      <c r="A467" s="5">
        <v>10466</v>
      </c>
      <c r="B467" s="1">
        <v>1171</v>
      </c>
      <c r="C467" s="2">
        <v>44973</v>
      </c>
      <c r="D467" s="2">
        <v>44975</v>
      </c>
      <c r="E467" s="1" t="s">
        <v>16</v>
      </c>
      <c r="F467" s="1" t="s">
        <v>41</v>
      </c>
      <c r="G467" s="1" t="s">
        <v>30</v>
      </c>
      <c r="H467" s="1" t="s">
        <v>35</v>
      </c>
      <c r="I467" s="1" t="s">
        <v>19</v>
      </c>
      <c r="J467" s="1" t="s">
        <v>43</v>
      </c>
      <c r="K467" s="1" t="s">
        <v>28</v>
      </c>
      <c r="L467" s="1">
        <v>6</v>
      </c>
      <c r="M467" s="1">
        <v>3773.04</v>
      </c>
      <c r="N467" s="1">
        <v>0</v>
      </c>
      <c r="O467" s="1">
        <v>22638.240000000002</v>
      </c>
      <c r="P467" s="1">
        <f t="shared" si="36"/>
        <v>22638.239999999998</v>
      </c>
      <c r="Q467" s="10">
        <f t="shared" si="37"/>
        <v>0</v>
      </c>
      <c r="R467" s="11">
        <f t="shared" si="38"/>
        <v>22638.239999999998</v>
      </c>
      <c r="S467" s="1" t="str">
        <f t="shared" si="39"/>
        <v>High</v>
      </c>
      <c r="T467" s="1" t="str" cm="1">
        <f t="array" ref="T467">_xlfn.IFS(L467&gt;5,"High",L467=5,"mediam",L467&lt;5,"low")</f>
        <v>High</v>
      </c>
      <c r="U467" s="1" t="str">
        <f t="shared" si="40"/>
        <v>High</v>
      </c>
    </row>
    <row r="468" spans="1:21" x14ac:dyDescent="0.3">
      <c r="A468" s="5">
        <v>10467</v>
      </c>
      <c r="B468" s="1">
        <v>1219</v>
      </c>
      <c r="C468" s="2">
        <v>45127</v>
      </c>
      <c r="D468" s="2">
        <v>45129</v>
      </c>
      <c r="E468" s="1" t="s">
        <v>22</v>
      </c>
      <c r="F468" s="1" t="s">
        <v>41</v>
      </c>
      <c r="G468" s="1" t="s">
        <v>17</v>
      </c>
      <c r="H468" s="1" t="s">
        <v>44</v>
      </c>
      <c r="I468" s="1" t="s">
        <v>26</v>
      </c>
      <c r="J468" s="1" t="s">
        <v>69</v>
      </c>
      <c r="K468" s="1" t="s">
        <v>28</v>
      </c>
      <c r="L468" s="1">
        <v>4</v>
      </c>
      <c r="M468" s="1">
        <v>3509.72</v>
      </c>
      <c r="N468" s="1">
        <v>15</v>
      </c>
      <c r="O468" s="1">
        <v>11933.05</v>
      </c>
      <c r="P468" s="1">
        <f t="shared" si="36"/>
        <v>14038.88</v>
      </c>
      <c r="Q468" s="10">
        <f t="shared" si="37"/>
        <v>1789.9574999999998</v>
      </c>
      <c r="R468" s="11">
        <f t="shared" si="38"/>
        <v>12248.922499999999</v>
      </c>
      <c r="S468" s="1" t="str">
        <f t="shared" si="39"/>
        <v>Low</v>
      </c>
      <c r="T468" s="1" t="str" cm="1">
        <f t="array" ref="T468">_xlfn.IFS(L468&gt;5,"High",L468=5,"mediam",L468&lt;5,"low")</f>
        <v>low</v>
      </c>
      <c r="U468" s="1" t="b">
        <f t="shared" si="40"/>
        <v>0</v>
      </c>
    </row>
    <row r="469" spans="1:21" x14ac:dyDescent="0.3">
      <c r="A469" s="5">
        <v>10468</v>
      </c>
      <c r="B469" s="1">
        <v>1157</v>
      </c>
      <c r="C469" s="2">
        <v>45074</v>
      </c>
      <c r="D469" s="2">
        <v>45082</v>
      </c>
      <c r="E469" s="1" t="s">
        <v>22</v>
      </c>
      <c r="F469" s="1" t="s">
        <v>16</v>
      </c>
      <c r="G469" s="1" t="s">
        <v>17</v>
      </c>
      <c r="H469" s="1" t="s">
        <v>18</v>
      </c>
      <c r="I469" s="1" t="s">
        <v>57</v>
      </c>
      <c r="J469" s="1" t="s">
        <v>59</v>
      </c>
      <c r="K469" s="1" t="s">
        <v>45</v>
      </c>
      <c r="L469" s="1">
        <v>9</v>
      </c>
      <c r="M469" s="1">
        <v>1890.53</v>
      </c>
      <c r="N469" s="1">
        <v>15</v>
      </c>
      <c r="O469" s="1">
        <v>14462.55</v>
      </c>
      <c r="P469" s="1">
        <f t="shared" si="36"/>
        <v>17014.77</v>
      </c>
      <c r="Q469" s="10">
        <f t="shared" si="37"/>
        <v>2169.3824999999997</v>
      </c>
      <c r="R469" s="11">
        <f t="shared" si="38"/>
        <v>14845.387500000001</v>
      </c>
      <c r="S469" s="1" t="str">
        <f t="shared" si="39"/>
        <v>High</v>
      </c>
      <c r="T469" s="1" t="str" cm="1">
        <f t="array" ref="T469">_xlfn.IFS(L469&gt;5,"High",L469=5,"mediam",L469&lt;5,"low")</f>
        <v>High</v>
      </c>
      <c r="U469" s="1" t="str">
        <f t="shared" si="40"/>
        <v>High</v>
      </c>
    </row>
    <row r="470" spans="1:21" x14ac:dyDescent="0.3">
      <c r="A470" s="5">
        <v>10469</v>
      </c>
      <c r="B470" s="1">
        <v>1476</v>
      </c>
      <c r="C470" s="2">
        <v>45050</v>
      </c>
      <c r="D470" s="2">
        <v>45052</v>
      </c>
      <c r="E470" s="1" t="s">
        <v>15</v>
      </c>
      <c r="F470" s="1" t="s">
        <v>41</v>
      </c>
      <c r="G470" s="1" t="s">
        <v>30</v>
      </c>
      <c r="H470" s="1" t="s">
        <v>18</v>
      </c>
      <c r="I470" s="1" t="s">
        <v>31</v>
      </c>
      <c r="J470" s="1" t="s">
        <v>48</v>
      </c>
      <c r="K470" s="1" t="s">
        <v>45</v>
      </c>
      <c r="L470" s="1">
        <v>5</v>
      </c>
      <c r="M470" s="1">
        <v>3945.35</v>
      </c>
      <c r="N470" s="1">
        <v>5</v>
      </c>
      <c r="O470" s="1">
        <v>18740.41</v>
      </c>
      <c r="P470" s="1">
        <f t="shared" si="36"/>
        <v>19726.75</v>
      </c>
      <c r="Q470" s="10">
        <f t="shared" si="37"/>
        <v>937.02050000000008</v>
      </c>
      <c r="R470" s="11">
        <f t="shared" si="38"/>
        <v>18789.729500000001</v>
      </c>
      <c r="S470" s="1" t="str">
        <f t="shared" si="39"/>
        <v>High</v>
      </c>
      <c r="T470" s="1" t="str" cm="1">
        <f t="array" ref="T470">_xlfn.IFS(L470&gt;5,"High",L470=5,"mediam",L470&lt;5,"low")</f>
        <v>mediam</v>
      </c>
      <c r="U470" s="1" t="b">
        <f t="shared" si="40"/>
        <v>0</v>
      </c>
    </row>
    <row r="471" spans="1:21" x14ac:dyDescent="0.3">
      <c r="A471" s="5">
        <v>10470</v>
      </c>
      <c r="B471" s="1">
        <v>1045</v>
      </c>
      <c r="C471" s="2">
        <v>44927</v>
      </c>
      <c r="D471" s="2">
        <v>44936</v>
      </c>
      <c r="E471" s="1" t="s">
        <v>34</v>
      </c>
      <c r="F471" s="1" t="s">
        <v>29</v>
      </c>
      <c r="G471" s="1" t="s">
        <v>30</v>
      </c>
      <c r="H471" s="1" t="s">
        <v>18</v>
      </c>
      <c r="I471" s="1" t="s">
        <v>26</v>
      </c>
      <c r="J471" s="1" t="s">
        <v>36</v>
      </c>
      <c r="K471" s="1" t="s">
        <v>28</v>
      </c>
      <c r="L471" s="1">
        <v>8</v>
      </c>
      <c r="M471" s="1">
        <v>150.72</v>
      </c>
      <c r="N471" s="1">
        <v>5</v>
      </c>
      <c r="O471" s="1">
        <v>1145.47</v>
      </c>
      <c r="P471" s="1">
        <f t="shared" si="36"/>
        <v>1205.76</v>
      </c>
      <c r="Q471" s="10">
        <f t="shared" si="37"/>
        <v>57.273500000000006</v>
      </c>
      <c r="R471" s="11">
        <f t="shared" si="38"/>
        <v>1148.4865</v>
      </c>
      <c r="S471" s="1" t="str">
        <f t="shared" si="39"/>
        <v>High</v>
      </c>
      <c r="T471" s="1" t="str" cm="1">
        <f t="array" ref="T471">_xlfn.IFS(L471&gt;5,"High",L471=5,"mediam",L471&lt;5,"low")</f>
        <v>High</v>
      </c>
      <c r="U471" s="1" t="str">
        <f t="shared" si="40"/>
        <v>High</v>
      </c>
    </row>
    <row r="472" spans="1:21" x14ac:dyDescent="0.3">
      <c r="A472" s="5">
        <v>10471</v>
      </c>
      <c r="B472" s="1">
        <v>1372</v>
      </c>
      <c r="C472" s="2">
        <v>45173</v>
      </c>
      <c r="D472" s="2">
        <v>45174</v>
      </c>
      <c r="E472" s="1" t="s">
        <v>37</v>
      </c>
      <c r="F472" s="1" t="s">
        <v>54</v>
      </c>
      <c r="G472" s="1" t="s">
        <v>17</v>
      </c>
      <c r="H472" s="1" t="s">
        <v>44</v>
      </c>
      <c r="I472" s="1" t="s">
        <v>31</v>
      </c>
      <c r="J472" s="1" t="s">
        <v>48</v>
      </c>
      <c r="K472" s="1" t="s">
        <v>33</v>
      </c>
      <c r="L472" s="1">
        <v>9</v>
      </c>
      <c r="M472" s="1">
        <v>2513.8200000000002</v>
      </c>
      <c r="N472" s="1">
        <v>5</v>
      </c>
      <c r="O472" s="1">
        <v>21493.16</v>
      </c>
      <c r="P472" s="1">
        <f t="shared" si="36"/>
        <v>22624.38</v>
      </c>
      <c r="Q472" s="10">
        <f t="shared" si="37"/>
        <v>1074.6580000000001</v>
      </c>
      <c r="R472" s="11">
        <f t="shared" si="38"/>
        <v>21549.722000000002</v>
      </c>
      <c r="S472" s="1" t="str">
        <f t="shared" si="39"/>
        <v>High</v>
      </c>
      <c r="T472" s="1" t="str" cm="1">
        <f t="array" ref="T472">_xlfn.IFS(L472&gt;5,"High",L472=5,"mediam",L472&lt;5,"low")</f>
        <v>High</v>
      </c>
      <c r="U472" s="1" t="str">
        <f t="shared" si="40"/>
        <v>High</v>
      </c>
    </row>
    <row r="473" spans="1:21" x14ac:dyDescent="0.3">
      <c r="A473" s="5">
        <v>10472</v>
      </c>
      <c r="B473" s="1">
        <v>1517</v>
      </c>
      <c r="C473" s="2">
        <v>45269</v>
      </c>
      <c r="D473" s="2">
        <v>45278</v>
      </c>
      <c r="E473" s="1" t="s">
        <v>15</v>
      </c>
      <c r="F473" s="1" t="s">
        <v>54</v>
      </c>
      <c r="G473" s="1" t="s">
        <v>30</v>
      </c>
      <c r="H473" s="1" t="s">
        <v>35</v>
      </c>
      <c r="I473" s="1" t="s">
        <v>31</v>
      </c>
      <c r="J473" s="1" t="s">
        <v>48</v>
      </c>
      <c r="K473" s="1" t="s">
        <v>28</v>
      </c>
      <c r="L473" s="1">
        <v>5</v>
      </c>
      <c r="M473" s="1">
        <v>2523.25</v>
      </c>
      <c r="N473" s="1">
        <v>10</v>
      </c>
      <c r="O473" s="1">
        <v>11354.63</v>
      </c>
      <c r="P473" s="1">
        <f t="shared" si="36"/>
        <v>12616.25</v>
      </c>
      <c r="Q473" s="10">
        <f t="shared" si="37"/>
        <v>1135.463</v>
      </c>
      <c r="R473" s="11">
        <f t="shared" si="38"/>
        <v>11480.787</v>
      </c>
      <c r="S473" s="1" t="str">
        <f t="shared" si="39"/>
        <v>High</v>
      </c>
      <c r="T473" s="1" t="str" cm="1">
        <f t="array" ref="T473">_xlfn.IFS(L473&gt;5,"High",L473=5,"mediam",L473&lt;5,"low")</f>
        <v>mediam</v>
      </c>
      <c r="U473" s="1" t="b">
        <f t="shared" si="40"/>
        <v>0</v>
      </c>
    </row>
    <row r="474" spans="1:21" x14ac:dyDescent="0.3">
      <c r="A474" s="5">
        <v>10473</v>
      </c>
      <c r="B474" s="1">
        <v>1098</v>
      </c>
      <c r="C474" s="2">
        <v>45054</v>
      </c>
      <c r="D474" s="2">
        <v>45055</v>
      </c>
      <c r="E474" s="1" t="s">
        <v>46</v>
      </c>
      <c r="F474" s="1" t="s">
        <v>54</v>
      </c>
      <c r="G474" s="1" t="s">
        <v>30</v>
      </c>
      <c r="H474" s="1" t="s">
        <v>18</v>
      </c>
      <c r="I474" s="1" t="s">
        <v>31</v>
      </c>
      <c r="J474" s="1" t="s">
        <v>48</v>
      </c>
      <c r="K474" s="1" t="s">
        <v>33</v>
      </c>
      <c r="L474" s="1">
        <v>6</v>
      </c>
      <c r="M474" s="1">
        <v>1911.16</v>
      </c>
      <c r="N474" s="1">
        <v>5</v>
      </c>
      <c r="O474" s="1">
        <v>10893.61</v>
      </c>
      <c r="P474" s="1">
        <f t="shared" si="36"/>
        <v>11466.960000000001</v>
      </c>
      <c r="Q474" s="10">
        <f t="shared" si="37"/>
        <v>544.68050000000005</v>
      </c>
      <c r="R474" s="11">
        <f t="shared" si="38"/>
        <v>10922.279500000001</v>
      </c>
      <c r="S474" s="1" t="str">
        <f t="shared" si="39"/>
        <v>High</v>
      </c>
      <c r="T474" s="1" t="str" cm="1">
        <f t="array" ref="T474">_xlfn.IFS(L474&gt;5,"High",L474=5,"mediam",L474&lt;5,"low")</f>
        <v>High</v>
      </c>
      <c r="U474" s="1" t="str">
        <f t="shared" si="40"/>
        <v>High</v>
      </c>
    </row>
    <row r="475" spans="1:21" x14ac:dyDescent="0.3">
      <c r="A475" s="5">
        <v>10474</v>
      </c>
      <c r="B475" s="1">
        <v>1891</v>
      </c>
      <c r="C475" s="2">
        <v>45117</v>
      </c>
      <c r="D475" s="2">
        <v>45119</v>
      </c>
      <c r="E475" s="1" t="s">
        <v>46</v>
      </c>
      <c r="F475" s="1" t="s">
        <v>16</v>
      </c>
      <c r="G475" s="1" t="s">
        <v>17</v>
      </c>
      <c r="H475" s="1" t="s">
        <v>35</v>
      </c>
      <c r="I475" s="1" t="s">
        <v>26</v>
      </c>
      <c r="J475" s="1" t="s">
        <v>27</v>
      </c>
      <c r="K475" s="1" t="s">
        <v>45</v>
      </c>
      <c r="L475" s="1">
        <v>1</v>
      </c>
      <c r="M475" s="1">
        <v>1678.25</v>
      </c>
      <c r="N475" s="1">
        <v>15</v>
      </c>
      <c r="O475" s="1">
        <v>1426.51</v>
      </c>
      <c r="P475" s="1">
        <f t="shared" si="36"/>
        <v>1678.25</v>
      </c>
      <c r="Q475" s="10">
        <f t="shared" si="37"/>
        <v>213.97649999999999</v>
      </c>
      <c r="R475" s="11">
        <f t="shared" si="38"/>
        <v>1464.2735</v>
      </c>
      <c r="S475" s="1" t="str">
        <f t="shared" si="39"/>
        <v>Low</v>
      </c>
      <c r="T475" s="1" t="str" cm="1">
        <f t="array" ref="T475">_xlfn.IFS(L475&gt;5,"High",L475=5,"mediam",L475&lt;5,"low")</f>
        <v>low</v>
      </c>
      <c r="U475" s="1" t="b">
        <f t="shared" si="40"/>
        <v>0</v>
      </c>
    </row>
    <row r="476" spans="1:21" x14ac:dyDescent="0.3">
      <c r="A476" s="5">
        <v>10475</v>
      </c>
      <c r="B476" s="1">
        <v>1744</v>
      </c>
      <c r="C476" s="2">
        <v>44993</v>
      </c>
      <c r="D476" s="2">
        <v>44999</v>
      </c>
      <c r="E476" s="1" t="s">
        <v>46</v>
      </c>
      <c r="F476" s="1" t="s">
        <v>16</v>
      </c>
      <c r="G476" s="1" t="s">
        <v>30</v>
      </c>
      <c r="H476" s="1" t="s">
        <v>44</v>
      </c>
      <c r="I476" s="1" t="s">
        <v>19</v>
      </c>
      <c r="J476" s="1" t="s">
        <v>55</v>
      </c>
      <c r="K476" s="1" t="s">
        <v>21</v>
      </c>
      <c r="L476" s="1">
        <v>7</v>
      </c>
      <c r="M476" s="1">
        <v>1903.23</v>
      </c>
      <c r="N476" s="1">
        <v>10</v>
      </c>
      <c r="O476" s="1">
        <v>11990.35</v>
      </c>
      <c r="P476" s="1">
        <f t="shared" si="36"/>
        <v>13322.61</v>
      </c>
      <c r="Q476" s="10">
        <f t="shared" si="37"/>
        <v>1199.0350000000001</v>
      </c>
      <c r="R476" s="11">
        <f t="shared" si="38"/>
        <v>12123.575000000001</v>
      </c>
      <c r="S476" s="1" t="str">
        <f t="shared" si="39"/>
        <v>High</v>
      </c>
      <c r="T476" s="1" t="str" cm="1">
        <f t="array" ref="T476">_xlfn.IFS(L476&gt;5,"High",L476=5,"mediam",L476&lt;5,"low")</f>
        <v>High</v>
      </c>
      <c r="U476" s="1" t="str">
        <f t="shared" si="40"/>
        <v>High</v>
      </c>
    </row>
    <row r="477" spans="1:21" x14ac:dyDescent="0.3">
      <c r="A477" s="5">
        <v>10476</v>
      </c>
      <c r="B477" s="1">
        <v>1036</v>
      </c>
      <c r="C477" s="2">
        <v>44930</v>
      </c>
      <c r="D477" s="2">
        <v>44936</v>
      </c>
      <c r="E477" s="1" t="s">
        <v>46</v>
      </c>
      <c r="F477" s="1" t="s">
        <v>38</v>
      </c>
      <c r="G477" s="1" t="s">
        <v>30</v>
      </c>
      <c r="H477" s="1" t="s">
        <v>35</v>
      </c>
      <c r="I477" s="1" t="s">
        <v>19</v>
      </c>
      <c r="J477" s="1" t="s">
        <v>20</v>
      </c>
      <c r="K477" s="1" t="s">
        <v>45</v>
      </c>
      <c r="L477" s="1">
        <v>4</v>
      </c>
      <c r="M477" s="1">
        <v>1747.6</v>
      </c>
      <c r="N477" s="1">
        <v>20</v>
      </c>
      <c r="O477" s="1">
        <v>5592.32</v>
      </c>
      <c r="P477" s="1">
        <f t="shared" si="36"/>
        <v>6990.4</v>
      </c>
      <c r="Q477" s="10">
        <f t="shared" si="37"/>
        <v>1118.4639999999999</v>
      </c>
      <c r="R477" s="11">
        <f t="shared" si="38"/>
        <v>5871.9359999999997</v>
      </c>
      <c r="S477" s="1" t="str">
        <f t="shared" si="39"/>
        <v>Low</v>
      </c>
      <c r="T477" s="1" t="str" cm="1">
        <f t="array" ref="T477">_xlfn.IFS(L477&gt;5,"High",L477=5,"mediam",L477&lt;5,"low")</f>
        <v>low</v>
      </c>
      <c r="U477" s="1" t="b">
        <f t="shared" si="40"/>
        <v>0</v>
      </c>
    </row>
    <row r="478" spans="1:21" x14ac:dyDescent="0.3">
      <c r="A478" s="5">
        <v>10477</v>
      </c>
      <c r="B478" s="1">
        <v>1279</v>
      </c>
      <c r="C478" s="2">
        <v>45229</v>
      </c>
      <c r="D478" s="2">
        <v>45230</v>
      </c>
      <c r="E478" s="1" t="s">
        <v>34</v>
      </c>
      <c r="F478" s="1" t="s">
        <v>54</v>
      </c>
      <c r="G478" s="1" t="s">
        <v>30</v>
      </c>
      <c r="H478" s="1" t="s">
        <v>44</v>
      </c>
      <c r="I478" s="1" t="s">
        <v>31</v>
      </c>
      <c r="J478" s="1" t="s">
        <v>48</v>
      </c>
      <c r="K478" s="1" t="s">
        <v>45</v>
      </c>
      <c r="L478" s="1">
        <v>2</v>
      </c>
      <c r="M478" s="1">
        <v>2962.4</v>
      </c>
      <c r="N478" s="1">
        <v>0</v>
      </c>
      <c r="O478" s="1">
        <v>5924.8</v>
      </c>
      <c r="P478" s="1">
        <f t="shared" si="36"/>
        <v>5924.8</v>
      </c>
      <c r="Q478" s="10">
        <f t="shared" si="37"/>
        <v>0</v>
      </c>
      <c r="R478" s="11">
        <f t="shared" si="38"/>
        <v>5924.8</v>
      </c>
      <c r="S478" s="1" t="str">
        <f t="shared" si="39"/>
        <v>Low</v>
      </c>
      <c r="T478" s="1" t="str" cm="1">
        <f t="array" ref="T478">_xlfn.IFS(L478&gt;5,"High",L478=5,"mediam",L478&lt;5,"low")</f>
        <v>low</v>
      </c>
      <c r="U478" s="1" t="b">
        <f t="shared" si="40"/>
        <v>0</v>
      </c>
    </row>
    <row r="479" spans="1:21" x14ac:dyDescent="0.3">
      <c r="A479" s="5">
        <v>10478</v>
      </c>
      <c r="B479" s="1">
        <v>1348</v>
      </c>
      <c r="C479" s="2">
        <v>45220</v>
      </c>
      <c r="D479" s="2">
        <v>45227</v>
      </c>
      <c r="E479" s="1" t="s">
        <v>37</v>
      </c>
      <c r="F479" s="1" t="s">
        <v>29</v>
      </c>
      <c r="G479" s="1" t="s">
        <v>17</v>
      </c>
      <c r="H479" s="1" t="s">
        <v>44</v>
      </c>
      <c r="I479" s="1" t="s">
        <v>57</v>
      </c>
      <c r="J479" s="1" t="s">
        <v>62</v>
      </c>
      <c r="K479" s="1" t="s">
        <v>47</v>
      </c>
      <c r="L479" s="1">
        <v>5</v>
      </c>
      <c r="M479" s="1">
        <v>671.12</v>
      </c>
      <c r="N479" s="1">
        <v>5</v>
      </c>
      <c r="O479" s="1">
        <v>3187.82</v>
      </c>
      <c r="P479" s="1">
        <f t="shared" si="36"/>
        <v>3355.6</v>
      </c>
      <c r="Q479" s="10">
        <f t="shared" si="37"/>
        <v>159.39100000000002</v>
      </c>
      <c r="R479" s="11">
        <f t="shared" si="38"/>
        <v>3196.2089999999998</v>
      </c>
      <c r="S479" s="1" t="str">
        <f t="shared" si="39"/>
        <v>High</v>
      </c>
      <c r="T479" s="1" t="str" cm="1">
        <f t="array" ref="T479">_xlfn.IFS(L479&gt;5,"High",L479=5,"mediam",L479&lt;5,"low")</f>
        <v>mediam</v>
      </c>
      <c r="U479" s="1" t="b">
        <f t="shared" si="40"/>
        <v>0</v>
      </c>
    </row>
    <row r="480" spans="1:21" x14ac:dyDescent="0.3">
      <c r="A480" s="5">
        <v>10479</v>
      </c>
      <c r="B480" s="1">
        <v>1496</v>
      </c>
      <c r="C480" s="2">
        <v>45069</v>
      </c>
      <c r="D480" s="2">
        <v>45077</v>
      </c>
      <c r="E480" s="1" t="s">
        <v>40</v>
      </c>
      <c r="F480" s="1" t="s">
        <v>41</v>
      </c>
      <c r="G480" s="1" t="s">
        <v>30</v>
      </c>
      <c r="H480" s="1" t="s">
        <v>42</v>
      </c>
      <c r="I480" s="1" t="s">
        <v>49</v>
      </c>
      <c r="J480" s="1" t="s">
        <v>68</v>
      </c>
      <c r="K480" s="1" t="s">
        <v>47</v>
      </c>
      <c r="L480" s="1">
        <v>3</v>
      </c>
      <c r="M480" s="1">
        <v>910.91</v>
      </c>
      <c r="N480" s="1">
        <v>20</v>
      </c>
      <c r="O480" s="1">
        <v>2186.1799999999998</v>
      </c>
      <c r="P480" s="1">
        <f t="shared" si="36"/>
        <v>2732.73</v>
      </c>
      <c r="Q480" s="10">
        <f t="shared" si="37"/>
        <v>437.23599999999999</v>
      </c>
      <c r="R480" s="11">
        <f t="shared" si="38"/>
        <v>2295.4940000000001</v>
      </c>
      <c r="S480" s="1" t="str">
        <f t="shared" si="39"/>
        <v>Low</v>
      </c>
      <c r="T480" s="1" t="str" cm="1">
        <f t="array" ref="T480">_xlfn.IFS(L480&gt;5,"High",L480=5,"mediam",L480&lt;5,"low")</f>
        <v>low</v>
      </c>
      <c r="U480" s="1" t="b">
        <f t="shared" si="40"/>
        <v>0</v>
      </c>
    </row>
    <row r="481" spans="1:21" x14ac:dyDescent="0.3">
      <c r="A481" s="5">
        <v>10480</v>
      </c>
      <c r="B481" s="1">
        <v>1301</v>
      </c>
      <c r="C481" s="2">
        <v>45117</v>
      </c>
      <c r="D481" s="2">
        <v>45119</v>
      </c>
      <c r="E481" s="1" t="s">
        <v>16</v>
      </c>
      <c r="F481" s="1" t="s">
        <v>29</v>
      </c>
      <c r="G481" s="1" t="s">
        <v>17</v>
      </c>
      <c r="H481" s="1" t="s">
        <v>44</v>
      </c>
      <c r="I481" s="1" t="s">
        <v>26</v>
      </c>
      <c r="J481" s="1" t="s">
        <v>36</v>
      </c>
      <c r="K481" s="1" t="s">
        <v>47</v>
      </c>
      <c r="L481" s="1">
        <v>6</v>
      </c>
      <c r="M481" s="1">
        <v>845</v>
      </c>
      <c r="N481" s="1">
        <v>15</v>
      </c>
      <c r="O481" s="1">
        <v>4309.5</v>
      </c>
      <c r="P481" s="1">
        <f t="shared" si="36"/>
        <v>5070</v>
      </c>
      <c r="Q481" s="10">
        <f t="shared" si="37"/>
        <v>646.42499999999995</v>
      </c>
      <c r="R481" s="11">
        <f t="shared" si="38"/>
        <v>4423.5749999999998</v>
      </c>
      <c r="S481" s="1" t="str">
        <f t="shared" si="39"/>
        <v>High</v>
      </c>
      <c r="T481" s="1" t="str" cm="1">
        <f t="array" ref="T481">_xlfn.IFS(L481&gt;5,"High",L481=5,"mediam",L481&lt;5,"low")</f>
        <v>High</v>
      </c>
      <c r="U481" s="1" t="str">
        <f t="shared" si="40"/>
        <v>High</v>
      </c>
    </row>
    <row r="482" spans="1:21" x14ac:dyDescent="0.3">
      <c r="A482" s="5">
        <v>10481</v>
      </c>
      <c r="B482" s="1">
        <v>1180</v>
      </c>
      <c r="C482" s="2">
        <v>44947</v>
      </c>
      <c r="D482" s="2">
        <v>44955</v>
      </c>
      <c r="E482" s="1" t="s">
        <v>34</v>
      </c>
      <c r="F482" s="1" t="s">
        <v>41</v>
      </c>
      <c r="G482" s="1" t="s">
        <v>17</v>
      </c>
      <c r="H482" s="1" t="s">
        <v>44</v>
      </c>
      <c r="I482" s="1" t="s">
        <v>49</v>
      </c>
      <c r="J482" s="1" t="s">
        <v>50</v>
      </c>
      <c r="K482" s="1" t="s">
        <v>47</v>
      </c>
      <c r="L482" s="1">
        <v>8</v>
      </c>
      <c r="M482" s="1">
        <v>1160.51</v>
      </c>
      <c r="N482" s="1">
        <v>0</v>
      </c>
      <c r="O482" s="1">
        <v>9284.08</v>
      </c>
      <c r="P482" s="1">
        <f t="shared" si="36"/>
        <v>9284.08</v>
      </c>
      <c r="Q482" s="10">
        <f t="shared" si="37"/>
        <v>0</v>
      </c>
      <c r="R482" s="11">
        <f t="shared" si="38"/>
        <v>9284.08</v>
      </c>
      <c r="S482" s="1" t="str">
        <f t="shared" si="39"/>
        <v>High</v>
      </c>
      <c r="T482" s="1" t="str" cm="1">
        <f t="array" ref="T482">_xlfn.IFS(L482&gt;5,"High",L482=5,"mediam",L482&lt;5,"low")</f>
        <v>High</v>
      </c>
      <c r="U482" s="1" t="str">
        <f t="shared" si="40"/>
        <v>High</v>
      </c>
    </row>
    <row r="483" spans="1:21" x14ac:dyDescent="0.3">
      <c r="A483" s="5">
        <v>10482</v>
      </c>
      <c r="B483" s="1">
        <v>1606</v>
      </c>
      <c r="C483" s="2">
        <v>45153</v>
      </c>
      <c r="D483" s="2">
        <v>45162</v>
      </c>
      <c r="E483" s="1" t="s">
        <v>34</v>
      </c>
      <c r="F483" s="1" t="s">
        <v>54</v>
      </c>
      <c r="G483" s="1" t="s">
        <v>24</v>
      </c>
      <c r="H483" s="1" t="s">
        <v>25</v>
      </c>
      <c r="I483" s="1" t="s">
        <v>57</v>
      </c>
      <c r="J483" s="1" t="s">
        <v>67</v>
      </c>
      <c r="K483" s="1" t="s">
        <v>33</v>
      </c>
      <c r="L483" s="1">
        <v>7</v>
      </c>
      <c r="M483" s="1">
        <v>2172.2399999999998</v>
      </c>
      <c r="N483" s="1">
        <v>20</v>
      </c>
      <c r="O483" s="1">
        <v>12164.54</v>
      </c>
      <c r="P483" s="1">
        <f t="shared" si="36"/>
        <v>15205.679999999998</v>
      </c>
      <c r="Q483" s="10">
        <f t="shared" si="37"/>
        <v>2432.9080000000004</v>
      </c>
      <c r="R483" s="11">
        <f t="shared" si="38"/>
        <v>12772.771999999997</v>
      </c>
      <c r="S483" s="1" t="str">
        <f t="shared" si="39"/>
        <v>High</v>
      </c>
      <c r="T483" s="1" t="str" cm="1">
        <f t="array" ref="T483">_xlfn.IFS(L483&gt;5,"High",L483=5,"mediam",L483&lt;5,"low")</f>
        <v>High</v>
      </c>
      <c r="U483" s="1" t="str">
        <f t="shared" si="40"/>
        <v>High</v>
      </c>
    </row>
    <row r="484" spans="1:21" x14ac:dyDescent="0.3">
      <c r="A484" s="5">
        <v>10483</v>
      </c>
      <c r="B484" s="1">
        <v>1098</v>
      </c>
      <c r="C484" s="2">
        <v>45239</v>
      </c>
      <c r="D484" s="2">
        <v>45245</v>
      </c>
      <c r="E484" s="1" t="s">
        <v>40</v>
      </c>
      <c r="F484" s="1" t="s">
        <v>54</v>
      </c>
      <c r="G484" s="1" t="s">
        <v>24</v>
      </c>
      <c r="H484" s="1" t="s">
        <v>18</v>
      </c>
      <c r="I484" s="1" t="s">
        <v>26</v>
      </c>
      <c r="J484" s="1" t="s">
        <v>61</v>
      </c>
      <c r="K484" s="1" t="s">
        <v>28</v>
      </c>
      <c r="L484" s="1">
        <v>3</v>
      </c>
      <c r="M484" s="1">
        <v>578.15</v>
      </c>
      <c r="N484" s="1">
        <v>0</v>
      </c>
      <c r="O484" s="1">
        <v>1734.45</v>
      </c>
      <c r="P484" s="1">
        <f t="shared" si="36"/>
        <v>1734.4499999999998</v>
      </c>
      <c r="Q484" s="10">
        <f t="shared" si="37"/>
        <v>0</v>
      </c>
      <c r="R484" s="11">
        <f t="shared" si="38"/>
        <v>1734.4499999999998</v>
      </c>
      <c r="S484" s="1" t="str">
        <f t="shared" si="39"/>
        <v>Low</v>
      </c>
      <c r="T484" s="1" t="str" cm="1">
        <f t="array" ref="T484">_xlfn.IFS(L484&gt;5,"High",L484=5,"mediam",L484&lt;5,"low")</f>
        <v>low</v>
      </c>
      <c r="U484" s="1" t="b">
        <f t="shared" si="40"/>
        <v>0</v>
      </c>
    </row>
    <row r="485" spans="1:21" x14ac:dyDescent="0.3">
      <c r="A485" s="5">
        <v>10484</v>
      </c>
      <c r="B485" s="1">
        <v>1699</v>
      </c>
      <c r="C485" s="2">
        <v>45043</v>
      </c>
      <c r="D485" s="2">
        <v>45048</v>
      </c>
      <c r="E485" s="1" t="s">
        <v>40</v>
      </c>
      <c r="F485" s="1" t="s">
        <v>54</v>
      </c>
      <c r="G485" s="1" t="s">
        <v>30</v>
      </c>
      <c r="H485" s="1" t="s">
        <v>42</v>
      </c>
      <c r="I485" s="1" t="s">
        <v>31</v>
      </c>
      <c r="J485" s="1" t="s">
        <v>65</v>
      </c>
      <c r="K485" s="1" t="s">
        <v>21</v>
      </c>
      <c r="L485" s="1">
        <v>8</v>
      </c>
      <c r="M485" s="1">
        <v>3492.45</v>
      </c>
      <c r="N485" s="1">
        <v>5</v>
      </c>
      <c r="O485" s="1">
        <v>26542.62</v>
      </c>
      <c r="P485" s="1">
        <f t="shared" si="36"/>
        <v>27939.599999999999</v>
      </c>
      <c r="Q485" s="10">
        <f t="shared" si="37"/>
        <v>1327.1310000000001</v>
      </c>
      <c r="R485" s="11">
        <f t="shared" si="38"/>
        <v>26612.468999999997</v>
      </c>
      <c r="S485" s="1" t="str">
        <f t="shared" si="39"/>
        <v>High</v>
      </c>
      <c r="T485" s="1" t="str" cm="1">
        <f t="array" ref="T485">_xlfn.IFS(L485&gt;5,"High",L485=5,"mediam",L485&lt;5,"low")</f>
        <v>High</v>
      </c>
      <c r="U485" s="1" t="str">
        <f t="shared" si="40"/>
        <v>High</v>
      </c>
    </row>
    <row r="486" spans="1:21" x14ac:dyDescent="0.3">
      <c r="A486" s="5">
        <v>10485</v>
      </c>
      <c r="B486" s="1">
        <v>1992</v>
      </c>
      <c r="C486" s="2">
        <v>45228</v>
      </c>
      <c r="D486" s="2">
        <v>45237</v>
      </c>
      <c r="E486" s="1" t="s">
        <v>16</v>
      </c>
      <c r="F486" s="1" t="s">
        <v>16</v>
      </c>
      <c r="G486" s="1" t="s">
        <v>17</v>
      </c>
      <c r="H486" s="1" t="s">
        <v>42</v>
      </c>
      <c r="I486" s="1" t="s">
        <v>19</v>
      </c>
      <c r="J486" s="1" t="s">
        <v>43</v>
      </c>
      <c r="K486" s="1" t="s">
        <v>45</v>
      </c>
      <c r="L486" s="1">
        <v>2</v>
      </c>
      <c r="M486" s="1">
        <v>1294.8399999999999</v>
      </c>
      <c r="N486" s="1">
        <v>15</v>
      </c>
      <c r="O486" s="1">
        <v>2201.23</v>
      </c>
      <c r="P486" s="1">
        <f t="shared" si="36"/>
        <v>2589.6799999999998</v>
      </c>
      <c r="Q486" s="10">
        <f t="shared" si="37"/>
        <v>330.18450000000001</v>
      </c>
      <c r="R486" s="11">
        <f t="shared" si="38"/>
        <v>2259.4955</v>
      </c>
      <c r="S486" s="1" t="str">
        <f t="shared" si="39"/>
        <v>Low</v>
      </c>
      <c r="T486" s="1" t="str" cm="1">
        <f t="array" ref="T486">_xlfn.IFS(L486&gt;5,"High",L486=5,"mediam",L486&lt;5,"low")</f>
        <v>low</v>
      </c>
      <c r="U486" s="1" t="b">
        <f t="shared" si="40"/>
        <v>0</v>
      </c>
    </row>
    <row r="487" spans="1:21" x14ac:dyDescent="0.3">
      <c r="A487" s="5">
        <v>10486</v>
      </c>
      <c r="B487" s="1">
        <v>1115</v>
      </c>
      <c r="C487" s="2">
        <v>45068</v>
      </c>
      <c r="D487" s="2">
        <v>45077</v>
      </c>
      <c r="E487" s="1" t="s">
        <v>16</v>
      </c>
      <c r="F487" s="1" t="s">
        <v>41</v>
      </c>
      <c r="G487" s="1" t="s">
        <v>24</v>
      </c>
      <c r="H487" s="1" t="s">
        <v>42</v>
      </c>
      <c r="I487" s="1" t="s">
        <v>49</v>
      </c>
      <c r="J487" s="1" t="s">
        <v>63</v>
      </c>
      <c r="K487" s="1" t="s">
        <v>33</v>
      </c>
      <c r="L487" s="1">
        <v>9</v>
      </c>
      <c r="M487" s="1">
        <v>775.77</v>
      </c>
      <c r="N487" s="1">
        <v>0</v>
      </c>
      <c r="O487" s="1">
        <v>6981.93</v>
      </c>
      <c r="P487" s="1">
        <f t="shared" si="36"/>
        <v>6981.93</v>
      </c>
      <c r="Q487" s="10">
        <f t="shared" si="37"/>
        <v>0</v>
      </c>
      <c r="R487" s="11">
        <f t="shared" si="38"/>
        <v>6981.93</v>
      </c>
      <c r="S487" s="1" t="str">
        <f t="shared" si="39"/>
        <v>High</v>
      </c>
      <c r="T487" s="1" t="str" cm="1">
        <f t="array" ref="T487">_xlfn.IFS(L487&gt;5,"High",L487=5,"mediam",L487&lt;5,"low")</f>
        <v>High</v>
      </c>
      <c r="U487" s="1" t="str">
        <f t="shared" si="40"/>
        <v>High</v>
      </c>
    </row>
    <row r="488" spans="1:21" x14ac:dyDescent="0.3">
      <c r="A488" s="5">
        <v>10487</v>
      </c>
      <c r="B488" s="1">
        <v>1190</v>
      </c>
      <c r="C488" s="2">
        <v>44965</v>
      </c>
      <c r="D488" s="2">
        <v>44966</v>
      </c>
      <c r="E488" s="1" t="s">
        <v>40</v>
      </c>
      <c r="F488" s="1" t="s">
        <v>16</v>
      </c>
      <c r="G488" s="1" t="s">
        <v>30</v>
      </c>
      <c r="H488" s="1" t="s">
        <v>25</v>
      </c>
      <c r="I488" s="1" t="s">
        <v>52</v>
      </c>
      <c r="J488" s="1" t="s">
        <v>53</v>
      </c>
      <c r="K488" s="1" t="s">
        <v>21</v>
      </c>
      <c r="L488" s="1">
        <v>4</v>
      </c>
      <c r="M488" s="1">
        <v>2751.14</v>
      </c>
      <c r="N488" s="1">
        <v>20</v>
      </c>
      <c r="O488" s="1">
        <v>8803.65</v>
      </c>
      <c r="P488" s="1">
        <f t="shared" si="36"/>
        <v>11004.56</v>
      </c>
      <c r="Q488" s="10">
        <f t="shared" si="37"/>
        <v>1760.73</v>
      </c>
      <c r="R488" s="11">
        <f t="shared" si="38"/>
        <v>9243.83</v>
      </c>
      <c r="S488" s="1" t="str">
        <f t="shared" si="39"/>
        <v>Low</v>
      </c>
      <c r="T488" s="1" t="str" cm="1">
        <f t="array" ref="T488">_xlfn.IFS(L488&gt;5,"High",L488=5,"mediam",L488&lt;5,"low")</f>
        <v>low</v>
      </c>
      <c r="U488" s="1" t="b">
        <f t="shared" si="40"/>
        <v>0</v>
      </c>
    </row>
    <row r="489" spans="1:21" x14ac:dyDescent="0.3">
      <c r="A489" s="5">
        <v>10488</v>
      </c>
      <c r="B489" s="1">
        <v>1252</v>
      </c>
      <c r="C489" s="2">
        <v>45281</v>
      </c>
      <c r="D489" s="2">
        <v>45284</v>
      </c>
      <c r="E489" s="1" t="s">
        <v>46</v>
      </c>
      <c r="F489" s="1" t="s">
        <v>16</v>
      </c>
      <c r="G489" s="1" t="s">
        <v>24</v>
      </c>
      <c r="H489" s="1" t="s">
        <v>44</v>
      </c>
      <c r="I489" s="1" t="s">
        <v>52</v>
      </c>
      <c r="J489" s="1" t="s">
        <v>60</v>
      </c>
      <c r="K489" s="1" t="s">
        <v>33</v>
      </c>
      <c r="L489" s="1">
        <v>1</v>
      </c>
      <c r="M489" s="1">
        <v>296.63</v>
      </c>
      <c r="N489" s="1">
        <v>5</v>
      </c>
      <c r="O489" s="1">
        <v>281.8</v>
      </c>
      <c r="P489" s="1">
        <f t="shared" si="36"/>
        <v>296.63</v>
      </c>
      <c r="Q489" s="10">
        <f t="shared" si="37"/>
        <v>14.090000000000002</v>
      </c>
      <c r="R489" s="11">
        <f t="shared" si="38"/>
        <v>282.54000000000002</v>
      </c>
      <c r="S489" s="1" t="str">
        <f t="shared" si="39"/>
        <v>Low</v>
      </c>
      <c r="T489" s="1" t="str" cm="1">
        <f t="array" ref="T489">_xlfn.IFS(L489&gt;5,"High",L489=5,"mediam",L489&lt;5,"low")</f>
        <v>low</v>
      </c>
      <c r="U489" s="1" t="b">
        <f t="shared" si="40"/>
        <v>0</v>
      </c>
    </row>
    <row r="490" spans="1:21" x14ac:dyDescent="0.3">
      <c r="A490" s="5">
        <v>10489</v>
      </c>
      <c r="B490" s="1">
        <v>1980</v>
      </c>
      <c r="C490" s="2">
        <v>45178</v>
      </c>
      <c r="D490" s="2">
        <v>45187</v>
      </c>
      <c r="E490" s="1" t="s">
        <v>34</v>
      </c>
      <c r="F490" s="1" t="s">
        <v>23</v>
      </c>
      <c r="G490" s="1" t="s">
        <v>24</v>
      </c>
      <c r="H490" s="1" t="s">
        <v>18</v>
      </c>
      <c r="I490" s="1" t="s">
        <v>57</v>
      </c>
      <c r="J490" s="1" t="s">
        <v>62</v>
      </c>
      <c r="K490" s="1" t="s">
        <v>33</v>
      </c>
      <c r="L490" s="1">
        <v>8</v>
      </c>
      <c r="M490" s="1">
        <v>2536.88</v>
      </c>
      <c r="N490" s="1">
        <v>5</v>
      </c>
      <c r="O490" s="1">
        <v>19280.29</v>
      </c>
      <c r="P490" s="1">
        <f t="shared" si="36"/>
        <v>20295.04</v>
      </c>
      <c r="Q490" s="10">
        <f t="shared" si="37"/>
        <v>964.01450000000011</v>
      </c>
      <c r="R490" s="11">
        <f t="shared" si="38"/>
        <v>19331.0255</v>
      </c>
      <c r="S490" s="1" t="str">
        <f t="shared" si="39"/>
        <v>High</v>
      </c>
      <c r="T490" s="1" t="str" cm="1">
        <f t="array" ref="T490">_xlfn.IFS(L490&gt;5,"High",L490=5,"mediam",L490&lt;5,"low")</f>
        <v>High</v>
      </c>
      <c r="U490" s="1" t="str">
        <f t="shared" si="40"/>
        <v>High</v>
      </c>
    </row>
    <row r="491" spans="1:21" x14ac:dyDescent="0.3">
      <c r="A491" s="5">
        <v>10490</v>
      </c>
      <c r="B491" s="1">
        <v>1927</v>
      </c>
      <c r="C491" s="2">
        <v>45259</v>
      </c>
      <c r="D491" s="2">
        <v>45261</v>
      </c>
      <c r="E491" s="1" t="s">
        <v>15</v>
      </c>
      <c r="F491" s="1" t="s">
        <v>29</v>
      </c>
      <c r="G491" s="1" t="s">
        <v>17</v>
      </c>
      <c r="H491" s="1" t="s">
        <v>35</v>
      </c>
      <c r="I491" s="1" t="s">
        <v>31</v>
      </c>
      <c r="J491" s="1" t="s">
        <v>32</v>
      </c>
      <c r="K491" s="1" t="s">
        <v>45</v>
      </c>
      <c r="L491" s="1">
        <v>7</v>
      </c>
      <c r="M491" s="1">
        <v>2838.06</v>
      </c>
      <c r="N491" s="1">
        <v>20</v>
      </c>
      <c r="O491" s="1">
        <v>15893.14</v>
      </c>
      <c r="P491" s="1">
        <f t="shared" si="36"/>
        <v>19866.419999999998</v>
      </c>
      <c r="Q491" s="10">
        <f t="shared" si="37"/>
        <v>3178.6280000000002</v>
      </c>
      <c r="R491" s="11">
        <f t="shared" si="38"/>
        <v>16687.791999999998</v>
      </c>
      <c r="S491" s="1" t="str">
        <f t="shared" si="39"/>
        <v>High</v>
      </c>
      <c r="T491" s="1" t="str" cm="1">
        <f t="array" ref="T491">_xlfn.IFS(L491&gt;5,"High",L491=5,"mediam",L491&lt;5,"low")</f>
        <v>High</v>
      </c>
      <c r="U491" s="1" t="str">
        <f t="shared" si="40"/>
        <v>High</v>
      </c>
    </row>
    <row r="492" spans="1:21" x14ac:dyDescent="0.3">
      <c r="A492" s="5">
        <v>10491</v>
      </c>
      <c r="B492" s="1">
        <v>1982</v>
      </c>
      <c r="C492" s="2">
        <v>45133</v>
      </c>
      <c r="D492" s="2">
        <v>45137</v>
      </c>
      <c r="E492" s="1" t="s">
        <v>16</v>
      </c>
      <c r="F492" s="1" t="s">
        <v>29</v>
      </c>
      <c r="G492" s="1" t="s">
        <v>17</v>
      </c>
      <c r="H492" s="1" t="s">
        <v>44</v>
      </c>
      <c r="I492" s="1" t="s">
        <v>49</v>
      </c>
      <c r="J492" s="1" t="s">
        <v>63</v>
      </c>
      <c r="K492" s="1" t="s">
        <v>28</v>
      </c>
      <c r="L492" s="1">
        <v>5</v>
      </c>
      <c r="M492" s="1">
        <v>977.43</v>
      </c>
      <c r="N492" s="1">
        <v>20</v>
      </c>
      <c r="O492" s="1">
        <v>3909.72</v>
      </c>
      <c r="P492" s="1">
        <f t="shared" si="36"/>
        <v>4887.1499999999996</v>
      </c>
      <c r="Q492" s="10">
        <f t="shared" si="37"/>
        <v>781.94399999999996</v>
      </c>
      <c r="R492" s="11">
        <f t="shared" si="38"/>
        <v>4105.2060000000001</v>
      </c>
      <c r="S492" s="1" t="str">
        <f t="shared" si="39"/>
        <v>High</v>
      </c>
      <c r="T492" s="1" t="str" cm="1">
        <f t="array" ref="T492">_xlfn.IFS(L492&gt;5,"High",L492=5,"mediam",L492&lt;5,"low")</f>
        <v>mediam</v>
      </c>
      <c r="U492" s="1" t="b">
        <f t="shared" si="40"/>
        <v>0</v>
      </c>
    </row>
    <row r="493" spans="1:21" x14ac:dyDescent="0.3">
      <c r="A493" s="5">
        <v>10492</v>
      </c>
      <c r="B493" s="1">
        <v>1160</v>
      </c>
      <c r="C493" s="2">
        <v>45136</v>
      </c>
      <c r="D493" s="2">
        <v>45140</v>
      </c>
      <c r="E493" s="1" t="s">
        <v>16</v>
      </c>
      <c r="F493" s="1" t="s">
        <v>38</v>
      </c>
      <c r="G493" s="1" t="s">
        <v>24</v>
      </c>
      <c r="H493" s="1" t="s">
        <v>25</v>
      </c>
      <c r="I493" s="1" t="s">
        <v>31</v>
      </c>
      <c r="J493" s="1" t="s">
        <v>32</v>
      </c>
      <c r="K493" s="1" t="s">
        <v>47</v>
      </c>
      <c r="L493" s="1">
        <v>5</v>
      </c>
      <c r="M493" s="1">
        <v>311.56</v>
      </c>
      <c r="N493" s="1">
        <v>0</v>
      </c>
      <c r="O493" s="1">
        <v>1557.8</v>
      </c>
      <c r="P493" s="1">
        <f t="shared" si="36"/>
        <v>1557.8</v>
      </c>
      <c r="Q493" s="10">
        <f t="shared" si="37"/>
        <v>0</v>
      </c>
      <c r="R493" s="11">
        <f t="shared" si="38"/>
        <v>1557.8</v>
      </c>
      <c r="S493" s="1" t="str">
        <f t="shared" si="39"/>
        <v>High</v>
      </c>
      <c r="T493" s="1" t="str" cm="1">
        <f t="array" ref="T493">_xlfn.IFS(L493&gt;5,"High",L493=5,"mediam",L493&lt;5,"low")</f>
        <v>mediam</v>
      </c>
      <c r="U493" s="1" t="b">
        <f t="shared" si="40"/>
        <v>0</v>
      </c>
    </row>
    <row r="494" spans="1:21" x14ac:dyDescent="0.3">
      <c r="A494" s="5">
        <v>10493</v>
      </c>
      <c r="B494" s="1">
        <v>1255</v>
      </c>
      <c r="C494" s="2">
        <v>45041</v>
      </c>
      <c r="D494" s="2">
        <v>45043</v>
      </c>
      <c r="E494" s="1" t="s">
        <v>40</v>
      </c>
      <c r="F494" s="1" t="s">
        <v>16</v>
      </c>
      <c r="G494" s="1" t="s">
        <v>24</v>
      </c>
      <c r="H494" s="1" t="s">
        <v>44</v>
      </c>
      <c r="I494" s="1" t="s">
        <v>49</v>
      </c>
      <c r="J494" s="1" t="s">
        <v>68</v>
      </c>
      <c r="K494" s="1" t="s">
        <v>28</v>
      </c>
      <c r="L494" s="1">
        <v>7</v>
      </c>
      <c r="M494" s="1">
        <v>1550.03</v>
      </c>
      <c r="N494" s="1">
        <v>10</v>
      </c>
      <c r="O494" s="1">
        <v>9765.19</v>
      </c>
      <c r="P494" s="1">
        <f t="shared" si="36"/>
        <v>10850.21</v>
      </c>
      <c r="Q494" s="10">
        <f t="shared" si="37"/>
        <v>976.51900000000012</v>
      </c>
      <c r="R494" s="11">
        <f t="shared" si="38"/>
        <v>9873.6909999999989</v>
      </c>
      <c r="S494" s="1" t="str">
        <f t="shared" si="39"/>
        <v>High</v>
      </c>
      <c r="T494" s="1" t="str" cm="1">
        <f t="array" ref="T494">_xlfn.IFS(L494&gt;5,"High",L494=5,"mediam",L494&lt;5,"low")</f>
        <v>High</v>
      </c>
      <c r="U494" s="1" t="str">
        <f t="shared" si="40"/>
        <v>High</v>
      </c>
    </row>
    <row r="495" spans="1:21" x14ac:dyDescent="0.3">
      <c r="A495" s="5">
        <v>10494</v>
      </c>
      <c r="B495" s="1">
        <v>1322</v>
      </c>
      <c r="C495" s="2">
        <v>45151</v>
      </c>
      <c r="D495" s="2">
        <v>45154</v>
      </c>
      <c r="E495" s="1" t="s">
        <v>37</v>
      </c>
      <c r="F495" s="1" t="s">
        <v>41</v>
      </c>
      <c r="G495" s="1" t="s">
        <v>17</v>
      </c>
      <c r="H495" s="1" t="s">
        <v>44</v>
      </c>
      <c r="I495" s="1" t="s">
        <v>57</v>
      </c>
      <c r="J495" s="1" t="s">
        <v>67</v>
      </c>
      <c r="K495" s="1" t="s">
        <v>45</v>
      </c>
      <c r="L495" s="1">
        <v>5</v>
      </c>
      <c r="M495" s="1">
        <v>529.59</v>
      </c>
      <c r="N495" s="1">
        <v>5</v>
      </c>
      <c r="O495" s="1">
        <v>2515.5500000000002</v>
      </c>
      <c r="P495" s="1">
        <f t="shared" si="36"/>
        <v>2647.9500000000003</v>
      </c>
      <c r="Q495" s="10">
        <f t="shared" si="37"/>
        <v>125.77750000000002</v>
      </c>
      <c r="R495" s="11">
        <f t="shared" si="38"/>
        <v>2522.1725000000001</v>
      </c>
      <c r="S495" s="1" t="str">
        <f t="shared" si="39"/>
        <v>High</v>
      </c>
      <c r="T495" s="1" t="str" cm="1">
        <f t="array" ref="T495">_xlfn.IFS(L495&gt;5,"High",L495=5,"mediam",L495&lt;5,"low")</f>
        <v>mediam</v>
      </c>
      <c r="U495" s="1" t="b">
        <f t="shared" si="40"/>
        <v>0</v>
      </c>
    </row>
    <row r="496" spans="1:21" x14ac:dyDescent="0.3">
      <c r="A496" s="5">
        <v>10495</v>
      </c>
      <c r="B496" s="1">
        <v>1127</v>
      </c>
      <c r="C496" s="2">
        <v>45060</v>
      </c>
      <c r="D496" s="2">
        <v>45063</v>
      </c>
      <c r="E496" s="1" t="s">
        <v>15</v>
      </c>
      <c r="F496" s="1" t="s">
        <v>23</v>
      </c>
      <c r="G496" s="1" t="s">
        <v>30</v>
      </c>
      <c r="H496" s="1" t="s">
        <v>25</v>
      </c>
      <c r="I496" s="1" t="s">
        <v>57</v>
      </c>
      <c r="J496" s="1" t="s">
        <v>59</v>
      </c>
      <c r="K496" s="1" t="s">
        <v>45</v>
      </c>
      <c r="L496" s="1">
        <v>8</v>
      </c>
      <c r="M496" s="1">
        <v>598.44000000000005</v>
      </c>
      <c r="N496" s="1">
        <v>0</v>
      </c>
      <c r="O496" s="1">
        <v>4787.5200000000004</v>
      </c>
      <c r="P496" s="1">
        <f t="shared" si="36"/>
        <v>4787.5200000000004</v>
      </c>
      <c r="Q496" s="10">
        <f t="shared" si="37"/>
        <v>0</v>
      </c>
      <c r="R496" s="11">
        <f t="shared" si="38"/>
        <v>4787.5200000000004</v>
      </c>
      <c r="S496" s="1" t="str">
        <f t="shared" si="39"/>
        <v>High</v>
      </c>
      <c r="T496" s="1" t="str" cm="1">
        <f t="array" ref="T496">_xlfn.IFS(L496&gt;5,"High",L496=5,"mediam",L496&lt;5,"low")</f>
        <v>High</v>
      </c>
      <c r="U496" s="1" t="str">
        <f t="shared" si="40"/>
        <v>High</v>
      </c>
    </row>
    <row r="497" spans="1:21" x14ac:dyDescent="0.3">
      <c r="A497" s="5">
        <v>10496</v>
      </c>
      <c r="B497" s="1">
        <v>1017</v>
      </c>
      <c r="C497" s="2">
        <v>45177</v>
      </c>
      <c r="D497" s="2">
        <v>45178</v>
      </c>
      <c r="E497" s="1" t="s">
        <v>15</v>
      </c>
      <c r="F497" s="1" t="s">
        <v>23</v>
      </c>
      <c r="G497" s="1" t="s">
        <v>17</v>
      </c>
      <c r="H497" s="1" t="s">
        <v>42</v>
      </c>
      <c r="I497" s="1" t="s">
        <v>52</v>
      </c>
      <c r="J497" s="1" t="s">
        <v>60</v>
      </c>
      <c r="K497" s="1" t="s">
        <v>45</v>
      </c>
      <c r="L497" s="1">
        <v>6</v>
      </c>
      <c r="M497" s="1">
        <v>1128.9100000000001</v>
      </c>
      <c r="N497" s="1">
        <v>20</v>
      </c>
      <c r="O497" s="1">
        <v>5418.77</v>
      </c>
      <c r="P497" s="1">
        <f t="shared" si="36"/>
        <v>6773.4600000000009</v>
      </c>
      <c r="Q497" s="10">
        <f t="shared" si="37"/>
        <v>1083.7540000000001</v>
      </c>
      <c r="R497" s="11">
        <f t="shared" si="38"/>
        <v>5689.706000000001</v>
      </c>
      <c r="S497" s="1" t="str">
        <f t="shared" si="39"/>
        <v>High</v>
      </c>
      <c r="T497" s="1" t="str" cm="1">
        <f t="array" ref="T497">_xlfn.IFS(L497&gt;5,"High",L497=5,"mediam",L497&lt;5,"low")</f>
        <v>High</v>
      </c>
      <c r="U497" s="1" t="str">
        <f t="shared" si="40"/>
        <v>High</v>
      </c>
    </row>
    <row r="498" spans="1:21" x14ac:dyDescent="0.3">
      <c r="A498" s="5">
        <v>10497</v>
      </c>
      <c r="B498" s="1">
        <v>1792</v>
      </c>
      <c r="C498" s="2">
        <v>45145</v>
      </c>
      <c r="D498" s="2">
        <v>45151</v>
      </c>
      <c r="E498" s="1" t="s">
        <v>16</v>
      </c>
      <c r="F498" s="1" t="s">
        <v>29</v>
      </c>
      <c r="G498" s="1" t="s">
        <v>24</v>
      </c>
      <c r="H498" s="1" t="s">
        <v>42</v>
      </c>
      <c r="I498" s="1" t="s">
        <v>31</v>
      </c>
      <c r="J498" s="1" t="s">
        <v>39</v>
      </c>
      <c r="K498" s="1" t="s">
        <v>21</v>
      </c>
      <c r="L498" s="1">
        <v>5</v>
      </c>
      <c r="M498" s="1">
        <v>1287.55</v>
      </c>
      <c r="N498" s="1">
        <v>0</v>
      </c>
      <c r="O498" s="1">
        <v>6437.75</v>
      </c>
      <c r="P498" s="1">
        <f t="shared" si="36"/>
        <v>6437.75</v>
      </c>
      <c r="Q498" s="10">
        <f t="shared" si="37"/>
        <v>0</v>
      </c>
      <c r="R498" s="11">
        <f t="shared" si="38"/>
        <v>6437.75</v>
      </c>
      <c r="S498" s="1" t="str">
        <f t="shared" si="39"/>
        <v>High</v>
      </c>
      <c r="T498" s="1" t="str" cm="1">
        <f t="array" ref="T498">_xlfn.IFS(L498&gt;5,"High",L498=5,"mediam",L498&lt;5,"low")</f>
        <v>mediam</v>
      </c>
      <c r="U498" s="1" t="b">
        <f t="shared" si="40"/>
        <v>0</v>
      </c>
    </row>
    <row r="499" spans="1:21" x14ac:dyDescent="0.3">
      <c r="A499" s="5">
        <v>10498</v>
      </c>
      <c r="B499" s="1">
        <v>1734</v>
      </c>
      <c r="C499" s="2">
        <v>45017</v>
      </c>
      <c r="D499" s="2">
        <v>45025</v>
      </c>
      <c r="E499" s="1" t="s">
        <v>46</v>
      </c>
      <c r="F499" s="1" t="s">
        <v>16</v>
      </c>
      <c r="G499" s="1" t="s">
        <v>30</v>
      </c>
      <c r="H499" s="1" t="s">
        <v>18</v>
      </c>
      <c r="I499" s="1" t="s">
        <v>26</v>
      </c>
      <c r="J499" s="1" t="s">
        <v>36</v>
      </c>
      <c r="K499" s="1" t="s">
        <v>28</v>
      </c>
      <c r="L499" s="1">
        <v>9</v>
      </c>
      <c r="M499" s="1">
        <v>2190.39</v>
      </c>
      <c r="N499" s="1">
        <v>20</v>
      </c>
      <c r="O499" s="1">
        <v>15770.81</v>
      </c>
      <c r="P499" s="1">
        <f t="shared" si="36"/>
        <v>19713.509999999998</v>
      </c>
      <c r="Q499" s="10">
        <f t="shared" si="37"/>
        <v>3154.1620000000003</v>
      </c>
      <c r="R499" s="11">
        <f t="shared" si="38"/>
        <v>16559.347999999998</v>
      </c>
      <c r="S499" s="1" t="str">
        <f t="shared" si="39"/>
        <v>High</v>
      </c>
      <c r="T499" s="1" t="str" cm="1">
        <f t="array" ref="T499">_xlfn.IFS(L499&gt;5,"High",L499=5,"mediam",L499&lt;5,"low")</f>
        <v>High</v>
      </c>
      <c r="U499" s="1" t="str">
        <f t="shared" si="40"/>
        <v>High</v>
      </c>
    </row>
    <row r="500" spans="1:21" x14ac:dyDescent="0.3">
      <c r="A500" s="5">
        <v>10499</v>
      </c>
      <c r="B500" s="1">
        <v>1565</v>
      </c>
      <c r="C500" s="2">
        <v>45280</v>
      </c>
      <c r="D500" s="2">
        <v>45283</v>
      </c>
      <c r="E500" s="1" t="s">
        <v>37</v>
      </c>
      <c r="F500" s="1" t="s">
        <v>38</v>
      </c>
      <c r="G500" s="1" t="s">
        <v>24</v>
      </c>
      <c r="H500" s="1" t="s">
        <v>18</v>
      </c>
      <c r="I500" s="1" t="s">
        <v>52</v>
      </c>
      <c r="J500" s="1" t="s">
        <v>60</v>
      </c>
      <c r="K500" s="1" t="s">
        <v>28</v>
      </c>
      <c r="L500" s="1">
        <v>2</v>
      </c>
      <c r="M500" s="1">
        <v>2761.81</v>
      </c>
      <c r="N500" s="1">
        <v>15</v>
      </c>
      <c r="O500" s="1">
        <v>4695.08</v>
      </c>
      <c r="P500" s="1">
        <f t="shared" si="36"/>
        <v>5523.62</v>
      </c>
      <c r="Q500" s="10">
        <f t="shared" si="37"/>
        <v>704.26199999999994</v>
      </c>
      <c r="R500" s="11">
        <f t="shared" si="38"/>
        <v>4819.3580000000002</v>
      </c>
      <c r="S500" s="1" t="str">
        <f t="shared" si="39"/>
        <v>Low</v>
      </c>
      <c r="T500" s="1" t="str" cm="1">
        <f t="array" ref="T500">_xlfn.IFS(L500&gt;5,"High",L500=5,"mediam",L500&lt;5,"low")</f>
        <v>low</v>
      </c>
      <c r="U500" s="1" t="b">
        <f t="shared" si="40"/>
        <v>0</v>
      </c>
    </row>
    <row r="501" spans="1:21" x14ac:dyDescent="0.3">
      <c r="A501" s="5">
        <v>10500</v>
      </c>
      <c r="B501" s="1">
        <v>1569</v>
      </c>
      <c r="C501" s="2">
        <v>44972</v>
      </c>
      <c r="D501" s="2">
        <v>44977</v>
      </c>
      <c r="E501" s="1" t="s">
        <v>15</v>
      </c>
      <c r="F501" s="1" t="s">
        <v>16</v>
      </c>
      <c r="G501" s="1" t="s">
        <v>30</v>
      </c>
      <c r="H501" s="1" t="s">
        <v>42</v>
      </c>
      <c r="I501" s="1" t="s">
        <v>31</v>
      </c>
      <c r="J501" s="1" t="s">
        <v>65</v>
      </c>
      <c r="K501" s="1" t="s">
        <v>33</v>
      </c>
      <c r="L501" s="1">
        <v>1</v>
      </c>
      <c r="M501" s="1">
        <v>2432.17</v>
      </c>
      <c r="N501" s="1">
        <v>20</v>
      </c>
      <c r="O501" s="1">
        <v>1945.74</v>
      </c>
      <c r="P501" s="1">
        <f>L501*M501</f>
        <v>2432.17</v>
      </c>
      <c r="Q501" s="10">
        <f t="shared" si="37"/>
        <v>389.14800000000002</v>
      </c>
      <c r="R501" s="11">
        <f t="shared" si="38"/>
        <v>2043.0219999999999</v>
      </c>
      <c r="S501" s="1" t="str">
        <f t="shared" si="39"/>
        <v>Low</v>
      </c>
      <c r="T501" s="1" t="str" cm="1">
        <f t="array" ref="T501">_xlfn.IFS(L501&gt;5,"High",L501=5,"mediam",L501&lt;5,"low")</f>
        <v>low</v>
      </c>
      <c r="U501" s="1" t="b">
        <f t="shared" si="40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04EE9-CA8D-4133-8800-A74D5D341DA1}">
  <dimension ref="A1:AZ501"/>
  <sheetViews>
    <sheetView topLeftCell="U1" zoomScale="64" workbookViewId="0">
      <selection activeCell="AQ78" sqref="AQ78"/>
    </sheetView>
  </sheetViews>
  <sheetFormatPr defaultRowHeight="14.4" x14ac:dyDescent="0.3"/>
  <cols>
    <col min="1" max="1" width="8" bestFit="1" customWidth="1"/>
    <col min="2" max="2" width="11.33203125" bestFit="1" customWidth="1"/>
    <col min="3" max="4" width="10.33203125" bestFit="1" customWidth="1"/>
    <col min="5" max="5" width="9.77734375" bestFit="1" customWidth="1"/>
    <col min="6" max="6" width="11.44140625" bestFit="1" customWidth="1"/>
    <col min="7" max="7" width="12.5546875" bestFit="1" customWidth="1"/>
    <col min="8" max="8" width="15.88671875" bestFit="1" customWidth="1"/>
    <col min="9" max="9" width="15.77734375" bestFit="1" customWidth="1"/>
    <col min="10" max="10" width="13.21875" bestFit="1" customWidth="1"/>
    <col min="11" max="11" width="7" bestFit="1" customWidth="1"/>
    <col min="12" max="12" width="9.44140625" bestFit="1" customWidth="1"/>
    <col min="13" max="13" width="9.109375" bestFit="1" customWidth="1"/>
    <col min="14" max="14" width="10.21875" bestFit="1" customWidth="1"/>
    <col min="15" max="15" width="9" bestFit="1" customWidth="1"/>
    <col min="16" max="16" width="9.77734375" bestFit="1" customWidth="1"/>
    <col min="17" max="17" width="15.77734375" bestFit="1" customWidth="1"/>
    <col min="18" max="18" width="18.21875" bestFit="1" customWidth="1"/>
    <col min="19" max="19" width="4.5546875" bestFit="1" customWidth="1"/>
    <col min="20" max="20" width="10.77734375" bestFit="1" customWidth="1"/>
    <col min="21" max="21" width="11" bestFit="1" customWidth="1"/>
    <col min="24" max="24" width="17.5546875" customWidth="1"/>
    <col min="26" max="26" width="10.88671875" customWidth="1"/>
    <col min="27" max="27" width="11.33203125" customWidth="1"/>
    <col min="30" max="30" width="15.33203125" customWidth="1"/>
    <col min="31" max="31" width="12.33203125" customWidth="1"/>
    <col min="32" max="32" width="8" bestFit="1" customWidth="1"/>
    <col min="33" max="33" width="11.33203125" bestFit="1" customWidth="1"/>
    <col min="34" max="35" width="10.33203125" bestFit="1" customWidth="1"/>
    <col min="36" max="36" width="9.77734375" bestFit="1" customWidth="1"/>
    <col min="37" max="37" width="11.44140625" bestFit="1" customWidth="1"/>
    <col min="38" max="38" width="12.5546875" bestFit="1" customWidth="1"/>
    <col min="39" max="39" width="15.88671875" bestFit="1" customWidth="1"/>
    <col min="40" max="40" width="15.77734375" bestFit="1" customWidth="1"/>
    <col min="41" max="41" width="13.21875" bestFit="1" customWidth="1"/>
    <col min="42" max="42" width="7" bestFit="1" customWidth="1"/>
    <col min="43" max="43" width="9.44140625" bestFit="1" customWidth="1"/>
    <col min="44" max="44" width="9.109375" bestFit="1" customWidth="1"/>
    <col min="45" max="45" width="10.21875" bestFit="1" customWidth="1"/>
    <col min="46" max="46" width="9" bestFit="1" customWidth="1"/>
    <col min="47" max="47" width="9.77734375" bestFit="1" customWidth="1"/>
    <col min="48" max="48" width="15.77734375" bestFit="1" customWidth="1"/>
    <col min="49" max="49" width="18.21875" bestFit="1" customWidth="1"/>
    <col min="50" max="50" width="9.5546875" bestFit="1" customWidth="1"/>
    <col min="51" max="51" width="10.77734375" bestFit="1" customWidth="1"/>
    <col min="52" max="52" width="11" bestFit="1" customWidth="1"/>
  </cols>
  <sheetData>
    <row r="1" spans="1:44" x14ac:dyDescent="0.3">
      <c r="A1" s="4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7" t="s">
        <v>70</v>
      </c>
      <c r="Q1" s="8" t="s">
        <v>72</v>
      </c>
      <c r="R1" s="8" t="s">
        <v>71</v>
      </c>
      <c r="S1" s="12" t="s">
        <v>73</v>
      </c>
      <c r="T1" s="12" t="s">
        <v>74</v>
      </c>
      <c r="U1" s="12" t="s">
        <v>75</v>
      </c>
      <c r="W1" s="3" t="s">
        <v>4</v>
      </c>
      <c r="X1" s="3" t="s">
        <v>7</v>
      </c>
    </row>
    <row r="2" spans="1:44" x14ac:dyDescent="0.3">
      <c r="A2" s="5">
        <v>10001</v>
      </c>
      <c r="B2" s="1">
        <v>1102</v>
      </c>
      <c r="C2" s="2">
        <v>45197</v>
      </c>
      <c r="D2" s="2">
        <v>45203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  <c r="L2" s="1">
        <v>7</v>
      </c>
      <c r="M2" s="1">
        <v>2843.87</v>
      </c>
      <c r="N2" s="1">
        <v>0</v>
      </c>
      <c r="O2" s="1">
        <v>19907.09</v>
      </c>
      <c r="P2" s="1">
        <f>L2*M2</f>
        <v>19907.09</v>
      </c>
      <c r="Q2" s="10">
        <f>O2*N2%</f>
        <v>0</v>
      </c>
      <c r="R2" s="11">
        <f>P2-Q2</f>
        <v>19907.09</v>
      </c>
      <c r="S2" s="1" t="str">
        <f>IF(L2&gt;=5,"High","Low")</f>
        <v>High</v>
      </c>
      <c r="T2" s="1" t="str" cm="1">
        <f t="array" ref="T2">_xlfn.IFS(L2&gt;5,"High",L2=5,"mediam",L2&lt;5,"low")</f>
        <v>High</v>
      </c>
      <c r="U2" s="1" t="str">
        <f>IF(L2&gt;5,"High",IF(L2=V1,"Low"))</f>
        <v>High</v>
      </c>
      <c r="W2" s="1" t="s">
        <v>15</v>
      </c>
      <c r="X2" s="1" t="s">
        <v>35</v>
      </c>
    </row>
    <row r="3" spans="1:44" x14ac:dyDescent="0.3">
      <c r="A3" s="5">
        <v>10002</v>
      </c>
      <c r="B3" s="1">
        <v>1435</v>
      </c>
      <c r="C3" s="2">
        <v>45199</v>
      </c>
      <c r="D3" s="2">
        <v>45203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>
        <v>9</v>
      </c>
      <c r="M3" s="1">
        <v>2525.23</v>
      </c>
      <c r="N3" s="1">
        <v>5</v>
      </c>
      <c r="O3" s="1">
        <v>21590.720000000001</v>
      </c>
      <c r="P3" s="1">
        <f t="shared" ref="P3:P66" si="0">L3*M3</f>
        <v>22727.07</v>
      </c>
      <c r="Q3" s="10">
        <f t="shared" ref="Q3:Q66" si="1">O3*N3%</f>
        <v>1079.5360000000001</v>
      </c>
      <c r="R3" s="11">
        <f t="shared" ref="R3:R66" si="2">P3-Q3</f>
        <v>21647.534</v>
      </c>
      <c r="S3" s="1" t="str">
        <f t="shared" ref="S3:S66" si="3">IF(L3&gt;=5,"High","Low")</f>
        <v>High</v>
      </c>
      <c r="T3" s="1" t="str" cm="1">
        <f t="array" ref="T3">_xlfn.IFS(L3&gt;5,"High",L3=5,"mediam",L3&lt;5,"low")</f>
        <v>High</v>
      </c>
      <c r="U3" s="1" t="str">
        <f t="shared" ref="U3:U7" si="4">IF(L3&gt;5,"High",IF(L3="Mediam","Low"))</f>
        <v>High</v>
      </c>
    </row>
    <row r="4" spans="1:44" x14ac:dyDescent="0.3">
      <c r="A4" s="5">
        <v>10003</v>
      </c>
      <c r="B4" s="1">
        <v>1860</v>
      </c>
      <c r="C4" s="2">
        <v>45109</v>
      </c>
      <c r="D4" s="2">
        <v>45114</v>
      </c>
      <c r="E4" s="1" t="s">
        <v>15</v>
      </c>
      <c r="F4" s="1" t="s">
        <v>29</v>
      </c>
      <c r="G4" s="1" t="s">
        <v>30</v>
      </c>
      <c r="H4" s="1" t="s">
        <v>25</v>
      </c>
      <c r="I4" s="1" t="s">
        <v>31</v>
      </c>
      <c r="J4" s="1" t="s">
        <v>32</v>
      </c>
      <c r="K4" s="1" t="s">
        <v>33</v>
      </c>
      <c r="L4" s="1">
        <v>6</v>
      </c>
      <c r="M4" s="1">
        <v>3474.34</v>
      </c>
      <c r="N4" s="1">
        <v>15</v>
      </c>
      <c r="O4" s="1">
        <v>17719.13</v>
      </c>
      <c r="P4" s="1">
        <f t="shared" si="0"/>
        <v>20846.04</v>
      </c>
      <c r="Q4" s="10">
        <f t="shared" si="1"/>
        <v>2657.8695000000002</v>
      </c>
      <c r="R4" s="11">
        <f t="shared" si="2"/>
        <v>18188.1705</v>
      </c>
      <c r="S4" s="1" t="str">
        <f t="shared" si="3"/>
        <v>High</v>
      </c>
      <c r="T4" s="1" t="str" cm="1">
        <f t="array" ref="T4">_xlfn.IFS(L4&gt;5,"High",L4=5,"mediam",L4&lt;5,"low")</f>
        <v>High</v>
      </c>
      <c r="U4" s="1" t="str">
        <f t="shared" si="4"/>
        <v>High</v>
      </c>
      <c r="X4" s="4" t="s">
        <v>0</v>
      </c>
      <c r="Y4" s="3" t="s">
        <v>1</v>
      </c>
      <c r="Z4" s="3" t="s">
        <v>2</v>
      </c>
      <c r="AA4" s="3" t="s">
        <v>3</v>
      </c>
      <c r="AB4" s="3" t="s">
        <v>4</v>
      </c>
      <c r="AC4" s="3" t="s">
        <v>5</v>
      </c>
      <c r="AD4" s="3" t="s">
        <v>6</v>
      </c>
      <c r="AE4" s="3" t="s">
        <v>7</v>
      </c>
      <c r="AF4" s="3" t="s">
        <v>8</v>
      </c>
      <c r="AG4" s="3" t="s">
        <v>9</v>
      </c>
      <c r="AH4" s="3" t="s">
        <v>10</v>
      </c>
      <c r="AI4" s="3" t="s">
        <v>11</v>
      </c>
      <c r="AJ4" s="3" t="s">
        <v>12</v>
      </c>
      <c r="AK4" s="3" t="s">
        <v>13</v>
      </c>
      <c r="AL4" s="3" t="s">
        <v>14</v>
      </c>
      <c r="AM4" s="7" t="s">
        <v>70</v>
      </c>
      <c r="AN4" s="8" t="s">
        <v>72</v>
      </c>
      <c r="AO4" s="8" t="s">
        <v>71</v>
      </c>
      <c r="AP4" s="12" t="s">
        <v>73</v>
      </c>
      <c r="AQ4" s="12" t="s">
        <v>74</v>
      </c>
      <c r="AR4" s="12" t="s">
        <v>75</v>
      </c>
    </row>
    <row r="5" spans="1:44" x14ac:dyDescent="0.3">
      <c r="A5" s="5">
        <v>10004</v>
      </c>
      <c r="B5" s="1">
        <v>1270</v>
      </c>
      <c r="C5" s="2">
        <v>45079</v>
      </c>
      <c r="D5" s="2">
        <v>45087</v>
      </c>
      <c r="E5" s="1" t="s">
        <v>34</v>
      </c>
      <c r="F5" s="1" t="s">
        <v>29</v>
      </c>
      <c r="G5" s="1" t="s">
        <v>24</v>
      </c>
      <c r="H5" s="1" t="s">
        <v>35</v>
      </c>
      <c r="I5" s="1" t="s">
        <v>26</v>
      </c>
      <c r="J5" s="1" t="s">
        <v>36</v>
      </c>
      <c r="K5" s="1" t="s">
        <v>21</v>
      </c>
      <c r="L5" s="1">
        <v>1</v>
      </c>
      <c r="M5" s="1">
        <v>1008.79</v>
      </c>
      <c r="N5" s="1">
        <v>15</v>
      </c>
      <c r="O5" s="1">
        <v>857.47</v>
      </c>
      <c r="P5" s="1">
        <f t="shared" si="0"/>
        <v>1008.79</v>
      </c>
      <c r="Q5" s="10">
        <f t="shared" si="1"/>
        <v>128.62049999999999</v>
      </c>
      <c r="R5" s="11">
        <f t="shared" si="2"/>
        <v>880.16949999999997</v>
      </c>
      <c r="S5" s="1" t="str">
        <f t="shared" si="3"/>
        <v>Low</v>
      </c>
      <c r="T5" s="1" t="str" cm="1">
        <f t="array" ref="T5">_xlfn.IFS(L5&gt;5,"High",L5=5,"mediam",L5&lt;5,"low")</f>
        <v>low</v>
      </c>
      <c r="U5" s="1" t="b">
        <f t="shared" si="4"/>
        <v>0</v>
      </c>
      <c r="X5" s="5">
        <v>10001</v>
      </c>
      <c r="Y5" s="1">
        <v>1102</v>
      </c>
      <c r="Z5" s="2">
        <v>45197</v>
      </c>
      <c r="AA5" s="2">
        <v>45203</v>
      </c>
      <c r="AB5" s="1" t="s">
        <v>15</v>
      </c>
      <c r="AC5" s="1" t="s">
        <v>16</v>
      </c>
      <c r="AD5" s="1" t="s">
        <v>17</v>
      </c>
      <c r="AE5" s="1" t="s">
        <v>18</v>
      </c>
      <c r="AF5" s="1" t="s">
        <v>19</v>
      </c>
      <c r="AG5" s="1" t="s">
        <v>20</v>
      </c>
      <c r="AH5" s="1" t="s">
        <v>21</v>
      </c>
      <c r="AI5" s="1">
        <v>7</v>
      </c>
      <c r="AJ5" s="1">
        <v>2843.87</v>
      </c>
      <c r="AK5" s="1">
        <v>0</v>
      </c>
      <c r="AL5" s="1">
        <v>19907.09</v>
      </c>
      <c r="AM5" s="1">
        <v>19907.09</v>
      </c>
      <c r="AN5" s="10">
        <v>0</v>
      </c>
      <c r="AO5" s="11">
        <v>19907.09</v>
      </c>
      <c r="AP5" s="1" t="s">
        <v>159</v>
      </c>
      <c r="AQ5" s="1" t="s">
        <v>159</v>
      </c>
      <c r="AR5" s="1" t="s">
        <v>159</v>
      </c>
    </row>
    <row r="6" spans="1:44" x14ac:dyDescent="0.3">
      <c r="A6" s="5">
        <v>10005</v>
      </c>
      <c r="B6" s="1">
        <v>1106</v>
      </c>
      <c r="C6" s="2">
        <v>45241</v>
      </c>
      <c r="D6" s="2">
        <v>45244</v>
      </c>
      <c r="E6" s="1" t="s">
        <v>37</v>
      </c>
      <c r="F6" s="1" t="s">
        <v>38</v>
      </c>
      <c r="G6" s="1" t="s">
        <v>30</v>
      </c>
      <c r="H6" s="1" t="s">
        <v>18</v>
      </c>
      <c r="I6" s="1" t="s">
        <v>31</v>
      </c>
      <c r="J6" s="1" t="s">
        <v>39</v>
      </c>
      <c r="K6" s="1" t="s">
        <v>21</v>
      </c>
      <c r="L6" s="1">
        <v>7</v>
      </c>
      <c r="M6" s="1">
        <v>3511.47</v>
      </c>
      <c r="N6" s="1">
        <v>20</v>
      </c>
      <c r="O6" s="1">
        <v>19664.23</v>
      </c>
      <c r="P6" s="1">
        <f t="shared" si="0"/>
        <v>24580.289999999997</v>
      </c>
      <c r="Q6" s="10">
        <f t="shared" si="1"/>
        <v>3932.846</v>
      </c>
      <c r="R6" s="11">
        <f t="shared" si="2"/>
        <v>20647.443999999996</v>
      </c>
      <c r="S6" s="1" t="str">
        <f t="shared" si="3"/>
        <v>High</v>
      </c>
      <c r="T6" s="1" t="str" cm="1">
        <f t="array" ref="T6">_xlfn.IFS(L6&gt;5,"High",L6=5,"mediam",L6&lt;5,"low")</f>
        <v>High</v>
      </c>
      <c r="U6" s="1" t="str">
        <f t="shared" si="4"/>
        <v>High</v>
      </c>
      <c r="X6" s="5">
        <v>10003</v>
      </c>
      <c r="Y6" s="1">
        <v>1860</v>
      </c>
      <c r="Z6" s="2">
        <v>45109</v>
      </c>
      <c r="AA6" s="2">
        <v>45114</v>
      </c>
      <c r="AB6" s="1" t="s">
        <v>15</v>
      </c>
      <c r="AC6" s="1" t="s">
        <v>29</v>
      </c>
      <c r="AD6" s="1" t="s">
        <v>30</v>
      </c>
      <c r="AE6" s="1" t="s">
        <v>25</v>
      </c>
      <c r="AF6" s="1" t="s">
        <v>31</v>
      </c>
      <c r="AG6" s="1" t="s">
        <v>32</v>
      </c>
      <c r="AH6" s="1" t="s">
        <v>33</v>
      </c>
      <c r="AI6" s="1">
        <v>6</v>
      </c>
      <c r="AJ6" s="1">
        <v>3474.34</v>
      </c>
      <c r="AK6" s="1">
        <v>15</v>
      </c>
      <c r="AL6" s="1">
        <v>17719.13</v>
      </c>
      <c r="AM6" s="1">
        <v>20846.04</v>
      </c>
      <c r="AN6" s="10">
        <v>2657.8695000000002</v>
      </c>
      <c r="AO6" s="11">
        <v>18188.1705</v>
      </c>
      <c r="AP6" s="1" t="s">
        <v>159</v>
      </c>
      <c r="AQ6" s="1" t="s">
        <v>159</v>
      </c>
      <c r="AR6" s="1" t="s">
        <v>159</v>
      </c>
    </row>
    <row r="7" spans="1:44" x14ac:dyDescent="0.3">
      <c r="A7" s="5">
        <v>10006</v>
      </c>
      <c r="B7" s="1">
        <v>1071</v>
      </c>
      <c r="C7" s="2">
        <v>45260</v>
      </c>
      <c r="D7" s="2">
        <v>45263</v>
      </c>
      <c r="E7" s="1" t="s">
        <v>40</v>
      </c>
      <c r="F7" s="1" t="s">
        <v>41</v>
      </c>
      <c r="G7" s="1" t="s">
        <v>24</v>
      </c>
      <c r="H7" s="1" t="s">
        <v>42</v>
      </c>
      <c r="I7" s="1" t="s">
        <v>19</v>
      </c>
      <c r="J7" s="1" t="s">
        <v>43</v>
      </c>
      <c r="K7" s="1" t="s">
        <v>33</v>
      </c>
      <c r="L7" s="1">
        <v>3</v>
      </c>
      <c r="M7" s="1">
        <v>3189.55</v>
      </c>
      <c r="N7" s="1">
        <v>10</v>
      </c>
      <c r="O7" s="1">
        <v>8611.7800000000007</v>
      </c>
      <c r="P7" s="1">
        <f t="shared" si="0"/>
        <v>9568.6500000000015</v>
      </c>
      <c r="Q7" s="10">
        <f t="shared" si="1"/>
        <v>861.17800000000011</v>
      </c>
      <c r="R7" s="11">
        <f t="shared" si="2"/>
        <v>8707.4720000000016</v>
      </c>
      <c r="S7" s="1" t="str">
        <f t="shared" si="3"/>
        <v>Low</v>
      </c>
      <c r="T7" s="1" t="str" cm="1">
        <f t="array" ref="T7">_xlfn.IFS(L7&gt;5,"High",L7=5,"mediam",L7&lt;5,"low")</f>
        <v>low</v>
      </c>
      <c r="U7" s="1" t="b">
        <f t="shared" si="4"/>
        <v>0</v>
      </c>
      <c r="X7" s="5">
        <v>10009</v>
      </c>
      <c r="Y7" s="1">
        <v>1614</v>
      </c>
      <c r="Z7" s="2">
        <v>45204</v>
      </c>
      <c r="AA7" s="2">
        <v>45213</v>
      </c>
      <c r="AB7" s="1" t="s">
        <v>15</v>
      </c>
      <c r="AC7" s="1" t="s">
        <v>29</v>
      </c>
      <c r="AD7" s="1" t="s">
        <v>24</v>
      </c>
      <c r="AE7" s="1" t="s">
        <v>25</v>
      </c>
      <c r="AF7" s="1" t="s">
        <v>31</v>
      </c>
      <c r="AG7" s="1" t="s">
        <v>48</v>
      </c>
      <c r="AH7" s="1" t="s">
        <v>28</v>
      </c>
      <c r="AI7" s="1">
        <v>5</v>
      </c>
      <c r="AJ7" s="1">
        <v>1098.04</v>
      </c>
      <c r="AK7" s="1">
        <v>15</v>
      </c>
      <c r="AL7" s="1">
        <v>4666.67</v>
      </c>
      <c r="AM7" s="1">
        <v>5490.2</v>
      </c>
      <c r="AN7" s="10">
        <v>700.00049999999999</v>
      </c>
      <c r="AO7" s="11">
        <v>4790.1994999999997</v>
      </c>
      <c r="AP7" s="1" t="s">
        <v>159</v>
      </c>
      <c r="AQ7" s="1" t="s">
        <v>160</v>
      </c>
      <c r="AR7" s="1" t="b">
        <v>0</v>
      </c>
    </row>
    <row r="8" spans="1:44" x14ac:dyDescent="0.3">
      <c r="A8" s="5">
        <v>10007</v>
      </c>
      <c r="B8" s="1">
        <v>1700</v>
      </c>
      <c r="C8" s="2">
        <v>45050</v>
      </c>
      <c r="D8" s="2">
        <v>45054</v>
      </c>
      <c r="E8" s="1" t="s">
        <v>34</v>
      </c>
      <c r="F8" s="1" t="s">
        <v>41</v>
      </c>
      <c r="G8" s="1" t="s">
        <v>17</v>
      </c>
      <c r="H8" s="1" t="s">
        <v>44</v>
      </c>
      <c r="I8" s="1" t="s">
        <v>31</v>
      </c>
      <c r="J8" s="1" t="s">
        <v>32</v>
      </c>
      <c r="K8" s="1" t="s">
        <v>45</v>
      </c>
      <c r="L8" s="1">
        <v>5</v>
      </c>
      <c r="M8" s="1">
        <v>3030.42</v>
      </c>
      <c r="N8" s="1">
        <v>10</v>
      </c>
      <c r="O8" s="1">
        <v>13636.89</v>
      </c>
      <c r="P8" s="1">
        <f t="shared" si="0"/>
        <v>15152.1</v>
      </c>
      <c r="Q8" s="10">
        <f t="shared" si="1"/>
        <v>1363.6890000000001</v>
      </c>
      <c r="R8" s="11">
        <f t="shared" si="2"/>
        <v>13788.411</v>
      </c>
      <c r="S8" s="1" t="str">
        <f t="shared" si="3"/>
        <v>High</v>
      </c>
      <c r="T8" s="1" t="str" cm="1">
        <f t="array" ref="T8">_xlfn.IFS(L8&gt;5,"High",L8=5,"mediam",L8&lt;5,"low")</f>
        <v>mediam</v>
      </c>
      <c r="U8" s="1" t="b">
        <f>IF(L8&gt;5,"High",IF(L8="Mediam","Low"))</f>
        <v>0</v>
      </c>
      <c r="X8" s="5">
        <v>10018</v>
      </c>
      <c r="Y8" s="1">
        <v>1871</v>
      </c>
      <c r="Z8" s="2">
        <v>45045</v>
      </c>
      <c r="AA8" s="2">
        <v>45048</v>
      </c>
      <c r="AB8" s="1" t="s">
        <v>15</v>
      </c>
      <c r="AC8" s="1" t="s">
        <v>29</v>
      </c>
      <c r="AD8" s="1" t="s">
        <v>24</v>
      </c>
      <c r="AE8" s="1" t="s">
        <v>18</v>
      </c>
      <c r="AF8" s="1" t="s">
        <v>19</v>
      </c>
      <c r="AG8" s="1" t="s">
        <v>55</v>
      </c>
      <c r="AH8" s="1" t="s">
        <v>28</v>
      </c>
      <c r="AI8" s="1">
        <v>1</v>
      </c>
      <c r="AJ8" s="1">
        <v>2165.81</v>
      </c>
      <c r="AK8" s="1">
        <v>15</v>
      </c>
      <c r="AL8" s="1">
        <v>1840.94</v>
      </c>
      <c r="AM8" s="1">
        <v>2165.81</v>
      </c>
      <c r="AN8" s="10">
        <v>276.14100000000002</v>
      </c>
      <c r="AO8" s="11">
        <v>1889.6689999999999</v>
      </c>
      <c r="AP8" s="1" t="s">
        <v>161</v>
      </c>
      <c r="AQ8" s="1" t="s">
        <v>162</v>
      </c>
      <c r="AR8" s="1" t="b">
        <v>0</v>
      </c>
    </row>
    <row r="9" spans="1:44" x14ac:dyDescent="0.3">
      <c r="A9" s="5">
        <v>10008</v>
      </c>
      <c r="B9" s="1">
        <v>1020</v>
      </c>
      <c r="C9" s="2">
        <v>45040</v>
      </c>
      <c r="D9" s="2">
        <v>45041</v>
      </c>
      <c r="E9" s="1" t="s">
        <v>46</v>
      </c>
      <c r="F9" s="1" t="s">
        <v>16</v>
      </c>
      <c r="G9" s="1" t="s">
        <v>24</v>
      </c>
      <c r="H9" s="1" t="s">
        <v>18</v>
      </c>
      <c r="I9" s="1" t="s">
        <v>31</v>
      </c>
      <c r="J9" s="1" t="s">
        <v>32</v>
      </c>
      <c r="K9" s="1" t="s">
        <v>47</v>
      </c>
      <c r="L9" s="1">
        <v>4</v>
      </c>
      <c r="M9" s="1">
        <v>2310.83</v>
      </c>
      <c r="N9" s="1">
        <v>10</v>
      </c>
      <c r="O9" s="1">
        <v>8318.99</v>
      </c>
      <c r="P9" s="1">
        <f t="shared" si="0"/>
        <v>9243.32</v>
      </c>
      <c r="Q9" s="10">
        <f t="shared" si="1"/>
        <v>831.899</v>
      </c>
      <c r="R9" s="11">
        <f t="shared" si="2"/>
        <v>8411.4210000000003</v>
      </c>
      <c r="S9" s="1" t="str">
        <f t="shared" si="3"/>
        <v>Low</v>
      </c>
      <c r="T9" s="1" t="str" cm="1">
        <f t="array" ref="T9">_xlfn.IFS(L9&gt;5,"High",L9=5,"mediam",L9&lt;5,"low")</f>
        <v>low</v>
      </c>
      <c r="U9" s="1" t="b">
        <f t="shared" ref="U9:U72" si="5">IF(L9&gt;5,"High",IF(L9="Mediam","Low"))</f>
        <v>0</v>
      </c>
      <c r="X9" s="5">
        <v>10031</v>
      </c>
      <c r="Y9" s="1">
        <v>1276</v>
      </c>
      <c r="Z9" s="2">
        <v>45162</v>
      </c>
      <c r="AA9" s="2">
        <v>45166</v>
      </c>
      <c r="AB9" s="1" t="s">
        <v>15</v>
      </c>
      <c r="AC9" s="1" t="s">
        <v>29</v>
      </c>
      <c r="AD9" s="1" t="s">
        <v>30</v>
      </c>
      <c r="AE9" s="1" t="s">
        <v>42</v>
      </c>
      <c r="AF9" s="1" t="s">
        <v>57</v>
      </c>
      <c r="AG9" s="1" t="s">
        <v>62</v>
      </c>
      <c r="AH9" s="1" t="s">
        <v>47</v>
      </c>
      <c r="AI9" s="1">
        <v>5</v>
      </c>
      <c r="AJ9" s="1">
        <v>2295.65</v>
      </c>
      <c r="AK9" s="1">
        <v>20</v>
      </c>
      <c r="AL9" s="1">
        <v>9182.6</v>
      </c>
      <c r="AM9" s="1">
        <v>11478.25</v>
      </c>
      <c r="AN9" s="10">
        <v>1836.5200000000002</v>
      </c>
      <c r="AO9" s="11">
        <v>9641.73</v>
      </c>
      <c r="AP9" s="1" t="s">
        <v>159</v>
      </c>
      <c r="AQ9" s="1" t="s">
        <v>160</v>
      </c>
      <c r="AR9" s="1" t="b">
        <v>0</v>
      </c>
    </row>
    <row r="10" spans="1:44" x14ac:dyDescent="0.3">
      <c r="A10" s="5">
        <v>10009</v>
      </c>
      <c r="B10" s="1">
        <v>1614</v>
      </c>
      <c r="C10" s="2">
        <v>45204</v>
      </c>
      <c r="D10" s="2">
        <v>45213</v>
      </c>
      <c r="E10" s="1" t="s">
        <v>15</v>
      </c>
      <c r="F10" s="1" t="s">
        <v>29</v>
      </c>
      <c r="G10" s="1" t="s">
        <v>24</v>
      </c>
      <c r="H10" s="1" t="s">
        <v>25</v>
      </c>
      <c r="I10" s="1" t="s">
        <v>31</v>
      </c>
      <c r="J10" s="1" t="s">
        <v>48</v>
      </c>
      <c r="K10" s="1" t="s">
        <v>28</v>
      </c>
      <c r="L10" s="1">
        <v>5</v>
      </c>
      <c r="M10" s="1">
        <v>1098.04</v>
      </c>
      <c r="N10" s="1">
        <v>15</v>
      </c>
      <c r="O10" s="1">
        <v>4666.67</v>
      </c>
      <c r="P10" s="1">
        <f t="shared" si="0"/>
        <v>5490.2</v>
      </c>
      <c r="Q10" s="10">
        <f t="shared" si="1"/>
        <v>700.00049999999999</v>
      </c>
      <c r="R10" s="11">
        <f t="shared" si="2"/>
        <v>4790.1994999999997</v>
      </c>
      <c r="S10" s="1" t="str">
        <f t="shared" si="3"/>
        <v>High</v>
      </c>
      <c r="T10" s="1" t="str" cm="1">
        <f t="array" ref="T10">_xlfn.IFS(L10&gt;5,"High",L10=5,"mediam",L10&lt;5,"low")</f>
        <v>mediam</v>
      </c>
      <c r="U10" s="1" t="b">
        <f t="shared" si="5"/>
        <v>0</v>
      </c>
      <c r="X10" s="5">
        <v>10032</v>
      </c>
      <c r="Y10" s="1">
        <v>1160</v>
      </c>
      <c r="Z10" s="2">
        <v>45150</v>
      </c>
      <c r="AA10" s="2">
        <v>45158</v>
      </c>
      <c r="AB10" s="1" t="s">
        <v>15</v>
      </c>
      <c r="AC10" s="1" t="s">
        <v>41</v>
      </c>
      <c r="AD10" s="1" t="s">
        <v>30</v>
      </c>
      <c r="AE10" s="1" t="s">
        <v>18</v>
      </c>
      <c r="AF10" s="1" t="s">
        <v>19</v>
      </c>
      <c r="AG10" s="1" t="s">
        <v>43</v>
      </c>
      <c r="AH10" s="1" t="s">
        <v>21</v>
      </c>
      <c r="AI10" s="1">
        <v>4</v>
      </c>
      <c r="AJ10" s="1">
        <v>750.74</v>
      </c>
      <c r="AK10" s="1">
        <v>5</v>
      </c>
      <c r="AL10" s="1">
        <v>2852.81</v>
      </c>
      <c r="AM10" s="1">
        <v>3002.96</v>
      </c>
      <c r="AN10" s="10">
        <v>142.6405</v>
      </c>
      <c r="AO10" s="11">
        <v>2860.3195000000001</v>
      </c>
      <c r="AP10" s="1" t="s">
        <v>161</v>
      </c>
      <c r="AQ10" s="1" t="s">
        <v>162</v>
      </c>
      <c r="AR10" s="1" t="b">
        <v>0</v>
      </c>
    </row>
    <row r="11" spans="1:44" x14ac:dyDescent="0.3">
      <c r="A11" s="5">
        <v>10010</v>
      </c>
      <c r="B11" s="1">
        <v>1121</v>
      </c>
      <c r="C11" s="2">
        <v>45139</v>
      </c>
      <c r="D11" s="2">
        <v>45147</v>
      </c>
      <c r="E11" s="1" t="s">
        <v>34</v>
      </c>
      <c r="F11" s="1" t="s">
        <v>38</v>
      </c>
      <c r="G11" s="1" t="s">
        <v>24</v>
      </c>
      <c r="H11" s="1" t="s">
        <v>35</v>
      </c>
      <c r="I11" s="1" t="s">
        <v>49</v>
      </c>
      <c r="J11" s="1" t="s">
        <v>50</v>
      </c>
      <c r="K11" s="1" t="s">
        <v>47</v>
      </c>
      <c r="L11" s="1">
        <v>5</v>
      </c>
      <c r="M11" s="1">
        <v>1780.66</v>
      </c>
      <c r="N11" s="1">
        <v>20</v>
      </c>
      <c r="O11" s="1">
        <v>7122.64</v>
      </c>
      <c r="P11" s="1">
        <f t="shared" si="0"/>
        <v>8903.3000000000011</v>
      </c>
      <c r="Q11" s="10">
        <f t="shared" si="1"/>
        <v>1424.5280000000002</v>
      </c>
      <c r="R11" s="11">
        <f t="shared" si="2"/>
        <v>7478.7720000000008</v>
      </c>
      <c r="S11" s="1" t="str">
        <f t="shared" si="3"/>
        <v>High</v>
      </c>
      <c r="T11" s="1" t="str" cm="1">
        <f t="array" ref="T11">_xlfn.IFS(L11&gt;5,"High",L11=5,"mediam",L11&lt;5,"low")</f>
        <v>mediam</v>
      </c>
      <c r="U11" s="1" t="b">
        <f t="shared" si="5"/>
        <v>0</v>
      </c>
      <c r="X11" s="5">
        <v>10040</v>
      </c>
      <c r="Y11" s="1">
        <v>1474</v>
      </c>
      <c r="Z11" s="2">
        <v>45274</v>
      </c>
      <c r="AA11" s="2">
        <v>45277</v>
      </c>
      <c r="AB11" s="1" t="s">
        <v>15</v>
      </c>
      <c r="AC11" s="1" t="s">
        <v>16</v>
      </c>
      <c r="AD11" s="1" t="s">
        <v>30</v>
      </c>
      <c r="AE11" s="1" t="s">
        <v>35</v>
      </c>
      <c r="AF11" s="1" t="s">
        <v>26</v>
      </c>
      <c r="AG11" s="1" t="s">
        <v>27</v>
      </c>
      <c r="AH11" s="1" t="s">
        <v>28</v>
      </c>
      <c r="AI11" s="1">
        <v>6</v>
      </c>
      <c r="AJ11" s="1">
        <v>3083.25</v>
      </c>
      <c r="AK11" s="1">
        <v>10</v>
      </c>
      <c r="AL11" s="1">
        <v>16649.55</v>
      </c>
      <c r="AM11" s="1">
        <v>18499.5</v>
      </c>
      <c r="AN11" s="10">
        <v>1664.9549999999999</v>
      </c>
      <c r="AO11" s="11">
        <v>16834.544999999998</v>
      </c>
      <c r="AP11" s="1" t="s">
        <v>159</v>
      </c>
      <c r="AQ11" s="1" t="s">
        <v>159</v>
      </c>
      <c r="AR11" s="1" t="s">
        <v>159</v>
      </c>
    </row>
    <row r="12" spans="1:44" x14ac:dyDescent="0.3">
      <c r="A12" s="5">
        <v>10011</v>
      </c>
      <c r="B12" s="1">
        <v>1466</v>
      </c>
      <c r="C12" s="2">
        <v>45098</v>
      </c>
      <c r="D12" s="2">
        <v>45106</v>
      </c>
      <c r="E12" s="1" t="s">
        <v>34</v>
      </c>
      <c r="F12" s="1" t="s">
        <v>38</v>
      </c>
      <c r="G12" s="1" t="s">
        <v>17</v>
      </c>
      <c r="H12" s="1" t="s">
        <v>35</v>
      </c>
      <c r="I12" s="1" t="s">
        <v>49</v>
      </c>
      <c r="J12" s="1" t="s">
        <v>50</v>
      </c>
      <c r="K12" s="1" t="s">
        <v>33</v>
      </c>
      <c r="L12" s="1">
        <v>6</v>
      </c>
      <c r="M12" s="1">
        <v>3205.25</v>
      </c>
      <c r="N12" s="1">
        <v>0</v>
      </c>
      <c r="O12" s="1">
        <v>19231.5</v>
      </c>
      <c r="P12" s="1">
        <f t="shared" si="0"/>
        <v>19231.5</v>
      </c>
      <c r="Q12" s="10">
        <f t="shared" si="1"/>
        <v>0</v>
      </c>
      <c r="R12" s="11">
        <f t="shared" si="2"/>
        <v>19231.5</v>
      </c>
      <c r="S12" s="1" t="str">
        <f t="shared" si="3"/>
        <v>High</v>
      </c>
      <c r="T12" s="1" t="str" cm="1">
        <f t="array" ref="T12">_xlfn.IFS(L12&gt;5,"High",L12=5,"mediam",L12&lt;5,"low")</f>
        <v>High</v>
      </c>
      <c r="U12" s="1" t="str">
        <f t="shared" si="5"/>
        <v>High</v>
      </c>
      <c r="X12" s="5">
        <v>10042</v>
      </c>
      <c r="Y12" s="1">
        <v>1510</v>
      </c>
      <c r="Z12" s="2">
        <v>45195</v>
      </c>
      <c r="AA12" s="2">
        <v>45204</v>
      </c>
      <c r="AB12" s="1" t="s">
        <v>15</v>
      </c>
      <c r="AC12" s="1" t="s">
        <v>54</v>
      </c>
      <c r="AD12" s="1" t="s">
        <v>24</v>
      </c>
      <c r="AE12" s="1" t="s">
        <v>35</v>
      </c>
      <c r="AF12" s="1" t="s">
        <v>26</v>
      </c>
      <c r="AG12" s="1" t="s">
        <v>27</v>
      </c>
      <c r="AH12" s="1" t="s">
        <v>33</v>
      </c>
      <c r="AI12" s="1">
        <v>4</v>
      </c>
      <c r="AJ12" s="1">
        <v>1211.67</v>
      </c>
      <c r="AK12" s="1">
        <v>20</v>
      </c>
      <c r="AL12" s="1">
        <v>3877.34</v>
      </c>
      <c r="AM12" s="1">
        <v>4846.68</v>
      </c>
      <c r="AN12" s="10">
        <v>775.46800000000007</v>
      </c>
      <c r="AO12" s="11">
        <v>4071.2120000000004</v>
      </c>
      <c r="AP12" s="1" t="s">
        <v>161</v>
      </c>
      <c r="AQ12" s="1" t="s">
        <v>162</v>
      </c>
      <c r="AR12" s="1" t="b">
        <v>0</v>
      </c>
    </row>
    <row r="13" spans="1:44" x14ac:dyDescent="0.3">
      <c r="A13" s="5">
        <v>10012</v>
      </c>
      <c r="B13" s="1">
        <v>1214</v>
      </c>
      <c r="C13" s="2">
        <v>45214</v>
      </c>
      <c r="D13" s="2">
        <v>45220</v>
      </c>
      <c r="E13" s="1" t="s">
        <v>46</v>
      </c>
      <c r="F13" s="1" t="s">
        <v>23</v>
      </c>
      <c r="G13" s="1" t="s">
        <v>24</v>
      </c>
      <c r="H13" s="1" t="s">
        <v>44</v>
      </c>
      <c r="I13" s="1" t="s">
        <v>49</v>
      </c>
      <c r="J13" s="1" t="s">
        <v>51</v>
      </c>
      <c r="K13" s="1" t="s">
        <v>21</v>
      </c>
      <c r="L13" s="1">
        <v>6</v>
      </c>
      <c r="M13" s="1">
        <v>272.35000000000002</v>
      </c>
      <c r="N13" s="1">
        <v>5</v>
      </c>
      <c r="O13" s="1">
        <v>1552.39</v>
      </c>
      <c r="P13" s="1">
        <f t="shared" si="0"/>
        <v>1634.1000000000001</v>
      </c>
      <c r="Q13" s="10">
        <f t="shared" si="1"/>
        <v>77.619500000000016</v>
      </c>
      <c r="R13" s="11">
        <f t="shared" si="2"/>
        <v>1556.4805000000001</v>
      </c>
      <c r="S13" s="1" t="str">
        <f t="shared" si="3"/>
        <v>High</v>
      </c>
      <c r="T13" s="1" t="str" cm="1">
        <f t="array" ref="T13">_xlfn.IFS(L13&gt;5,"High",L13=5,"mediam",L13&lt;5,"low")</f>
        <v>High</v>
      </c>
      <c r="U13" s="1" t="str">
        <f t="shared" si="5"/>
        <v>High</v>
      </c>
      <c r="X13" s="5">
        <v>10065</v>
      </c>
      <c r="Y13" s="1">
        <v>1273</v>
      </c>
      <c r="Z13" s="2">
        <v>45054</v>
      </c>
      <c r="AA13" s="2">
        <v>45058</v>
      </c>
      <c r="AB13" s="1" t="s">
        <v>15</v>
      </c>
      <c r="AC13" s="1" t="s">
        <v>38</v>
      </c>
      <c r="AD13" s="1" t="s">
        <v>17</v>
      </c>
      <c r="AE13" s="1" t="s">
        <v>42</v>
      </c>
      <c r="AF13" s="1" t="s">
        <v>19</v>
      </c>
      <c r="AG13" s="1" t="s">
        <v>43</v>
      </c>
      <c r="AH13" s="1" t="s">
        <v>45</v>
      </c>
      <c r="AI13" s="1">
        <v>2</v>
      </c>
      <c r="AJ13" s="1">
        <v>2773.21</v>
      </c>
      <c r="AK13" s="1">
        <v>10</v>
      </c>
      <c r="AL13" s="1">
        <v>4991.78</v>
      </c>
      <c r="AM13" s="1">
        <v>5546.42</v>
      </c>
      <c r="AN13" s="10">
        <v>499.178</v>
      </c>
      <c r="AO13" s="11">
        <v>5047.2420000000002</v>
      </c>
      <c r="AP13" s="1" t="s">
        <v>161</v>
      </c>
      <c r="AQ13" s="1" t="s">
        <v>162</v>
      </c>
      <c r="AR13" s="1" t="b">
        <v>0</v>
      </c>
    </row>
    <row r="14" spans="1:44" x14ac:dyDescent="0.3">
      <c r="A14" s="5">
        <v>10013</v>
      </c>
      <c r="B14" s="1">
        <v>1330</v>
      </c>
      <c r="C14" s="2">
        <v>45100</v>
      </c>
      <c r="D14" s="2">
        <v>45107</v>
      </c>
      <c r="E14" s="1" t="s">
        <v>16</v>
      </c>
      <c r="F14" s="1" t="s">
        <v>23</v>
      </c>
      <c r="G14" s="1" t="s">
        <v>17</v>
      </c>
      <c r="H14" s="1" t="s">
        <v>35</v>
      </c>
      <c r="I14" s="1" t="s">
        <v>19</v>
      </c>
      <c r="J14" s="1" t="s">
        <v>43</v>
      </c>
      <c r="K14" s="1" t="s">
        <v>21</v>
      </c>
      <c r="L14" s="1">
        <v>8</v>
      </c>
      <c r="M14" s="1">
        <v>3160.9</v>
      </c>
      <c r="N14" s="1">
        <v>0</v>
      </c>
      <c r="O14" s="1">
        <v>25287.200000000001</v>
      </c>
      <c r="P14" s="1">
        <f t="shared" si="0"/>
        <v>25287.200000000001</v>
      </c>
      <c r="Q14" s="10">
        <f t="shared" si="1"/>
        <v>0</v>
      </c>
      <c r="R14" s="11">
        <f t="shared" si="2"/>
        <v>25287.200000000001</v>
      </c>
      <c r="S14" s="1" t="str">
        <f t="shared" si="3"/>
        <v>High</v>
      </c>
      <c r="T14" s="1" t="str" cm="1">
        <f t="array" ref="T14">_xlfn.IFS(L14&gt;5,"High",L14=5,"mediam",L14&lt;5,"low")</f>
        <v>High</v>
      </c>
      <c r="U14" s="1" t="str">
        <f t="shared" si="5"/>
        <v>High</v>
      </c>
      <c r="X14" s="5">
        <v>10066</v>
      </c>
      <c r="Y14" s="1">
        <v>1387</v>
      </c>
      <c r="Z14" s="2">
        <v>45155</v>
      </c>
      <c r="AA14" s="2">
        <v>45158</v>
      </c>
      <c r="AB14" s="1" t="s">
        <v>15</v>
      </c>
      <c r="AC14" s="1" t="s">
        <v>23</v>
      </c>
      <c r="AD14" s="1" t="s">
        <v>17</v>
      </c>
      <c r="AE14" s="1" t="s">
        <v>35</v>
      </c>
      <c r="AF14" s="1" t="s">
        <v>57</v>
      </c>
      <c r="AG14" s="1" t="s">
        <v>67</v>
      </c>
      <c r="AH14" s="1" t="s">
        <v>45</v>
      </c>
      <c r="AI14" s="1">
        <v>8</v>
      </c>
      <c r="AJ14" s="1">
        <v>3769.71</v>
      </c>
      <c r="AK14" s="1">
        <v>5</v>
      </c>
      <c r="AL14" s="1">
        <v>28649.8</v>
      </c>
      <c r="AM14" s="1">
        <v>30157.68</v>
      </c>
      <c r="AN14" s="10">
        <v>1432.49</v>
      </c>
      <c r="AO14" s="11">
        <v>28725.19</v>
      </c>
      <c r="AP14" s="1" t="s">
        <v>159</v>
      </c>
      <c r="AQ14" s="1" t="s">
        <v>159</v>
      </c>
      <c r="AR14" s="1" t="s">
        <v>159</v>
      </c>
    </row>
    <row r="15" spans="1:44" x14ac:dyDescent="0.3">
      <c r="A15" s="5">
        <v>10014</v>
      </c>
      <c r="B15" s="1">
        <v>1458</v>
      </c>
      <c r="C15" s="2">
        <v>45039</v>
      </c>
      <c r="D15" s="2">
        <v>45045</v>
      </c>
      <c r="E15" s="1" t="s">
        <v>37</v>
      </c>
      <c r="F15" s="1" t="s">
        <v>38</v>
      </c>
      <c r="G15" s="1" t="s">
        <v>30</v>
      </c>
      <c r="H15" s="1" t="s">
        <v>35</v>
      </c>
      <c r="I15" s="1" t="s">
        <v>26</v>
      </c>
      <c r="J15" s="1" t="s">
        <v>36</v>
      </c>
      <c r="K15" s="1" t="s">
        <v>28</v>
      </c>
      <c r="L15" s="1">
        <v>8</v>
      </c>
      <c r="M15" s="1">
        <v>1074.27</v>
      </c>
      <c r="N15" s="1">
        <v>15</v>
      </c>
      <c r="O15" s="1">
        <v>7305.04</v>
      </c>
      <c r="P15" s="1">
        <f t="shared" si="0"/>
        <v>8594.16</v>
      </c>
      <c r="Q15" s="10">
        <f t="shared" si="1"/>
        <v>1095.7559999999999</v>
      </c>
      <c r="R15" s="11">
        <f t="shared" si="2"/>
        <v>7498.4040000000005</v>
      </c>
      <c r="S15" s="1" t="str">
        <f t="shared" si="3"/>
        <v>High</v>
      </c>
      <c r="T15" s="1" t="str" cm="1">
        <f t="array" ref="T15">_xlfn.IFS(L15&gt;5,"High",L15=5,"mediam",L15&lt;5,"low")</f>
        <v>High</v>
      </c>
      <c r="U15" s="1" t="str">
        <f t="shared" si="5"/>
        <v>High</v>
      </c>
      <c r="X15" s="5">
        <v>10069</v>
      </c>
      <c r="Y15" s="1">
        <v>1013</v>
      </c>
      <c r="Z15" s="2">
        <v>45288</v>
      </c>
      <c r="AA15" s="2">
        <v>45296</v>
      </c>
      <c r="AB15" s="1" t="s">
        <v>15</v>
      </c>
      <c r="AC15" s="1" t="s">
        <v>23</v>
      </c>
      <c r="AD15" s="1" t="s">
        <v>17</v>
      </c>
      <c r="AE15" s="1" t="s">
        <v>44</v>
      </c>
      <c r="AF15" s="1" t="s">
        <v>57</v>
      </c>
      <c r="AG15" s="1" t="s">
        <v>62</v>
      </c>
      <c r="AH15" s="1" t="s">
        <v>33</v>
      </c>
      <c r="AI15" s="1">
        <v>6</v>
      </c>
      <c r="AJ15" s="1">
        <v>1836.98</v>
      </c>
      <c r="AK15" s="1">
        <v>5</v>
      </c>
      <c r="AL15" s="1">
        <v>10470.790000000001</v>
      </c>
      <c r="AM15" s="1">
        <v>11021.880000000001</v>
      </c>
      <c r="AN15" s="10">
        <v>523.53950000000009</v>
      </c>
      <c r="AO15" s="11">
        <v>10498.3405</v>
      </c>
      <c r="AP15" s="1" t="s">
        <v>159</v>
      </c>
      <c r="AQ15" s="1" t="s">
        <v>159</v>
      </c>
      <c r="AR15" s="1" t="s">
        <v>159</v>
      </c>
    </row>
    <row r="16" spans="1:44" x14ac:dyDescent="0.3">
      <c r="A16" s="5">
        <v>10015</v>
      </c>
      <c r="B16" s="1">
        <v>1087</v>
      </c>
      <c r="C16" s="2">
        <v>45048</v>
      </c>
      <c r="D16" s="2">
        <v>45057</v>
      </c>
      <c r="E16" s="1" t="s">
        <v>40</v>
      </c>
      <c r="F16" s="1" t="s">
        <v>23</v>
      </c>
      <c r="G16" s="1" t="s">
        <v>24</v>
      </c>
      <c r="H16" s="1" t="s">
        <v>18</v>
      </c>
      <c r="I16" s="1" t="s">
        <v>52</v>
      </c>
      <c r="J16" s="1" t="s">
        <v>53</v>
      </c>
      <c r="K16" s="1" t="s">
        <v>21</v>
      </c>
      <c r="L16" s="1">
        <v>9</v>
      </c>
      <c r="M16" s="1">
        <v>705.59</v>
      </c>
      <c r="N16" s="1">
        <v>10</v>
      </c>
      <c r="O16" s="1">
        <v>5715.28</v>
      </c>
      <c r="P16" s="1">
        <f t="shared" si="0"/>
        <v>6350.31</v>
      </c>
      <c r="Q16" s="10">
        <f t="shared" si="1"/>
        <v>571.52800000000002</v>
      </c>
      <c r="R16" s="11">
        <f t="shared" si="2"/>
        <v>5778.7820000000002</v>
      </c>
      <c r="S16" s="1" t="str">
        <f t="shared" si="3"/>
        <v>High</v>
      </c>
      <c r="T16" s="1" t="str" cm="1">
        <f t="array" ref="T16">_xlfn.IFS(L16&gt;5,"High",L16=5,"mediam",L16&lt;5,"low")</f>
        <v>High</v>
      </c>
      <c r="U16" s="1" t="str">
        <f t="shared" si="5"/>
        <v>High</v>
      </c>
      <c r="X16" s="5">
        <v>10071</v>
      </c>
      <c r="Y16" s="1">
        <v>1776</v>
      </c>
      <c r="Z16" s="2">
        <v>45070</v>
      </c>
      <c r="AA16" s="2">
        <v>45078</v>
      </c>
      <c r="AB16" s="1" t="s">
        <v>15</v>
      </c>
      <c r="AC16" s="1" t="s">
        <v>29</v>
      </c>
      <c r="AD16" s="1" t="s">
        <v>17</v>
      </c>
      <c r="AE16" s="1" t="s">
        <v>18</v>
      </c>
      <c r="AF16" s="1" t="s">
        <v>26</v>
      </c>
      <c r="AG16" s="1" t="s">
        <v>61</v>
      </c>
      <c r="AH16" s="1" t="s">
        <v>47</v>
      </c>
      <c r="AI16" s="1">
        <v>3</v>
      </c>
      <c r="AJ16" s="1">
        <v>3854.71</v>
      </c>
      <c r="AK16" s="1">
        <v>5</v>
      </c>
      <c r="AL16" s="1">
        <v>10985.92</v>
      </c>
      <c r="AM16" s="1">
        <v>11564.130000000001</v>
      </c>
      <c r="AN16" s="10">
        <v>549.29600000000005</v>
      </c>
      <c r="AO16" s="11">
        <v>11014.834000000001</v>
      </c>
      <c r="AP16" s="1" t="s">
        <v>161</v>
      </c>
      <c r="AQ16" s="1" t="s">
        <v>162</v>
      </c>
      <c r="AR16" s="1" t="b">
        <v>0</v>
      </c>
    </row>
    <row r="17" spans="1:44" x14ac:dyDescent="0.3">
      <c r="A17" s="5">
        <v>10016</v>
      </c>
      <c r="B17" s="1">
        <v>1372</v>
      </c>
      <c r="C17" s="2">
        <v>44958</v>
      </c>
      <c r="D17" s="2">
        <v>44961</v>
      </c>
      <c r="E17" s="1" t="s">
        <v>22</v>
      </c>
      <c r="F17" s="1" t="s">
        <v>29</v>
      </c>
      <c r="G17" s="1" t="s">
        <v>17</v>
      </c>
      <c r="H17" s="1" t="s">
        <v>42</v>
      </c>
      <c r="I17" s="1" t="s">
        <v>31</v>
      </c>
      <c r="J17" s="1" t="s">
        <v>39</v>
      </c>
      <c r="K17" s="1" t="s">
        <v>21</v>
      </c>
      <c r="L17" s="1">
        <v>8</v>
      </c>
      <c r="M17" s="1">
        <v>595.45000000000005</v>
      </c>
      <c r="N17" s="1">
        <v>5</v>
      </c>
      <c r="O17" s="1">
        <v>4525.42</v>
      </c>
      <c r="P17" s="1">
        <f t="shared" si="0"/>
        <v>4763.6000000000004</v>
      </c>
      <c r="Q17" s="10">
        <f t="shared" si="1"/>
        <v>226.27100000000002</v>
      </c>
      <c r="R17" s="11">
        <f t="shared" si="2"/>
        <v>4537.3290000000006</v>
      </c>
      <c r="S17" s="1" t="str">
        <f t="shared" si="3"/>
        <v>High</v>
      </c>
      <c r="T17" s="1" t="str" cm="1">
        <f t="array" ref="T17">_xlfn.IFS(L17&gt;5,"High",L17=5,"mediam",L17&lt;5,"low")</f>
        <v>High</v>
      </c>
      <c r="U17" s="1" t="str">
        <f t="shared" si="5"/>
        <v>High</v>
      </c>
      <c r="X17" s="5">
        <v>10080</v>
      </c>
      <c r="Y17" s="1">
        <v>1427</v>
      </c>
      <c r="Z17" s="2">
        <v>45288</v>
      </c>
      <c r="AA17" s="2">
        <v>45293</v>
      </c>
      <c r="AB17" s="1" t="s">
        <v>15</v>
      </c>
      <c r="AC17" s="1" t="s">
        <v>54</v>
      </c>
      <c r="AD17" s="1" t="s">
        <v>17</v>
      </c>
      <c r="AE17" s="1" t="s">
        <v>25</v>
      </c>
      <c r="AF17" s="1" t="s">
        <v>52</v>
      </c>
      <c r="AG17" s="1" t="s">
        <v>56</v>
      </c>
      <c r="AH17" s="1" t="s">
        <v>28</v>
      </c>
      <c r="AI17" s="1">
        <v>3</v>
      </c>
      <c r="AJ17" s="1">
        <v>262.25</v>
      </c>
      <c r="AK17" s="1">
        <v>10</v>
      </c>
      <c r="AL17" s="1">
        <v>708.07</v>
      </c>
      <c r="AM17" s="1">
        <v>786.75</v>
      </c>
      <c r="AN17" s="10">
        <v>70.807000000000002</v>
      </c>
      <c r="AO17" s="11">
        <v>715.94299999999998</v>
      </c>
      <c r="AP17" s="1" t="s">
        <v>161</v>
      </c>
      <c r="AQ17" s="1" t="s">
        <v>162</v>
      </c>
      <c r="AR17" s="1" t="b">
        <v>0</v>
      </c>
    </row>
    <row r="18" spans="1:44" x14ac:dyDescent="0.3">
      <c r="A18" s="5">
        <v>10017</v>
      </c>
      <c r="B18" s="1">
        <v>1099</v>
      </c>
      <c r="C18" s="2">
        <v>45148</v>
      </c>
      <c r="D18" s="2">
        <v>45151</v>
      </c>
      <c r="E18" s="1" t="s">
        <v>16</v>
      </c>
      <c r="F18" s="1" t="s">
        <v>54</v>
      </c>
      <c r="G18" s="1" t="s">
        <v>17</v>
      </c>
      <c r="H18" s="1" t="s">
        <v>44</v>
      </c>
      <c r="I18" s="1" t="s">
        <v>31</v>
      </c>
      <c r="J18" s="1" t="s">
        <v>39</v>
      </c>
      <c r="K18" s="1" t="s">
        <v>28</v>
      </c>
      <c r="L18" s="1">
        <v>2</v>
      </c>
      <c r="M18" s="1">
        <v>254.91</v>
      </c>
      <c r="N18" s="1">
        <v>15</v>
      </c>
      <c r="O18" s="1">
        <v>433.35</v>
      </c>
      <c r="P18" s="1">
        <f t="shared" si="0"/>
        <v>509.82</v>
      </c>
      <c r="Q18" s="10">
        <f t="shared" si="1"/>
        <v>65.002499999999998</v>
      </c>
      <c r="R18" s="11">
        <f t="shared" si="2"/>
        <v>444.8175</v>
      </c>
      <c r="S18" s="1" t="str">
        <f t="shared" si="3"/>
        <v>Low</v>
      </c>
      <c r="T18" s="1" t="str" cm="1">
        <f t="array" ref="T18">_xlfn.IFS(L18&gt;5,"High",L18=5,"mediam",L18&lt;5,"low")</f>
        <v>low</v>
      </c>
      <c r="U18" s="1" t="b">
        <f t="shared" si="5"/>
        <v>0</v>
      </c>
      <c r="X18" s="5">
        <v>10108</v>
      </c>
      <c r="Y18" s="1">
        <v>1815</v>
      </c>
      <c r="Z18" s="2">
        <v>45037</v>
      </c>
      <c r="AA18" s="2">
        <v>45045</v>
      </c>
      <c r="AB18" s="1" t="s">
        <v>15</v>
      </c>
      <c r="AC18" s="1" t="s">
        <v>29</v>
      </c>
      <c r="AD18" s="1" t="s">
        <v>24</v>
      </c>
      <c r="AE18" s="1" t="s">
        <v>18</v>
      </c>
      <c r="AF18" s="1" t="s">
        <v>26</v>
      </c>
      <c r="AG18" s="1" t="s">
        <v>36</v>
      </c>
      <c r="AH18" s="1" t="s">
        <v>21</v>
      </c>
      <c r="AI18" s="1">
        <v>2</v>
      </c>
      <c r="AJ18" s="1">
        <v>564.30999999999995</v>
      </c>
      <c r="AK18" s="1">
        <v>15</v>
      </c>
      <c r="AL18" s="1">
        <v>959.33</v>
      </c>
      <c r="AM18" s="1">
        <v>1128.6199999999999</v>
      </c>
      <c r="AN18" s="10">
        <v>143.89949999999999</v>
      </c>
      <c r="AO18" s="11">
        <v>984.7204999999999</v>
      </c>
      <c r="AP18" s="1" t="s">
        <v>161</v>
      </c>
      <c r="AQ18" s="1" t="s">
        <v>162</v>
      </c>
      <c r="AR18" s="1" t="b">
        <v>0</v>
      </c>
    </row>
    <row r="19" spans="1:44" x14ac:dyDescent="0.3">
      <c r="A19" s="5">
        <v>10018</v>
      </c>
      <c r="B19" s="1">
        <v>1871</v>
      </c>
      <c r="C19" s="2">
        <v>45045</v>
      </c>
      <c r="D19" s="2">
        <v>45048</v>
      </c>
      <c r="E19" s="1" t="s">
        <v>15</v>
      </c>
      <c r="F19" s="1" t="s">
        <v>29</v>
      </c>
      <c r="G19" s="1" t="s">
        <v>24</v>
      </c>
      <c r="H19" s="1" t="s">
        <v>18</v>
      </c>
      <c r="I19" s="1" t="s">
        <v>19</v>
      </c>
      <c r="J19" s="1" t="s">
        <v>55</v>
      </c>
      <c r="K19" s="1" t="s">
        <v>28</v>
      </c>
      <c r="L19" s="1">
        <v>1</v>
      </c>
      <c r="M19" s="1">
        <v>2165.81</v>
      </c>
      <c r="N19" s="1">
        <v>15</v>
      </c>
      <c r="O19" s="1">
        <v>1840.94</v>
      </c>
      <c r="P19" s="1">
        <f t="shared" si="0"/>
        <v>2165.81</v>
      </c>
      <c r="Q19" s="10">
        <f t="shared" si="1"/>
        <v>276.14100000000002</v>
      </c>
      <c r="R19" s="11">
        <f t="shared" si="2"/>
        <v>1889.6689999999999</v>
      </c>
      <c r="S19" s="1" t="str">
        <f t="shared" si="3"/>
        <v>Low</v>
      </c>
      <c r="T19" s="1" t="str" cm="1">
        <f t="array" ref="T19">_xlfn.IFS(L19&gt;5,"High",L19=5,"mediam",L19&lt;5,"low")</f>
        <v>low</v>
      </c>
      <c r="U19" s="1" t="b">
        <f t="shared" si="5"/>
        <v>0</v>
      </c>
      <c r="X19" s="5">
        <v>10111</v>
      </c>
      <c r="Y19" s="1">
        <v>1461</v>
      </c>
      <c r="Z19" s="2">
        <v>44950</v>
      </c>
      <c r="AA19" s="2">
        <v>44959</v>
      </c>
      <c r="AB19" s="1" t="s">
        <v>15</v>
      </c>
      <c r="AC19" s="1" t="s">
        <v>54</v>
      </c>
      <c r="AD19" s="1" t="s">
        <v>30</v>
      </c>
      <c r="AE19" s="1" t="s">
        <v>35</v>
      </c>
      <c r="AF19" s="1" t="s">
        <v>49</v>
      </c>
      <c r="AG19" s="1" t="s">
        <v>68</v>
      </c>
      <c r="AH19" s="1" t="s">
        <v>33</v>
      </c>
      <c r="AI19" s="1">
        <v>1</v>
      </c>
      <c r="AJ19" s="1">
        <v>1820.02</v>
      </c>
      <c r="AK19" s="1">
        <v>10</v>
      </c>
      <c r="AL19" s="1">
        <v>1638.02</v>
      </c>
      <c r="AM19" s="1">
        <v>1820.02</v>
      </c>
      <c r="AN19" s="10">
        <v>163.80200000000002</v>
      </c>
      <c r="AO19" s="11">
        <v>1656.2179999999998</v>
      </c>
      <c r="AP19" s="1" t="s">
        <v>161</v>
      </c>
      <c r="AQ19" s="1" t="s">
        <v>162</v>
      </c>
      <c r="AR19" s="1" t="b">
        <v>0</v>
      </c>
    </row>
    <row r="20" spans="1:44" x14ac:dyDescent="0.3">
      <c r="A20" s="5">
        <v>10019</v>
      </c>
      <c r="B20" s="1">
        <v>1663</v>
      </c>
      <c r="C20" s="2">
        <v>44965</v>
      </c>
      <c r="D20" s="2">
        <v>44968</v>
      </c>
      <c r="E20" s="1" t="s">
        <v>34</v>
      </c>
      <c r="F20" s="1" t="s">
        <v>38</v>
      </c>
      <c r="G20" s="1" t="s">
        <v>30</v>
      </c>
      <c r="H20" s="1" t="s">
        <v>42</v>
      </c>
      <c r="I20" s="1" t="s">
        <v>31</v>
      </c>
      <c r="J20" s="1" t="s">
        <v>39</v>
      </c>
      <c r="K20" s="1" t="s">
        <v>33</v>
      </c>
      <c r="L20" s="1">
        <v>2</v>
      </c>
      <c r="M20" s="1">
        <v>990.3</v>
      </c>
      <c r="N20" s="1">
        <v>15</v>
      </c>
      <c r="O20" s="1">
        <v>1683.51</v>
      </c>
      <c r="P20" s="1">
        <f t="shared" si="0"/>
        <v>1980.6</v>
      </c>
      <c r="Q20" s="10">
        <f t="shared" si="1"/>
        <v>252.5265</v>
      </c>
      <c r="R20" s="11">
        <f t="shared" si="2"/>
        <v>1728.0735</v>
      </c>
      <c r="S20" s="1" t="str">
        <f t="shared" si="3"/>
        <v>Low</v>
      </c>
      <c r="T20" s="1" t="str" cm="1">
        <f t="array" ref="T20">_xlfn.IFS(L20&gt;5,"High",L20=5,"mediam",L20&lt;5,"low")</f>
        <v>low</v>
      </c>
      <c r="U20" s="1" t="b">
        <f t="shared" si="5"/>
        <v>0</v>
      </c>
      <c r="X20" s="5">
        <v>10130</v>
      </c>
      <c r="Y20" s="1">
        <v>1156</v>
      </c>
      <c r="Z20" s="2">
        <v>44929</v>
      </c>
      <c r="AA20" s="2">
        <v>44938</v>
      </c>
      <c r="AB20" s="1" t="s">
        <v>15</v>
      </c>
      <c r="AC20" s="1" t="s">
        <v>41</v>
      </c>
      <c r="AD20" s="1" t="s">
        <v>17</v>
      </c>
      <c r="AE20" s="1" t="s">
        <v>42</v>
      </c>
      <c r="AF20" s="1" t="s">
        <v>57</v>
      </c>
      <c r="AG20" s="1" t="s">
        <v>62</v>
      </c>
      <c r="AH20" s="1" t="s">
        <v>33</v>
      </c>
      <c r="AI20" s="1">
        <v>1</v>
      </c>
      <c r="AJ20" s="1">
        <v>2534.4699999999998</v>
      </c>
      <c r="AK20" s="1">
        <v>5</v>
      </c>
      <c r="AL20" s="1">
        <v>2407.75</v>
      </c>
      <c r="AM20" s="1">
        <v>2534.4699999999998</v>
      </c>
      <c r="AN20" s="10">
        <v>120.3875</v>
      </c>
      <c r="AO20" s="11">
        <v>2414.0825</v>
      </c>
      <c r="AP20" s="1" t="s">
        <v>161</v>
      </c>
      <c r="AQ20" s="1" t="s">
        <v>162</v>
      </c>
      <c r="AR20" s="1" t="b">
        <v>0</v>
      </c>
    </row>
    <row r="21" spans="1:44" x14ac:dyDescent="0.3">
      <c r="A21" s="5">
        <v>10020</v>
      </c>
      <c r="B21" s="1">
        <v>1130</v>
      </c>
      <c r="C21" s="2">
        <v>45194</v>
      </c>
      <c r="D21" s="2">
        <v>45203</v>
      </c>
      <c r="E21" s="1" t="s">
        <v>46</v>
      </c>
      <c r="F21" s="1" t="s">
        <v>38</v>
      </c>
      <c r="G21" s="1" t="s">
        <v>17</v>
      </c>
      <c r="H21" s="1" t="s">
        <v>18</v>
      </c>
      <c r="I21" s="1" t="s">
        <v>49</v>
      </c>
      <c r="J21" s="1" t="s">
        <v>51</v>
      </c>
      <c r="K21" s="1" t="s">
        <v>21</v>
      </c>
      <c r="L21" s="1">
        <v>2</v>
      </c>
      <c r="M21" s="1">
        <v>3959.31</v>
      </c>
      <c r="N21" s="1">
        <v>5</v>
      </c>
      <c r="O21" s="1">
        <v>7522.69</v>
      </c>
      <c r="P21" s="1">
        <f t="shared" si="0"/>
        <v>7918.62</v>
      </c>
      <c r="Q21" s="10">
        <f t="shared" si="1"/>
        <v>376.1345</v>
      </c>
      <c r="R21" s="11">
        <f t="shared" si="2"/>
        <v>7542.4854999999998</v>
      </c>
      <c r="S21" s="1" t="str">
        <f t="shared" si="3"/>
        <v>Low</v>
      </c>
      <c r="T21" s="1" t="str" cm="1">
        <f t="array" ref="T21">_xlfn.IFS(L21&gt;5,"High",L21=5,"mediam",L21&lt;5,"low")</f>
        <v>low</v>
      </c>
      <c r="U21" s="1" t="b">
        <f t="shared" si="5"/>
        <v>0</v>
      </c>
      <c r="X21" s="5">
        <v>10171</v>
      </c>
      <c r="Y21" s="1">
        <v>1986</v>
      </c>
      <c r="Z21" s="2">
        <v>45227</v>
      </c>
      <c r="AA21" s="2">
        <v>45228</v>
      </c>
      <c r="AB21" s="1" t="s">
        <v>15</v>
      </c>
      <c r="AC21" s="1" t="s">
        <v>41</v>
      </c>
      <c r="AD21" s="1" t="s">
        <v>24</v>
      </c>
      <c r="AE21" s="1" t="s">
        <v>18</v>
      </c>
      <c r="AF21" s="1" t="s">
        <v>19</v>
      </c>
      <c r="AG21" s="1" t="s">
        <v>43</v>
      </c>
      <c r="AH21" s="1" t="s">
        <v>21</v>
      </c>
      <c r="AI21" s="1">
        <v>8</v>
      </c>
      <c r="AJ21" s="1">
        <v>3795.01</v>
      </c>
      <c r="AK21" s="1">
        <v>5</v>
      </c>
      <c r="AL21" s="1">
        <v>28842.080000000002</v>
      </c>
      <c r="AM21" s="1">
        <v>30360.080000000002</v>
      </c>
      <c r="AN21" s="10">
        <v>1442.1040000000003</v>
      </c>
      <c r="AO21" s="11">
        <v>28917.976000000002</v>
      </c>
      <c r="AP21" s="1" t="s">
        <v>159</v>
      </c>
      <c r="AQ21" s="1" t="s">
        <v>159</v>
      </c>
      <c r="AR21" s="1" t="s">
        <v>159</v>
      </c>
    </row>
    <row r="22" spans="1:44" x14ac:dyDescent="0.3">
      <c r="A22" s="5">
        <v>10021</v>
      </c>
      <c r="B22" s="1">
        <v>1661</v>
      </c>
      <c r="C22" s="2">
        <v>45159</v>
      </c>
      <c r="D22" s="2">
        <v>45163</v>
      </c>
      <c r="E22" s="1" t="s">
        <v>46</v>
      </c>
      <c r="F22" s="1" t="s">
        <v>29</v>
      </c>
      <c r="G22" s="1" t="s">
        <v>24</v>
      </c>
      <c r="H22" s="1" t="s">
        <v>18</v>
      </c>
      <c r="I22" s="1" t="s">
        <v>52</v>
      </c>
      <c r="J22" s="1" t="s">
        <v>56</v>
      </c>
      <c r="K22" s="1" t="s">
        <v>21</v>
      </c>
      <c r="L22" s="1">
        <v>3</v>
      </c>
      <c r="M22" s="1">
        <v>2361.58</v>
      </c>
      <c r="N22" s="1">
        <v>5</v>
      </c>
      <c r="O22" s="1">
        <v>6730.5</v>
      </c>
      <c r="P22" s="1">
        <f t="shared" si="0"/>
        <v>7084.74</v>
      </c>
      <c r="Q22" s="10">
        <f t="shared" si="1"/>
        <v>336.52500000000003</v>
      </c>
      <c r="R22" s="11">
        <f t="shared" si="2"/>
        <v>6748.2150000000001</v>
      </c>
      <c r="S22" s="1" t="str">
        <f t="shared" si="3"/>
        <v>Low</v>
      </c>
      <c r="T22" s="1" t="str" cm="1">
        <f t="array" ref="T22">_xlfn.IFS(L22&gt;5,"High",L22=5,"mediam",L22&lt;5,"low")</f>
        <v>low</v>
      </c>
      <c r="U22" s="1" t="b">
        <f t="shared" si="5"/>
        <v>0</v>
      </c>
      <c r="X22" s="5">
        <v>10173</v>
      </c>
      <c r="Y22" s="1">
        <v>1960</v>
      </c>
      <c r="Z22" s="2">
        <v>45124</v>
      </c>
      <c r="AA22" s="2">
        <v>45127</v>
      </c>
      <c r="AB22" s="1" t="s">
        <v>15</v>
      </c>
      <c r="AC22" s="1" t="s">
        <v>38</v>
      </c>
      <c r="AD22" s="1" t="s">
        <v>24</v>
      </c>
      <c r="AE22" s="1" t="s">
        <v>42</v>
      </c>
      <c r="AF22" s="1" t="s">
        <v>31</v>
      </c>
      <c r="AG22" s="1" t="s">
        <v>65</v>
      </c>
      <c r="AH22" s="1" t="s">
        <v>28</v>
      </c>
      <c r="AI22" s="1">
        <v>3</v>
      </c>
      <c r="AJ22" s="1">
        <v>1357.77</v>
      </c>
      <c r="AK22" s="1">
        <v>5</v>
      </c>
      <c r="AL22" s="1">
        <v>3869.64</v>
      </c>
      <c r="AM22" s="1">
        <v>4073.31</v>
      </c>
      <c r="AN22" s="10">
        <v>193.482</v>
      </c>
      <c r="AO22" s="11">
        <v>3879.828</v>
      </c>
      <c r="AP22" s="1" t="s">
        <v>161</v>
      </c>
      <c r="AQ22" s="1" t="s">
        <v>162</v>
      </c>
      <c r="AR22" s="1" t="b">
        <v>0</v>
      </c>
    </row>
    <row r="23" spans="1:44" x14ac:dyDescent="0.3">
      <c r="A23" s="5">
        <v>10022</v>
      </c>
      <c r="B23" s="1">
        <v>1308</v>
      </c>
      <c r="C23" s="2">
        <v>44944</v>
      </c>
      <c r="D23" s="2">
        <v>44951</v>
      </c>
      <c r="E23" s="1" t="s">
        <v>37</v>
      </c>
      <c r="F23" s="1" t="s">
        <v>23</v>
      </c>
      <c r="G23" s="1" t="s">
        <v>30</v>
      </c>
      <c r="H23" s="1" t="s">
        <v>35</v>
      </c>
      <c r="I23" s="1" t="s">
        <v>57</v>
      </c>
      <c r="J23" s="1" t="s">
        <v>58</v>
      </c>
      <c r="K23" s="1" t="s">
        <v>33</v>
      </c>
      <c r="L23" s="1">
        <v>7</v>
      </c>
      <c r="M23" s="1">
        <v>680.86</v>
      </c>
      <c r="N23" s="1">
        <v>20</v>
      </c>
      <c r="O23" s="1">
        <v>3812.82</v>
      </c>
      <c r="P23" s="1">
        <f t="shared" si="0"/>
        <v>4766.0200000000004</v>
      </c>
      <c r="Q23" s="10">
        <f t="shared" si="1"/>
        <v>762.56400000000008</v>
      </c>
      <c r="R23" s="11">
        <f t="shared" si="2"/>
        <v>4003.4560000000001</v>
      </c>
      <c r="S23" s="1" t="str">
        <f t="shared" si="3"/>
        <v>High</v>
      </c>
      <c r="T23" s="1" t="str" cm="1">
        <f t="array" ref="T23">_xlfn.IFS(L23&gt;5,"High",L23=5,"mediam",L23&lt;5,"low")</f>
        <v>High</v>
      </c>
      <c r="U23" s="1" t="str">
        <f t="shared" si="5"/>
        <v>High</v>
      </c>
      <c r="X23" s="5">
        <v>10180</v>
      </c>
      <c r="Y23" s="1">
        <v>1004</v>
      </c>
      <c r="Z23" s="2">
        <v>45004</v>
      </c>
      <c r="AA23" s="2">
        <v>45006</v>
      </c>
      <c r="AB23" s="1" t="s">
        <v>15</v>
      </c>
      <c r="AC23" s="1" t="s">
        <v>29</v>
      </c>
      <c r="AD23" s="1" t="s">
        <v>17</v>
      </c>
      <c r="AE23" s="1" t="s">
        <v>35</v>
      </c>
      <c r="AF23" s="1" t="s">
        <v>19</v>
      </c>
      <c r="AG23" s="1" t="s">
        <v>43</v>
      </c>
      <c r="AH23" s="1" t="s">
        <v>45</v>
      </c>
      <c r="AI23" s="1">
        <v>8</v>
      </c>
      <c r="AJ23" s="1">
        <v>2211.17</v>
      </c>
      <c r="AK23" s="1">
        <v>10</v>
      </c>
      <c r="AL23" s="1">
        <v>15920.42</v>
      </c>
      <c r="AM23" s="1">
        <v>17689.36</v>
      </c>
      <c r="AN23" s="10">
        <v>1592.0420000000001</v>
      </c>
      <c r="AO23" s="11">
        <v>16097.318000000001</v>
      </c>
      <c r="AP23" s="1" t="s">
        <v>159</v>
      </c>
      <c r="AQ23" s="1" t="s">
        <v>159</v>
      </c>
      <c r="AR23" s="1" t="s">
        <v>159</v>
      </c>
    </row>
    <row r="24" spans="1:44" x14ac:dyDescent="0.3">
      <c r="A24" s="5">
        <v>10023</v>
      </c>
      <c r="B24" s="1">
        <v>1769</v>
      </c>
      <c r="C24" s="2">
        <v>45075</v>
      </c>
      <c r="D24" s="2">
        <v>45084</v>
      </c>
      <c r="E24" s="1" t="s">
        <v>16</v>
      </c>
      <c r="F24" s="1" t="s">
        <v>23</v>
      </c>
      <c r="G24" s="1" t="s">
        <v>17</v>
      </c>
      <c r="H24" s="1" t="s">
        <v>42</v>
      </c>
      <c r="I24" s="1" t="s">
        <v>31</v>
      </c>
      <c r="J24" s="1" t="s">
        <v>32</v>
      </c>
      <c r="K24" s="1" t="s">
        <v>45</v>
      </c>
      <c r="L24" s="1">
        <v>2</v>
      </c>
      <c r="M24" s="1">
        <v>2801.74</v>
      </c>
      <c r="N24" s="1">
        <v>20</v>
      </c>
      <c r="O24" s="1">
        <v>4482.78</v>
      </c>
      <c r="P24" s="1">
        <f t="shared" si="0"/>
        <v>5603.48</v>
      </c>
      <c r="Q24" s="10">
        <f t="shared" si="1"/>
        <v>896.55600000000004</v>
      </c>
      <c r="R24" s="11">
        <f t="shared" si="2"/>
        <v>4706.9239999999991</v>
      </c>
      <c r="S24" s="1" t="str">
        <f t="shared" si="3"/>
        <v>Low</v>
      </c>
      <c r="T24" s="1" t="str" cm="1">
        <f t="array" ref="T24">_xlfn.IFS(L24&gt;5,"High",L24=5,"mediam",L24&lt;5,"low")</f>
        <v>low</v>
      </c>
      <c r="U24" s="1" t="b">
        <f t="shared" si="5"/>
        <v>0</v>
      </c>
      <c r="X24" s="5">
        <v>10181</v>
      </c>
      <c r="Y24" s="1">
        <v>1217</v>
      </c>
      <c r="Z24" s="2">
        <v>45050</v>
      </c>
      <c r="AA24" s="2">
        <v>45053</v>
      </c>
      <c r="AB24" s="1" t="s">
        <v>15</v>
      </c>
      <c r="AC24" s="1" t="s">
        <v>23</v>
      </c>
      <c r="AD24" s="1" t="s">
        <v>17</v>
      </c>
      <c r="AE24" s="1" t="s">
        <v>42</v>
      </c>
      <c r="AF24" s="1" t="s">
        <v>49</v>
      </c>
      <c r="AG24" s="1" t="s">
        <v>50</v>
      </c>
      <c r="AH24" s="1" t="s">
        <v>33</v>
      </c>
      <c r="AI24" s="1">
        <v>5</v>
      </c>
      <c r="AJ24" s="1">
        <v>2329.38</v>
      </c>
      <c r="AK24" s="1">
        <v>20</v>
      </c>
      <c r="AL24" s="1">
        <v>9317.52</v>
      </c>
      <c r="AM24" s="1">
        <v>11646.900000000001</v>
      </c>
      <c r="AN24" s="10">
        <v>1863.5040000000001</v>
      </c>
      <c r="AO24" s="11">
        <v>9783.3960000000006</v>
      </c>
      <c r="AP24" s="1" t="s">
        <v>159</v>
      </c>
      <c r="AQ24" s="1" t="s">
        <v>160</v>
      </c>
      <c r="AR24" s="1" t="b">
        <v>0</v>
      </c>
    </row>
    <row r="25" spans="1:44" x14ac:dyDescent="0.3">
      <c r="A25" s="5">
        <v>10024</v>
      </c>
      <c r="B25" s="1">
        <v>1343</v>
      </c>
      <c r="C25" s="2">
        <v>45075</v>
      </c>
      <c r="D25" s="2">
        <v>45082</v>
      </c>
      <c r="E25" s="1" t="s">
        <v>22</v>
      </c>
      <c r="F25" s="1" t="s">
        <v>41</v>
      </c>
      <c r="G25" s="1" t="s">
        <v>17</v>
      </c>
      <c r="H25" s="1" t="s">
        <v>44</v>
      </c>
      <c r="I25" s="1" t="s">
        <v>49</v>
      </c>
      <c r="J25" s="1" t="s">
        <v>51</v>
      </c>
      <c r="K25" s="1" t="s">
        <v>45</v>
      </c>
      <c r="L25" s="1">
        <v>1</v>
      </c>
      <c r="M25" s="1">
        <v>3606.31</v>
      </c>
      <c r="N25" s="1">
        <v>0</v>
      </c>
      <c r="O25" s="1">
        <v>3606.31</v>
      </c>
      <c r="P25" s="1">
        <f t="shared" si="0"/>
        <v>3606.31</v>
      </c>
      <c r="Q25" s="10">
        <f t="shared" si="1"/>
        <v>0</v>
      </c>
      <c r="R25" s="11">
        <f t="shared" si="2"/>
        <v>3606.31</v>
      </c>
      <c r="S25" s="1" t="str">
        <f t="shared" si="3"/>
        <v>Low</v>
      </c>
      <c r="T25" s="1" t="str" cm="1">
        <f t="array" ref="T25">_xlfn.IFS(L25&gt;5,"High",L25=5,"mediam",L25&lt;5,"low")</f>
        <v>low</v>
      </c>
      <c r="U25" s="1" t="b">
        <f t="shared" si="5"/>
        <v>0</v>
      </c>
      <c r="X25" s="5">
        <v>10183</v>
      </c>
      <c r="Y25" s="1">
        <v>1766</v>
      </c>
      <c r="Z25" s="2">
        <v>45285</v>
      </c>
      <c r="AA25" s="2">
        <v>45294</v>
      </c>
      <c r="AB25" s="1" t="s">
        <v>15</v>
      </c>
      <c r="AC25" s="1" t="s">
        <v>23</v>
      </c>
      <c r="AD25" s="1" t="s">
        <v>30</v>
      </c>
      <c r="AE25" s="1" t="s">
        <v>18</v>
      </c>
      <c r="AF25" s="1" t="s">
        <v>31</v>
      </c>
      <c r="AG25" s="1" t="s">
        <v>39</v>
      </c>
      <c r="AH25" s="1" t="s">
        <v>47</v>
      </c>
      <c r="AI25" s="1">
        <v>7</v>
      </c>
      <c r="AJ25" s="1">
        <v>658.07</v>
      </c>
      <c r="AK25" s="1">
        <v>20</v>
      </c>
      <c r="AL25" s="1">
        <v>3685.19</v>
      </c>
      <c r="AM25" s="1">
        <v>4606.4900000000007</v>
      </c>
      <c r="AN25" s="10">
        <v>737.03800000000001</v>
      </c>
      <c r="AO25" s="11">
        <v>3869.4520000000007</v>
      </c>
      <c r="AP25" s="1" t="s">
        <v>159</v>
      </c>
      <c r="AQ25" s="1" t="s">
        <v>159</v>
      </c>
      <c r="AR25" s="1" t="s">
        <v>159</v>
      </c>
    </row>
    <row r="26" spans="1:44" x14ac:dyDescent="0.3">
      <c r="A26" s="5">
        <v>10025</v>
      </c>
      <c r="B26" s="1">
        <v>1491</v>
      </c>
      <c r="C26" s="2">
        <v>45052</v>
      </c>
      <c r="D26" s="2">
        <v>45061</v>
      </c>
      <c r="E26" s="1" t="s">
        <v>37</v>
      </c>
      <c r="F26" s="1" t="s">
        <v>38</v>
      </c>
      <c r="G26" s="1" t="s">
        <v>30</v>
      </c>
      <c r="H26" s="1" t="s">
        <v>44</v>
      </c>
      <c r="I26" s="1" t="s">
        <v>57</v>
      </c>
      <c r="J26" s="1" t="s">
        <v>59</v>
      </c>
      <c r="K26" s="1" t="s">
        <v>45</v>
      </c>
      <c r="L26" s="1">
        <v>6</v>
      </c>
      <c r="M26" s="1">
        <v>3018.94</v>
      </c>
      <c r="N26" s="1">
        <v>5</v>
      </c>
      <c r="O26" s="1">
        <v>17207.96</v>
      </c>
      <c r="P26" s="1">
        <f t="shared" si="0"/>
        <v>18113.64</v>
      </c>
      <c r="Q26" s="10">
        <f t="shared" si="1"/>
        <v>860.39800000000002</v>
      </c>
      <c r="R26" s="11">
        <f t="shared" si="2"/>
        <v>17253.241999999998</v>
      </c>
      <c r="S26" s="1" t="str">
        <f t="shared" si="3"/>
        <v>High</v>
      </c>
      <c r="T26" s="1" t="str" cm="1">
        <f t="array" ref="T26">_xlfn.IFS(L26&gt;5,"High",L26=5,"mediam",L26&lt;5,"low")</f>
        <v>High</v>
      </c>
      <c r="U26" s="1" t="str">
        <f t="shared" si="5"/>
        <v>High</v>
      </c>
      <c r="X26" s="5">
        <v>10192</v>
      </c>
      <c r="Y26" s="1">
        <v>1891</v>
      </c>
      <c r="Z26" s="2">
        <v>45039</v>
      </c>
      <c r="AA26" s="2">
        <v>45042</v>
      </c>
      <c r="AB26" s="1" t="s">
        <v>15</v>
      </c>
      <c r="AC26" s="1" t="s">
        <v>29</v>
      </c>
      <c r="AD26" s="1" t="s">
        <v>30</v>
      </c>
      <c r="AE26" s="1" t="s">
        <v>35</v>
      </c>
      <c r="AF26" s="1" t="s">
        <v>52</v>
      </c>
      <c r="AG26" s="1" t="s">
        <v>60</v>
      </c>
      <c r="AH26" s="1" t="s">
        <v>21</v>
      </c>
      <c r="AI26" s="1">
        <v>2</v>
      </c>
      <c r="AJ26" s="1">
        <v>487.23</v>
      </c>
      <c r="AK26" s="1">
        <v>15</v>
      </c>
      <c r="AL26" s="1">
        <v>828.29</v>
      </c>
      <c r="AM26" s="1">
        <v>974.46</v>
      </c>
      <c r="AN26" s="10">
        <v>124.24349999999998</v>
      </c>
      <c r="AO26" s="11">
        <v>850.2165</v>
      </c>
      <c r="AP26" s="1" t="s">
        <v>161</v>
      </c>
      <c r="AQ26" s="1" t="s">
        <v>162</v>
      </c>
      <c r="AR26" s="1" t="b">
        <v>0</v>
      </c>
    </row>
    <row r="27" spans="1:44" x14ac:dyDescent="0.3">
      <c r="A27" s="5">
        <v>10026</v>
      </c>
      <c r="B27" s="1">
        <v>1413</v>
      </c>
      <c r="C27" s="2">
        <v>45228</v>
      </c>
      <c r="D27" s="2">
        <v>45231</v>
      </c>
      <c r="E27" s="1" t="s">
        <v>34</v>
      </c>
      <c r="F27" s="1" t="s">
        <v>16</v>
      </c>
      <c r="G27" s="1" t="s">
        <v>30</v>
      </c>
      <c r="H27" s="1" t="s">
        <v>42</v>
      </c>
      <c r="I27" s="1" t="s">
        <v>52</v>
      </c>
      <c r="J27" s="1" t="s">
        <v>60</v>
      </c>
      <c r="K27" s="1" t="s">
        <v>33</v>
      </c>
      <c r="L27" s="1">
        <v>9</v>
      </c>
      <c r="M27" s="1">
        <v>444.29</v>
      </c>
      <c r="N27" s="1">
        <v>5</v>
      </c>
      <c r="O27" s="1">
        <v>3798.68</v>
      </c>
      <c r="P27" s="1">
        <f t="shared" si="0"/>
        <v>3998.61</v>
      </c>
      <c r="Q27" s="10">
        <f t="shared" si="1"/>
        <v>189.934</v>
      </c>
      <c r="R27" s="11">
        <f t="shared" si="2"/>
        <v>3808.6759999999999</v>
      </c>
      <c r="S27" s="1" t="str">
        <f t="shared" si="3"/>
        <v>High</v>
      </c>
      <c r="T27" s="1" t="str" cm="1">
        <f t="array" ref="T27">_xlfn.IFS(L27&gt;5,"High",L27=5,"mediam",L27&lt;5,"low")</f>
        <v>High</v>
      </c>
      <c r="U27" s="1" t="str">
        <f t="shared" si="5"/>
        <v>High</v>
      </c>
      <c r="X27" s="5">
        <v>10200</v>
      </c>
      <c r="Y27" s="1">
        <v>1095</v>
      </c>
      <c r="Z27" s="2">
        <v>45171</v>
      </c>
      <c r="AA27" s="2">
        <v>45176</v>
      </c>
      <c r="AB27" s="1" t="s">
        <v>15</v>
      </c>
      <c r="AC27" s="1" t="s">
        <v>29</v>
      </c>
      <c r="AD27" s="1" t="s">
        <v>30</v>
      </c>
      <c r="AE27" s="1" t="s">
        <v>44</v>
      </c>
      <c r="AF27" s="1" t="s">
        <v>19</v>
      </c>
      <c r="AG27" s="1" t="s">
        <v>66</v>
      </c>
      <c r="AH27" s="1" t="s">
        <v>33</v>
      </c>
      <c r="AI27" s="1">
        <v>3</v>
      </c>
      <c r="AJ27" s="1">
        <v>2701.77</v>
      </c>
      <c r="AK27" s="1">
        <v>15</v>
      </c>
      <c r="AL27" s="1">
        <v>6889.51</v>
      </c>
      <c r="AM27" s="1">
        <v>8105.3099999999995</v>
      </c>
      <c r="AN27" s="10">
        <v>1033.4265</v>
      </c>
      <c r="AO27" s="11">
        <v>7071.8834999999999</v>
      </c>
      <c r="AP27" s="1" t="s">
        <v>161</v>
      </c>
      <c r="AQ27" s="1" t="s">
        <v>162</v>
      </c>
      <c r="AR27" s="1" t="b">
        <v>0</v>
      </c>
    </row>
    <row r="28" spans="1:44" x14ac:dyDescent="0.3">
      <c r="A28" s="5">
        <v>10027</v>
      </c>
      <c r="B28" s="1">
        <v>1805</v>
      </c>
      <c r="C28" s="2">
        <v>45286</v>
      </c>
      <c r="D28" s="2">
        <v>45290</v>
      </c>
      <c r="E28" s="1" t="s">
        <v>37</v>
      </c>
      <c r="F28" s="1" t="s">
        <v>41</v>
      </c>
      <c r="G28" s="1" t="s">
        <v>24</v>
      </c>
      <c r="H28" s="1" t="s">
        <v>35</v>
      </c>
      <c r="I28" s="1" t="s">
        <v>57</v>
      </c>
      <c r="J28" s="1" t="s">
        <v>58</v>
      </c>
      <c r="K28" s="1" t="s">
        <v>21</v>
      </c>
      <c r="L28" s="1">
        <v>3</v>
      </c>
      <c r="M28" s="1">
        <v>3599.15</v>
      </c>
      <c r="N28" s="1">
        <v>5</v>
      </c>
      <c r="O28" s="1">
        <v>10257.58</v>
      </c>
      <c r="P28" s="1">
        <f t="shared" si="0"/>
        <v>10797.45</v>
      </c>
      <c r="Q28" s="10">
        <f t="shared" si="1"/>
        <v>512.87900000000002</v>
      </c>
      <c r="R28" s="11">
        <f t="shared" si="2"/>
        <v>10284.571</v>
      </c>
      <c r="S28" s="1" t="str">
        <f t="shared" si="3"/>
        <v>Low</v>
      </c>
      <c r="T28" s="1" t="str" cm="1">
        <f t="array" ref="T28">_xlfn.IFS(L28&gt;5,"High",L28=5,"mediam",L28&lt;5,"low")</f>
        <v>low</v>
      </c>
      <c r="U28" s="1" t="b">
        <f t="shared" si="5"/>
        <v>0</v>
      </c>
      <c r="X28" s="5">
        <v>10201</v>
      </c>
      <c r="Y28" s="1">
        <v>1899</v>
      </c>
      <c r="Z28" s="2">
        <v>44961</v>
      </c>
      <c r="AA28" s="2">
        <v>44966</v>
      </c>
      <c r="AB28" s="1" t="s">
        <v>15</v>
      </c>
      <c r="AC28" s="1" t="s">
        <v>29</v>
      </c>
      <c r="AD28" s="1" t="s">
        <v>30</v>
      </c>
      <c r="AE28" s="1" t="s">
        <v>42</v>
      </c>
      <c r="AF28" s="1" t="s">
        <v>57</v>
      </c>
      <c r="AG28" s="1" t="s">
        <v>59</v>
      </c>
      <c r="AH28" s="1" t="s">
        <v>28</v>
      </c>
      <c r="AI28" s="1">
        <v>5</v>
      </c>
      <c r="AJ28" s="1">
        <v>3501.94</v>
      </c>
      <c r="AK28" s="1">
        <v>20</v>
      </c>
      <c r="AL28" s="1">
        <v>14007.76</v>
      </c>
      <c r="AM28" s="1">
        <v>17509.7</v>
      </c>
      <c r="AN28" s="10">
        <v>2801.5520000000001</v>
      </c>
      <c r="AO28" s="11">
        <v>14708.148000000001</v>
      </c>
      <c r="AP28" s="1" t="s">
        <v>159</v>
      </c>
      <c r="AQ28" s="1" t="s">
        <v>160</v>
      </c>
      <c r="AR28" s="1" t="b">
        <v>0</v>
      </c>
    </row>
    <row r="29" spans="1:44" x14ac:dyDescent="0.3">
      <c r="A29" s="5">
        <v>10028</v>
      </c>
      <c r="B29" s="1">
        <v>1385</v>
      </c>
      <c r="C29" s="2">
        <v>45164</v>
      </c>
      <c r="D29" s="2">
        <v>45172</v>
      </c>
      <c r="E29" s="1" t="s">
        <v>40</v>
      </c>
      <c r="F29" s="1" t="s">
        <v>23</v>
      </c>
      <c r="G29" s="1" t="s">
        <v>24</v>
      </c>
      <c r="H29" s="1" t="s">
        <v>25</v>
      </c>
      <c r="I29" s="1" t="s">
        <v>49</v>
      </c>
      <c r="J29" s="1" t="s">
        <v>51</v>
      </c>
      <c r="K29" s="1" t="s">
        <v>33</v>
      </c>
      <c r="L29" s="1">
        <v>6</v>
      </c>
      <c r="M29" s="1">
        <v>3206.63</v>
      </c>
      <c r="N29" s="1">
        <v>20</v>
      </c>
      <c r="O29" s="1">
        <v>15391.82</v>
      </c>
      <c r="P29" s="1">
        <f t="shared" si="0"/>
        <v>19239.78</v>
      </c>
      <c r="Q29" s="10">
        <f t="shared" si="1"/>
        <v>3078.364</v>
      </c>
      <c r="R29" s="11">
        <f t="shared" si="2"/>
        <v>16161.415999999999</v>
      </c>
      <c r="S29" s="1" t="str">
        <f t="shared" si="3"/>
        <v>High</v>
      </c>
      <c r="T29" s="1" t="str" cm="1">
        <f t="array" ref="T29">_xlfn.IFS(L29&gt;5,"High",L29=5,"mediam",L29&lt;5,"low")</f>
        <v>High</v>
      </c>
      <c r="U29" s="1" t="str">
        <f t="shared" si="5"/>
        <v>High</v>
      </c>
      <c r="X29" s="5">
        <v>10210</v>
      </c>
      <c r="Y29" s="1">
        <v>1035</v>
      </c>
      <c r="Z29" s="2">
        <v>45282</v>
      </c>
      <c r="AA29" s="2">
        <v>45284</v>
      </c>
      <c r="AB29" s="1" t="s">
        <v>15</v>
      </c>
      <c r="AC29" s="1" t="s">
        <v>54</v>
      </c>
      <c r="AD29" s="1" t="s">
        <v>30</v>
      </c>
      <c r="AE29" s="1" t="s">
        <v>18</v>
      </c>
      <c r="AF29" s="1" t="s">
        <v>19</v>
      </c>
      <c r="AG29" s="1" t="s">
        <v>20</v>
      </c>
      <c r="AH29" s="1" t="s">
        <v>45</v>
      </c>
      <c r="AI29" s="1">
        <v>8</v>
      </c>
      <c r="AJ29" s="1">
        <v>3656.59</v>
      </c>
      <c r="AK29" s="1">
        <v>15</v>
      </c>
      <c r="AL29" s="1">
        <v>24864.81</v>
      </c>
      <c r="AM29" s="1">
        <v>29252.720000000001</v>
      </c>
      <c r="AN29" s="10">
        <v>3729.7215000000001</v>
      </c>
      <c r="AO29" s="11">
        <v>25522.998500000002</v>
      </c>
      <c r="AP29" s="1" t="s">
        <v>159</v>
      </c>
      <c r="AQ29" s="1" t="s">
        <v>159</v>
      </c>
      <c r="AR29" s="1" t="s">
        <v>159</v>
      </c>
    </row>
    <row r="30" spans="1:44" x14ac:dyDescent="0.3">
      <c r="A30" s="5">
        <v>10029</v>
      </c>
      <c r="B30" s="1">
        <v>1191</v>
      </c>
      <c r="C30" s="2">
        <v>45061</v>
      </c>
      <c r="D30" s="2">
        <v>45067</v>
      </c>
      <c r="E30" s="1" t="s">
        <v>46</v>
      </c>
      <c r="F30" s="1" t="s">
        <v>29</v>
      </c>
      <c r="G30" s="1" t="s">
        <v>17</v>
      </c>
      <c r="H30" s="1" t="s">
        <v>18</v>
      </c>
      <c r="I30" s="1" t="s">
        <v>26</v>
      </c>
      <c r="J30" s="1" t="s">
        <v>27</v>
      </c>
      <c r="K30" s="1" t="s">
        <v>33</v>
      </c>
      <c r="L30" s="1">
        <v>3</v>
      </c>
      <c r="M30" s="1">
        <v>759.47</v>
      </c>
      <c r="N30" s="1">
        <v>15</v>
      </c>
      <c r="O30" s="1">
        <v>1936.65</v>
      </c>
      <c r="P30" s="1">
        <f t="shared" si="0"/>
        <v>2278.41</v>
      </c>
      <c r="Q30" s="10">
        <f t="shared" si="1"/>
        <v>290.4975</v>
      </c>
      <c r="R30" s="11">
        <f t="shared" si="2"/>
        <v>1987.9124999999999</v>
      </c>
      <c r="S30" s="1" t="str">
        <f t="shared" si="3"/>
        <v>Low</v>
      </c>
      <c r="T30" s="1" t="str" cm="1">
        <f t="array" ref="T30">_xlfn.IFS(L30&gt;5,"High",L30=5,"mediam",L30&lt;5,"low")</f>
        <v>low</v>
      </c>
      <c r="U30" s="1" t="b">
        <f t="shared" si="5"/>
        <v>0</v>
      </c>
      <c r="X30" s="5">
        <v>10213</v>
      </c>
      <c r="Y30" s="1">
        <v>1838</v>
      </c>
      <c r="Z30" s="2">
        <v>45186</v>
      </c>
      <c r="AA30" s="2">
        <v>45193</v>
      </c>
      <c r="AB30" s="1" t="s">
        <v>15</v>
      </c>
      <c r="AC30" s="1" t="s">
        <v>41</v>
      </c>
      <c r="AD30" s="1" t="s">
        <v>24</v>
      </c>
      <c r="AE30" s="1" t="s">
        <v>42</v>
      </c>
      <c r="AF30" s="1" t="s">
        <v>49</v>
      </c>
      <c r="AG30" s="1" t="s">
        <v>63</v>
      </c>
      <c r="AH30" s="1" t="s">
        <v>21</v>
      </c>
      <c r="AI30" s="1">
        <v>4</v>
      </c>
      <c r="AJ30" s="1">
        <v>1484.25</v>
      </c>
      <c r="AK30" s="1">
        <v>20</v>
      </c>
      <c r="AL30" s="1">
        <v>4749.6000000000004</v>
      </c>
      <c r="AM30" s="1">
        <v>5937</v>
      </c>
      <c r="AN30" s="10">
        <v>949.92000000000007</v>
      </c>
      <c r="AO30" s="11">
        <v>4987.08</v>
      </c>
      <c r="AP30" s="1" t="s">
        <v>161</v>
      </c>
      <c r="AQ30" s="1" t="s">
        <v>162</v>
      </c>
      <c r="AR30" s="1" t="b">
        <v>0</v>
      </c>
    </row>
    <row r="31" spans="1:44" x14ac:dyDescent="0.3">
      <c r="A31" s="5">
        <v>10030</v>
      </c>
      <c r="B31" s="1">
        <v>1955</v>
      </c>
      <c r="C31" s="2">
        <v>45077</v>
      </c>
      <c r="D31" s="2">
        <v>45082</v>
      </c>
      <c r="E31" s="1" t="s">
        <v>46</v>
      </c>
      <c r="F31" s="1" t="s">
        <v>23</v>
      </c>
      <c r="G31" s="1" t="s">
        <v>30</v>
      </c>
      <c r="H31" s="1" t="s">
        <v>35</v>
      </c>
      <c r="I31" s="1" t="s">
        <v>26</v>
      </c>
      <c r="J31" s="1" t="s">
        <v>61</v>
      </c>
      <c r="K31" s="1" t="s">
        <v>45</v>
      </c>
      <c r="L31" s="1">
        <v>1</v>
      </c>
      <c r="M31" s="1">
        <v>349.38</v>
      </c>
      <c r="N31" s="1">
        <v>10</v>
      </c>
      <c r="O31" s="1">
        <v>314.44</v>
      </c>
      <c r="P31" s="1">
        <f t="shared" si="0"/>
        <v>349.38</v>
      </c>
      <c r="Q31" s="10">
        <f t="shared" si="1"/>
        <v>31.444000000000003</v>
      </c>
      <c r="R31" s="11">
        <f t="shared" si="2"/>
        <v>317.93599999999998</v>
      </c>
      <c r="S31" s="1" t="str">
        <f t="shared" si="3"/>
        <v>Low</v>
      </c>
      <c r="T31" s="1" t="str" cm="1">
        <f t="array" ref="T31">_xlfn.IFS(L31&gt;5,"High",L31=5,"mediam",L31&lt;5,"low")</f>
        <v>low</v>
      </c>
      <c r="U31" s="1" t="b">
        <f t="shared" si="5"/>
        <v>0</v>
      </c>
      <c r="X31" s="5">
        <v>10215</v>
      </c>
      <c r="Y31" s="1">
        <v>1242</v>
      </c>
      <c r="Z31" s="2">
        <v>45157</v>
      </c>
      <c r="AA31" s="2">
        <v>45162</v>
      </c>
      <c r="AB31" s="1" t="s">
        <v>15</v>
      </c>
      <c r="AC31" s="1" t="s">
        <v>16</v>
      </c>
      <c r="AD31" s="1" t="s">
        <v>17</v>
      </c>
      <c r="AE31" s="1" t="s">
        <v>25</v>
      </c>
      <c r="AF31" s="1" t="s">
        <v>26</v>
      </c>
      <c r="AG31" s="1" t="s">
        <v>27</v>
      </c>
      <c r="AH31" s="1" t="s">
        <v>21</v>
      </c>
      <c r="AI31" s="1">
        <v>5</v>
      </c>
      <c r="AJ31" s="1">
        <v>633.42999999999995</v>
      </c>
      <c r="AK31" s="1">
        <v>20</v>
      </c>
      <c r="AL31" s="1">
        <v>2533.7199999999998</v>
      </c>
      <c r="AM31" s="1">
        <v>3167.1499999999996</v>
      </c>
      <c r="AN31" s="10">
        <v>506.74399999999997</v>
      </c>
      <c r="AO31" s="11">
        <v>2660.4059999999995</v>
      </c>
      <c r="AP31" s="1" t="s">
        <v>159</v>
      </c>
      <c r="AQ31" s="1" t="s">
        <v>160</v>
      </c>
      <c r="AR31" s="1" t="b">
        <v>0</v>
      </c>
    </row>
    <row r="32" spans="1:44" x14ac:dyDescent="0.3">
      <c r="A32" s="5">
        <v>10031</v>
      </c>
      <c r="B32" s="1">
        <v>1276</v>
      </c>
      <c r="C32" s="2">
        <v>45162</v>
      </c>
      <c r="D32" s="2">
        <v>45166</v>
      </c>
      <c r="E32" s="1" t="s">
        <v>15</v>
      </c>
      <c r="F32" s="1" t="s">
        <v>29</v>
      </c>
      <c r="G32" s="1" t="s">
        <v>30</v>
      </c>
      <c r="H32" s="1" t="s">
        <v>42</v>
      </c>
      <c r="I32" s="1" t="s">
        <v>57</v>
      </c>
      <c r="J32" s="1" t="s">
        <v>62</v>
      </c>
      <c r="K32" s="1" t="s">
        <v>47</v>
      </c>
      <c r="L32" s="1">
        <v>5</v>
      </c>
      <c r="M32" s="1">
        <v>2295.65</v>
      </c>
      <c r="N32" s="1">
        <v>20</v>
      </c>
      <c r="O32" s="1">
        <v>9182.6</v>
      </c>
      <c r="P32" s="1">
        <f t="shared" si="0"/>
        <v>11478.25</v>
      </c>
      <c r="Q32" s="10">
        <f t="shared" si="1"/>
        <v>1836.5200000000002</v>
      </c>
      <c r="R32" s="11">
        <f t="shared" si="2"/>
        <v>9641.73</v>
      </c>
      <c r="S32" s="1" t="str">
        <f t="shared" si="3"/>
        <v>High</v>
      </c>
      <c r="T32" s="1" t="str" cm="1">
        <f t="array" ref="T32">_xlfn.IFS(L32&gt;5,"High",L32=5,"mediam",L32&lt;5,"low")</f>
        <v>mediam</v>
      </c>
      <c r="U32" s="1" t="b">
        <f t="shared" si="5"/>
        <v>0</v>
      </c>
      <c r="X32" s="5">
        <v>10228</v>
      </c>
      <c r="Y32" s="1">
        <v>1339</v>
      </c>
      <c r="Z32" s="2">
        <v>44983</v>
      </c>
      <c r="AA32" s="2">
        <v>44990</v>
      </c>
      <c r="AB32" s="1" t="s">
        <v>15</v>
      </c>
      <c r="AC32" s="1" t="s">
        <v>54</v>
      </c>
      <c r="AD32" s="1" t="s">
        <v>17</v>
      </c>
      <c r="AE32" s="1" t="s">
        <v>35</v>
      </c>
      <c r="AF32" s="1" t="s">
        <v>57</v>
      </c>
      <c r="AG32" s="1" t="s">
        <v>62</v>
      </c>
      <c r="AH32" s="1" t="s">
        <v>21</v>
      </c>
      <c r="AI32" s="1">
        <v>8</v>
      </c>
      <c r="AJ32" s="1">
        <v>2645.2</v>
      </c>
      <c r="AK32" s="1">
        <v>20</v>
      </c>
      <c r="AL32" s="1">
        <v>16929.28</v>
      </c>
      <c r="AM32" s="1">
        <v>21161.599999999999</v>
      </c>
      <c r="AN32" s="10">
        <v>3385.8559999999998</v>
      </c>
      <c r="AO32" s="11">
        <v>17775.743999999999</v>
      </c>
      <c r="AP32" s="1" t="s">
        <v>159</v>
      </c>
      <c r="AQ32" s="1" t="s">
        <v>159</v>
      </c>
      <c r="AR32" s="1" t="s">
        <v>159</v>
      </c>
    </row>
    <row r="33" spans="1:44" x14ac:dyDescent="0.3">
      <c r="A33" s="5">
        <v>10032</v>
      </c>
      <c r="B33" s="1">
        <v>1160</v>
      </c>
      <c r="C33" s="2">
        <v>45150</v>
      </c>
      <c r="D33" s="2">
        <v>45158</v>
      </c>
      <c r="E33" s="1" t="s">
        <v>15</v>
      </c>
      <c r="F33" s="1" t="s">
        <v>41</v>
      </c>
      <c r="G33" s="1" t="s">
        <v>30</v>
      </c>
      <c r="H33" s="1" t="s">
        <v>18</v>
      </c>
      <c r="I33" s="1" t="s">
        <v>19</v>
      </c>
      <c r="J33" s="1" t="s">
        <v>43</v>
      </c>
      <c r="K33" s="1" t="s">
        <v>21</v>
      </c>
      <c r="L33" s="1">
        <v>4</v>
      </c>
      <c r="M33" s="1">
        <v>750.74</v>
      </c>
      <c r="N33" s="1">
        <v>5</v>
      </c>
      <c r="O33" s="1">
        <v>2852.81</v>
      </c>
      <c r="P33" s="1">
        <f t="shared" si="0"/>
        <v>3002.96</v>
      </c>
      <c r="Q33" s="10">
        <f t="shared" si="1"/>
        <v>142.6405</v>
      </c>
      <c r="R33" s="11">
        <f t="shared" si="2"/>
        <v>2860.3195000000001</v>
      </c>
      <c r="S33" s="1" t="str">
        <f t="shared" si="3"/>
        <v>Low</v>
      </c>
      <c r="T33" s="1" t="str" cm="1">
        <f t="array" ref="T33">_xlfn.IFS(L33&gt;5,"High",L33=5,"mediam",L33&lt;5,"low")</f>
        <v>low</v>
      </c>
      <c r="U33" s="1" t="b">
        <f t="shared" si="5"/>
        <v>0</v>
      </c>
      <c r="X33" s="5">
        <v>10242</v>
      </c>
      <c r="Y33" s="1">
        <v>1957</v>
      </c>
      <c r="Z33" s="2">
        <v>45262</v>
      </c>
      <c r="AA33" s="2">
        <v>45263</v>
      </c>
      <c r="AB33" s="1" t="s">
        <v>15</v>
      </c>
      <c r="AC33" s="1" t="s">
        <v>29</v>
      </c>
      <c r="AD33" s="1" t="s">
        <v>24</v>
      </c>
      <c r="AE33" s="1" t="s">
        <v>44</v>
      </c>
      <c r="AF33" s="1" t="s">
        <v>52</v>
      </c>
      <c r="AG33" s="1" t="s">
        <v>64</v>
      </c>
      <c r="AH33" s="1" t="s">
        <v>47</v>
      </c>
      <c r="AI33" s="1">
        <v>9</v>
      </c>
      <c r="AJ33" s="1">
        <v>2092.7800000000002</v>
      </c>
      <c r="AK33" s="1">
        <v>20</v>
      </c>
      <c r="AL33" s="1">
        <v>15068.02</v>
      </c>
      <c r="AM33" s="1">
        <v>18835.02</v>
      </c>
      <c r="AN33" s="10">
        <v>3013.6040000000003</v>
      </c>
      <c r="AO33" s="11">
        <v>15821.416000000001</v>
      </c>
      <c r="AP33" s="1" t="s">
        <v>159</v>
      </c>
      <c r="AQ33" s="1" t="s">
        <v>159</v>
      </c>
      <c r="AR33" s="1" t="s">
        <v>159</v>
      </c>
    </row>
    <row r="34" spans="1:44" x14ac:dyDescent="0.3">
      <c r="A34" s="5">
        <v>10033</v>
      </c>
      <c r="B34" s="1">
        <v>1459</v>
      </c>
      <c r="C34" s="2">
        <v>45129</v>
      </c>
      <c r="D34" s="2">
        <v>45130</v>
      </c>
      <c r="E34" s="1" t="s">
        <v>22</v>
      </c>
      <c r="F34" s="1" t="s">
        <v>38</v>
      </c>
      <c r="G34" s="1" t="s">
        <v>17</v>
      </c>
      <c r="H34" s="1" t="s">
        <v>44</v>
      </c>
      <c r="I34" s="1" t="s">
        <v>57</v>
      </c>
      <c r="J34" s="1" t="s">
        <v>59</v>
      </c>
      <c r="K34" s="1" t="s">
        <v>45</v>
      </c>
      <c r="L34" s="1">
        <v>7</v>
      </c>
      <c r="M34" s="1">
        <v>3363.18</v>
      </c>
      <c r="N34" s="1">
        <v>20</v>
      </c>
      <c r="O34" s="1">
        <v>18833.810000000001</v>
      </c>
      <c r="P34" s="1">
        <f t="shared" si="0"/>
        <v>23542.26</v>
      </c>
      <c r="Q34" s="10">
        <f t="shared" si="1"/>
        <v>3766.7620000000006</v>
      </c>
      <c r="R34" s="11">
        <f t="shared" si="2"/>
        <v>19775.498</v>
      </c>
      <c r="S34" s="1" t="str">
        <f t="shared" si="3"/>
        <v>High</v>
      </c>
      <c r="T34" s="1" t="str" cm="1">
        <f t="array" ref="T34">_xlfn.IFS(L34&gt;5,"High",L34=5,"mediam",L34&lt;5,"low")</f>
        <v>High</v>
      </c>
      <c r="U34" s="1" t="str">
        <f t="shared" si="5"/>
        <v>High</v>
      </c>
      <c r="X34" s="5">
        <v>10245</v>
      </c>
      <c r="Y34" s="1">
        <v>1972</v>
      </c>
      <c r="Z34" s="2">
        <v>45143</v>
      </c>
      <c r="AA34" s="2">
        <v>45148</v>
      </c>
      <c r="AB34" s="1" t="s">
        <v>15</v>
      </c>
      <c r="AC34" s="1" t="s">
        <v>16</v>
      </c>
      <c r="AD34" s="1" t="s">
        <v>30</v>
      </c>
      <c r="AE34" s="1" t="s">
        <v>42</v>
      </c>
      <c r="AF34" s="1" t="s">
        <v>49</v>
      </c>
      <c r="AG34" s="1" t="s">
        <v>51</v>
      </c>
      <c r="AH34" s="1" t="s">
        <v>47</v>
      </c>
      <c r="AI34" s="1">
        <v>8</v>
      </c>
      <c r="AJ34" s="1">
        <v>1504.45</v>
      </c>
      <c r="AK34" s="1">
        <v>20</v>
      </c>
      <c r="AL34" s="1">
        <v>9628.48</v>
      </c>
      <c r="AM34" s="1">
        <v>12035.6</v>
      </c>
      <c r="AN34" s="10">
        <v>1925.6959999999999</v>
      </c>
      <c r="AO34" s="11">
        <v>10109.904</v>
      </c>
      <c r="AP34" s="1" t="s">
        <v>159</v>
      </c>
      <c r="AQ34" s="1" t="s">
        <v>159</v>
      </c>
      <c r="AR34" s="1" t="s">
        <v>159</v>
      </c>
    </row>
    <row r="35" spans="1:44" x14ac:dyDescent="0.3">
      <c r="A35" s="5">
        <v>10034</v>
      </c>
      <c r="B35" s="1">
        <v>1313</v>
      </c>
      <c r="C35" s="2">
        <v>45182</v>
      </c>
      <c r="D35" s="2">
        <v>45191</v>
      </c>
      <c r="E35" s="1" t="s">
        <v>34</v>
      </c>
      <c r="F35" s="1" t="s">
        <v>23</v>
      </c>
      <c r="G35" s="1" t="s">
        <v>30</v>
      </c>
      <c r="H35" s="1" t="s">
        <v>25</v>
      </c>
      <c r="I35" s="1" t="s">
        <v>31</v>
      </c>
      <c r="J35" s="1" t="s">
        <v>48</v>
      </c>
      <c r="K35" s="1" t="s">
        <v>47</v>
      </c>
      <c r="L35" s="1">
        <v>6</v>
      </c>
      <c r="M35" s="1">
        <v>1529.59</v>
      </c>
      <c r="N35" s="1">
        <v>0</v>
      </c>
      <c r="O35" s="1">
        <v>9177.5400000000009</v>
      </c>
      <c r="P35" s="1">
        <f t="shared" si="0"/>
        <v>9177.5399999999991</v>
      </c>
      <c r="Q35" s="10">
        <f t="shared" si="1"/>
        <v>0</v>
      </c>
      <c r="R35" s="11">
        <f t="shared" si="2"/>
        <v>9177.5399999999991</v>
      </c>
      <c r="S35" s="1" t="str">
        <f t="shared" si="3"/>
        <v>High</v>
      </c>
      <c r="T35" s="1" t="str" cm="1">
        <f t="array" ref="T35">_xlfn.IFS(L35&gt;5,"High",L35=5,"mediam",L35&lt;5,"low")</f>
        <v>High</v>
      </c>
      <c r="U35" s="1" t="str">
        <f t="shared" si="5"/>
        <v>High</v>
      </c>
      <c r="X35" s="5">
        <v>10247</v>
      </c>
      <c r="Y35" s="1">
        <v>1258</v>
      </c>
      <c r="Z35" s="2">
        <v>44996</v>
      </c>
      <c r="AA35" s="2">
        <v>44998</v>
      </c>
      <c r="AB35" s="1" t="s">
        <v>15</v>
      </c>
      <c r="AC35" s="1" t="s">
        <v>54</v>
      </c>
      <c r="AD35" s="1" t="s">
        <v>30</v>
      </c>
      <c r="AE35" s="1" t="s">
        <v>35</v>
      </c>
      <c r="AF35" s="1" t="s">
        <v>52</v>
      </c>
      <c r="AG35" s="1" t="s">
        <v>64</v>
      </c>
      <c r="AH35" s="1" t="s">
        <v>47</v>
      </c>
      <c r="AI35" s="1">
        <v>7</v>
      </c>
      <c r="AJ35" s="1">
        <v>2102.27</v>
      </c>
      <c r="AK35" s="1">
        <v>20</v>
      </c>
      <c r="AL35" s="1">
        <v>11772.71</v>
      </c>
      <c r="AM35" s="1">
        <v>14715.89</v>
      </c>
      <c r="AN35" s="10">
        <v>2354.5419999999999</v>
      </c>
      <c r="AO35" s="11">
        <v>12361.348</v>
      </c>
      <c r="AP35" s="1" t="s">
        <v>159</v>
      </c>
      <c r="AQ35" s="1" t="s">
        <v>159</v>
      </c>
      <c r="AR35" s="1" t="s">
        <v>159</v>
      </c>
    </row>
    <row r="36" spans="1:44" x14ac:dyDescent="0.3">
      <c r="A36" s="5">
        <v>10035</v>
      </c>
      <c r="B36" s="1">
        <v>1021</v>
      </c>
      <c r="C36" s="2">
        <v>45012</v>
      </c>
      <c r="D36" s="2">
        <v>45013</v>
      </c>
      <c r="E36" s="1" t="s">
        <v>40</v>
      </c>
      <c r="F36" s="1" t="s">
        <v>29</v>
      </c>
      <c r="G36" s="1" t="s">
        <v>30</v>
      </c>
      <c r="H36" s="1" t="s">
        <v>44</v>
      </c>
      <c r="I36" s="1" t="s">
        <v>31</v>
      </c>
      <c r="J36" s="1" t="s">
        <v>48</v>
      </c>
      <c r="K36" s="1" t="s">
        <v>47</v>
      </c>
      <c r="L36" s="1">
        <v>7</v>
      </c>
      <c r="M36" s="1">
        <v>3664.64</v>
      </c>
      <c r="N36" s="1">
        <v>5</v>
      </c>
      <c r="O36" s="1">
        <v>24369.86</v>
      </c>
      <c r="P36" s="1">
        <f t="shared" si="0"/>
        <v>25652.48</v>
      </c>
      <c r="Q36" s="10">
        <f t="shared" si="1"/>
        <v>1218.4930000000002</v>
      </c>
      <c r="R36" s="11">
        <f t="shared" si="2"/>
        <v>24433.987000000001</v>
      </c>
      <c r="S36" s="1" t="str">
        <f t="shared" si="3"/>
        <v>High</v>
      </c>
      <c r="T36" s="1" t="str" cm="1">
        <f t="array" ref="T36">_xlfn.IFS(L36&gt;5,"High",L36=5,"mediam",L36&lt;5,"low")</f>
        <v>High</v>
      </c>
      <c r="U36" s="1" t="str">
        <f t="shared" si="5"/>
        <v>High</v>
      </c>
      <c r="X36" s="5">
        <v>10261</v>
      </c>
      <c r="Y36" s="1">
        <v>1826</v>
      </c>
      <c r="Z36" s="2">
        <v>44933</v>
      </c>
      <c r="AA36" s="2">
        <v>44936</v>
      </c>
      <c r="AB36" s="1" t="s">
        <v>15</v>
      </c>
      <c r="AC36" s="1" t="s">
        <v>54</v>
      </c>
      <c r="AD36" s="1" t="s">
        <v>24</v>
      </c>
      <c r="AE36" s="1" t="s">
        <v>25</v>
      </c>
      <c r="AF36" s="1" t="s">
        <v>31</v>
      </c>
      <c r="AG36" s="1" t="s">
        <v>32</v>
      </c>
      <c r="AH36" s="1" t="s">
        <v>33</v>
      </c>
      <c r="AI36" s="1">
        <v>2</v>
      </c>
      <c r="AJ36" s="1">
        <v>533.25</v>
      </c>
      <c r="AK36" s="1">
        <v>0</v>
      </c>
      <c r="AL36" s="1">
        <v>1066.5</v>
      </c>
      <c r="AM36" s="1">
        <v>1066.5</v>
      </c>
      <c r="AN36" s="10">
        <v>0</v>
      </c>
      <c r="AO36" s="11">
        <v>1066.5</v>
      </c>
      <c r="AP36" s="1" t="s">
        <v>161</v>
      </c>
      <c r="AQ36" s="1" t="s">
        <v>162</v>
      </c>
      <c r="AR36" s="1" t="b">
        <v>0</v>
      </c>
    </row>
    <row r="37" spans="1:44" x14ac:dyDescent="0.3">
      <c r="A37" s="5">
        <v>10036</v>
      </c>
      <c r="B37" s="1">
        <v>1252</v>
      </c>
      <c r="C37" s="2">
        <v>45076</v>
      </c>
      <c r="D37" s="2">
        <v>45084</v>
      </c>
      <c r="E37" s="1" t="s">
        <v>16</v>
      </c>
      <c r="F37" s="1" t="s">
        <v>38</v>
      </c>
      <c r="G37" s="1" t="s">
        <v>17</v>
      </c>
      <c r="H37" s="1" t="s">
        <v>42</v>
      </c>
      <c r="I37" s="1" t="s">
        <v>26</v>
      </c>
      <c r="J37" s="1" t="s">
        <v>27</v>
      </c>
      <c r="K37" s="1" t="s">
        <v>28</v>
      </c>
      <c r="L37" s="1">
        <v>5</v>
      </c>
      <c r="M37" s="1">
        <v>2327.9</v>
      </c>
      <c r="N37" s="1">
        <v>0</v>
      </c>
      <c r="O37" s="1">
        <v>11639.5</v>
      </c>
      <c r="P37" s="1">
        <f t="shared" si="0"/>
        <v>11639.5</v>
      </c>
      <c r="Q37" s="10">
        <f t="shared" si="1"/>
        <v>0</v>
      </c>
      <c r="R37" s="11">
        <f t="shared" si="2"/>
        <v>11639.5</v>
      </c>
      <c r="S37" s="1" t="str">
        <f t="shared" si="3"/>
        <v>High</v>
      </c>
      <c r="T37" s="1" t="str" cm="1">
        <f t="array" ref="T37">_xlfn.IFS(L37&gt;5,"High",L37=5,"mediam",L37&lt;5,"low")</f>
        <v>mediam</v>
      </c>
      <c r="U37" s="1" t="b">
        <f t="shared" si="5"/>
        <v>0</v>
      </c>
      <c r="X37" s="5">
        <v>10262</v>
      </c>
      <c r="Y37" s="1">
        <v>1373</v>
      </c>
      <c r="Z37" s="2">
        <v>44996</v>
      </c>
      <c r="AA37" s="2">
        <v>44998</v>
      </c>
      <c r="AB37" s="1" t="s">
        <v>15</v>
      </c>
      <c r="AC37" s="1" t="s">
        <v>23</v>
      </c>
      <c r="AD37" s="1" t="s">
        <v>17</v>
      </c>
      <c r="AE37" s="1" t="s">
        <v>44</v>
      </c>
      <c r="AF37" s="1" t="s">
        <v>57</v>
      </c>
      <c r="AG37" s="1" t="s">
        <v>59</v>
      </c>
      <c r="AH37" s="1" t="s">
        <v>21</v>
      </c>
      <c r="AI37" s="1">
        <v>7</v>
      </c>
      <c r="AJ37" s="1">
        <v>2472.29</v>
      </c>
      <c r="AK37" s="1">
        <v>10</v>
      </c>
      <c r="AL37" s="1">
        <v>15575.43</v>
      </c>
      <c r="AM37" s="1">
        <v>17306.03</v>
      </c>
      <c r="AN37" s="10">
        <v>1557.5430000000001</v>
      </c>
      <c r="AO37" s="11">
        <v>15748.486999999999</v>
      </c>
      <c r="AP37" s="1" t="s">
        <v>159</v>
      </c>
      <c r="AQ37" s="1" t="s">
        <v>159</v>
      </c>
      <c r="AR37" s="1" t="s">
        <v>159</v>
      </c>
    </row>
    <row r="38" spans="1:44" x14ac:dyDescent="0.3">
      <c r="A38" s="5">
        <v>10037</v>
      </c>
      <c r="B38" s="1">
        <v>1747</v>
      </c>
      <c r="C38" s="2">
        <v>45161</v>
      </c>
      <c r="D38" s="2">
        <v>45165</v>
      </c>
      <c r="E38" s="1" t="s">
        <v>37</v>
      </c>
      <c r="F38" s="1" t="s">
        <v>16</v>
      </c>
      <c r="G38" s="1" t="s">
        <v>24</v>
      </c>
      <c r="H38" s="1" t="s">
        <v>18</v>
      </c>
      <c r="I38" s="1" t="s">
        <v>19</v>
      </c>
      <c r="J38" s="1" t="s">
        <v>55</v>
      </c>
      <c r="K38" s="1" t="s">
        <v>21</v>
      </c>
      <c r="L38" s="1">
        <v>4</v>
      </c>
      <c r="M38" s="1">
        <v>853.29</v>
      </c>
      <c r="N38" s="1">
        <v>5</v>
      </c>
      <c r="O38" s="1">
        <v>3242.5</v>
      </c>
      <c r="P38" s="1">
        <f t="shared" si="0"/>
        <v>3413.16</v>
      </c>
      <c r="Q38" s="10">
        <f t="shared" si="1"/>
        <v>162.125</v>
      </c>
      <c r="R38" s="11">
        <f t="shared" si="2"/>
        <v>3251.0349999999999</v>
      </c>
      <c r="S38" s="1" t="str">
        <f t="shared" si="3"/>
        <v>Low</v>
      </c>
      <c r="T38" s="1" t="str" cm="1">
        <f t="array" ref="T38">_xlfn.IFS(L38&gt;5,"High",L38=5,"mediam",L38&lt;5,"low")</f>
        <v>low</v>
      </c>
      <c r="U38" s="1" t="b">
        <f t="shared" si="5"/>
        <v>0</v>
      </c>
      <c r="X38" s="5">
        <v>10264</v>
      </c>
      <c r="Y38" s="1">
        <v>1607</v>
      </c>
      <c r="Z38" s="2">
        <v>45086</v>
      </c>
      <c r="AA38" s="2">
        <v>45091</v>
      </c>
      <c r="AB38" s="1" t="s">
        <v>15</v>
      </c>
      <c r="AC38" s="1" t="s">
        <v>16</v>
      </c>
      <c r="AD38" s="1" t="s">
        <v>30</v>
      </c>
      <c r="AE38" s="1" t="s">
        <v>44</v>
      </c>
      <c r="AF38" s="1" t="s">
        <v>52</v>
      </c>
      <c r="AG38" s="1" t="s">
        <v>60</v>
      </c>
      <c r="AH38" s="1" t="s">
        <v>47</v>
      </c>
      <c r="AI38" s="1">
        <v>4</v>
      </c>
      <c r="AJ38" s="1">
        <v>1126.3</v>
      </c>
      <c r="AK38" s="1">
        <v>20</v>
      </c>
      <c r="AL38" s="1">
        <v>3604.16</v>
      </c>
      <c r="AM38" s="1">
        <v>4505.2</v>
      </c>
      <c r="AN38" s="10">
        <v>720.83199999999999</v>
      </c>
      <c r="AO38" s="11">
        <v>3784.3679999999999</v>
      </c>
      <c r="AP38" s="1" t="s">
        <v>161</v>
      </c>
      <c r="AQ38" s="1" t="s">
        <v>162</v>
      </c>
      <c r="AR38" s="1" t="b">
        <v>0</v>
      </c>
    </row>
    <row r="39" spans="1:44" x14ac:dyDescent="0.3">
      <c r="A39" s="5">
        <v>10038</v>
      </c>
      <c r="B39" s="1">
        <v>1856</v>
      </c>
      <c r="C39" s="2">
        <v>45271</v>
      </c>
      <c r="D39" s="2">
        <v>45280</v>
      </c>
      <c r="E39" s="1" t="s">
        <v>22</v>
      </c>
      <c r="F39" s="1" t="s">
        <v>29</v>
      </c>
      <c r="G39" s="1" t="s">
        <v>24</v>
      </c>
      <c r="H39" s="1" t="s">
        <v>42</v>
      </c>
      <c r="I39" s="1" t="s">
        <v>49</v>
      </c>
      <c r="J39" s="1" t="s">
        <v>63</v>
      </c>
      <c r="K39" s="1" t="s">
        <v>47</v>
      </c>
      <c r="L39" s="1">
        <v>7</v>
      </c>
      <c r="M39" s="1">
        <v>687.46</v>
      </c>
      <c r="N39" s="1">
        <v>20</v>
      </c>
      <c r="O39" s="1">
        <v>3849.78</v>
      </c>
      <c r="P39" s="1">
        <f t="shared" si="0"/>
        <v>4812.22</v>
      </c>
      <c r="Q39" s="10">
        <f t="shared" si="1"/>
        <v>769.95600000000013</v>
      </c>
      <c r="R39" s="11">
        <f t="shared" si="2"/>
        <v>4042.2640000000001</v>
      </c>
      <c r="S39" s="1" t="str">
        <f t="shared" si="3"/>
        <v>High</v>
      </c>
      <c r="T39" s="1" t="str" cm="1">
        <f t="array" ref="T39">_xlfn.IFS(L39&gt;5,"High",L39=5,"mediam",L39&lt;5,"low")</f>
        <v>High</v>
      </c>
      <c r="U39" s="1" t="str">
        <f t="shared" si="5"/>
        <v>High</v>
      </c>
      <c r="X39" s="5">
        <v>10269</v>
      </c>
      <c r="Y39" s="1">
        <v>1829</v>
      </c>
      <c r="Z39" s="2">
        <v>45125</v>
      </c>
      <c r="AA39" s="2">
        <v>45132</v>
      </c>
      <c r="AB39" s="1" t="s">
        <v>15</v>
      </c>
      <c r="AC39" s="1" t="s">
        <v>41</v>
      </c>
      <c r="AD39" s="1" t="s">
        <v>24</v>
      </c>
      <c r="AE39" s="1" t="s">
        <v>35</v>
      </c>
      <c r="AF39" s="1" t="s">
        <v>49</v>
      </c>
      <c r="AG39" s="1" t="s">
        <v>51</v>
      </c>
      <c r="AH39" s="1" t="s">
        <v>47</v>
      </c>
      <c r="AI39" s="1">
        <v>5</v>
      </c>
      <c r="AJ39" s="1">
        <v>3156.54</v>
      </c>
      <c r="AK39" s="1">
        <v>20</v>
      </c>
      <c r="AL39" s="1">
        <v>12626.16</v>
      </c>
      <c r="AM39" s="1">
        <v>15782.7</v>
      </c>
      <c r="AN39" s="10">
        <v>2525.232</v>
      </c>
      <c r="AO39" s="11">
        <v>13257.468000000001</v>
      </c>
      <c r="AP39" s="1" t="s">
        <v>159</v>
      </c>
      <c r="AQ39" s="1" t="s">
        <v>160</v>
      </c>
      <c r="AR39" s="1" t="b">
        <v>0</v>
      </c>
    </row>
    <row r="40" spans="1:44" x14ac:dyDescent="0.3">
      <c r="A40" s="5">
        <v>10039</v>
      </c>
      <c r="B40" s="1">
        <v>1560</v>
      </c>
      <c r="C40" s="2">
        <v>44948</v>
      </c>
      <c r="D40" s="2">
        <v>44953</v>
      </c>
      <c r="E40" s="1" t="s">
        <v>34</v>
      </c>
      <c r="F40" s="1" t="s">
        <v>41</v>
      </c>
      <c r="G40" s="1" t="s">
        <v>17</v>
      </c>
      <c r="H40" s="1" t="s">
        <v>18</v>
      </c>
      <c r="I40" s="1" t="s">
        <v>31</v>
      </c>
      <c r="J40" s="1" t="s">
        <v>48</v>
      </c>
      <c r="K40" s="1" t="s">
        <v>45</v>
      </c>
      <c r="L40" s="1">
        <v>7</v>
      </c>
      <c r="M40" s="1">
        <v>2369.42</v>
      </c>
      <c r="N40" s="1">
        <v>15</v>
      </c>
      <c r="O40" s="1">
        <v>14098.05</v>
      </c>
      <c r="P40" s="1">
        <f t="shared" si="0"/>
        <v>16585.940000000002</v>
      </c>
      <c r="Q40" s="10">
        <f t="shared" si="1"/>
        <v>2114.7075</v>
      </c>
      <c r="R40" s="11">
        <f t="shared" si="2"/>
        <v>14471.232500000002</v>
      </c>
      <c r="S40" s="1" t="str">
        <f t="shared" si="3"/>
        <v>High</v>
      </c>
      <c r="T40" s="1" t="str" cm="1">
        <f t="array" ref="T40">_xlfn.IFS(L40&gt;5,"High",L40=5,"mediam",L40&lt;5,"low")</f>
        <v>High</v>
      </c>
      <c r="U40" s="1" t="str">
        <f t="shared" si="5"/>
        <v>High</v>
      </c>
      <c r="X40" s="5">
        <v>10285</v>
      </c>
      <c r="Y40" s="1">
        <v>1001</v>
      </c>
      <c r="Z40" s="2">
        <v>45104</v>
      </c>
      <c r="AA40" s="2">
        <v>45109</v>
      </c>
      <c r="AB40" s="1" t="s">
        <v>15</v>
      </c>
      <c r="AC40" s="1" t="s">
        <v>23</v>
      </c>
      <c r="AD40" s="1" t="s">
        <v>17</v>
      </c>
      <c r="AE40" s="1" t="s">
        <v>44</v>
      </c>
      <c r="AF40" s="1" t="s">
        <v>52</v>
      </c>
      <c r="AG40" s="1" t="s">
        <v>56</v>
      </c>
      <c r="AH40" s="1" t="s">
        <v>21</v>
      </c>
      <c r="AI40" s="1">
        <v>2</v>
      </c>
      <c r="AJ40" s="1">
        <v>702.07</v>
      </c>
      <c r="AK40" s="1">
        <v>10</v>
      </c>
      <c r="AL40" s="1">
        <v>1263.73</v>
      </c>
      <c r="AM40" s="1">
        <v>1404.14</v>
      </c>
      <c r="AN40" s="10">
        <v>126.373</v>
      </c>
      <c r="AO40" s="11">
        <v>1277.7670000000001</v>
      </c>
      <c r="AP40" s="1" t="s">
        <v>161</v>
      </c>
      <c r="AQ40" s="1" t="s">
        <v>162</v>
      </c>
      <c r="AR40" s="1" t="b">
        <v>0</v>
      </c>
    </row>
    <row r="41" spans="1:44" x14ac:dyDescent="0.3">
      <c r="A41" s="5">
        <v>10040</v>
      </c>
      <c r="B41" s="1">
        <v>1474</v>
      </c>
      <c r="C41" s="2">
        <v>45274</v>
      </c>
      <c r="D41" s="2">
        <v>45277</v>
      </c>
      <c r="E41" s="1" t="s">
        <v>15</v>
      </c>
      <c r="F41" s="1" t="s">
        <v>16</v>
      </c>
      <c r="G41" s="1" t="s">
        <v>30</v>
      </c>
      <c r="H41" s="1" t="s">
        <v>35</v>
      </c>
      <c r="I41" s="1" t="s">
        <v>26</v>
      </c>
      <c r="J41" s="1" t="s">
        <v>27</v>
      </c>
      <c r="K41" s="1" t="s">
        <v>28</v>
      </c>
      <c r="L41" s="1">
        <v>6</v>
      </c>
      <c r="M41" s="1">
        <v>3083.25</v>
      </c>
      <c r="N41" s="1">
        <v>10</v>
      </c>
      <c r="O41" s="1">
        <v>16649.55</v>
      </c>
      <c r="P41" s="1">
        <f t="shared" si="0"/>
        <v>18499.5</v>
      </c>
      <c r="Q41" s="10">
        <f t="shared" si="1"/>
        <v>1664.9549999999999</v>
      </c>
      <c r="R41" s="11">
        <f t="shared" si="2"/>
        <v>16834.544999999998</v>
      </c>
      <c r="S41" s="1" t="str">
        <f t="shared" si="3"/>
        <v>High</v>
      </c>
      <c r="T41" s="1" t="str" cm="1">
        <f t="array" ref="T41">_xlfn.IFS(L41&gt;5,"High",L41=5,"mediam",L41&lt;5,"low")</f>
        <v>High</v>
      </c>
      <c r="U41" s="1" t="str">
        <f t="shared" si="5"/>
        <v>High</v>
      </c>
      <c r="X41" s="5">
        <v>10286</v>
      </c>
      <c r="Y41" s="1">
        <v>1641</v>
      </c>
      <c r="Z41" s="2">
        <v>45043</v>
      </c>
      <c r="AA41" s="2">
        <v>45050</v>
      </c>
      <c r="AB41" s="1" t="s">
        <v>15</v>
      </c>
      <c r="AC41" s="1" t="s">
        <v>29</v>
      </c>
      <c r="AD41" s="1" t="s">
        <v>17</v>
      </c>
      <c r="AE41" s="1" t="s">
        <v>44</v>
      </c>
      <c r="AF41" s="1" t="s">
        <v>57</v>
      </c>
      <c r="AG41" s="1" t="s">
        <v>58</v>
      </c>
      <c r="AH41" s="1" t="s">
        <v>28</v>
      </c>
      <c r="AI41" s="1">
        <v>6</v>
      </c>
      <c r="AJ41" s="1">
        <v>220.79</v>
      </c>
      <c r="AK41" s="1">
        <v>5</v>
      </c>
      <c r="AL41" s="1">
        <v>1258.5</v>
      </c>
      <c r="AM41" s="1">
        <v>1324.74</v>
      </c>
      <c r="AN41" s="10">
        <v>62.925000000000004</v>
      </c>
      <c r="AO41" s="11">
        <v>1261.8150000000001</v>
      </c>
      <c r="AP41" s="1" t="s">
        <v>159</v>
      </c>
      <c r="AQ41" s="1" t="s">
        <v>159</v>
      </c>
      <c r="AR41" s="1" t="s">
        <v>159</v>
      </c>
    </row>
    <row r="42" spans="1:44" x14ac:dyDescent="0.3">
      <c r="A42" s="5">
        <v>10041</v>
      </c>
      <c r="B42" s="1">
        <v>1058</v>
      </c>
      <c r="C42" s="2">
        <v>45211</v>
      </c>
      <c r="D42" s="2">
        <v>45220</v>
      </c>
      <c r="E42" s="1" t="s">
        <v>37</v>
      </c>
      <c r="F42" s="1" t="s">
        <v>16</v>
      </c>
      <c r="G42" s="1" t="s">
        <v>17</v>
      </c>
      <c r="H42" s="1" t="s">
        <v>25</v>
      </c>
      <c r="I42" s="1" t="s">
        <v>52</v>
      </c>
      <c r="J42" s="1" t="s">
        <v>64</v>
      </c>
      <c r="K42" s="1" t="s">
        <v>21</v>
      </c>
      <c r="L42" s="1">
        <v>8</v>
      </c>
      <c r="M42" s="1">
        <v>3158.8</v>
      </c>
      <c r="N42" s="1">
        <v>0</v>
      </c>
      <c r="O42" s="1">
        <v>25270.400000000001</v>
      </c>
      <c r="P42" s="1">
        <f t="shared" si="0"/>
        <v>25270.400000000001</v>
      </c>
      <c r="Q42" s="10">
        <f t="shared" si="1"/>
        <v>0</v>
      </c>
      <c r="R42" s="11">
        <f t="shared" si="2"/>
        <v>25270.400000000001</v>
      </c>
      <c r="S42" s="1" t="str">
        <f t="shared" si="3"/>
        <v>High</v>
      </c>
      <c r="T42" s="1" t="str" cm="1">
        <f t="array" ref="T42">_xlfn.IFS(L42&gt;5,"High",L42=5,"mediam",L42&lt;5,"low")</f>
        <v>High</v>
      </c>
      <c r="U42" s="1" t="str">
        <f t="shared" si="5"/>
        <v>High</v>
      </c>
      <c r="X42" s="5">
        <v>10291</v>
      </c>
      <c r="Y42" s="1">
        <v>1735</v>
      </c>
      <c r="Z42" s="2">
        <v>45007</v>
      </c>
      <c r="AA42" s="2">
        <v>45008</v>
      </c>
      <c r="AB42" s="1" t="s">
        <v>15</v>
      </c>
      <c r="AC42" s="1" t="s">
        <v>54</v>
      </c>
      <c r="AD42" s="1" t="s">
        <v>24</v>
      </c>
      <c r="AE42" s="1" t="s">
        <v>25</v>
      </c>
      <c r="AF42" s="1" t="s">
        <v>52</v>
      </c>
      <c r="AG42" s="1" t="s">
        <v>53</v>
      </c>
      <c r="AH42" s="1" t="s">
        <v>33</v>
      </c>
      <c r="AI42" s="1">
        <v>9</v>
      </c>
      <c r="AJ42" s="1">
        <v>2661.11</v>
      </c>
      <c r="AK42" s="1">
        <v>10</v>
      </c>
      <c r="AL42" s="1">
        <v>21554.99</v>
      </c>
      <c r="AM42" s="1">
        <v>23949.99</v>
      </c>
      <c r="AN42" s="10">
        <v>2155.4990000000003</v>
      </c>
      <c r="AO42" s="11">
        <v>21794.491000000002</v>
      </c>
      <c r="AP42" s="1" t="s">
        <v>159</v>
      </c>
      <c r="AQ42" s="1" t="s">
        <v>159</v>
      </c>
      <c r="AR42" s="1" t="s">
        <v>159</v>
      </c>
    </row>
    <row r="43" spans="1:44" x14ac:dyDescent="0.3">
      <c r="A43" s="5">
        <v>10042</v>
      </c>
      <c r="B43" s="1">
        <v>1510</v>
      </c>
      <c r="C43" s="2">
        <v>45195</v>
      </c>
      <c r="D43" s="2">
        <v>45204</v>
      </c>
      <c r="E43" s="1" t="s">
        <v>15</v>
      </c>
      <c r="F43" s="1" t="s">
        <v>54</v>
      </c>
      <c r="G43" s="1" t="s">
        <v>24</v>
      </c>
      <c r="H43" s="1" t="s">
        <v>35</v>
      </c>
      <c r="I43" s="1" t="s">
        <v>26</v>
      </c>
      <c r="J43" s="1" t="s">
        <v>27</v>
      </c>
      <c r="K43" s="1" t="s">
        <v>33</v>
      </c>
      <c r="L43" s="1">
        <v>4</v>
      </c>
      <c r="M43" s="1">
        <v>1211.67</v>
      </c>
      <c r="N43" s="1">
        <v>20</v>
      </c>
      <c r="O43" s="1">
        <v>3877.34</v>
      </c>
      <c r="P43" s="1">
        <f t="shared" si="0"/>
        <v>4846.68</v>
      </c>
      <c r="Q43" s="10">
        <f t="shared" si="1"/>
        <v>775.46800000000007</v>
      </c>
      <c r="R43" s="11">
        <f t="shared" si="2"/>
        <v>4071.2120000000004</v>
      </c>
      <c r="S43" s="1" t="str">
        <f t="shared" si="3"/>
        <v>Low</v>
      </c>
      <c r="T43" s="1" t="str" cm="1">
        <f t="array" ref="T43">_xlfn.IFS(L43&gt;5,"High",L43=5,"mediam",L43&lt;5,"low")</f>
        <v>low</v>
      </c>
      <c r="U43" s="1" t="b">
        <f t="shared" si="5"/>
        <v>0</v>
      </c>
      <c r="X43" s="5">
        <v>10301</v>
      </c>
      <c r="Y43" s="1">
        <v>1709</v>
      </c>
      <c r="Z43" s="2">
        <v>44943</v>
      </c>
      <c r="AA43" s="2">
        <v>44947</v>
      </c>
      <c r="AB43" s="1" t="s">
        <v>15</v>
      </c>
      <c r="AC43" s="1" t="s">
        <v>29</v>
      </c>
      <c r="AD43" s="1" t="s">
        <v>17</v>
      </c>
      <c r="AE43" s="1" t="s">
        <v>25</v>
      </c>
      <c r="AF43" s="1" t="s">
        <v>52</v>
      </c>
      <c r="AG43" s="1" t="s">
        <v>53</v>
      </c>
      <c r="AH43" s="1" t="s">
        <v>21</v>
      </c>
      <c r="AI43" s="1">
        <v>4</v>
      </c>
      <c r="AJ43" s="1">
        <v>1733.79</v>
      </c>
      <c r="AK43" s="1">
        <v>5</v>
      </c>
      <c r="AL43" s="1">
        <v>6588.4</v>
      </c>
      <c r="AM43" s="1">
        <v>6935.16</v>
      </c>
      <c r="AN43" s="10">
        <v>329.42</v>
      </c>
      <c r="AO43" s="11">
        <v>6605.74</v>
      </c>
      <c r="AP43" s="1" t="s">
        <v>161</v>
      </c>
      <c r="AQ43" s="1" t="s">
        <v>162</v>
      </c>
      <c r="AR43" s="1" t="b">
        <v>0</v>
      </c>
    </row>
    <row r="44" spans="1:44" x14ac:dyDescent="0.3">
      <c r="A44" s="5">
        <v>10043</v>
      </c>
      <c r="B44" s="1">
        <v>1681</v>
      </c>
      <c r="C44" s="2">
        <v>45184</v>
      </c>
      <c r="D44" s="2">
        <v>45188</v>
      </c>
      <c r="E44" s="1" t="s">
        <v>37</v>
      </c>
      <c r="F44" s="1" t="s">
        <v>23</v>
      </c>
      <c r="G44" s="1" t="s">
        <v>24</v>
      </c>
      <c r="H44" s="1" t="s">
        <v>35</v>
      </c>
      <c r="I44" s="1" t="s">
        <v>31</v>
      </c>
      <c r="J44" s="1" t="s">
        <v>48</v>
      </c>
      <c r="K44" s="1" t="s">
        <v>45</v>
      </c>
      <c r="L44" s="1">
        <v>5</v>
      </c>
      <c r="M44" s="1">
        <v>936.35</v>
      </c>
      <c r="N44" s="1">
        <v>15</v>
      </c>
      <c r="O44" s="1">
        <v>3979.49</v>
      </c>
      <c r="P44" s="1">
        <f t="shared" si="0"/>
        <v>4681.75</v>
      </c>
      <c r="Q44" s="10">
        <f t="shared" si="1"/>
        <v>596.92349999999999</v>
      </c>
      <c r="R44" s="11">
        <f t="shared" si="2"/>
        <v>4084.8265000000001</v>
      </c>
      <c r="S44" s="1" t="str">
        <f t="shared" si="3"/>
        <v>High</v>
      </c>
      <c r="T44" s="1" t="str" cm="1">
        <f t="array" ref="T44">_xlfn.IFS(L44&gt;5,"High",L44=5,"mediam",L44&lt;5,"low")</f>
        <v>mediam</v>
      </c>
      <c r="U44" s="1" t="b">
        <f t="shared" si="5"/>
        <v>0</v>
      </c>
      <c r="X44" s="5">
        <v>10307</v>
      </c>
      <c r="Y44" s="1">
        <v>1183</v>
      </c>
      <c r="Z44" s="2">
        <v>45267</v>
      </c>
      <c r="AA44" s="2">
        <v>45273</v>
      </c>
      <c r="AB44" s="1" t="s">
        <v>15</v>
      </c>
      <c r="AC44" s="1" t="s">
        <v>16</v>
      </c>
      <c r="AD44" s="1" t="s">
        <v>24</v>
      </c>
      <c r="AE44" s="1" t="s">
        <v>42</v>
      </c>
      <c r="AF44" s="1" t="s">
        <v>57</v>
      </c>
      <c r="AG44" s="1" t="s">
        <v>58</v>
      </c>
      <c r="AH44" s="1" t="s">
        <v>28</v>
      </c>
      <c r="AI44" s="1">
        <v>4</v>
      </c>
      <c r="AJ44" s="1">
        <v>2008.45</v>
      </c>
      <c r="AK44" s="1">
        <v>5</v>
      </c>
      <c r="AL44" s="1">
        <v>7632.11</v>
      </c>
      <c r="AM44" s="1">
        <v>8033.8</v>
      </c>
      <c r="AN44" s="10">
        <v>381.60550000000001</v>
      </c>
      <c r="AO44" s="11">
        <v>7652.1945000000005</v>
      </c>
      <c r="AP44" s="1" t="s">
        <v>161</v>
      </c>
      <c r="AQ44" s="1" t="s">
        <v>162</v>
      </c>
      <c r="AR44" s="1" t="b">
        <v>0</v>
      </c>
    </row>
    <row r="45" spans="1:44" x14ac:dyDescent="0.3">
      <c r="A45" s="5">
        <v>10044</v>
      </c>
      <c r="B45" s="1">
        <v>1475</v>
      </c>
      <c r="C45" s="2">
        <v>44955</v>
      </c>
      <c r="D45" s="2">
        <v>44959</v>
      </c>
      <c r="E45" s="1" t="s">
        <v>16</v>
      </c>
      <c r="F45" s="1" t="s">
        <v>29</v>
      </c>
      <c r="G45" s="1" t="s">
        <v>17</v>
      </c>
      <c r="H45" s="1" t="s">
        <v>42</v>
      </c>
      <c r="I45" s="1" t="s">
        <v>31</v>
      </c>
      <c r="J45" s="1" t="s">
        <v>48</v>
      </c>
      <c r="K45" s="1" t="s">
        <v>47</v>
      </c>
      <c r="L45" s="1">
        <v>4</v>
      </c>
      <c r="M45" s="1">
        <v>214.51</v>
      </c>
      <c r="N45" s="1">
        <v>20</v>
      </c>
      <c r="O45" s="1">
        <v>686.43</v>
      </c>
      <c r="P45" s="1">
        <f t="shared" si="0"/>
        <v>858.04</v>
      </c>
      <c r="Q45" s="10">
        <f t="shared" si="1"/>
        <v>137.286</v>
      </c>
      <c r="R45" s="11">
        <f t="shared" si="2"/>
        <v>720.75399999999991</v>
      </c>
      <c r="S45" s="1" t="str">
        <f t="shared" si="3"/>
        <v>Low</v>
      </c>
      <c r="T45" s="1" t="str" cm="1">
        <f t="array" ref="T45">_xlfn.IFS(L45&gt;5,"High",L45=5,"mediam",L45&lt;5,"low")</f>
        <v>low</v>
      </c>
      <c r="U45" s="1" t="b">
        <f t="shared" si="5"/>
        <v>0</v>
      </c>
      <c r="X45" s="5">
        <v>10318</v>
      </c>
      <c r="Y45" s="1">
        <v>1906</v>
      </c>
      <c r="Z45" s="2">
        <v>45093</v>
      </c>
      <c r="AA45" s="2">
        <v>45097</v>
      </c>
      <c r="AB45" s="1" t="s">
        <v>15</v>
      </c>
      <c r="AC45" s="1" t="s">
        <v>23</v>
      </c>
      <c r="AD45" s="1" t="s">
        <v>30</v>
      </c>
      <c r="AE45" s="1" t="s">
        <v>35</v>
      </c>
      <c r="AF45" s="1" t="s">
        <v>49</v>
      </c>
      <c r="AG45" s="1" t="s">
        <v>68</v>
      </c>
      <c r="AH45" s="1" t="s">
        <v>21</v>
      </c>
      <c r="AI45" s="1">
        <v>7</v>
      </c>
      <c r="AJ45" s="1">
        <v>245.03</v>
      </c>
      <c r="AK45" s="1">
        <v>0</v>
      </c>
      <c r="AL45" s="1">
        <v>1715.21</v>
      </c>
      <c r="AM45" s="1">
        <v>1715.21</v>
      </c>
      <c r="AN45" s="10">
        <v>0</v>
      </c>
      <c r="AO45" s="11">
        <v>1715.21</v>
      </c>
      <c r="AP45" s="1" t="s">
        <v>159</v>
      </c>
      <c r="AQ45" s="1" t="s">
        <v>159</v>
      </c>
      <c r="AR45" s="1" t="s">
        <v>159</v>
      </c>
    </row>
    <row r="46" spans="1:44" x14ac:dyDescent="0.3">
      <c r="A46" s="5">
        <v>10045</v>
      </c>
      <c r="B46" s="1">
        <v>1699</v>
      </c>
      <c r="C46" s="2">
        <v>45139</v>
      </c>
      <c r="D46" s="2">
        <v>45147</v>
      </c>
      <c r="E46" s="1" t="s">
        <v>34</v>
      </c>
      <c r="F46" s="1" t="s">
        <v>16</v>
      </c>
      <c r="G46" s="1" t="s">
        <v>17</v>
      </c>
      <c r="H46" s="1" t="s">
        <v>25</v>
      </c>
      <c r="I46" s="1" t="s">
        <v>26</v>
      </c>
      <c r="J46" s="1" t="s">
        <v>61</v>
      </c>
      <c r="K46" s="1" t="s">
        <v>47</v>
      </c>
      <c r="L46" s="1">
        <v>1</v>
      </c>
      <c r="M46" s="1">
        <v>2764.92</v>
      </c>
      <c r="N46" s="1">
        <v>0</v>
      </c>
      <c r="O46" s="1">
        <v>2764.92</v>
      </c>
      <c r="P46" s="1">
        <f t="shared" si="0"/>
        <v>2764.92</v>
      </c>
      <c r="Q46" s="10">
        <f t="shared" si="1"/>
        <v>0</v>
      </c>
      <c r="R46" s="11">
        <f t="shared" si="2"/>
        <v>2764.92</v>
      </c>
      <c r="S46" s="1" t="str">
        <f t="shared" si="3"/>
        <v>Low</v>
      </c>
      <c r="T46" s="1" t="str" cm="1">
        <f t="array" ref="T46">_xlfn.IFS(L46&gt;5,"High",L46=5,"mediam",L46&lt;5,"low")</f>
        <v>low</v>
      </c>
      <c r="U46" s="1" t="b">
        <f t="shared" si="5"/>
        <v>0</v>
      </c>
      <c r="X46" s="5">
        <v>10320</v>
      </c>
      <c r="Y46" s="1">
        <v>1751</v>
      </c>
      <c r="Z46" s="2">
        <v>45002</v>
      </c>
      <c r="AA46" s="2">
        <v>45005</v>
      </c>
      <c r="AB46" s="1" t="s">
        <v>15</v>
      </c>
      <c r="AC46" s="1" t="s">
        <v>16</v>
      </c>
      <c r="AD46" s="1" t="s">
        <v>17</v>
      </c>
      <c r="AE46" s="1" t="s">
        <v>35</v>
      </c>
      <c r="AF46" s="1" t="s">
        <v>26</v>
      </c>
      <c r="AG46" s="1" t="s">
        <v>36</v>
      </c>
      <c r="AH46" s="1" t="s">
        <v>28</v>
      </c>
      <c r="AI46" s="1">
        <v>8</v>
      </c>
      <c r="AJ46" s="1">
        <v>2254.7800000000002</v>
      </c>
      <c r="AK46" s="1">
        <v>0</v>
      </c>
      <c r="AL46" s="1">
        <v>18038.240000000002</v>
      </c>
      <c r="AM46" s="1">
        <v>18038.240000000002</v>
      </c>
      <c r="AN46" s="10">
        <v>0</v>
      </c>
      <c r="AO46" s="11">
        <v>18038.240000000002</v>
      </c>
      <c r="AP46" s="1" t="s">
        <v>159</v>
      </c>
      <c r="AQ46" s="1" t="s">
        <v>159</v>
      </c>
      <c r="AR46" s="1" t="s">
        <v>159</v>
      </c>
    </row>
    <row r="47" spans="1:44" x14ac:dyDescent="0.3">
      <c r="A47" s="5">
        <v>10046</v>
      </c>
      <c r="B47" s="1">
        <v>1975</v>
      </c>
      <c r="C47" s="2">
        <v>45209</v>
      </c>
      <c r="D47" s="2">
        <v>45211</v>
      </c>
      <c r="E47" s="1" t="s">
        <v>37</v>
      </c>
      <c r="F47" s="1" t="s">
        <v>54</v>
      </c>
      <c r="G47" s="1" t="s">
        <v>24</v>
      </c>
      <c r="H47" s="1" t="s">
        <v>18</v>
      </c>
      <c r="I47" s="1" t="s">
        <v>49</v>
      </c>
      <c r="J47" s="1" t="s">
        <v>51</v>
      </c>
      <c r="K47" s="1" t="s">
        <v>45</v>
      </c>
      <c r="L47" s="1">
        <v>8</v>
      </c>
      <c r="M47" s="1">
        <v>444.79</v>
      </c>
      <c r="N47" s="1">
        <v>10</v>
      </c>
      <c r="O47" s="1">
        <v>3202.49</v>
      </c>
      <c r="P47" s="1">
        <f t="shared" si="0"/>
        <v>3558.32</v>
      </c>
      <c r="Q47" s="10">
        <f t="shared" si="1"/>
        <v>320.24900000000002</v>
      </c>
      <c r="R47" s="11">
        <f t="shared" si="2"/>
        <v>3238.0709999999999</v>
      </c>
      <c r="S47" s="1" t="str">
        <f t="shared" si="3"/>
        <v>High</v>
      </c>
      <c r="T47" s="1" t="str" cm="1">
        <f t="array" ref="T47">_xlfn.IFS(L47&gt;5,"High",L47=5,"mediam",L47&lt;5,"low")</f>
        <v>High</v>
      </c>
      <c r="U47" s="1" t="str">
        <f t="shared" si="5"/>
        <v>High</v>
      </c>
      <c r="X47" s="5">
        <v>10322</v>
      </c>
      <c r="Y47" s="1">
        <v>1608</v>
      </c>
      <c r="Z47" s="2">
        <v>45220</v>
      </c>
      <c r="AA47" s="2">
        <v>45222</v>
      </c>
      <c r="AB47" s="1" t="s">
        <v>15</v>
      </c>
      <c r="AC47" s="1" t="s">
        <v>54</v>
      </c>
      <c r="AD47" s="1" t="s">
        <v>30</v>
      </c>
      <c r="AE47" s="1" t="s">
        <v>35</v>
      </c>
      <c r="AF47" s="1" t="s">
        <v>26</v>
      </c>
      <c r="AG47" s="1" t="s">
        <v>61</v>
      </c>
      <c r="AH47" s="1" t="s">
        <v>28</v>
      </c>
      <c r="AI47" s="1">
        <v>5</v>
      </c>
      <c r="AJ47" s="1">
        <v>640.82000000000005</v>
      </c>
      <c r="AK47" s="1">
        <v>0</v>
      </c>
      <c r="AL47" s="1">
        <v>3204.1</v>
      </c>
      <c r="AM47" s="1">
        <v>3204.1000000000004</v>
      </c>
      <c r="AN47" s="10">
        <v>0</v>
      </c>
      <c r="AO47" s="11">
        <v>3204.1000000000004</v>
      </c>
      <c r="AP47" s="1" t="s">
        <v>159</v>
      </c>
      <c r="AQ47" s="1" t="s">
        <v>160</v>
      </c>
      <c r="AR47" s="1" t="b">
        <v>0</v>
      </c>
    </row>
    <row r="48" spans="1:44" x14ac:dyDescent="0.3">
      <c r="A48" s="5">
        <v>10047</v>
      </c>
      <c r="B48" s="1">
        <v>1782</v>
      </c>
      <c r="C48" s="2">
        <v>44976</v>
      </c>
      <c r="D48" s="2">
        <v>44985</v>
      </c>
      <c r="E48" s="1" t="s">
        <v>40</v>
      </c>
      <c r="F48" s="1" t="s">
        <v>41</v>
      </c>
      <c r="G48" s="1" t="s">
        <v>17</v>
      </c>
      <c r="H48" s="1" t="s">
        <v>18</v>
      </c>
      <c r="I48" s="1" t="s">
        <v>57</v>
      </c>
      <c r="J48" s="1" t="s">
        <v>62</v>
      </c>
      <c r="K48" s="1" t="s">
        <v>47</v>
      </c>
      <c r="L48" s="1">
        <v>1</v>
      </c>
      <c r="M48" s="1">
        <v>1769.93</v>
      </c>
      <c r="N48" s="1">
        <v>20</v>
      </c>
      <c r="O48" s="1">
        <v>1415.94</v>
      </c>
      <c r="P48" s="1">
        <f t="shared" si="0"/>
        <v>1769.93</v>
      </c>
      <c r="Q48" s="10">
        <f t="shared" si="1"/>
        <v>283.18800000000005</v>
      </c>
      <c r="R48" s="11">
        <f t="shared" si="2"/>
        <v>1486.742</v>
      </c>
      <c r="S48" s="1" t="str">
        <f t="shared" si="3"/>
        <v>Low</v>
      </c>
      <c r="T48" s="1" t="str" cm="1">
        <f t="array" ref="T48">_xlfn.IFS(L48&gt;5,"High",L48=5,"mediam",L48&lt;5,"low")</f>
        <v>low</v>
      </c>
      <c r="U48" s="1" t="b">
        <f t="shared" si="5"/>
        <v>0</v>
      </c>
      <c r="X48" s="5">
        <v>10332</v>
      </c>
      <c r="Y48" s="1">
        <v>1954</v>
      </c>
      <c r="Z48" s="2">
        <v>44946</v>
      </c>
      <c r="AA48" s="2">
        <v>44955</v>
      </c>
      <c r="AB48" s="1" t="s">
        <v>15</v>
      </c>
      <c r="AC48" s="1" t="s">
        <v>23</v>
      </c>
      <c r="AD48" s="1" t="s">
        <v>17</v>
      </c>
      <c r="AE48" s="1" t="s">
        <v>42</v>
      </c>
      <c r="AF48" s="1" t="s">
        <v>57</v>
      </c>
      <c r="AG48" s="1" t="s">
        <v>67</v>
      </c>
      <c r="AH48" s="1" t="s">
        <v>21</v>
      </c>
      <c r="AI48" s="1">
        <v>2</v>
      </c>
      <c r="AJ48" s="1">
        <v>1335.36</v>
      </c>
      <c r="AK48" s="1">
        <v>5</v>
      </c>
      <c r="AL48" s="1">
        <v>2537.1799999999998</v>
      </c>
      <c r="AM48" s="1">
        <v>2670.72</v>
      </c>
      <c r="AN48" s="10">
        <v>126.85899999999999</v>
      </c>
      <c r="AO48" s="11">
        <v>2543.8609999999999</v>
      </c>
      <c r="AP48" s="1" t="s">
        <v>161</v>
      </c>
      <c r="AQ48" s="1" t="s">
        <v>162</v>
      </c>
      <c r="AR48" s="1" t="b">
        <v>0</v>
      </c>
    </row>
    <row r="49" spans="1:44" x14ac:dyDescent="0.3">
      <c r="A49" s="5">
        <v>10048</v>
      </c>
      <c r="B49" s="1">
        <v>1189</v>
      </c>
      <c r="C49" s="2">
        <v>45021</v>
      </c>
      <c r="D49" s="2">
        <v>45027</v>
      </c>
      <c r="E49" s="1" t="s">
        <v>22</v>
      </c>
      <c r="F49" s="1" t="s">
        <v>38</v>
      </c>
      <c r="G49" s="1" t="s">
        <v>24</v>
      </c>
      <c r="H49" s="1" t="s">
        <v>44</v>
      </c>
      <c r="I49" s="1" t="s">
        <v>31</v>
      </c>
      <c r="J49" s="1" t="s">
        <v>65</v>
      </c>
      <c r="K49" s="1" t="s">
        <v>28</v>
      </c>
      <c r="L49" s="1">
        <v>5</v>
      </c>
      <c r="M49" s="1">
        <v>2466.48</v>
      </c>
      <c r="N49" s="1">
        <v>5</v>
      </c>
      <c r="O49" s="1">
        <v>11715.78</v>
      </c>
      <c r="P49" s="1">
        <f t="shared" si="0"/>
        <v>12332.4</v>
      </c>
      <c r="Q49" s="10">
        <f t="shared" si="1"/>
        <v>585.7890000000001</v>
      </c>
      <c r="R49" s="11">
        <f t="shared" si="2"/>
        <v>11746.610999999999</v>
      </c>
      <c r="S49" s="1" t="str">
        <f t="shared" si="3"/>
        <v>High</v>
      </c>
      <c r="T49" s="1" t="str" cm="1">
        <f t="array" ref="T49">_xlfn.IFS(L49&gt;5,"High",L49=5,"mediam",L49&lt;5,"low")</f>
        <v>mediam</v>
      </c>
      <c r="U49" s="1" t="b">
        <f t="shared" si="5"/>
        <v>0</v>
      </c>
      <c r="X49" s="5">
        <v>10339</v>
      </c>
      <c r="Y49" s="1">
        <v>1147</v>
      </c>
      <c r="Z49" s="2">
        <v>45005</v>
      </c>
      <c r="AA49" s="2">
        <v>45012</v>
      </c>
      <c r="AB49" s="1" t="s">
        <v>15</v>
      </c>
      <c r="AC49" s="1" t="s">
        <v>54</v>
      </c>
      <c r="AD49" s="1" t="s">
        <v>17</v>
      </c>
      <c r="AE49" s="1" t="s">
        <v>25</v>
      </c>
      <c r="AF49" s="1" t="s">
        <v>31</v>
      </c>
      <c r="AG49" s="1" t="s">
        <v>32</v>
      </c>
      <c r="AH49" s="1" t="s">
        <v>21</v>
      </c>
      <c r="AI49" s="1">
        <v>4</v>
      </c>
      <c r="AJ49" s="1">
        <v>3708.51</v>
      </c>
      <c r="AK49" s="1">
        <v>5</v>
      </c>
      <c r="AL49" s="1">
        <v>14092.34</v>
      </c>
      <c r="AM49" s="1">
        <v>14834.04</v>
      </c>
      <c r="AN49" s="10">
        <v>704.61700000000008</v>
      </c>
      <c r="AO49" s="11">
        <v>14129.423000000001</v>
      </c>
      <c r="AP49" s="1" t="s">
        <v>161</v>
      </c>
      <c r="AQ49" s="1" t="s">
        <v>162</v>
      </c>
      <c r="AR49" s="1" t="b">
        <v>0</v>
      </c>
    </row>
    <row r="50" spans="1:44" x14ac:dyDescent="0.3">
      <c r="A50" s="5">
        <v>10049</v>
      </c>
      <c r="B50" s="1">
        <v>1957</v>
      </c>
      <c r="C50" s="2">
        <v>45014</v>
      </c>
      <c r="D50" s="2">
        <v>45023</v>
      </c>
      <c r="E50" s="1" t="s">
        <v>46</v>
      </c>
      <c r="F50" s="1" t="s">
        <v>29</v>
      </c>
      <c r="G50" s="1" t="s">
        <v>17</v>
      </c>
      <c r="H50" s="1" t="s">
        <v>18</v>
      </c>
      <c r="I50" s="1" t="s">
        <v>26</v>
      </c>
      <c r="J50" s="1" t="s">
        <v>27</v>
      </c>
      <c r="K50" s="1" t="s">
        <v>21</v>
      </c>
      <c r="L50" s="1">
        <v>6</v>
      </c>
      <c r="M50" s="1">
        <v>3757.87</v>
      </c>
      <c r="N50" s="1">
        <v>15</v>
      </c>
      <c r="O50" s="1">
        <v>19165.14</v>
      </c>
      <c r="P50" s="1">
        <f t="shared" si="0"/>
        <v>22547.22</v>
      </c>
      <c r="Q50" s="10">
        <f t="shared" si="1"/>
        <v>2874.7709999999997</v>
      </c>
      <c r="R50" s="11">
        <f t="shared" si="2"/>
        <v>19672.449000000001</v>
      </c>
      <c r="S50" s="1" t="str">
        <f t="shared" si="3"/>
        <v>High</v>
      </c>
      <c r="T50" s="1" t="str" cm="1">
        <f t="array" ref="T50">_xlfn.IFS(L50&gt;5,"High",L50=5,"mediam",L50&lt;5,"low")</f>
        <v>High</v>
      </c>
      <c r="U50" s="1" t="str">
        <f t="shared" si="5"/>
        <v>High</v>
      </c>
      <c r="X50" s="5">
        <v>10342</v>
      </c>
      <c r="Y50" s="1">
        <v>1819</v>
      </c>
      <c r="Z50" s="2">
        <v>45018</v>
      </c>
      <c r="AA50" s="2">
        <v>45019</v>
      </c>
      <c r="AB50" s="1" t="s">
        <v>15</v>
      </c>
      <c r="AC50" s="1" t="s">
        <v>54</v>
      </c>
      <c r="AD50" s="1" t="s">
        <v>17</v>
      </c>
      <c r="AE50" s="1" t="s">
        <v>35</v>
      </c>
      <c r="AF50" s="1" t="s">
        <v>26</v>
      </c>
      <c r="AG50" s="1" t="s">
        <v>27</v>
      </c>
      <c r="AH50" s="1" t="s">
        <v>47</v>
      </c>
      <c r="AI50" s="1">
        <v>5</v>
      </c>
      <c r="AJ50" s="1">
        <v>1853.11</v>
      </c>
      <c r="AK50" s="1">
        <v>10</v>
      </c>
      <c r="AL50" s="1">
        <v>8338.99</v>
      </c>
      <c r="AM50" s="1">
        <v>9265.5499999999993</v>
      </c>
      <c r="AN50" s="10">
        <v>833.899</v>
      </c>
      <c r="AO50" s="11">
        <v>8431.6509999999998</v>
      </c>
      <c r="AP50" s="1" t="s">
        <v>159</v>
      </c>
      <c r="AQ50" s="1" t="s">
        <v>160</v>
      </c>
      <c r="AR50" s="1" t="b">
        <v>0</v>
      </c>
    </row>
    <row r="51" spans="1:44" x14ac:dyDescent="0.3">
      <c r="A51" s="5">
        <v>10050</v>
      </c>
      <c r="B51" s="1">
        <v>1686</v>
      </c>
      <c r="C51" s="2">
        <v>44970</v>
      </c>
      <c r="D51" s="2">
        <v>44978</v>
      </c>
      <c r="E51" s="1" t="s">
        <v>40</v>
      </c>
      <c r="F51" s="1" t="s">
        <v>16</v>
      </c>
      <c r="G51" s="1" t="s">
        <v>17</v>
      </c>
      <c r="H51" s="1" t="s">
        <v>42</v>
      </c>
      <c r="I51" s="1" t="s">
        <v>26</v>
      </c>
      <c r="J51" s="1" t="s">
        <v>61</v>
      </c>
      <c r="K51" s="1" t="s">
        <v>28</v>
      </c>
      <c r="L51" s="1">
        <v>6</v>
      </c>
      <c r="M51" s="1">
        <v>1350.44</v>
      </c>
      <c r="N51" s="1">
        <v>20</v>
      </c>
      <c r="O51" s="1">
        <v>6482.11</v>
      </c>
      <c r="P51" s="1">
        <f t="shared" si="0"/>
        <v>8102.64</v>
      </c>
      <c r="Q51" s="10">
        <f t="shared" si="1"/>
        <v>1296.422</v>
      </c>
      <c r="R51" s="11">
        <f t="shared" si="2"/>
        <v>6806.2180000000008</v>
      </c>
      <c r="S51" s="1" t="str">
        <f t="shared" si="3"/>
        <v>High</v>
      </c>
      <c r="T51" s="1" t="str" cm="1">
        <f t="array" ref="T51">_xlfn.IFS(L51&gt;5,"High",L51=5,"mediam",L51&lt;5,"low")</f>
        <v>High</v>
      </c>
      <c r="U51" s="1" t="str">
        <f t="shared" si="5"/>
        <v>High</v>
      </c>
      <c r="X51" s="5">
        <v>10347</v>
      </c>
      <c r="Y51" s="1">
        <v>1550</v>
      </c>
      <c r="Z51" s="2">
        <v>44952</v>
      </c>
      <c r="AA51" s="2">
        <v>44954</v>
      </c>
      <c r="AB51" s="1" t="s">
        <v>15</v>
      </c>
      <c r="AC51" s="1" t="s">
        <v>29</v>
      </c>
      <c r="AD51" s="1" t="s">
        <v>24</v>
      </c>
      <c r="AE51" s="1" t="s">
        <v>44</v>
      </c>
      <c r="AF51" s="1" t="s">
        <v>19</v>
      </c>
      <c r="AG51" s="1" t="s">
        <v>20</v>
      </c>
      <c r="AH51" s="1" t="s">
        <v>45</v>
      </c>
      <c r="AI51" s="1">
        <v>4</v>
      </c>
      <c r="AJ51" s="1">
        <v>640.37</v>
      </c>
      <c r="AK51" s="1">
        <v>20</v>
      </c>
      <c r="AL51" s="1">
        <v>2049.1799999999998</v>
      </c>
      <c r="AM51" s="1">
        <v>2561.48</v>
      </c>
      <c r="AN51" s="10">
        <v>409.83600000000001</v>
      </c>
      <c r="AO51" s="11">
        <v>2151.6440000000002</v>
      </c>
      <c r="AP51" s="1" t="s">
        <v>161</v>
      </c>
      <c r="AQ51" s="1" t="s">
        <v>162</v>
      </c>
      <c r="AR51" s="1" t="b">
        <v>0</v>
      </c>
    </row>
    <row r="52" spans="1:44" x14ac:dyDescent="0.3">
      <c r="A52" s="5">
        <v>10051</v>
      </c>
      <c r="B52" s="1">
        <v>1957</v>
      </c>
      <c r="C52" s="2">
        <v>45204</v>
      </c>
      <c r="D52" s="2">
        <v>45211</v>
      </c>
      <c r="E52" s="1" t="s">
        <v>40</v>
      </c>
      <c r="F52" s="1" t="s">
        <v>23</v>
      </c>
      <c r="G52" s="1" t="s">
        <v>17</v>
      </c>
      <c r="H52" s="1" t="s">
        <v>35</v>
      </c>
      <c r="I52" s="1" t="s">
        <v>19</v>
      </c>
      <c r="J52" s="1" t="s">
        <v>66</v>
      </c>
      <c r="K52" s="1" t="s">
        <v>47</v>
      </c>
      <c r="L52" s="1">
        <v>5</v>
      </c>
      <c r="M52" s="1">
        <v>1111.6199999999999</v>
      </c>
      <c r="N52" s="1">
        <v>15</v>
      </c>
      <c r="O52" s="1">
        <v>4724.3900000000003</v>
      </c>
      <c r="P52" s="1">
        <f t="shared" si="0"/>
        <v>5558.0999999999995</v>
      </c>
      <c r="Q52" s="10">
        <f t="shared" si="1"/>
        <v>708.6585</v>
      </c>
      <c r="R52" s="11">
        <f t="shared" si="2"/>
        <v>4849.441499999999</v>
      </c>
      <c r="S52" s="1" t="str">
        <f t="shared" si="3"/>
        <v>High</v>
      </c>
      <c r="T52" s="1" t="str" cm="1">
        <f t="array" ref="T52">_xlfn.IFS(L52&gt;5,"High",L52=5,"mediam",L52&lt;5,"low")</f>
        <v>mediam</v>
      </c>
      <c r="U52" s="1" t="b">
        <f t="shared" si="5"/>
        <v>0</v>
      </c>
      <c r="X52" s="5">
        <v>10348</v>
      </c>
      <c r="Y52" s="1">
        <v>1337</v>
      </c>
      <c r="Z52" s="2">
        <v>44992</v>
      </c>
      <c r="AA52" s="2">
        <v>44993</v>
      </c>
      <c r="AB52" s="1" t="s">
        <v>15</v>
      </c>
      <c r="AC52" s="1" t="s">
        <v>29</v>
      </c>
      <c r="AD52" s="1" t="s">
        <v>17</v>
      </c>
      <c r="AE52" s="1" t="s">
        <v>42</v>
      </c>
      <c r="AF52" s="1" t="s">
        <v>49</v>
      </c>
      <c r="AG52" s="1" t="s">
        <v>68</v>
      </c>
      <c r="AH52" s="1" t="s">
        <v>47</v>
      </c>
      <c r="AI52" s="1">
        <v>9</v>
      </c>
      <c r="AJ52" s="1">
        <v>636.14</v>
      </c>
      <c r="AK52" s="1">
        <v>20</v>
      </c>
      <c r="AL52" s="1">
        <v>4580.21</v>
      </c>
      <c r="AM52" s="1">
        <v>5725.26</v>
      </c>
      <c r="AN52" s="10">
        <v>916.04200000000003</v>
      </c>
      <c r="AO52" s="11">
        <v>4809.2179999999998</v>
      </c>
      <c r="AP52" s="1" t="s">
        <v>159</v>
      </c>
      <c r="AQ52" s="1" t="s">
        <v>159</v>
      </c>
      <c r="AR52" s="1" t="s">
        <v>159</v>
      </c>
    </row>
    <row r="53" spans="1:44" x14ac:dyDescent="0.3">
      <c r="A53" s="5">
        <v>10052</v>
      </c>
      <c r="B53" s="1">
        <v>1562</v>
      </c>
      <c r="C53" s="2">
        <v>45097</v>
      </c>
      <c r="D53" s="2">
        <v>45098</v>
      </c>
      <c r="E53" s="1" t="s">
        <v>22</v>
      </c>
      <c r="F53" s="1" t="s">
        <v>54</v>
      </c>
      <c r="G53" s="1" t="s">
        <v>24</v>
      </c>
      <c r="H53" s="1" t="s">
        <v>35</v>
      </c>
      <c r="I53" s="1" t="s">
        <v>57</v>
      </c>
      <c r="J53" s="1" t="s">
        <v>62</v>
      </c>
      <c r="K53" s="1" t="s">
        <v>33</v>
      </c>
      <c r="L53" s="1">
        <v>3</v>
      </c>
      <c r="M53" s="1">
        <v>2668.52</v>
      </c>
      <c r="N53" s="1">
        <v>5</v>
      </c>
      <c r="O53" s="1">
        <v>7605.28</v>
      </c>
      <c r="P53" s="1">
        <f t="shared" si="0"/>
        <v>8005.5599999999995</v>
      </c>
      <c r="Q53" s="10">
        <f t="shared" si="1"/>
        <v>380.26400000000001</v>
      </c>
      <c r="R53" s="11">
        <f t="shared" si="2"/>
        <v>7625.2959999999994</v>
      </c>
      <c r="S53" s="1" t="str">
        <f t="shared" si="3"/>
        <v>Low</v>
      </c>
      <c r="T53" s="1" t="str" cm="1">
        <f t="array" ref="T53">_xlfn.IFS(L53&gt;5,"High",L53=5,"mediam",L53&lt;5,"low")</f>
        <v>low</v>
      </c>
      <c r="U53" s="1" t="b">
        <f t="shared" si="5"/>
        <v>0</v>
      </c>
      <c r="X53" s="5">
        <v>10350</v>
      </c>
      <c r="Y53" s="1">
        <v>1640</v>
      </c>
      <c r="Z53" s="2">
        <v>45180</v>
      </c>
      <c r="AA53" s="2">
        <v>45185</v>
      </c>
      <c r="AB53" s="1" t="s">
        <v>15</v>
      </c>
      <c r="AC53" s="1" t="s">
        <v>41</v>
      </c>
      <c r="AD53" s="1" t="s">
        <v>17</v>
      </c>
      <c r="AE53" s="1" t="s">
        <v>44</v>
      </c>
      <c r="AF53" s="1" t="s">
        <v>57</v>
      </c>
      <c r="AG53" s="1" t="s">
        <v>62</v>
      </c>
      <c r="AH53" s="1" t="s">
        <v>21</v>
      </c>
      <c r="AI53" s="1">
        <v>1</v>
      </c>
      <c r="AJ53" s="1">
        <v>3708.38</v>
      </c>
      <c r="AK53" s="1">
        <v>20</v>
      </c>
      <c r="AL53" s="1">
        <v>2966.7</v>
      </c>
      <c r="AM53" s="1">
        <v>3708.38</v>
      </c>
      <c r="AN53" s="10">
        <v>593.34</v>
      </c>
      <c r="AO53" s="11">
        <v>3115.04</v>
      </c>
      <c r="AP53" s="1" t="s">
        <v>161</v>
      </c>
      <c r="AQ53" s="1" t="s">
        <v>162</v>
      </c>
      <c r="AR53" s="1" t="b">
        <v>0</v>
      </c>
    </row>
    <row r="54" spans="1:44" x14ac:dyDescent="0.3">
      <c r="A54" s="5">
        <v>10053</v>
      </c>
      <c r="B54" s="1">
        <v>1875</v>
      </c>
      <c r="C54" s="2">
        <v>45115</v>
      </c>
      <c r="D54" s="2">
        <v>45118</v>
      </c>
      <c r="E54" s="1" t="s">
        <v>46</v>
      </c>
      <c r="F54" s="1" t="s">
        <v>16</v>
      </c>
      <c r="G54" s="1" t="s">
        <v>17</v>
      </c>
      <c r="H54" s="1" t="s">
        <v>35</v>
      </c>
      <c r="I54" s="1" t="s">
        <v>52</v>
      </c>
      <c r="J54" s="1" t="s">
        <v>64</v>
      </c>
      <c r="K54" s="1" t="s">
        <v>21</v>
      </c>
      <c r="L54" s="1">
        <v>5</v>
      </c>
      <c r="M54" s="1">
        <v>2534.0700000000002</v>
      </c>
      <c r="N54" s="1">
        <v>10</v>
      </c>
      <c r="O54" s="1">
        <v>11403.31</v>
      </c>
      <c r="P54" s="1">
        <f t="shared" si="0"/>
        <v>12670.35</v>
      </c>
      <c r="Q54" s="10">
        <f t="shared" si="1"/>
        <v>1140.3309999999999</v>
      </c>
      <c r="R54" s="11">
        <f t="shared" si="2"/>
        <v>11530.019</v>
      </c>
      <c r="S54" s="1" t="str">
        <f t="shared" si="3"/>
        <v>High</v>
      </c>
      <c r="T54" s="1" t="str" cm="1">
        <f t="array" ref="T54">_xlfn.IFS(L54&gt;5,"High",L54=5,"mediam",L54&lt;5,"low")</f>
        <v>mediam</v>
      </c>
      <c r="U54" s="1" t="b">
        <f t="shared" si="5"/>
        <v>0</v>
      </c>
      <c r="X54" s="5">
        <v>10358</v>
      </c>
      <c r="Y54" s="1">
        <v>1989</v>
      </c>
      <c r="Z54" s="2">
        <v>45015</v>
      </c>
      <c r="AA54" s="2">
        <v>45019</v>
      </c>
      <c r="AB54" s="1" t="s">
        <v>15</v>
      </c>
      <c r="AC54" s="1" t="s">
        <v>29</v>
      </c>
      <c r="AD54" s="1" t="s">
        <v>30</v>
      </c>
      <c r="AE54" s="1" t="s">
        <v>35</v>
      </c>
      <c r="AF54" s="1" t="s">
        <v>57</v>
      </c>
      <c r="AG54" s="1" t="s">
        <v>58</v>
      </c>
      <c r="AH54" s="1" t="s">
        <v>33</v>
      </c>
      <c r="AI54" s="1">
        <v>8</v>
      </c>
      <c r="AJ54" s="1">
        <v>3581.12</v>
      </c>
      <c r="AK54" s="1">
        <v>15</v>
      </c>
      <c r="AL54" s="1">
        <v>24351.62</v>
      </c>
      <c r="AM54" s="1">
        <v>28648.959999999999</v>
      </c>
      <c r="AN54" s="10">
        <v>3652.7429999999999</v>
      </c>
      <c r="AO54" s="11">
        <v>24996.217000000001</v>
      </c>
      <c r="AP54" s="1" t="s">
        <v>159</v>
      </c>
      <c r="AQ54" s="1" t="s">
        <v>159</v>
      </c>
      <c r="AR54" s="1" t="s">
        <v>159</v>
      </c>
    </row>
    <row r="55" spans="1:44" x14ac:dyDescent="0.3">
      <c r="A55" s="5">
        <v>10054</v>
      </c>
      <c r="B55" s="1">
        <v>1566</v>
      </c>
      <c r="C55" s="2">
        <v>45279</v>
      </c>
      <c r="D55" s="2">
        <v>45281</v>
      </c>
      <c r="E55" s="1" t="s">
        <v>40</v>
      </c>
      <c r="F55" s="1" t="s">
        <v>23</v>
      </c>
      <c r="G55" s="1" t="s">
        <v>24</v>
      </c>
      <c r="H55" s="1" t="s">
        <v>25</v>
      </c>
      <c r="I55" s="1" t="s">
        <v>49</v>
      </c>
      <c r="J55" s="1" t="s">
        <v>50</v>
      </c>
      <c r="K55" s="1" t="s">
        <v>21</v>
      </c>
      <c r="L55" s="1">
        <v>8</v>
      </c>
      <c r="M55" s="1">
        <v>1428.62</v>
      </c>
      <c r="N55" s="1">
        <v>10</v>
      </c>
      <c r="O55" s="1">
        <v>10286.06</v>
      </c>
      <c r="P55" s="1">
        <f t="shared" si="0"/>
        <v>11428.96</v>
      </c>
      <c r="Q55" s="10">
        <f t="shared" si="1"/>
        <v>1028.606</v>
      </c>
      <c r="R55" s="11">
        <f t="shared" si="2"/>
        <v>10400.353999999999</v>
      </c>
      <c r="S55" s="1" t="str">
        <f t="shared" si="3"/>
        <v>High</v>
      </c>
      <c r="T55" s="1" t="str" cm="1">
        <f t="array" ref="T55">_xlfn.IFS(L55&gt;5,"High",L55=5,"mediam",L55&lt;5,"low")</f>
        <v>High</v>
      </c>
      <c r="U55" s="1" t="str">
        <f t="shared" si="5"/>
        <v>High</v>
      </c>
      <c r="X55" s="5">
        <v>10366</v>
      </c>
      <c r="Y55" s="1">
        <v>1571</v>
      </c>
      <c r="Z55" s="2">
        <v>45223</v>
      </c>
      <c r="AA55" s="2">
        <v>45226</v>
      </c>
      <c r="AB55" s="1" t="s">
        <v>15</v>
      </c>
      <c r="AC55" s="1" t="s">
        <v>16</v>
      </c>
      <c r="AD55" s="1" t="s">
        <v>24</v>
      </c>
      <c r="AE55" s="1" t="s">
        <v>42</v>
      </c>
      <c r="AF55" s="1" t="s">
        <v>49</v>
      </c>
      <c r="AG55" s="1" t="s">
        <v>63</v>
      </c>
      <c r="AH55" s="1" t="s">
        <v>21</v>
      </c>
      <c r="AI55" s="1">
        <v>5</v>
      </c>
      <c r="AJ55" s="1">
        <v>3320.88</v>
      </c>
      <c r="AK55" s="1">
        <v>0</v>
      </c>
      <c r="AL55" s="1">
        <v>16604.400000000001</v>
      </c>
      <c r="AM55" s="1">
        <v>16604.400000000001</v>
      </c>
      <c r="AN55" s="10">
        <v>0</v>
      </c>
      <c r="AO55" s="11">
        <v>16604.400000000001</v>
      </c>
      <c r="AP55" s="1" t="s">
        <v>159</v>
      </c>
      <c r="AQ55" s="1" t="s">
        <v>160</v>
      </c>
      <c r="AR55" s="1" t="b">
        <v>0</v>
      </c>
    </row>
    <row r="56" spans="1:44" x14ac:dyDescent="0.3">
      <c r="A56" s="5">
        <v>10055</v>
      </c>
      <c r="B56" s="1">
        <v>1243</v>
      </c>
      <c r="C56" s="2">
        <v>45110</v>
      </c>
      <c r="D56" s="2">
        <v>45115</v>
      </c>
      <c r="E56" s="1" t="s">
        <v>37</v>
      </c>
      <c r="F56" s="1" t="s">
        <v>16</v>
      </c>
      <c r="G56" s="1" t="s">
        <v>24</v>
      </c>
      <c r="H56" s="1" t="s">
        <v>18</v>
      </c>
      <c r="I56" s="1" t="s">
        <v>52</v>
      </c>
      <c r="J56" s="1" t="s">
        <v>64</v>
      </c>
      <c r="K56" s="1" t="s">
        <v>45</v>
      </c>
      <c r="L56" s="1">
        <v>2</v>
      </c>
      <c r="M56" s="1">
        <v>3723.19</v>
      </c>
      <c r="N56" s="1">
        <v>5</v>
      </c>
      <c r="O56" s="1">
        <v>7074.06</v>
      </c>
      <c r="P56" s="1">
        <f t="shared" si="0"/>
        <v>7446.38</v>
      </c>
      <c r="Q56" s="10">
        <f t="shared" si="1"/>
        <v>353.70300000000003</v>
      </c>
      <c r="R56" s="11">
        <f t="shared" si="2"/>
        <v>7092.6769999999997</v>
      </c>
      <c r="S56" s="1" t="str">
        <f t="shared" si="3"/>
        <v>Low</v>
      </c>
      <c r="T56" s="1" t="str" cm="1">
        <f t="array" ref="T56">_xlfn.IFS(L56&gt;5,"High",L56=5,"mediam",L56&lt;5,"low")</f>
        <v>low</v>
      </c>
      <c r="U56" s="1" t="b">
        <f t="shared" si="5"/>
        <v>0</v>
      </c>
      <c r="X56" s="5">
        <v>10379</v>
      </c>
      <c r="Y56" s="1">
        <v>1658</v>
      </c>
      <c r="Z56" s="2">
        <v>45262</v>
      </c>
      <c r="AA56" s="2">
        <v>45270</v>
      </c>
      <c r="AB56" s="1" t="s">
        <v>15</v>
      </c>
      <c r="AC56" s="1" t="s">
        <v>16</v>
      </c>
      <c r="AD56" s="1" t="s">
        <v>24</v>
      </c>
      <c r="AE56" s="1" t="s">
        <v>35</v>
      </c>
      <c r="AF56" s="1" t="s">
        <v>26</v>
      </c>
      <c r="AG56" s="1" t="s">
        <v>69</v>
      </c>
      <c r="AH56" s="1" t="s">
        <v>45</v>
      </c>
      <c r="AI56" s="1">
        <v>1</v>
      </c>
      <c r="AJ56" s="1">
        <v>3910.66</v>
      </c>
      <c r="AK56" s="1">
        <v>5</v>
      </c>
      <c r="AL56" s="1">
        <v>3715.13</v>
      </c>
      <c r="AM56" s="1">
        <v>3910.66</v>
      </c>
      <c r="AN56" s="10">
        <v>185.75650000000002</v>
      </c>
      <c r="AO56" s="11">
        <v>3724.9034999999999</v>
      </c>
      <c r="AP56" s="1" t="s">
        <v>161</v>
      </c>
      <c r="AQ56" s="1" t="s">
        <v>162</v>
      </c>
      <c r="AR56" s="1" t="b">
        <v>0</v>
      </c>
    </row>
    <row r="57" spans="1:44" x14ac:dyDescent="0.3">
      <c r="A57" s="5">
        <v>10056</v>
      </c>
      <c r="B57" s="1">
        <v>1831</v>
      </c>
      <c r="C57" s="2">
        <v>44929</v>
      </c>
      <c r="D57" s="2">
        <v>44934</v>
      </c>
      <c r="E57" s="1" t="s">
        <v>37</v>
      </c>
      <c r="F57" s="1" t="s">
        <v>29</v>
      </c>
      <c r="G57" s="1" t="s">
        <v>17</v>
      </c>
      <c r="H57" s="1" t="s">
        <v>42</v>
      </c>
      <c r="I57" s="1" t="s">
        <v>57</v>
      </c>
      <c r="J57" s="1" t="s">
        <v>62</v>
      </c>
      <c r="K57" s="1" t="s">
        <v>45</v>
      </c>
      <c r="L57" s="1">
        <v>6</v>
      </c>
      <c r="M57" s="1">
        <v>3402.72</v>
      </c>
      <c r="N57" s="1">
        <v>15</v>
      </c>
      <c r="O57" s="1">
        <v>17353.87</v>
      </c>
      <c r="P57" s="1">
        <f t="shared" si="0"/>
        <v>20416.32</v>
      </c>
      <c r="Q57" s="10">
        <f t="shared" si="1"/>
        <v>2603.0804999999996</v>
      </c>
      <c r="R57" s="11">
        <f t="shared" si="2"/>
        <v>17813.2395</v>
      </c>
      <c r="S57" s="1" t="str">
        <f t="shared" si="3"/>
        <v>High</v>
      </c>
      <c r="T57" s="1" t="str" cm="1">
        <f t="array" ref="T57">_xlfn.IFS(L57&gt;5,"High",L57=5,"mediam",L57&lt;5,"low")</f>
        <v>High</v>
      </c>
      <c r="U57" s="1" t="str">
        <f t="shared" si="5"/>
        <v>High</v>
      </c>
      <c r="X57" s="5">
        <v>10386</v>
      </c>
      <c r="Y57" s="1">
        <v>1119</v>
      </c>
      <c r="Z57" s="2">
        <v>45146</v>
      </c>
      <c r="AA57" s="2">
        <v>45154</v>
      </c>
      <c r="AB57" s="1" t="s">
        <v>15</v>
      </c>
      <c r="AC57" s="1" t="s">
        <v>23</v>
      </c>
      <c r="AD57" s="1" t="s">
        <v>24</v>
      </c>
      <c r="AE57" s="1" t="s">
        <v>44</v>
      </c>
      <c r="AF57" s="1" t="s">
        <v>49</v>
      </c>
      <c r="AG57" s="1" t="s">
        <v>68</v>
      </c>
      <c r="AH57" s="1" t="s">
        <v>28</v>
      </c>
      <c r="AI57" s="1">
        <v>2</v>
      </c>
      <c r="AJ57" s="1">
        <v>1984.38</v>
      </c>
      <c r="AK57" s="1">
        <v>10</v>
      </c>
      <c r="AL57" s="1">
        <v>3571.88</v>
      </c>
      <c r="AM57" s="1">
        <v>3968.76</v>
      </c>
      <c r="AN57" s="10">
        <v>357.18800000000005</v>
      </c>
      <c r="AO57" s="11">
        <v>3611.5720000000001</v>
      </c>
      <c r="AP57" s="1" t="s">
        <v>161</v>
      </c>
      <c r="AQ57" s="1" t="s">
        <v>162</v>
      </c>
      <c r="AR57" s="1" t="b">
        <v>0</v>
      </c>
    </row>
    <row r="58" spans="1:44" x14ac:dyDescent="0.3">
      <c r="A58" s="5">
        <v>10057</v>
      </c>
      <c r="B58" s="1">
        <v>1504</v>
      </c>
      <c r="C58" s="2">
        <v>45117</v>
      </c>
      <c r="D58" s="2">
        <v>45122</v>
      </c>
      <c r="E58" s="1" t="s">
        <v>37</v>
      </c>
      <c r="F58" s="1" t="s">
        <v>29</v>
      </c>
      <c r="G58" s="1" t="s">
        <v>17</v>
      </c>
      <c r="H58" s="1" t="s">
        <v>25</v>
      </c>
      <c r="I58" s="1" t="s">
        <v>57</v>
      </c>
      <c r="J58" s="1" t="s">
        <v>58</v>
      </c>
      <c r="K58" s="1" t="s">
        <v>33</v>
      </c>
      <c r="L58" s="1">
        <v>9</v>
      </c>
      <c r="M58" s="1">
        <v>1012.33</v>
      </c>
      <c r="N58" s="1">
        <v>20</v>
      </c>
      <c r="O58" s="1">
        <v>7288.78</v>
      </c>
      <c r="P58" s="1">
        <f t="shared" si="0"/>
        <v>9110.9700000000012</v>
      </c>
      <c r="Q58" s="10">
        <f t="shared" si="1"/>
        <v>1457.7560000000001</v>
      </c>
      <c r="R58" s="11">
        <f t="shared" si="2"/>
        <v>7653.2140000000009</v>
      </c>
      <c r="S58" s="1" t="str">
        <f t="shared" si="3"/>
        <v>High</v>
      </c>
      <c r="T58" s="1" t="str" cm="1">
        <f t="array" ref="T58">_xlfn.IFS(L58&gt;5,"High",L58=5,"mediam",L58&lt;5,"low")</f>
        <v>High</v>
      </c>
      <c r="U58" s="1" t="str">
        <f t="shared" si="5"/>
        <v>High</v>
      </c>
      <c r="X58" s="5">
        <v>10389</v>
      </c>
      <c r="Y58" s="1">
        <v>1627</v>
      </c>
      <c r="Z58" s="2">
        <v>45027</v>
      </c>
      <c r="AA58" s="2">
        <v>45030</v>
      </c>
      <c r="AB58" s="1" t="s">
        <v>15</v>
      </c>
      <c r="AC58" s="1" t="s">
        <v>38</v>
      </c>
      <c r="AD58" s="1" t="s">
        <v>17</v>
      </c>
      <c r="AE58" s="1" t="s">
        <v>35</v>
      </c>
      <c r="AF58" s="1" t="s">
        <v>26</v>
      </c>
      <c r="AG58" s="1" t="s">
        <v>69</v>
      </c>
      <c r="AH58" s="1" t="s">
        <v>21</v>
      </c>
      <c r="AI58" s="1">
        <v>7</v>
      </c>
      <c r="AJ58" s="1">
        <v>3459.29</v>
      </c>
      <c r="AK58" s="1">
        <v>0</v>
      </c>
      <c r="AL58" s="1">
        <v>24215.03</v>
      </c>
      <c r="AM58" s="1">
        <v>24215.03</v>
      </c>
      <c r="AN58" s="10">
        <v>0</v>
      </c>
      <c r="AO58" s="11">
        <v>24215.03</v>
      </c>
      <c r="AP58" s="1" t="s">
        <v>159</v>
      </c>
      <c r="AQ58" s="1" t="s">
        <v>159</v>
      </c>
      <c r="AR58" s="1" t="s">
        <v>159</v>
      </c>
    </row>
    <row r="59" spans="1:44" x14ac:dyDescent="0.3">
      <c r="A59" s="5">
        <v>10058</v>
      </c>
      <c r="B59" s="1">
        <v>1130</v>
      </c>
      <c r="C59" s="2">
        <v>45044</v>
      </c>
      <c r="D59" s="2">
        <v>45048</v>
      </c>
      <c r="E59" s="1" t="s">
        <v>46</v>
      </c>
      <c r="F59" s="1" t="s">
        <v>29</v>
      </c>
      <c r="G59" s="1" t="s">
        <v>24</v>
      </c>
      <c r="H59" s="1" t="s">
        <v>44</v>
      </c>
      <c r="I59" s="1" t="s">
        <v>57</v>
      </c>
      <c r="J59" s="1" t="s">
        <v>59</v>
      </c>
      <c r="K59" s="1" t="s">
        <v>21</v>
      </c>
      <c r="L59" s="1">
        <v>8</v>
      </c>
      <c r="M59" s="1">
        <v>1070.7</v>
      </c>
      <c r="N59" s="1">
        <v>5</v>
      </c>
      <c r="O59" s="1">
        <v>8137.32</v>
      </c>
      <c r="P59" s="1">
        <f t="shared" si="0"/>
        <v>8565.6</v>
      </c>
      <c r="Q59" s="10">
        <f t="shared" si="1"/>
        <v>406.86599999999999</v>
      </c>
      <c r="R59" s="11">
        <f t="shared" si="2"/>
        <v>8158.7340000000004</v>
      </c>
      <c r="S59" s="1" t="str">
        <f t="shared" si="3"/>
        <v>High</v>
      </c>
      <c r="T59" s="1" t="str" cm="1">
        <f t="array" ref="T59">_xlfn.IFS(L59&gt;5,"High",L59=5,"mediam",L59&lt;5,"low")</f>
        <v>High</v>
      </c>
      <c r="U59" s="1" t="str">
        <f t="shared" si="5"/>
        <v>High</v>
      </c>
      <c r="X59" s="5">
        <v>10391</v>
      </c>
      <c r="Y59" s="1">
        <v>1624</v>
      </c>
      <c r="Z59" s="2">
        <v>45033</v>
      </c>
      <c r="AA59" s="2">
        <v>45037</v>
      </c>
      <c r="AB59" s="1" t="s">
        <v>15</v>
      </c>
      <c r="AC59" s="1" t="s">
        <v>29</v>
      </c>
      <c r="AD59" s="1" t="s">
        <v>30</v>
      </c>
      <c r="AE59" s="1" t="s">
        <v>25</v>
      </c>
      <c r="AF59" s="1" t="s">
        <v>19</v>
      </c>
      <c r="AG59" s="1" t="s">
        <v>66</v>
      </c>
      <c r="AH59" s="1" t="s">
        <v>33</v>
      </c>
      <c r="AI59" s="1">
        <v>6</v>
      </c>
      <c r="AJ59" s="1">
        <v>2824.42</v>
      </c>
      <c r="AK59" s="1">
        <v>0</v>
      </c>
      <c r="AL59" s="1">
        <v>16946.52</v>
      </c>
      <c r="AM59" s="1">
        <v>16946.52</v>
      </c>
      <c r="AN59" s="10">
        <v>0</v>
      </c>
      <c r="AO59" s="11">
        <v>16946.52</v>
      </c>
      <c r="AP59" s="1" t="s">
        <v>159</v>
      </c>
      <c r="AQ59" s="1" t="s">
        <v>159</v>
      </c>
      <c r="AR59" s="1" t="s">
        <v>159</v>
      </c>
    </row>
    <row r="60" spans="1:44" x14ac:dyDescent="0.3">
      <c r="A60" s="5">
        <v>10059</v>
      </c>
      <c r="B60" s="1">
        <v>1484</v>
      </c>
      <c r="C60" s="2">
        <v>44945</v>
      </c>
      <c r="D60" s="2">
        <v>44950</v>
      </c>
      <c r="E60" s="1" t="s">
        <v>40</v>
      </c>
      <c r="F60" s="1" t="s">
        <v>41</v>
      </c>
      <c r="G60" s="1" t="s">
        <v>24</v>
      </c>
      <c r="H60" s="1" t="s">
        <v>42</v>
      </c>
      <c r="I60" s="1" t="s">
        <v>52</v>
      </c>
      <c r="J60" s="1" t="s">
        <v>64</v>
      </c>
      <c r="K60" s="1" t="s">
        <v>33</v>
      </c>
      <c r="L60" s="1">
        <v>8</v>
      </c>
      <c r="M60" s="1">
        <v>2122.36</v>
      </c>
      <c r="N60" s="1">
        <v>0</v>
      </c>
      <c r="O60" s="1">
        <v>16978.88</v>
      </c>
      <c r="P60" s="1">
        <f t="shared" si="0"/>
        <v>16978.88</v>
      </c>
      <c r="Q60" s="10">
        <f t="shared" si="1"/>
        <v>0</v>
      </c>
      <c r="R60" s="11">
        <f t="shared" si="2"/>
        <v>16978.88</v>
      </c>
      <c r="S60" s="1" t="str">
        <f t="shared" si="3"/>
        <v>High</v>
      </c>
      <c r="T60" s="1" t="str" cm="1">
        <f t="array" ref="T60">_xlfn.IFS(L60&gt;5,"High",L60=5,"mediam",L60&lt;5,"low")</f>
        <v>High</v>
      </c>
      <c r="U60" s="1" t="str">
        <f t="shared" si="5"/>
        <v>High</v>
      </c>
      <c r="X60" s="5">
        <v>10419</v>
      </c>
      <c r="Y60" s="1">
        <v>1397</v>
      </c>
      <c r="Z60" s="2">
        <v>45122</v>
      </c>
      <c r="AA60" s="2">
        <v>45129</v>
      </c>
      <c r="AB60" s="1" t="s">
        <v>15</v>
      </c>
      <c r="AC60" s="1" t="s">
        <v>16</v>
      </c>
      <c r="AD60" s="1" t="s">
        <v>24</v>
      </c>
      <c r="AE60" s="1" t="s">
        <v>35</v>
      </c>
      <c r="AF60" s="1" t="s">
        <v>26</v>
      </c>
      <c r="AG60" s="1" t="s">
        <v>27</v>
      </c>
      <c r="AH60" s="1" t="s">
        <v>47</v>
      </c>
      <c r="AI60" s="1">
        <v>8</v>
      </c>
      <c r="AJ60" s="1">
        <v>1975.53</v>
      </c>
      <c r="AK60" s="1">
        <v>5</v>
      </c>
      <c r="AL60" s="1">
        <v>15014.03</v>
      </c>
      <c r="AM60" s="1">
        <v>15804.24</v>
      </c>
      <c r="AN60" s="10">
        <v>750.70150000000012</v>
      </c>
      <c r="AO60" s="11">
        <v>15053.538499999999</v>
      </c>
      <c r="AP60" s="1" t="s">
        <v>159</v>
      </c>
      <c r="AQ60" s="1" t="s">
        <v>159</v>
      </c>
      <c r="AR60" s="1" t="s">
        <v>159</v>
      </c>
    </row>
    <row r="61" spans="1:44" x14ac:dyDescent="0.3">
      <c r="A61" s="5">
        <v>10060</v>
      </c>
      <c r="B61" s="1">
        <v>1818</v>
      </c>
      <c r="C61" s="2">
        <v>44949</v>
      </c>
      <c r="D61" s="2">
        <v>44952</v>
      </c>
      <c r="E61" s="1" t="s">
        <v>46</v>
      </c>
      <c r="F61" s="1" t="s">
        <v>41</v>
      </c>
      <c r="G61" s="1" t="s">
        <v>30</v>
      </c>
      <c r="H61" s="1" t="s">
        <v>42</v>
      </c>
      <c r="I61" s="1" t="s">
        <v>57</v>
      </c>
      <c r="J61" s="1" t="s">
        <v>62</v>
      </c>
      <c r="K61" s="1" t="s">
        <v>45</v>
      </c>
      <c r="L61" s="1">
        <v>8</v>
      </c>
      <c r="M61" s="1">
        <v>3128.25</v>
      </c>
      <c r="N61" s="1">
        <v>15</v>
      </c>
      <c r="O61" s="1">
        <v>21272.1</v>
      </c>
      <c r="P61" s="1">
        <f t="shared" si="0"/>
        <v>25026</v>
      </c>
      <c r="Q61" s="10">
        <f t="shared" si="1"/>
        <v>3190.8149999999996</v>
      </c>
      <c r="R61" s="11">
        <f t="shared" si="2"/>
        <v>21835.185000000001</v>
      </c>
      <c r="S61" s="1" t="str">
        <f t="shared" si="3"/>
        <v>High</v>
      </c>
      <c r="T61" s="1" t="str" cm="1">
        <f t="array" ref="T61">_xlfn.IFS(L61&gt;5,"High",L61=5,"mediam",L61&lt;5,"low")</f>
        <v>High</v>
      </c>
      <c r="U61" s="1" t="str">
        <f t="shared" si="5"/>
        <v>High</v>
      </c>
      <c r="X61" s="5">
        <v>10420</v>
      </c>
      <c r="Y61" s="1">
        <v>1276</v>
      </c>
      <c r="Z61" s="2">
        <v>45207</v>
      </c>
      <c r="AA61" s="2">
        <v>45209</v>
      </c>
      <c r="AB61" s="1" t="s">
        <v>15</v>
      </c>
      <c r="AC61" s="1" t="s">
        <v>29</v>
      </c>
      <c r="AD61" s="1" t="s">
        <v>24</v>
      </c>
      <c r="AE61" s="1" t="s">
        <v>18</v>
      </c>
      <c r="AF61" s="1" t="s">
        <v>19</v>
      </c>
      <c r="AG61" s="1" t="s">
        <v>66</v>
      </c>
      <c r="AH61" s="1" t="s">
        <v>21</v>
      </c>
      <c r="AI61" s="1">
        <v>2</v>
      </c>
      <c r="AJ61" s="1">
        <v>406.77</v>
      </c>
      <c r="AK61" s="1">
        <v>10</v>
      </c>
      <c r="AL61" s="1">
        <v>732.19</v>
      </c>
      <c r="AM61" s="1">
        <v>813.54</v>
      </c>
      <c r="AN61" s="10">
        <v>73.219000000000008</v>
      </c>
      <c r="AO61" s="11">
        <v>740.32099999999991</v>
      </c>
      <c r="AP61" s="1" t="s">
        <v>161</v>
      </c>
      <c r="AQ61" s="1" t="s">
        <v>162</v>
      </c>
      <c r="AR61" s="1" t="b">
        <v>0</v>
      </c>
    </row>
    <row r="62" spans="1:44" x14ac:dyDescent="0.3">
      <c r="A62" s="5">
        <v>10061</v>
      </c>
      <c r="B62" s="1">
        <v>1646</v>
      </c>
      <c r="C62" s="2">
        <v>44956</v>
      </c>
      <c r="D62" s="2">
        <v>44957</v>
      </c>
      <c r="E62" s="1" t="s">
        <v>37</v>
      </c>
      <c r="F62" s="1" t="s">
        <v>54</v>
      </c>
      <c r="G62" s="1" t="s">
        <v>24</v>
      </c>
      <c r="H62" s="1" t="s">
        <v>42</v>
      </c>
      <c r="I62" s="1" t="s">
        <v>26</v>
      </c>
      <c r="J62" s="1" t="s">
        <v>36</v>
      </c>
      <c r="K62" s="1" t="s">
        <v>45</v>
      </c>
      <c r="L62" s="1">
        <v>7</v>
      </c>
      <c r="M62" s="1">
        <v>319.56</v>
      </c>
      <c r="N62" s="1">
        <v>10</v>
      </c>
      <c r="O62" s="1">
        <v>2013.23</v>
      </c>
      <c r="P62" s="1">
        <f t="shared" si="0"/>
        <v>2236.92</v>
      </c>
      <c r="Q62" s="10">
        <f t="shared" si="1"/>
        <v>201.32300000000001</v>
      </c>
      <c r="R62" s="11">
        <f t="shared" si="2"/>
        <v>2035.597</v>
      </c>
      <c r="S62" s="1" t="str">
        <f t="shared" si="3"/>
        <v>High</v>
      </c>
      <c r="T62" s="1" t="str" cm="1">
        <f t="array" ref="T62">_xlfn.IFS(L62&gt;5,"High",L62=5,"mediam",L62&lt;5,"low")</f>
        <v>High</v>
      </c>
      <c r="U62" s="1" t="str">
        <f t="shared" si="5"/>
        <v>High</v>
      </c>
      <c r="X62" s="5">
        <v>10433</v>
      </c>
      <c r="Y62" s="1">
        <v>1954</v>
      </c>
      <c r="Z62" s="2">
        <v>45152</v>
      </c>
      <c r="AA62" s="2">
        <v>45159</v>
      </c>
      <c r="AB62" s="1" t="s">
        <v>15</v>
      </c>
      <c r="AC62" s="1" t="s">
        <v>54</v>
      </c>
      <c r="AD62" s="1" t="s">
        <v>17</v>
      </c>
      <c r="AE62" s="1" t="s">
        <v>18</v>
      </c>
      <c r="AF62" s="1" t="s">
        <v>49</v>
      </c>
      <c r="AG62" s="1" t="s">
        <v>51</v>
      </c>
      <c r="AH62" s="1" t="s">
        <v>33</v>
      </c>
      <c r="AI62" s="1">
        <v>4</v>
      </c>
      <c r="AJ62" s="1">
        <v>3590.5</v>
      </c>
      <c r="AK62" s="1">
        <v>0</v>
      </c>
      <c r="AL62" s="1">
        <v>14362</v>
      </c>
      <c r="AM62" s="1">
        <v>14362</v>
      </c>
      <c r="AN62" s="10">
        <v>0</v>
      </c>
      <c r="AO62" s="11">
        <v>14362</v>
      </c>
      <c r="AP62" s="1" t="s">
        <v>161</v>
      </c>
      <c r="AQ62" s="1" t="s">
        <v>162</v>
      </c>
      <c r="AR62" s="1" t="b">
        <v>0</v>
      </c>
    </row>
    <row r="63" spans="1:44" x14ac:dyDescent="0.3">
      <c r="A63" s="5">
        <v>10062</v>
      </c>
      <c r="B63" s="1">
        <v>1020</v>
      </c>
      <c r="C63" s="2">
        <v>45221</v>
      </c>
      <c r="D63" s="2">
        <v>45226</v>
      </c>
      <c r="E63" s="1" t="s">
        <v>22</v>
      </c>
      <c r="F63" s="1" t="s">
        <v>29</v>
      </c>
      <c r="G63" s="1" t="s">
        <v>30</v>
      </c>
      <c r="H63" s="1" t="s">
        <v>35</v>
      </c>
      <c r="I63" s="1" t="s">
        <v>52</v>
      </c>
      <c r="J63" s="1" t="s">
        <v>56</v>
      </c>
      <c r="K63" s="1" t="s">
        <v>21</v>
      </c>
      <c r="L63" s="1">
        <v>8</v>
      </c>
      <c r="M63" s="1">
        <v>2819.34</v>
      </c>
      <c r="N63" s="1">
        <v>5</v>
      </c>
      <c r="O63" s="1">
        <v>21426.98</v>
      </c>
      <c r="P63" s="1">
        <f t="shared" si="0"/>
        <v>22554.720000000001</v>
      </c>
      <c r="Q63" s="10">
        <f t="shared" si="1"/>
        <v>1071.3489999999999</v>
      </c>
      <c r="R63" s="11">
        <f t="shared" si="2"/>
        <v>21483.371000000003</v>
      </c>
      <c r="S63" s="1" t="str">
        <f t="shared" si="3"/>
        <v>High</v>
      </c>
      <c r="T63" s="1" t="str" cm="1">
        <f t="array" ref="T63">_xlfn.IFS(L63&gt;5,"High",L63=5,"mediam",L63&lt;5,"low")</f>
        <v>High</v>
      </c>
      <c r="U63" s="1" t="str">
        <f t="shared" si="5"/>
        <v>High</v>
      </c>
      <c r="X63" s="5">
        <v>10435</v>
      </c>
      <c r="Y63" s="1">
        <v>1469</v>
      </c>
      <c r="Z63" s="2">
        <v>45002</v>
      </c>
      <c r="AA63" s="2">
        <v>45009</v>
      </c>
      <c r="AB63" s="1" t="s">
        <v>15</v>
      </c>
      <c r="AC63" s="1" t="s">
        <v>29</v>
      </c>
      <c r="AD63" s="1" t="s">
        <v>24</v>
      </c>
      <c r="AE63" s="1" t="s">
        <v>44</v>
      </c>
      <c r="AF63" s="1" t="s">
        <v>52</v>
      </c>
      <c r="AG63" s="1" t="s">
        <v>56</v>
      </c>
      <c r="AH63" s="1" t="s">
        <v>21</v>
      </c>
      <c r="AI63" s="1">
        <v>3</v>
      </c>
      <c r="AJ63" s="1">
        <v>3644.78</v>
      </c>
      <c r="AK63" s="1">
        <v>0</v>
      </c>
      <c r="AL63" s="1">
        <v>10934.34</v>
      </c>
      <c r="AM63" s="1">
        <v>10934.34</v>
      </c>
      <c r="AN63" s="10">
        <v>0</v>
      </c>
      <c r="AO63" s="11">
        <v>10934.34</v>
      </c>
      <c r="AP63" s="1" t="s">
        <v>161</v>
      </c>
      <c r="AQ63" s="1" t="s">
        <v>162</v>
      </c>
      <c r="AR63" s="1" t="b">
        <v>0</v>
      </c>
    </row>
    <row r="64" spans="1:44" x14ac:dyDescent="0.3">
      <c r="A64" s="5">
        <v>10063</v>
      </c>
      <c r="B64" s="1">
        <v>1840</v>
      </c>
      <c r="C64" s="2">
        <v>45034</v>
      </c>
      <c r="D64" s="2">
        <v>45043</v>
      </c>
      <c r="E64" s="1" t="s">
        <v>40</v>
      </c>
      <c r="F64" s="1" t="s">
        <v>23</v>
      </c>
      <c r="G64" s="1" t="s">
        <v>30</v>
      </c>
      <c r="H64" s="1" t="s">
        <v>42</v>
      </c>
      <c r="I64" s="1" t="s">
        <v>57</v>
      </c>
      <c r="J64" s="1" t="s">
        <v>62</v>
      </c>
      <c r="K64" s="1" t="s">
        <v>28</v>
      </c>
      <c r="L64" s="1">
        <v>6</v>
      </c>
      <c r="M64" s="1">
        <v>2645.71</v>
      </c>
      <c r="N64" s="1">
        <v>10</v>
      </c>
      <c r="O64" s="1">
        <v>14286.83</v>
      </c>
      <c r="P64" s="1">
        <f t="shared" si="0"/>
        <v>15874.26</v>
      </c>
      <c r="Q64" s="10">
        <f t="shared" si="1"/>
        <v>1428.683</v>
      </c>
      <c r="R64" s="11">
        <f t="shared" si="2"/>
        <v>14445.577000000001</v>
      </c>
      <c r="S64" s="1" t="str">
        <f t="shared" si="3"/>
        <v>High</v>
      </c>
      <c r="T64" s="1" t="str" cm="1">
        <f t="array" ref="T64">_xlfn.IFS(L64&gt;5,"High",L64=5,"mediam",L64&lt;5,"low")</f>
        <v>High</v>
      </c>
      <c r="U64" s="1" t="str">
        <f t="shared" si="5"/>
        <v>High</v>
      </c>
      <c r="X64" s="5">
        <v>10436</v>
      </c>
      <c r="Y64" s="1">
        <v>1374</v>
      </c>
      <c r="Z64" s="2">
        <v>45212</v>
      </c>
      <c r="AA64" s="2">
        <v>45213</v>
      </c>
      <c r="AB64" s="1" t="s">
        <v>15</v>
      </c>
      <c r="AC64" s="1" t="s">
        <v>23</v>
      </c>
      <c r="AD64" s="1" t="s">
        <v>30</v>
      </c>
      <c r="AE64" s="1" t="s">
        <v>18</v>
      </c>
      <c r="AF64" s="1" t="s">
        <v>52</v>
      </c>
      <c r="AG64" s="1" t="s">
        <v>60</v>
      </c>
      <c r="AH64" s="1" t="s">
        <v>21</v>
      </c>
      <c r="AI64" s="1">
        <v>3</v>
      </c>
      <c r="AJ64" s="1">
        <v>3986.78</v>
      </c>
      <c r="AK64" s="1">
        <v>20</v>
      </c>
      <c r="AL64" s="1">
        <v>9568.27</v>
      </c>
      <c r="AM64" s="1">
        <v>11960.34</v>
      </c>
      <c r="AN64" s="10">
        <v>1913.6540000000002</v>
      </c>
      <c r="AO64" s="11">
        <v>10046.686</v>
      </c>
      <c r="AP64" s="1" t="s">
        <v>161</v>
      </c>
      <c r="AQ64" s="1" t="s">
        <v>162</v>
      </c>
      <c r="AR64" s="1" t="b">
        <v>0</v>
      </c>
    </row>
    <row r="65" spans="1:44" x14ac:dyDescent="0.3">
      <c r="A65" s="5">
        <v>10064</v>
      </c>
      <c r="B65" s="1">
        <v>1166</v>
      </c>
      <c r="C65" s="2">
        <v>45207</v>
      </c>
      <c r="D65" s="2">
        <v>45216</v>
      </c>
      <c r="E65" s="1" t="s">
        <v>40</v>
      </c>
      <c r="F65" s="1" t="s">
        <v>16</v>
      </c>
      <c r="G65" s="1" t="s">
        <v>30</v>
      </c>
      <c r="H65" s="1" t="s">
        <v>18</v>
      </c>
      <c r="I65" s="1" t="s">
        <v>26</v>
      </c>
      <c r="J65" s="1" t="s">
        <v>36</v>
      </c>
      <c r="K65" s="1" t="s">
        <v>47</v>
      </c>
      <c r="L65" s="1">
        <v>2</v>
      </c>
      <c r="M65" s="1">
        <v>1041.2</v>
      </c>
      <c r="N65" s="1">
        <v>15</v>
      </c>
      <c r="O65" s="1">
        <v>1770.04</v>
      </c>
      <c r="P65" s="1">
        <f t="shared" si="0"/>
        <v>2082.4</v>
      </c>
      <c r="Q65" s="10">
        <f t="shared" si="1"/>
        <v>265.50599999999997</v>
      </c>
      <c r="R65" s="11">
        <f t="shared" si="2"/>
        <v>1816.8940000000002</v>
      </c>
      <c r="S65" s="1" t="str">
        <f t="shared" si="3"/>
        <v>Low</v>
      </c>
      <c r="T65" s="1" t="str" cm="1">
        <f t="array" ref="T65">_xlfn.IFS(L65&gt;5,"High",L65=5,"mediam",L65&lt;5,"low")</f>
        <v>low</v>
      </c>
      <c r="U65" s="1" t="b">
        <f t="shared" si="5"/>
        <v>0</v>
      </c>
      <c r="X65" s="5">
        <v>10442</v>
      </c>
      <c r="Y65" s="1">
        <v>1364</v>
      </c>
      <c r="Z65" s="2">
        <v>45089</v>
      </c>
      <c r="AA65" s="2">
        <v>45094</v>
      </c>
      <c r="AB65" s="1" t="s">
        <v>15</v>
      </c>
      <c r="AC65" s="1" t="s">
        <v>23</v>
      </c>
      <c r="AD65" s="1" t="s">
        <v>24</v>
      </c>
      <c r="AE65" s="1" t="s">
        <v>35</v>
      </c>
      <c r="AF65" s="1" t="s">
        <v>57</v>
      </c>
      <c r="AG65" s="1" t="s">
        <v>58</v>
      </c>
      <c r="AH65" s="1" t="s">
        <v>45</v>
      </c>
      <c r="AI65" s="1">
        <v>9</v>
      </c>
      <c r="AJ65" s="1">
        <v>2969.7</v>
      </c>
      <c r="AK65" s="1">
        <v>10</v>
      </c>
      <c r="AL65" s="1">
        <v>24054.57</v>
      </c>
      <c r="AM65" s="1">
        <v>26727.3</v>
      </c>
      <c r="AN65" s="10">
        <v>2405.4569999999999</v>
      </c>
      <c r="AO65" s="11">
        <v>24321.843000000001</v>
      </c>
      <c r="AP65" s="1" t="s">
        <v>159</v>
      </c>
      <c r="AQ65" s="1" t="s">
        <v>159</v>
      </c>
      <c r="AR65" s="1" t="s">
        <v>159</v>
      </c>
    </row>
    <row r="66" spans="1:44" x14ac:dyDescent="0.3">
      <c r="A66" s="5">
        <v>10065</v>
      </c>
      <c r="B66" s="1">
        <v>1273</v>
      </c>
      <c r="C66" s="2">
        <v>45054</v>
      </c>
      <c r="D66" s="2">
        <v>45058</v>
      </c>
      <c r="E66" s="1" t="s">
        <v>15</v>
      </c>
      <c r="F66" s="1" t="s">
        <v>38</v>
      </c>
      <c r="G66" s="1" t="s">
        <v>17</v>
      </c>
      <c r="H66" s="1" t="s">
        <v>42</v>
      </c>
      <c r="I66" s="1" t="s">
        <v>19</v>
      </c>
      <c r="J66" s="1" t="s">
        <v>43</v>
      </c>
      <c r="K66" s="1" t="s">
        <v>45</v>
      </c>
      <c r="L66" s="1">
        <v>2</v>
      </c>
      <c r="M66" s="1">
        <v>2773.21</v>
      </c>
      <c r="N66" s="1">
        <v>10</v>
      </c>
      <c r="O66" s="1">
        <v>4991.78</v>
      </c>
      <c r="P66" s="1">
        <f t="shared" si="0"/>
        <v>5546.42</v>
      </c>
      <c r="Q66" s="10">
        <f t="shared" si="1"/>
        <v>499.178</v>
      </c>
      <c r="R66" s="11">
        <f t="shared" si="2"/>
        <v>5047.2420000000002</v>
      </c>
      <c r="S66" s="1" t="str">
        <f t="shared" si="3"/>
        <v>Low</v>
      </c>
      <c r="T66" s="1" t="str" cm="1">
        <f t="array" ref="T66">_xlfn.IFS(L66&gt;5,"High",L66=5,"mediam",L66&lt;5,"low")</f>
        <v>low</v>
      </c>
      <c r="U66" s="1" t="b">
        <f t="shared" si="5"/>
        <v>0</v>
      </c>
      <c r="X66" s="5">
        <v>10451</v>
      </c>
      <c r="Y66" s="1">
        <v>1608</v>
      </c>
      <c r="Z66" s="2">
        <v>45102</v>
      </c>
      <c r="AA66" s="2">
        <v>45110</v>
      </c>
      <c r="AB66" s="1" t="s">
        <v>15</v>
      </c>
      <c r="AC66" s="1" t="s">
        <v>29</v>
      </c>
      <c r="AD66" s="1" t="s">
        <v>24</v>
      </c>
      <c r="AE66" s="1" t="s">
        <v>25</v>
      </c>
      <c r="AF66" s="1" t="s">
        <v>57</v>
      </c>
      <c r="AG66" s="1" t="s">
        <v>59</v>
      </c>
      <c r="AH66" s="1" t="s">
        <v>28</v>
      </c>
      <c r="AI66" s="1">
        <v>7</v>
      </c>
      <c r="AJ66" s="1">
        <v>1332.87</v>
      </c>
      <c r="AK66" s="1">
        <v>0</v>
      </c>
      <c r="AL66" s="1">
        <v>9330.09</v>
      </c>
      <c r="AM66" s="1">
        <v>9330.09</v>
      </c>
      <c r="AN66" s="10">
        <v>0</v>
      </c>
      <c r="AO66" s="11">
        <v>9330.09</v>
      </c>
      <c r="AP66" s="1" t="s">
        <v>159</v>
      </c>
      <c r="AQ66" s="1" t="s">
        <v>159</v>
      </c>
      <c r="AR66" s="1" t="s">
        <v>159</v>
      </c>
    </row>
    <row r="67" spans="1:44" x14ac:dyDescent="0.3">
      <c r="A67" s="5">
        <v>10066</v>
      </c>
      <c r="B67" s="1">
        <v>1387</v>
      </c>
      <c r="C67" s="2">
        <v>45155</v>
      </c>
      <c r="D67" s="2">
        <v>45158</v>
      </c>
      <c r="E67" s="1" t="s">
        <v>15</v>
      </c>
      <c r="F67" s="1" t="s">
        <v>23</v>
      </c>
      <c r="G67" s="1" t="s">
        <v>17</v>
      </c>
      <c r="H67" s="1" t="s">
        <v>35</v>
      </c>
      <c r="I67" s="1" t="s">
        <v>57</v>
      </c>
      <c r="J67" s="1" t="s">
        <v>67</v>
      </c>
      <c r="K67" s="1" t="s">
        <v>45</v>
      </c>
      <c r="L67" s="1">
        <v>8</v>
      </c>
      <c r="M67" s="1">
        <v>3769.71</v>
      </c>
      <c r="N67" s="1">
        <v>5</v>
      </c>
      <c r="O67" s="1">
        <v>28649.8</v>
      </c>
      <c r="P67" s="1">
        <f t="shared" ref="P67:P130" si="6">L67*M67</f>
        <v>30157.68</v>
      </c>
      <c r="Q67" s="10">
        <f t="shared" ref="Q67:Q130" si="7">O67*N67%</f>
        <v>1432.49</v>
      </c>
      <c r="R67" s="11">
        <f t="shared" ref="R67:R130" si="8">P67-Q67</f>
        <v>28725.19</v>
      </c>
      <c r="S67" s="1" t="str">
        <f t="shared" ref="S67:S130" si="9">IF(L67&gt;=5,"High","Low")</f>
        <v>High</v>
      </c>
      <c r="T67" s="1" t="str" cm="1">
        <f t="array" ref="T67">_xlfn.IFS(L67&gt;5,"High",L67=5,"mediam",L67&lt;5,"low")</f>
        <v>High</v>
      </c>
      <c r="U67" s="1" t="str">
        <f t="shared" si="5"/>
        <v>High</v>
      </c>
      <c r="X67" s="5">
        <v>10455</v>
      </c>
      <c r="Y67" s="1">
        <v>1480</v>
      </c>
      <c r="Z67" s="2">
        <v>45034</v>
      </c>
      <c r="AA67" s="2">
        <v>45036</v>
      </c>
      <c r="AB67" s="1" t="s">
        <v>15</v>
      </c>
      <c r="AC67" s="1" t="s">
        <v>29</v>
      </c>
      <c r="AD67" s="1" t="s">
        <v>17</v>
      </c>
      <c r="AE67" s="1" t="s">
        <v>18</v>
      </c>
      <c r="AF67" s="1" t="s">
        <v>52</v>
      </c>
      <c r="AG67" s="1" t="s">
        <v>64</v>
      </c>
      <c r="AH67" s="1" t="s">
        <v>45</v>
      </c>
      <c r="AI67" s="1">
        <v>2</v>
      </c>
      <c r="AJ67" s="1">
        <v>1374.23</v>
      </c>
      <c r="AK67" s="1">
        <v>0</v>
      </c>
      <c r="AL67" s="1">
        <v>2748.46</v>
      </c>
      <c r="AM67" s="1">
        <v>2748.46</v>
      </c>
      <c r="AN67" s="10">
        <v>0</v>
      </c>
      <c r="AO67" s="11">
        <v>2748.46</v>
      </c>
      <c r="AP67" s="1" t="s">
        <v>161</v>
      </c>
      <c r="AQ67" s="1" t="s">
        <v>162</v>
      </c>
      <c r="AR67" s="1" t="b">
        <v>0</v>
      </c>
    </row>
    <row r="68" spans="1:44" x14ac:dyDescent="0.3">
      <c r="A68" s="5">
        <v>10067</v>
      </c>
      <c r="B68" s="1">
        <v>1600</v>
      </c>
      <c r="C68" s="2">
        <v>45037</v>
      </c>
      <c r="D68" s="2">
        <v>45038</v>
      </c>
      <c r="E68" s="1" t="s">
        <v>16</v>
      </c>
      <c r="F68" s="1" t="s">
        <v>41</v>
      </c>
      <c r="G68" s="1" t="s">
        <v>24</v>
      </c>
      <c r="H68" s="1" t="s">
        <v>42</v>
      </c>
      <c r="I68" s="1" t="s">
        <v>52</v>
      </c>
      <c r="J68" s="1" t="s">
        <v>64</v>
      </c>
      <c r="K68" s="1" t="s">
        <v>28</v>
      </c>
      <c r="L68" s="1">
        <v>1</v>
      </c>
      <c r="M68" s="1">
        <v>330.13</v>
      </c>
      <c r="N68" s="1">
        <v>15</v>
      </c>
      <c r="O68" s="1">
        <v>280.61</v>
      </c>
      <c r="P68" s="1">
        <f t="shared" si="6"/>
        <v>330.13</v>
      </c>
      <c r="Q68" s="10">
        <f t="shared" si="7"/>
        <v>42.091500000000003</v>
      </c>
      <c r="R68" s="11">
        <f t="shared" si="8"/>
        <v>288.0385</v>
      </c>
      <c r="S68" s="1" t="str">
        <f t="shared" si="9"/>
        <v>Low</v>
      </c>
      <c r="T68" s="1" t="str" cm="1">
        <f t="array" ref="T68">_xlfn.IFS(L68&gt;5,"High",L68=5,"mediam",L68&lt;5,"low")</f>
        <v>low</v>
      </c>
      <c r="U68" s="1" t="b">
        <f t="shared" si="5"/>
        <v>0</v>
      </c>
      <c r="X68" s="5">
        <v>10462</v>
      </c>
      <c r="Y68" s="1">
        <v>1191</v>
      </c>
      <c r="Z68" s="2">
        <v>45198</v>
      </c>
      <c r="AA68" s="2">
        <v>45205</v>
      </c>
      <c r="AB68" s="1" t="s">
        <v>15</v>
      </c>
      <c r="AC68" s="1" t="s">
        <v>38</v>
      </c>
      <c r="AD68" s="1" t="s">
        <v>17</v>
      </c>
      <c r="AE68" s="1" t="s">
        <v>25</v>
      </c>
      <c r="AF68" s="1" t="s">
        <v>52</v>
      </c>
      <c r="AG68" s="1" t="s">
        <v>64</v>
      </c>
      <c r="AH68" s="1" t="s">
        <v>45</v>
      </c>
      <c r="AI68" s="1">
        <v>6</v>
      </c>
      <c r="AJ68" s="1">
        <v>385.25</v>
      </c>
      <c r="AK68" s="1">
        <v>10</v>
      </c>
      <c r="AL68" s="1">
        <v>2080.35</v>
      </c>
      <c r="AM68" s="1">
        <v>2311.5</v>
      </c>
      <c r="AN68" s="10">
        <v>208.035</v>
      </c>
      <c r="AO68" s="11">
        <v>2103.4650000000001</v>
      </c>
      <c r="AP68" s="1" t="s">
        <v>159</v>
      </c>
      <c r="AQ68" s="1" t="s">
        <v>159</v>
      </c>
      <c r="AR68" s="1" t="s">
        <v>159</v>
      </c>
    </row>
    <row r="69" spans="1:44" x14ac:dyDescent="0.3">
      <c r="A69" s="5">
        <v>10068</v>
      </c>
      <c r="B69" s="1">
        <v>1315</v>
      </c>
      <c r="C69" s="2">
        <v>45062</v>
      </c>
      <c r="D69" s="2">
        <v>45064</v>
      </c>
      <c r="E69" s="1" t="s">
        <v>34</v>
      </c>
      <c r="F69" s="1" t="s">
        <v>41</v>
      </c>
      <c r="G69" s="1" t="s">
        <v>30</v>
      </c>
      <c r="H69" s="1" t="s">
        <v>44</v>
      </c>
      <c r="I69" s="1" t="s">
        <v>31</v>
      </c>
      <c r="J69" s="1" t="s">
        <v>48</v>
      </c>
      <c r="K69" s="1" t="s">
        <v>28</v>
      </c>
      <c r="L69" s="1">
        <v>6</v>
      </c>
      <c r="M69" s="1">
        <v>1380.66</v>
      </c>
      <c r="N69" s="1">
        <v>0</v>
      </c>
      <c r="O69" s="1">
        <v>8283.9599999999991</v>
      </c>
      <c r="P69" s="1">
        <f t="shared" si="6"/>
        <v>8283.9600000000009</v>
      </c>
      <c r="Q69" s="10">
        <f t="shared" si="7"/>
        <v>0</v>
      </c>
      <c r="R69" s="11">
        <f t="shared" si="8"/>
        <v>8283.9600000000009</v>
      </c>
      <c r="S69" s="1" t="str">
        <f t="shared" si="9"/>
        <v>High</v>
      </c>
      <c r="T69" s="1" t="str" cm="1">
        <f t="array" ref="T69">_xlfn.IFS(L69&gt;5,"High",L69=5,"mediam",L69&lt;5,"low")</f>
        <v>High</v>
      </c>
      <c r="U69" s="1" t="str">
        <f t="shared" si="5"/>
        <v>High</v>
      </c>
      <c r="X69" s="5">
        <v>10469</v>
      </c>
      <c r="Y69" s="1">
        <v>1476</v>
      </c>
      <c r="Z69" s="2">
        <v>45050</v>
      </c>
      <c r="AA69" s="2">
        <v>45052</v>
      </c>
      <c r="AB69" s="1" t="s">
        <v>15</v>
      </c>
      <c r="AC69" s="1" t="s">
        <v>41</v>
      </c>
      <c r="AD69" s="1" t="s">
        <v>30</v>
      </c>
      <c r="AE69" s="1" t="s">
        <v>18</v>
      </c>
      <c r="AF69" s="1" t="s">
        <v>31</v>
      </c>
      <c r="AG69" s="1" t="s">
        <v>48</v>
      </c>
      <c r="AH69" s="1" t="s">
        <v>45</v>
      </c>
      <c r="AI69" s="1">
        <v>5</v>
      </c>
      <c r="AJ69" s="1">
        <v>3945.35</v>
      </c>
      <c r="AK69" s="1">
        <v>5</v>
      </c>
      <c r="AL69" s="1">
        <v>18740.41</v>
      </c>
      <c r="AM69" s="1">
        <v>19726.75</v>
      </c>
      <c r="AN69" s="10">
        <v>937.02050000000008</v>
      </c>
      <c r="AO69" s="11">
        <v>18789.729500000001</v>
      </c>
      <c r="AP69" s="1" t="s">
        <v>159</v>
      </c>
      <c r="AQ69" s="1" t="s">
        <v>160</v>
      </c>
      <c r="AR69" s="1" t="b">
        <v>0</v>
      </c>
    </row>
    <row r="70" spans="1:44" x14ac:dyDescent="0.3">
      <c r="A70" s="5">
        <v>10069</v>
      </c>
      <c r="B70" s="1">
        <v>1013</v>
      </c>
      <c r="C70" s="2">
        <v>45288</v>
      </c>
      <c r="D70" s="2">
        <v>45296</v>
      </c>
      <c r="E70" s="1" t="s">
        <v>15</v>
      </c>
      <c r="F70" s="1" t="s">
        <v>23</v>
      </c>
      <c r="G70" s="1" t="s">
        <v>17</v>
      </c>
      <c r="H70" s="1" t="s">
        <v>44</v>
      </c>
      <c r="I70" s="1" t="s">
        <v>57</v>
      </c>
      <c r="J70" s="1" t="s">
        <v>62</v>
      </c>
      <c r="K70" s="1" t="s">
        <v>33</v>
      </c>
      <c r="L70" s="1">
        <v>6</v>
      </c>
      <c r="M70" s="1">
        <v>1836.98</v>
      </c>
      <c r="N70" s="1">
        <v>5</v>
      </c>
      <c r="O70" s="1">
        <v>10470.790000000001</v>
      </c>
      <c r="P70" s="1">
        <f t="shared" si="6"/>
        <v>11021.880000000001</v>
      </c>
      <c r="Q70" s="10">
        <f t="shared" si="7"/>
        <v>523.53950000000009</v>
      </c>
      <c r="R70" s="11">
        <f t="shared" si="8"/>
        <v>10498.3405</v>
      </c>
      <c r="S70" s="1" t="str">
        <f t="shared" si="9"/>
        <v>High</v>
      </c>
      <c r="T70" s="1" t="str" cm="1">
        <f t="array" ref="T70">_xlfn.IFS(L70&gt;5,"High",L70=5,"mediam",L70&lt;5,"low")</f>
        <v>High</v>
      </c>
      <c r="U70" s="1" t="str">
        <f t="shared" si="5"/>
        <v>High</v>
      </c>
      <c r="X70" s="5">
        <v>10472</v>
      </c>
      <c r="Y70" s="1">
        <v>1517</v>
      </c>
      <c r="Z70" s="2">
        <v>45269</v>
      </c>
      <c r="AA70" s="2">
        <v>45278</v>
      </c>
      <c r="AB70" s="1" t="s">
        <v>15</v>
      </c>
      <c r="AC70" s="1" t="s">
        <v>54</v>
      </c>
      <c r="AD70" s="1" t="s">
        <v>30</v>
      </c>
      <c r="AE70" s="1" t="s">
        <v>35</v>
      </c>
      <c r="AF70" s="1" t="s">
        <v>31</v>
      </c>
      <c r="AG70" s="1" t="s">
        <v>48</v>
      </c>
      <c r="AH70" s="1" t="s">
        <v>28</v>
      </c>
      <c r="AI70" s="1">
        <v>5</v>
      </c>
      <c r="AJ70" s="1">
        <v>2523.25</v>
      </c>
      <c r="AK70" s="1">
        <v>10</v>
      </c>
      <c r="AL70" s="1">
        <v>11354.63</v>
      </c>
      <c r="AM70" s="1">
        <v>12616.25</v>
      </c>
      <c r="AN70" s="10">
        <v>1135.463</v>
      </c>
      <c r="AO70" s="11">
        <v>11480.787</v>
      </c>
      <c r="AP70" s="1" t="s">
        <v>159</v>
      </c>
      <c r="AQ70" s="1" t="s">
        <v>160</v>
      </c>
      <c r="AR70" s="1" t="b">
        <v>0</v>
      </c>
    </row>
    <row r="71" spans="1:44" x14ac:dyDescent="0.3">
      <c r="A71" s="5">
        <v>10070</v>
      </c>
      <c r="B71" s="1">
        <v>1241</v>
      </c>
      <c r="C71" s="2">
        <v>45112</v>
      </c>
      <c r="D71" s="2">
        <v>45113</v>
      </c>
      <c r="E71" s="1" t="s">
        <v>46</v>
      </c>
      <c r="F71" s="1" t="s">
        <v>41</v>
      </c>
      <c r="G71" s="1" t="s">
        <v>17</v>
      </c>
      <c r="H71" s="1" t="s">
        <v>35</v>
      </c>
      <c r="I71" s="1" t="s">
        <v>31</v>
      </c>
      <c r="J71" s="1" t="s">
        <v>39</v>
      </c>
      <c r="K71" s="1" t="s">
        <v>33</v>
      </c>
      <c r="L71" s="1">
        <v>4</v>
      </c>
      <c r="M71" s="1">
        <v>3612.15</v>
      </c>
      <c r="N71" s="1">
        <v>20</v>
      </c>
      <c r="O71" s="1">
        <v>11558.88</v>
      </c>
      <c r="P71" s="1">
        <f t="shared" si="6"/>
        <v>14448.6</v>
      </c>
      <c r="Q71" s="10">
        <f t="shared" si="7"/>
        <v>2311.7759999999998</v>
      </c>
      <c r="R71" s="11">
        <f t="shared" si="8"/>
        <v>12136.824000000001</v>
      </c>
      <c r="S71" s="1" t="str">
        <f t="shared" si="9"/>
        <v>Low</v>
      </c>
      <c r="T71" s="1" t="str" cm="1">
        <f t="array" ref="T71">_xlfn.IFS(L71&gt;5,"High",L71=5,"mediam",L71&lt;5,"low")</f>
        <v>low</v>
      </c>
      <c r="U71" s="1" t="b">
        <f t="shared" si="5"/>
        <v>0</v>
      </c>
      <c r="X71" s="5">
        <v>10490</v>
      </c>
      <c r="Y71" s="1">
        <v>1927</v>
      </c>
      <c r="Z71" s="2">
        <v>45259</v>
      </c>
      <c r="AA71" s="2">
        <v>45261</v>
      </c>
      <c r="AB71" s="1" t="s">
        <v>15</v>
      </c>
      <c r="AC71" s="1" t="s">
        <v>29</v>
      </c>
      <c r="AD71" s="1" t="s">
        <v>17</v>
      </c>
      <c r="AE71" s="1" t="s">
        <v>35</v>
      </c>
      <c r="AF71" s="1" t="s">
        <v>31</v>
      </c>
      <c r="AG71" s="1" t="s">
        <v>32</v>
      </c>
      <c r="AH71" s="1" t="s">
        <v>45</v>
      </c>
      <c r="AI71" s="1">
        <v>7</v>
      </c>
      <c r="AJ71" s="1">
        <v>2838.06</v>
      </c>
      <c r="AK71" s="1">
        <v>20</v>
      </c>
      <c r="AL71" s="1">
        <v>15893.14</v>
      </c>
      <c r="AM71" s="1">
        <v>19866.419999999998</v>
      </c>
      <c r="AN71" s="10">
        <v>3178.6280000000002</v>
      </c>
      <c r="AO71" s="11">
        <v>16687.791999999998</v>
      </c>
      <c r="AP71" s="1" t="s">
        <v>159</v>
      </c>
      <c r="AQ71" s="1" t="s">
        <v>159</v>
      </c>
      <c r="AR71" s="1" t="s">
        <v>159</v>
      </c>
    </row>
    <row r="72" spans="1:44" x14ac:dyDescent="0.3">
      <c r="A72" s="5">
        <v>10071</v>
      </c>
      <c r="B72" s="1">
        <v>1776</v>
      </c>
      <c r="C72" s="2">
        <v>45070</v>
      </c>
      <c r="D72" s="2">
        <v>45078</v>
      </c>
      <c r="E72" s="1" t="s">
        <v>15</v>
      </c>
      <c r="F72" s="1" t="s">
        <v>29</v>
      </c>
      <c r="G72" s="1" t="s">
        <v>17</v>
      </c>
      <c r="H72" s="1" t="s">
        <v>18</v>
      </c>
      <c r="I72" s="1" t="s">
        <v>26</v>
      </c>
      <c r="J72" s="1" t="s">
        <v>61</v>
      </c>
      <c r="K72" s="1" t="s">
        <v>47</v>
      </c>
      <c r="L72" s="1">
        <v>3</v>
      </c>
      <c r="M72" s="1">
        <v>3854.71</v>
      </c>
      <c r="N72" s="1">
        <v>5</v>
      </c>
      <c r="O72" s="1">
        <v>10985.92</v>
      </c>
      <c r="P72" s="1">
        <f t="shared" si="6"/>
        <v>11564.130000000001</v>
      </c>
      <c r="Q72" s="10">
        <f t="shared" si="7"/>
        <v>549.29600000000005</v>
      </c>
      <c r="R72" s="11">
        <f t="shared" si="8"/>
        <v>11014.834000000001</v>
      </c>
      <c r="S72" s="1" t="str">
        <f t="shared" si="9"/>
        <v>Low</v>
      </c>
      <c r="T72" s="1" t="str" cm="1">
        <f t="array" ref="T72">_xlfn.IFS(L72&gt;5,"High",L72=5,"mediam",L72&lt;5,"low")</f>
        <v>low</v>
      </c>
      <c r="U72" s="1" t="b">
        <f t="shared" si="5"/>
        <v>0</v>
      </c>
      <c r="X72" s="5">
        <v>10495</v>
      </c>
      <c r="Y72" s="1">
        <v>1127</v>
      </c>
      <c r="Z72" s="2">
        <v>45060</v>
      </c>
      <c r="AA72" s="2">
        <v>45063</v>
      </c>
      <c r="AB72" s="1" t="s">
        <v>15</v>
      </c>
      <c r="AC72" s="1" t="s">
        <v>23</v>
      </c>
      <c r="AD72" s="1" t="s">
        <v>30</v>
      </c>
      <c r="AE72" s="1" t="s">
        <v>25</v>
      </c>
      <c r="AF72" s="1" t="s">
        <v>57</v>
      </c>
      <c r="AG72" s="1" t="s">
        <v>59</v>
      </c>
      <c r="AH72" s="1" t="s">
        <v>45</v>
      </c>
      <c r="AI72" s="1">
        <v>8</v>
      </c>
      <c r="AJ72" s="1">
        <v>598.44000000000005</v>
      </c>
      <c r="AK72" s="1">
        <v>0</v>
      </c>
      <c r="AL72" s="1">
        <v>4787.5200000000004</v>
      </c>
      <c r="AM72" s="1">
        <v>4787.5200000000004</v>
      </c>
      <c r="AN72" s="10">
        <v>0</v>
      </c>
      <c r="AO72" s="11">
        <v>4787.5200000000004</v>
      </c>
      <c r="AP72" s="1" t="s">
        <v>159</v>
      </c>
      <c r="AQ72" s="1" t="s">
        <v>159</v>
      </c>
      <c r="AR72" s="1" t="s">
        <v>159</v>
      </c>
    </row>
    <row r="73" spans="1:44" x14ac:dyDescent="0.3">
      <c r="A73" s="5">
        <v>10072</v>
      </c>
      <c r="B73" s="1">
        <v>1345</v>
      </c>
      <c r="C73" s="2">
        <v>44998</v>
      </c>
      <c r="D73" s="2">
        <v>45005</v>
      </c>
      <c r="E73" s="1" t="s">
        <v>16</v>
      </c>
      <c r="F73" s="1" t="s">
        <v>54</v>
      </c>
      <c r="G73" s="1" t="s">
        <v>17</v>
      </c>
      <c r="H73" s="1" t="s">
        <v>18</v>
      </c>
      <c r="I73" s="1" t="s">
        <v>19</v>
      </c>
      <c r="J73" s="1" t="s">
        <v>55</v>
      </c>
      <c r="K73" s="1" t="s">
        <v>47</v>
      </c>
      <c r="L73" s="1">
        <v>3</v>
      </c>
      <c r="M73" s="1">
        <v>1859.84</v>
      </c>
      <c r="N73" s="1">
        <v>15</v>
      </c>
      <c r="O73" s="1">
        <v>4742.59</v>
      </c>
      <c r="P73" s="1">
        <f t="shared" si="6"/>
        <v>5579.5199999999995</v>
      </c>
      <c r="Q73" s="10">
        <f t="shared" si="7"/>
        <v>711.38850000000002</v>
      </c>
      <c r="R73" s="11">
        <f t="shared" si="8"/>
        <v>4868.1314999999995</v>
      </c>
      <c r="S73" s="1" t="str">
        <f t="shared" si="9"/>
        <v>Low</v>
      </c>
      <c r="T73" s="1" t="str" cm="1">
        <f t="array" ref="T73">_xlfn.IFS(L73&gt;5,"High",L73=5,"mediam",L73&lt;5,"low")</f>
        <v>low</v>
      </c>
      <c r="U73" s="1" t="b">
        <f t="shared" ref="U73:U136" si="10">IF(L73&gt;5,"High",IF(L73="Mediam","Low"))</f>
        <v>0</v>
      </c>
      <c r="X73" s="5">
        <v>10496</v>
      </c>
      <c r="Y73" s="1">
        <v>1017</v>
      </c>
      <c r="Z73" s="2">
        <v>45177</v>
      </c>
      <c r="AA73" s="2">
        <v>45178</v>
      </c>
      <c r="AB73" s="1" t="s">
        <v>15</v>
      </c>
      <c r="AC73" s="1" t="s">
        <v>23</v>
      </c>
      <c r="AD73" s="1" t="s">
        <v>17</v>
      </c>
      <c r="AE73" s="1" t="s">
        <v>42</v>
      </c>
      <c r="AF73" s="1" t="s">
        <v>52</v>
      </c>
      <c r="AG73" s="1" t="s">
        <v>60</v>
      </c>
      <c r="AH73" s="1" t="s">
        <v>45</v>
      </c>
      <c r="AI73" s="1">
        <v>6</v>
      </c>
      <c r="AJ73" s="1">
        <v>1128.9100000000001</v>
      </c>
      <c r="AK73" s="1">
        <v>20</v>
      </c>
      <c r="AL73" s="1">
        <v>5418.77</v>
      </c>
      <c r="AM73" s="1">
        <v>6773.4600000000009</v>
      </c>
      <c r="AN73" s="10">
        <v>1083.7540000000001</v>
      </c>
      <c r="AO73" s="11">
        <v>5689.706000000001</v>
      </c>
      <c r="AP73" s="1" t="s">
        <v>159</v>
      </c>
      <c r="AQ73" s="1" t="s">
        <v>159</v>
      </c>
      <c r="AR73" s="1" t="s">
        <v>159</v>
      </c>
    </row>
    <row r="74" spans="1:44" x14ac:dyDescent="0.3">
      <c r="A74" s="5">
        <v>10073</v>
      </c>
      <c r="B74" s="1">
        <v>1564</v>
      </c>
      <c r="C74" s="2">
        <v>45055</v>
      </c>
      <c r="D74" s="2">
        <v>45063</v>
      </c>
      <c r="E74" s="1" t="s">
        <v>40</v>
      </c>
      <c r="F74" s="1" t="s">
        <v>16</v>
      </c>
      <c r="G74" s="1" t="s">
        <v>17</v>
      </c>
      <c r="H74" s="1" t="s">
        <v>25</v>
      </c>
      <c r="I74" s="1" t="s">
        <v>49</v>
      </c>
      <c r="J74" s="1" t="s">
        <v>68</v>
      </c>
      <c r="K74" s="1" t="s">
        <v>21</v>
      </c>
      <c r="L74" s="1">
        <v>1</v>
      </c>
      <c r="M74" s="1">
        <v>3037.61</v>
      </c>
      <c r="N74" s="1">
        <v>5</v>
      </c>
      <c r="O74" s="1">
        <v>2885.73</v>
      </c>
      <c r="P74" s="1">
        <f t="shared" si="6"/>
        <v>3037.61</v>
      </c>
      <c r="Q74" s="10">
        <f t="shared" si="7"/>
        <v>144.28650000000002</v>
      </c>
      <c r="R74" s="11">
        <f t="shared" si="8"/>
        <v>2893.3235</v>
      </c>
      <c r="S74" s="1" t="str">
        <f t="shared" si="9"/>
        <v>Low</v>
      </c>
      <c r="T74" s="1" t="str" cm="1">
        <f t="array" ref="T74">_xlfn.IFS(L74&gt;5,"High",L74=5,"mediam",L74&lt;5,"low")</f>
        <v>low</v>
      </c>
      <c r="U74" s="1" t="b">
        <f t="shared" si="10"/>
        <v>0</v>
      </c>
      <c r="X74" s="5">
        <v>10500</v>
      </c>
      <c r="Y74" s="1">
        <v>1569</v>
      </c>
      <c r="Z74" s="2">
        <v>44972</v>
      </c>
      <c r="AA74" s="2">
        <v>44977</v>
      </c>
      <c r="AB74" s="1" t="s">
        <v>15</v>
      </c>
      <c r="AC74" s="1" t="s">
        <v>16</v>
      </c>
      <c r="AD74" s="1" t="s">
        <v>30</v>
      </c>
      <c r="AE74" s="1" t="s">
        <v>42</v>
      </c>
      <c r="AF74" s="1" t="s">
        <v>31</v>
      </c>
      <c r="AG74" s="1" t="s">
        <v>65</v>
      </c>
      <c r="AH74" s="1" t="s">
        <v>33</v>
      </c>
      <c r="AI74" s="1">
        <v>1</v>
      </c>
      <c r="AJ74" s="1">
        <v>2432.17</v>
      </c>
      <c r="AK74" s="1">
        <v>20</v>
      </c>
      <c r="AL74" s="1">
        <v>1945.74</v>
      </c>
      <c r="AM74" s="1">
        <v>2432.17</v>
      </c>
      <c r="AN74" s="10">
        <v>389.14800000000002</v>
      </c>
      <c r="AO74" s="11">
        <v>2043.0219999999999</v>
      </c>
      <c r="AP74" s="1" t="s">
        <v>161</v>
      </c>
      <c r="AQ74" s="1" t="s">
        <v>162</v>
      </c>
      <c r="AR74" s="1" t="b">
        <v>0</v>
      </c>
    </row>
    <row r="75" spans="1:44" x14ac:dyDescent="0.3">
      <c r="A75" s="5">
        <v>10074</v>
      </c>
      <c r="B75" s="1">
        <v>1897</v>
      </c>
      <c r="C75" s="2">
        <v>45290</v>
      </c>
      <c r="D75" s="2">
        <v>45296</v>
      </c>
      <c r="E75" s="1" t="s">
        <v>16</v>
      </c>
      <c r="F75" s="1" t="s">
        <v>54</v>
      </c>
      <c r="G75" s="1" t="s">
        <v>30</v>
      </c>
      <c r="H75" s="1" t="s">
        <v>35</v>
      </c>
      <c r="I75" s="1" t="s">
        <v>19</v>
      </c>
      <c r="J75" s="1" t="s">
        <v>43</v>
      </c>
      <c r="K75" s="1" t="s">
        <v>33</v>
      </c>
      <c r="L75" s="1">
        <v>3</v>
      </c>
      <c r="M75" s="1">
        <v>2196.89</v>
      </c>
      <c r="N75" s="1">
        <v>0</v>
      </c>
      <c r="O75" s="1">
        <v>6590.67</v>
      </c>
      <c r="P75" s="1">
        <f t="shared" si="6"/>
        <v>6590.67</v>
      </c>
      <c r="Q75" s="10">
        <f t="shared" si="7"/>
        <v>0</v>
      </c>
      <c r="R75" s="11">
        <f t="shared" si="8"/>
        <v>6590.67</v>
      </c>
      <c r="S75" s="1" t="str">
        <f t="shared" si="9"/>
        <v>Low</v>
      </c>
      <c r="T75" s="1" t="str" cm="1">
        <f t="array" ref="T75">_xlfn.IFS(L75&gt;5,"High",L75=5,"mediam",L75&lt;5,"low")</f>
        <v>low</v>
      </c>
      <c r="U75" s="1" t="b">
        <f t="shared" si="10"/>
        <v>0</v>
      </c>
    </row>
    <row r="76" spans="1:44" x14ac:dyDescent="0.3">
      <c r="A76" s="5">
        <v>10075</v>
      </c>
      <c r="B76" s="1">
        <v>1339</v>
      </c>
      <c r="C76" s="2">
        <v>45187</v>
      </c>
      <c r="D76" s="2">
        <v>45196</v>
      </c>
      <c r="E76" s="1" t="s">
        <v>40</v>
      </c>
      <c r="F76" s="1" t="s">
        <v>16</v>
      </c>
      <c r="G76" s="1" t="s">
        <v>30</v>
      </c>
      <c r="H76" s="1" t="s">
        <v>42</v>
      </c>
      <c r="I76" s="1" t="s">
        <v>57</v>
      </c>
      <c r="J76" s="1" t="s">
        <v>58</v>
      </c>
      <c r="K76" s="1" t="s">
        <v>45</v>
      </c>
      <c r="L76" s="1">
        <v>4</v>
      </c>
      <c r="M76" s="1">
        <v>2220.46</v>
      </c>
      <c r="N76" s="1">
        <v>0</v>
      </c>
      <c r="O76" s="1">
        <v>8881.84</v>
      </c>
      <c r="P76" s="1">
        <f t="shared" si="6"/>
        <v>8881.84</v>
      </c>
      <c r="Q76" s="10">
        <f t="shared" si="7"/>
        <v>0</v>
      </c>
      <c r="R76" s="11">
        <f t="shared" si="8"/>
        <v>8881.84</v>
      </c>
      <c r="S76" s="1" t="str">
        <f t="shared" si="9"/>
        <v>Low</v>
      </c>
      <c r="T76" s="1" t="str" cm="1">
        <f t="array" ref="T76">_xlfn.IFS(L76&gt;5,"High",L76=5,"mediam",L76&lt;5,"low")</f>
        <v>low</v>
      </c>
      <c r="U76" s="1" t="b">
        <f t="shared" si="10"/>
        <v>0</v>
      </c>
    </row>
    <row r="77" spans="1:44" x14ac:dyDescent="0.3">
      <c r="A77" s="5">
        <v>10076</v>
      </c>
      <c r="B77" s="1">
        <v>1091</v>
      </c>
      <c r="C77" s="2">
        <v>44929</v>
      </c>
      <c r="D77" s="2">
        <v>44932</v>
      </c>
      <c r="E77" s="1" t="s">
        <v>22</v>
      </c>
      <c r="F77" s="1" t="s">
        <v>16</v>
      </c>
      <c r="G77" s="1" t="s">
        <v>30</v>
      </c>
      <c r="H77" s="1" t="s">
        <v>35</v>
      </c>
      <c r="I77" s="1" t="s">
        <v>31</v>
      </c>
      <c r="J77" s="1" t="s">
        <v>39</v>
      </c>
      <c r="K77" s="1" t="s">
        <v>33</v>
      </c>
      <c r="L77" s="1">
        <v>5</v>
      </c>
      <c r="M77" s="1">
        <v>1220.68</v>
      </c>
      <c r="N77" s="1">
        <v>20</v>
      </c>
      <c r="O77" s="1">
        <v>4882.72</v>
      </c>
      <c r="P77" s="1">
        <f t="shared" si="6"/>
        <v>6103.4000000000005</v>
      </c>
      <c r="Q77" s="10">
        <f t="shared" si="7"/>
        <v>976.5440000000001</v>
      </c>
      <c r="R77" s="11">
        <f t="shared" si="8"/>
        <v>5126.8560000000007</v>
      </c>
      <c r="S77" s="1" t="str">
        <f t="shared" si="9"/>
        <v>High</v>
      </c>
      <c r="T77" s="1" t="str" cm="1">
        <f t="array" ref="T77">_xlfn.IFS(L77&gt;5,"High",L77=5,"mediam",L77&lt;5,"low")</f>
        <v>mediam</v>
      </c>
      <c r="U77" s="1" t="b">
        <f t="shared" si="10"/>
        <v>0</v>
      </c>
    </row>
    <row r="78" spans="1:44" x14ac:dyDescent="0.3">
      <c r="A78" s="5">
        <v>10077</v>
      </c>
      <c r="B78" s="1">
        <v>1366</v>
      </c>
      <c r="C78" s="2">
        <v>45030</v>
      </c>
      <c r="D78" s="2">
        <v>45034</v>
      </c>
      <c r="E78" s="1" t="s">
        <v>22</v>
      </c>
      <c r="F78" s="1" t="s">
        <v>54</v>
      </c>
      <c r="G78" s="1" t="s">
        <v>30</v>
      </c>
      <c r="H78" s="1" t="s">
        <v>25</v>
      </c>
      <c r="I78" s="1" t="s">
        <v>31</v>
      </c>
      <c r="J78" s="1" t="s">
        <v>32</v>
      </c>
      <c r="K78" s="1" t="s">
        <v>45</v>
      </c>
      <c r="L78" s="1">
        <v>3</v>
      </c>
      <c r="M78" s="1">
        <v>985.28</v>
      </c>
      <c r="N78" s="1">
        <v>10</v>
      </c>
      <c r="O78" s="1">
        <v>2660.26</v>
      </c>
      <c r="P78" s="1">
        <f t="shared" si="6"/>
        <v>2955.84</v>
      </c>
      <c r="Q78" s="10">
        <f t="shared" si="7"/>
        <v>266.02600000000001</v>
      </c>
      <c r="R78" s="11">
        <f t="shared" si="8"/>
        <v>2689.8140000000003</v>
      </c>
      <c r="S78" s="1" t="str">
        <f t="shared" si="9"/>
        <v>Low</v>
      </c>
      <c r="T78" s="1" t="str" cm="1">
        <f t="array" ref="T78">_xlfn.IFS(L78&gt;5,"High",L78=5,"mediam",L78&lt;5,"low")</f>
        <v>low</v>
      </c>
      <c r="U78" s="1" t="b">
        <f t="shared" si="10"/>
        <v>0</v>
      </c>
    </row>
    <row r="79" spans="1:44" x14ac:dyDescent="0.3">
      <c r="A79" s="5">
        <v>10078</v>
      </c>
      <c r="B79" s="1">
        <v>1955</v>
      </c>
      <c r="C79" s="2">
        <v>45150</v>
      </c>
      <c r="D79" s="2">
        <v>45156</v>
      </c>
      <c r="E79" s="1" t="s">
        <v>40</v>
      </c>
      <c r="F79" s="1" t="s">
        <v>23</v>
      </c>
      <c r="G79" s="1" t="s">
        <v>24</v>
      </c>
      <c r="H79" s="1" t="s">
        <v>35</v>
      </c>
      <c r="I79" s="1" t="s">
        <v>52</v>
      </c>
      <c r="J79" s="1" t="s">
        <v>60</v>
      </c>
      <c r="K79" s="1" t="s">
        <v>28</v>
      </c>
      <c r="L79" s="1">
        <v>6</v>
      </c>
      <c r="M79" s="1">
        <v>1258.82</v>
      </c>
      <c r="N79" s="1">
        <v>15</v>
      </c>
      <c r="O79" s="1">
        <v>6419.98</v>
      </c>
      <c r="P79" s="1">
        <f t="shared" si="6"/>
        <v>7552.92</v>
      </c>
      <c r="Q79" s="10">
        <f t="shared" si="7"/>
        <v>962.99699999999984</v>
      </c>
      <c r="R79" s="11">
        <f t="shared" si="8"/>
        <v>6589.9230000000007</v>
      </c>
      <c r="S79" s="1" t="str">
        <f t="shared" si="9"/>
        <v>High</v>
      </c>
      <c r="T79" s="1" t="str" cm="1">
        <f t="array" ref="T79">_xlfn.IFS(L79&gt;5,"High",L79=5,"mediam",L79&lt;5,"low")</f>
        <v>High</v>
      </c>
      <c r="U79" s="1" t="str">
        <f t="shared" si="10"/>
        <v>High</v>
      </c>
    </row>
    <row r="80" spans="1:44" x14ac:dyDescent="0.3">
      <c r="A80" s="5">
        <v>10079</v>
      </c>
      <c r="B80" s="1">
        <v>1454</v>
      </c>
      <c r="C80" s="2">
        <v>45246</v>
      </c>
      <c r="D80" s="2">
        <v>45254</v>
      </c>
      <c r="E80" s="1" t="s">
        <v>34</v>
      </c>
      <c r="F80" s="1" t="s">
        <v>16</v>
      </c>
      <c r="G80" s="1" t="s">
        <v>30</v>
      </c>
      <c r="H80" s="1" t="s">
        <v>35</v>
      </c>
      <c r="I80" s="1" t="s">
        <v>31</v>
      </c>
      <c r="J80" s="1" t="s">
        <v>32</v>
      </c>
      <c r="K80" s="1" t="s">
        <v>33</v>
      </c>
      <c r="L80" s="1">
        <v>5</v>
      </c>
      <c r="M80" s="1">
        <v>2291.86</v>
      </c>
      <c r="N80" s="1">
        <v>15</v>
      </c>
      <c r="O80" s="1">
        <v>9740.4</v>
      </c>
      <c r="P80" s="1">
        <f t="shared" si="6"/>
        <v>11459.300000000001</v>
      </c>
      <c r="Q80" s="10">
        <f t="shared" si="7"/>
        <v>1461.06</v>
      </c>
      <c r="R80" s="11">
        <f t="shared" si="8"/>
        <v>9998.2400000000016</v>
      </c>
      <c r="S80" s="1" t="str">
        <f t="shared" si="9"/>
        <v>High</v>
      </c>
      <c r="T80" s="1" t="str" cm="1">
        <f t="array" ref="T80">_xlfn.IFS(L80&gt;5,"High",L80=5,"mediam",L80&lt;5,"low")</f>
        <v>mediam</v>
      </c>
      <c r="U80" s="1" t="b">
        <f t="shared" si="10"/>
        <v>0</v>
      </c>
    </row>
    <row r="81" spans="1:52" x14ac:dyDescent="0.3">
      <c r="A81" s="5">
        <v>10080</v>
      </c>
      <c r="B81" s="1">
        <v>1427</v>
      </c>
      <c r="C81" s="2">
        <v>45288</v>
      </c>
      <c r="D81" s="2">
        <v>45293</v>
      </c>
      <c r="E81" s="1" t="s">
        <v>15</v>
      </c>
      <c r="F81" s="1" t="s">
        <v>54</v>
      </c>
      <c r="G81" s="1" t="s">
        <v>17</v>
      </c>
      <c r="H81" s="1" t="s">
        <v>25</v>
      </c>
      <c r="I81" s="1" t="s">
        <v>52</v>
      </c>
      <c r="J81" s="1" t="s">
        <v>56</v>
      </c>
      <c r="K81" s="1" t="s">
        <v>28</v>
      </c>
      <c r="L81" s="1">
        <v>3</v>
      </c>
      <c r="M81" s="1">
        <v>262.25</v>
      </c>
      <c r="N81" s="1">
        <v>10</v>
      </c>
      <c r="O81" s="1">
        <v>708.07</v>
      </c>
      <c r="P81" s="1">
        <f t="shared" si="6"/>
        <v>786.75</v>
      </c>
      <c r="Q81" s="10">
        <f t="shared" si="7"/>
        <v>70.807000000000002</v>
      </c>
      <c r="R81" s="11">
        <f t="shared" si="8"/>
        <v>715.94299999999998</v>
      </c>
      <c r="S81" s="1" t="str">
        <f t="shared" si="9"/>
        <v>Low</v>
      </c>
      <c r="T81" s="1" t="str" cm="1">
        <f t="array" ref="T81">_xlfn.IFS(L81&gt;5,"High",L81=5,"mediam",L81&lt;5,"low")</f>
        <v>low</v>
      </c>
      <c r="U81" s="1" t="b">
        <f t="shared" si="10"/>
        <v>0</v>
      </c>
    </row>
    <row r="82" spans="1:52" x14ac:dyDescent="0.3">
      <c r="A82" s="5">
        <v>10081</v>
      </c>
      <c r="B82" s="1">
        <v>1508</v>
      </c>
      <c r="C82" s="2">
        <v>45280</v>
      </c>
      <c r="D82" s="2">
        <v>45283</v>
      </c>
      <c r="E82" s="1" t="s">
        <v>46</v>
      </c>
      <c r="F82" s="1" t="s">
        <v>16</v>
      </c>
      <c r="G82" s="1" t="s">
        <v>30</v>
      </c>
      <c r="H82" s="1" t="s">
        <v>18</v>
      </c>
      <c r="I82" s="1" t="s">
        <v>26</v>
      </c>
      <c r="J82" s="1" t="s">
        <v>27</v>
      </c>
      <c r="K82" s="1" t="s">
        <v>47</v>
      </c>
      <c r="L82" s="1">
        <v>6</v>
      </c>
      <c r="M82" s="1">
        <v>3642.91</v>
      </c>
      <c r="N82" s="1">
        <v>0</v>
      </c>
      <c r="O82" s="1">
        <v>21857.46</v>
      </c>
      <c r="P82" s="1">
        <f t="shared" si="6"/>
        <v>21857.46</v>
      </c>
      <c r="Q82" s="10">
        <f t="shared" si="7"/>
        <v>0</v>
      </c>
      <c r="R82" s="11">
        <f t="shared" si="8"/>
        <v>21857.46</v>
      </c>
      <c r="S82" s="1" t="str">
        <f t="shared" si="9"/>
        <v>High</v>
      </c>
      <c r="T82" s="1" t="str" cm="1">
        <f t="array" ref="T82">_xlfn.IFS(L82&gt;5,"High",L82=5,"mediam",L82&lt;5,"low")</f>
        <v>High</v>
      </c>
      <c r="U82" s="1" t="str">
        <f t="shared" si="10"/>
        <v>High</v>
      </c>
    </row>
    <row r="83" spans="1:52" x14ac:dyDescent="0.3">
      <c r="A83" s="5">
        <v>10082</v>
      </c>
      <c r="B83" s="1">
        <v>1775</v>
      </c>
      <c r="C83" s="2">
        <v>44936</v>
      </c>
      <c r="D83" s="2">
        <v>44942</v>
      </c>
      <c r="E83" s="1" t="s">
        <v>46</v>
      </c>
      <c r="F83" s="1" t="s">
        <v>38</v>
      </c>
      <c r="G83" s="1" t="s">
        <v>24</v>
      </c>
      <c r="H83" s="1" t="s">
        <v>42</v>
      </c>
      <c r="I83" s="1" t="s">
        <v>49</v>
      </c>
      <c r="J83" s="1" t="s">
        <v>63</v>
      </c>
      <c r="K83" s="1" t="s">
        <v>47</v>
      </c>
      <c r="L83" s="1">
        <v>6</v>
      </c>
      <c r="M83" s="1">
        <v>751.69</v>
      </c>
      <c r="N83" s="1">
        <v>0</v>
      </c>
      <c r="O83" s="1">
        <v>4510.1400000000003</v>
      </c>
      <c r="P83" s="1">
        <f t="shared" si="6"/>
        <v>4510.1400000000003</v>
      </c>
      <c r="Q83" s="10">
        <f t="shared" si="7"/>
        <v>0</v>
      </c>
      <c r="R83" s="11">
        <f t="shared" si="8"/>
        <v>4510.1400000000003</v>
      </c>
      <c r="S83" s="1" t="str">
        <f t="shared" si="9"/>
        <v>High</v>
      </c>
      <c r="T83" s="1" t="str" cm="1">
        <f t="array" ref="T83">_xlfn.IFS(L83&gt;5,"High",L83=5,"mediam",L83&lt;5,"low")</f>
        <v>High</v>
      </c>
      <c r="U83" s="1" t="str">
        <f t="shared" si="10"/>
        <v>High</v>
      </c>
      <c r="AF83" s="4" t="s">
        <v>0</v>
      </c>
      <c r="AG83" s="3" t="s">
        <v>1</v>
      </c>
      <c r="AH83" s="3" t="s">
        <v>2</v>
      </c>
      <c r="AI83" s="3" t="s">
        <v>3</v>
      </c>
      <c r="AJ83" s="3" t="s">
        <v>4</v>
      </c>
      <c r="AK83" s="3" t="s">
        <v>5</v>
      </c>
      <c r="AL83" s="3" t="s">
        <v>6</v>
      </c>
      <c r="AM83" s="3" t="s">
        <v>7</v>
      </c>
      <c r="AN83" s="3" t="s">
        <v>8</v>
      </c>
      <c r="AO83" s="3" t="s">
        <v>9</v>
      </c>
      <c r="AP83" s="3" t="s">
        <v>10</v>
      </c>
      <c r="AQ83" s="3" t="s">
        <v>11</v>
      </c>
      <c r="AR83" s="3" t="s">
        <v>12</v>
      </c>
      <c r="AS83" s="3" t="s">
        <v>13</v>
      </c>
      <c r="AT83" s="3" t="s">
        <v>14</v>
      </c>
      <c r="AU83" s="7" t="s">
        <v>70</v>
      </c>
      <c r="AV83" s="8" t="s">
        <v>72</v>
      </c>
      <c r="AW83" s="8" t="s">
        <v>71</v>
      </c>
      <c r="AX83" s="12" t="s">
        <v>73</v>
      </c>
      <c r="AY83" s="12" t="s">
        <v>74</v>
      </c>
      <c r="AZ83" s="12" t="s">
        <v>75</v>
      </c>
    </row>
    <row r="84" spans="1:52" x14ac:dyDescent="0.3">
      <c r="A84" s="5">
        <v>10083</v>
      </c>
      <c r="B84" s="1">
        <v>1942</v>
      </c>
      <c r="C84" s="2">
        <v>45228</v>
      </c>
      <c r="D84" s="2">
        <v>45232</v>
      </c>
      <c r="E84" s="1" t="s">
        <v>37</v>
      </c>
      <c r="F84" s="1" t="s">
        <v>23</v>
      </c>
      <c r="G84" s="1" t="s">
        <v>17</v>
      </c>
      <c r="H84" s="1" t="s">
        <v>25</v>
      </c>
      <c r="I84" s="1" t="s">
        <v>57</v>
      </c>
      <c r="J84" s="1" t="s">
        <v>62</v>
      </c>
      <c r="K84" s="1" t="s">
        <v>21</v>
      </c>
      <c r="L84" s="1">
        <v>8</v>
      </c>
      <c r="M84" s="1">
        <v>997.34</v>
      </c>
      <c r="N84" s="1">
        <v>5</v>
      </c>
      <c r="O84" s="1">
        <v>7579.78</v>
      </c>
      <c r="P84" s="1">
        <f t="shared" si="6"/>
        <v>7978.72</v>
      </c>
      <c r="Q84" s="10">
        <f t="shared" si="7"/>
        <v>378.98900000000003</v>
      </c>
      <c r="R84" s="11">
        <f t="shared" si="8"/>
        <v>7599.7309999999998</v>
      </c>
      <c r="S84" s="1" t="str">
        <f t="shared" si="9"/>
        <v>High</v>
      </c>
      <c r="T84" s="1" t="str" cm="1">
        <f t="array" ref="T84">_xlfn.IFS(L84&gt;5,"High",L84=5,"mediam",L84&lt;5,"low")</f>
        <v>High</v>
      </c>
      <c r="U84" s="1" t="str">
        <f t="shared" si="10"/>
        <v>High</v>
      </c>
      <c r="AF84" s="5">
        <v>10004</v>
      </c>
      <c r="AG84" s="1">
        <v>1270</v>
      </c>
      <c r="AH84" s="2">
        <v>45079</v>
      </c>
      <c r="AI84" s="2">
        <v>45087</v>
      </c>
      <c r="AJ84" s="1" t="s">
        <v>34</v>
      </c>
      <c r="AK84" s="1" t="s">
        <v>29</v>
      </c>
      <c r="AL84" s="1" t="s">
        <v>24</v>
      </c>
      <c r="AM84" s="1" t="s">
        <v>35</v>
      </c>
      <c r="AN84" s="1" t="s">
        <v>26</v>
      </c>
      <c r="AO84" s="1" t="s">
        <v>36</v>
      </c>
      <c r="AP84" s="1" t="s">
        <v>21</v>
      </c>
      <c r="AQ84" s="1">
        <v>1</v>
      </c>
      <c r="AR84" s="1">
        <v>1008.79</v>
      </c>
      <c r="AS84" s="1">
        <v>15</v>
      </c>
      <c r="AT84" s="1">
        <v>857.47</v>
      </c>
      <c r="AU84" s="1">
        <v>1008.79</v>
      </c>
      <c r="AV84" s="10">
        <v>128.62049999999999</v>
      </c>
      <c r="AW84" s="11">
        <v>880.16949999999997</v>
      </c>
      <c r="AX84" s="1" t="s">
        <v>161</v>
      </c>
      <c r="AY84" s="1" t="s">
        <v>162</v>
      </c>
      <c r="AZ84" s="1" t="b">
        <v>0</v>
      </c>
    </row>
    <row r="85" spans="1:52" x14ac:dyDescent="0.3">
      <c r="A85" s="5">
        <v>10084</v>
      </c>
      <c r="B85" s="1">
        <v>1034</v>
      </c>
      <c r="C85" s="2">
        <v>45157</v>
      </c>
      <c r="D85" s="2">
        <v>45166</v>
      </c>
      <c r="E85" s="1" t="s">
        <v>40</v>
      </c>
      <c r="F85" s="1" t="s">
        <v>29</v>
      </c>
      <c r="G85" s="1" t="s">
        <v>30</v>
      </c>
      <c r="H85" s="1" t="s">
        <v>44</v>
      </c>
      <c r="I85" s="1" t="s">
        <v>52</v>
      </c>
      <c r="J85" s="1" t="s">
        <v>56</v>
      </c>
      <c r="K85" s="1" t="s">
        <v>33</v>
      </c>
      <c r="L85" s="1">
        <v>2</v>
      </c>
      <c r="M85" s="1">
        <v>2145.36</v>
      </c>
      <c r="N85" s="1">
        <v>20</v>
      </c>
      <c r="O85" s="1">
        <v>3432.58</v>
      </c>
      <c r="P85" s="1">
        <f t="shared" si="6"/>
        <v>4290.72</v>
      </c>
      <c r="Q85" s="10">
        <f t="shared" si="7"/>
        <v>686.51600000000008</v>
      </c>
      <c r="R85" s="11">
        <f t="shared" si="8"/>
        <v>3604.2040000000002</v>
      </c>
      <c r="S85" s="1" t="str">
        <f t="shared" si="9"/>
        <v>Low</v>
      </c>
      <c r="T85" s="1" t="str" cm="1">
        <f t="array" ref="T85">_xlfn.IFS(L85&gt;5,"High",L85=5,"mediam",L85&lt;5,"low")</f>
        <v>low</v>
      </c>
      <c r="U85" s="1" t="b">
        <f t="shared" si="10"/>
        <v>0</v>
      </c>
      <c r="AF85" s="5">
        <v>10010</v>
      </c>
      <c r="AG85" s="1">
        <v>1121</v>
      </c>
      <c r="AH85" s="2">
        <v>45139</v>
      </c>
      <c r="AI85" s="2">
        <v>45147</v>
      </c>
      <c r="AJ85" s="1" t="s">
        <v>34</v>
      </c>
      <c r="AK85" s="1" t="s">
        <v>38</v>
      </c>
      <c r="AL85" s="1" t="s">
        <v>24</v>
      </c>
      <c r="AM85" s="1" t="s">
        <v>35</v>
      </c>
      <c r="AN85" s="1" t="s">
        <v>49</v>
      </c>
      <c r="AO85" s="1" t="s">
        <v>50</v>
      </c>
      <c r="AP85" s="1" t="s">
        <v>47</v>
      </c>
      <c r="AQ85" s="1">
        <v>5</v>
      </c>
      <c r="AR85" s="1">
        <v>1780.66</v>
      </c>
      <c r="AS85" s="1">
        <v>20</v>
      </c>
      <c r="AT85" s="1">
        <v>7122.64</v>
      </c>
      <c r="AU85" s="1">
        <v>8903.3000000000011</v>
      </c>
      <c r="AV85" s="10">
        <v>1424.5280000000002</v>
      </c>
      <c r="AW85" s="11">
        <v>7478.7720000000008</v>
      </c>
      <c r="AX85" s="1" t="s">
        <v>159</v>
      </c>
      <c r="AY85" s="1" t="s">
        <v>160</v>
      </c>
      <c r="AZ85" s="1" t="b">
        <v>0</v>
      </c>
    </row>
    <row r="86" spans="1:52" x14ac:dyDescent="0.3">
      <c r="A86" s="5">
        <v>10085</v>
      </c>
      <c r="B86" s="1">
        <v>1205</v>
      </c>
      <c r="C86" s="2">
        <v>45145</v>
      </c>
      <c r="D86" s="2">
        <v>45148</v>
      </c>
      <c r="E86" s="1" t="s">
        <v>46</v>
      </c>
      <c r="F86" s="1" t="s">
        <v>16</v>
      </c>
      <c r="G86" s="1" t="s">
        <v>30</v>
      </c>
      <c r="H86" s="1" t="s">
        <v>18</v>
      </c>
      <c r="I86" s="1" t="s">
        <v>49</v>
      </c>
      <c r="J86" s="1" t="s">
        <v>50</v>
      </c>
      <c r="K86" s="1" t="s">
        <v>28</v>
      </c>
      <c r="L86" s="1">
        <v>1</v>
      </c>
      <c r="M86" s="1">
        <v>2883.94</v>
      </c>
      <c r="N86" s="1">
        <v>20</v>
      </c>
      <c r="O86" s="1">
        <v>2307.15</v>
      </c>
      <c r="P86" s="1">
        <f t="shared" si="6"/>
        <v>2883.94</v>
      </c>
      <c r="Q86" s="10">
        <f t="shared" si="7"/>
        <v>461.43000000000006</v>
      </c>
      <c r="R86" s="11">
        <f t="shared" si="8"/>
        <v>2422.5100000000002</v>
      </c>
      <c r="S86" s="1" t="str">
        <f t="shared" si="9"/>
        <v>Low</v>
      </c>
      <c r="T86" s="1" t="str" cm="1">
        <f t="array" ref="T86">_xlfn.IFS(L86&gt;5,"High",L86=5,"mediam",L86&lt;5,"low")</f>
        <v>low</v>
      </c>
      <c r="U86" s="1" t="b">
        <f t="shared" si="10"/>
        <v>0</v>
      </c>
      <c r="AF86" s="5">
        <v>10011</v>
      </c>
      <c r="AG86" s="1">
        <v>1466</v>
      </c>
      <c r="AH86" s="2">
        <v>45098</v>
      </c>
      <c r="AI86" s="2">
        <v>45106</v>
      </c>
      <c r="AJ86" s="1" t="s">
        <v>34</v>
      </c>
      <c r="AK86" s="1" t="s">
        <v>38</v>
      </c>
      <c r="AL86" s="1" t="s">
        <v>17</v>
      </c>
      <c r="AM86" s="1" t="s">
        <v>35</v>
      </c>
      <c r="AN86" s="1" t="s">
        <v>49</v>
      </c>
      <c r="AO86" s="1" t="s">
        <v>50</v>
      </c>
      <c r="AP86" s="1" t="s">
        <v>33</v>
      </c>
      <c r="AQ86" s="1">
        <v>6</v>
      </c>
      <c r="AR86" s="1">
        <v>3205.25</v>
      </c>
      <c r="AS86" s="1">
        <v>0</v>
      </c>
      <c r="AT86" s="1">
        <v>19231.5</v>
      </c>
      <c r="AU86" s="1">
        <v>19231.5</v>
      </c>
      <c r="AV86" s="10">
        <v>0</v>
      </c>
      <c r="AW86" s="11">
        <v>19231.5</v>
      </c>
      <c r="AX86" s="1" t="s">
        <v>159</v>
      </c>
      <c r="AY86" s="1" t="s">
        <v>159</v>
      </c>
      <c r="AZ86" s="1" t="s">
        <v>159</v>
      </c>
    </row>
    <row r="87" spans="1:52" x14ac:dyDescent="0.3">
      <c r="A87" s="5">
        <v>10086</v>
      </c>
      <c r="B87" s="1">
        <v>1080</v>
      </c>
      <c r="C87" s="2">
        <v>44992</v>
      </c>
      <c r="D87" s="2">
        <v>44996</v>
      </c>
      <c r="E87" s="1" t="s">
        <v>34</v>
      </c>
      <c r="F87" s="1" t="s">
        <v>38</v>
      </c>
      <c r="G87" s="1" t="s">
        <v>30</v>
      </c>
      <c r="H87" s="1" t="s">
        <v>44</v>
      </c>
      <c r="I87" s="1" t="s">
        <v>31</v>
      </c>
      <c r="J87" s="1" t="s">
        <v>65</v>
      </c>
      <c r="K87" s="1" t="s">
        <v>45</v>
      </c>
      <c r="L87" s="1">
        <v>4</v>
      </c>
      <c r="M87" s="1">
        <v>518.55999999999995</v>
      </c>
      <c r="N87" s="1">
        <v>20</v>
      </c>
      <c r="O87" s="1">
        <v>1659.39</v>
      </c>
      <c r="P87" s="1">
        <f t="shared" si="6"/>
        <v>2074.2399999999998</v>
      </c>
      <c r="Q87" s="10">
        <f t="shared" si="7"/>
        <v>331.87800000000004</v>
      </c>
      <c r="R87" s="11">
        <f t="shared" si="8"/>
        <v>1742.3619999999996</v>
      </c>
      <c r="S87" s="1" t="str">
        <f t="shared" si="9"/>
        <v>Low</v>
      </c>
      <c r="T87" s="1" t="str" cm="1">
        <f t="array" ref="T87">_xlfn.IFS(L87&gt;5,"High",L87=5,"mediam",L87&lt;5,"low")</f>
        <v>low</v>
      </c>
      <c r="U87" s="1" t="b">
        <f t="shared" si="10"/>
        <v>0</v>
      </c>
      <c r="AF87" s="5">
        <v>10013</v>
      </c>
      <c r="AG87" s="1">
        <v>1330</v>
      </c>
      <c r="AH87" s="2">
        <v>45100</v>
      </c>
      <c r="AI87" s="2">
        <v>45107</v>
      </c>
      <c r="AJ87" s="1" t="s">
        <v>16</v>
      </c>
      <c r="AK87" s="1" t="s">
        <v>23</v>
      </c>
      <c r="AL87" s="1" t="s">
        <v>17</v>
      </c>
      <c r="AM87" s="1" t="s">
        <v>35</v>
      </c>
      <c r="AN87" s="1" t="s">
        <v>19</v>
      </c>
      <c r="AO87" s="1" t="s">
        <v>43</v>
      </c>
      <c r="AP87" s="1" t="s">
        <v>21</v>
      </c>
      <c r="AQ87" s="1">
        <v>8</v>
      </c>
      <c r="AR87" s="1">
        <v>3160.9</v>
      </c>
      <c r="AS87" s="1">
        <v>0</v>
      </c>
      <c r="AT87" s="1">
        <v>25287.200000000001</v>
      </c>
      <c r="AU87" s="1">
        <v>25287.200000000001</v>
      </c>
      <c r="AV87" s="10">
        <v>0</v>
      </c>
      <c r="AW87" s="11">
        <v>25287.200000000001</v>
      </c>
      <c r="AX87" s="1" t="s">
        <v>159</v>
      </c>
      <c r="AY87" s="1" t="s">
        <v>159</v>
      </c>
      <c r="AZ87" s="1" t="s">
        <v>159</v>
      </c>
    </row>
    <row r="88" spans="1:52" x14ac:dyDescent="0.3">
      <c r="A88" s="5">
        <v>10087</v>
      </c>
      <c r="B88" s="1">
        <v>1931</v>
      </c>
      <c r="C88" s="2">
        <v>45038</v>
      </c>
      <c r="D88" s="2">
        <v>45045</v>
      </c>
      <c r="E88" s="1" t="s">
        <v>40</v>
      </c>
      <c r="F88" s="1" t="s">
        <v>29</v>
      </c>
      <c r="G88" s="1" t="s">
        <v>17</v>
      </c>
      <c r="H88" s="1" t="s">
        <v>18</v>
      </c>
      <c r="I88" s="1" t="s">
        <v>31</v>
      </c>
      <c r="J88" s="1" t="s">
        <v>39</v>
      </c>
      <c r="K88" s="1" t="s">
        <v>47</v>
      </c>
      <c r="L88" s="1">
        <v>7</v>
      </c>
      <c r="M88" s="1">
        <v>1373.12</v>
      </c>
      <c r="N88" s="1">
        <v>5</v>
      </c>
      <c r="O88" s="1">
        <v>9131.25</v>
      </c>
      <c r="P88" s="1">
        <f t="shared" si="6"/>
        <v>9611.84</v>
      </c>
      <c r="Q88" s="10">
        <f t="shared" si="7"/>
        <v>456.5625</v>
      </c>
      <c r="R88" s="11">
        <f t="shared" si="8"/>
        <v>9155.2775000000001</v>
      </c>
      <c r="S88" s="1" t="str">
        <f t="shared" si="9"/>
        <v>High</v>
      </c>
      <c r="T88" s="1" t="str" cm="1">
        <f t="array" ref="T88">_xlfn.IFS(L88&gt;5,"High",L88=5,"mediam",L88&lt;5,"low")</f>
        <v>High</v>
      </c>
      <c r="U88" s="1" t="str">
        <f t="shared" si="10"/>
        <v>High</v>
      </c>
      <c r="AF88" s="5">
        <v>10014</v>
      </c>
      <c r="AG88" s="1">
        <v>1458</v>
      </c>
      <c r="AH88" s="2">
        <v>45039</v>
      </c>
      <c r="AI88" s="2">
        <v>45045</v>
      </c>
      <c r="AJ88" s="1" t="s">
        <v>37</v>
      </c>
      <c r="AK88" s="1" t="s">
        <v>38</v>
      </c>
      <c r="AL88" s="1" t="s">
        <v>30</v>
      </c>
      <c r="AM88" s="1" t="s">
        <v>35</v>
      </c>
      <c r="AN88" s="1" t="s">
        <v>26</v>
      </c>
      <c r="AO88" s="1" t="s">
        <v>36</v>
      </c>
      <c r="AP88" s="1" t="s">
        <v>28</v>
      </c>
      <c r="AQ88" s="1">
        <v>8</v>
      </c>
      <c r="AR88" s="1">
        <v>1074.27</v>
      </c>
      <c r="AS88" s="1">
        <v>15</v>
      </c>
      <c r="AT88" s="1">
        <v>7305.04</v>
      </c>
      <c r="AU88" s="1">
        <v>8594.16</v>
      </c>
      <c r="AV88" s="10">
        <v>1095.7559999999999</v>
      </c>
      <c r="AW88" s="11">
        <v>7498.4040000000005</v>
      </c>
      <c r="AX88" s="1" t="s">
        <v>159</v>
      </c>
      <c r="AY88" s="1" t="s">
        <v>159</v>
      </c>
      <c r="AZ88" s="1" t="s">
        <v>159</v>
      </c>
    </row>
    <row r="89" spans="1:52" x14ac:dyDescent="0.3">
      <c r="A89" s="5">
        <v>10088</v>
      </c>
      <c r="B89" s="1">
        <v>1561</v>
      </c>
      <c r="C89" s="2">
        <v>44939</v>
      </c>
      <c r="D89" s="2">
        <v>44946</v>
      </c>
      <c r="E89" s="1" t="s">
        <v>34</v>
      </c>
      <c r="F89" s="1" t="s">
        <v>29</v>
      </c>
      <c r="G89" s="1" t="s">
        <v>17</v>
      </c>
      <c r="H89" s="1" t="s">
        <v>42</v>
      </c>
      <c r="I89" s="1" t="s">
        <v>49</v>
      </c>
      <c r="J89" s="1" t="s">
        <v>63</v>
      </c>
      <c r="K89" s="1" t="s">
        <v>47</v>
      </c>
      <c r="L89" s="1">
        <v>3</v>
      </c>
      <c r="M89" s="1">
        <v>3879.4</v>
      </c>
      <c r="N89" s="1">
        <v>20</v>
      </c>
      <c r="O89" s="1">
        <v>9310.56</v>
      </c>
      <c r="P89" s="1">
        <f t="shared" si="6"/>
        <v>11638.2</v>
      </c>
      <c r="Q89" s="10">
        <f t="shared" si="7"/>
        <v>1862.1120000000001</v>
      </c>
      <c r="R89" s="11">
        <f t="shared" si="8"/>
        <v>9776.0879999999997</v>
      </c>
      <c r="S89" s="1" t="str">
        <f t="shared" si="9"/>
        <v>Low</v>
      </c>
      <c r="T89" s="1" t="str" cm="1">
        <f t="array" ref="T89">_xlfn.IFS(L89&gt;5,"High",L89=5,"mediam",L89&lt;5,"low")</f>
        <v>low</v>
      </c>
      <c r="U89" s="1" t="b">
        <f t="shared" si="10"/>
        <v>0</v>
      </c>
      <c r="AF89" s="5">
        <v>10022</v>
      </c>
      <c r="AG89" s="1">
        <v>1308</v>
      </c>
      <c r="AH89" s="2">
        <v>44944</v>
      </c>
      <c r="AI89" s="2">
        <v>44951</v>
      </c>
      <c r="AJ89" s="1" t="s">
        <v>37</v>
      </c>
      <c r="AK89" s="1" t="s">
        <v>23</v>
      </c>
      <c r="AL89" s="1" t="s">
        <v>30</v>
      </c>
      <c r="AM89" s="1" t="s">
        <v>35</v>
      </c>
      <c r="AN89" s="1" t="s">
        <v>57</v>
      </c>
      <c r="AO89" s="1" t="s">
        <v>58</v>
      </c>
      <c r="AP89" s="1" t="s">
        <v>33</v>
      </c>
      <c r="AQ89" s="1">
        <v>7</v>
      </c>
      <c r="AR89" s="1">
        <v>680.86</v>
      </c>
      <c r="AS89" s="1">
        <v>20</v>
      </c>
      <c r="AT89" s="1">
        <v>3812.82</v>
      </c>
      <c r="AU89" s="1">
        <v>4766.0200000000004</v>
      </c>
      <c r="AV89" s="10">
        <v>762.56400000000008</v>
      </c>
      <c r="AW89" s="11">
        <v>4003.4560000000001</v>
      </c>
      <c r="AX89" s="1" t="s">
        <v>159</v>
      </c>
      <c r="AY89" s="1" t="s">
        <v>159</v>
      </c>
      <c r="AZ89" s="1" t="s">
        <v>159</v>
      </c>
    </row>
    <row r="90" spans="1:52" x14ac:dyDescent="0.3">
      <c r="A90" s="5">
        <v>10089</v>
      </c>
      <c r="B90" s="1">
        <v>1871</v>
      </c>
      <c r="C90" s="2">
        <v>45012</v>
      </c>
      <c r="D90" s="2">
        <v>45016</v>
      </c>
      <c r="E90" s="1" t="s">
        <v>46</v>
      </c>
      <c r="F90" s="1" t="s">
        <v>16</v>
      </c>
      <c r="G90" s="1" t="s">
        <v>24</v>
      </c>
      <c r="H90" s="1" t="s">
        <v>42</v>
      </c>
      <c r="I90" s="1" t="s">
        <v>31</v>
      </c>
      <c r="J90" s="1" t="s">
        <v>48</v>
      </c>
      <c r="K90" s="1" t="s">
        <v>45</v>
      </c>
      <c r="L90" s="1">
        <v>3</v>
      </c>
      <c r="M90" s="1">
        <v>1160.02</v>
      </c>
      <c r="N90" s="1">
        <v>10</v>
      </c>
      <c r="O90" s="1">
        <v>3132.05</v>
      </c>
      <c r="P90" s="1">
        <f t="shared" si="6"/>
        <v>3480.06</v>
      </c>
      <c r="Q90" s="10">
        <f t="shared" si="7"/>
        <v>313.20500000000004</v>
      </c>
      <c r="R90" s="11">
        <f t="shared" si="8"/>
        <v>3166.855</v>
      </c>
      <c r="S90" s="1" t="str">
        <f t="shared" si="9"/>
        <v>Low</v>
      </c>
      <c r="T90" s="1" t="str" cm="1">
        <f t="array" ref="T90">_xlfn.IFS(L90&gt;5,"High",L90=5,"mediam",L90&lt;5,"low")</f>
        <v>low</v>
      </c>
      <c r="U90" s="1" t="b">
        <f t="shared" si="10"/>
        <v>0</v>
      </c>
      <c r="AF90" s="5">
        <v>10027</v>
      </c>
      <c r="AG90" s="1">
        <v>1805</v>
      </c>
      <c r="AH90" s="2">
        <v>45286</v>
      </c>
      <c r="AI90" s="2">
        <v>45290</v>
      </c>
      <c r="AJ90" s="1" t="s">
        <v>37</v>
      </c>
      <c r="AK90" s="1" t="s">
        <v>41</v>
      </c>
      <c r="AL90" s="1" t="s">
        <v>24</v>
      </c>
      <c r="AM90" s="1" t="s">
        <v>35</v>
      </c>
      <c r="AN90" s="1" t="s">
        <v>57</v>
      </c>
      <c r="AO90" s="1" t="s">
        <v>58</v>
      </c>
      <c r="AP90" s="1" t="s">
        <v>21</v>
      </c>
      <c r="AQ90" s="1">
        <v>3</v>
      </c>
      <c r="AR90" s="1">
        <v>3599.15</v>
      </c>
      <c r="AS90" s="1">
        <v>5</v>
      </c>
      <c r="AT90" s="1">
        <v>10257.58</v>
      </c>
      <c r="AU90" s="1">
        <v>10797.45</v>
      </c>
      <c r="AV90" s="10">
        <v>512.87900000000002</v>
      </c>
      <c r="AW90" s="11">
        <v>10284.571</v>
      </c>
      <c r="AX90" s="1" t="s">
        <v>161</v>
      </c>
      <c r="AY90" s="1" t="s">
        <v>162</v>
      </c>
      <c r="AZ90" s="1" t="b">
        <v>0</v>
      </c>
    </row>
    <row r="91" spans="1:52" x14ac:dyDescent="0.3">
      <c r="A91" s="5">
        <v>10090</v>
      </c>
      <c r="B91" s="1">
        <v>1387</v>
      </c>
      <c r="C91" s="2">
        <v>45160</v>
      </c>
      <c r="D91" s="2">
        <v>45166</v>
      </c>
      <c r="E91" s="1" t="s">
        <v>46</v>
      </c>
      <c r="F91" s="1" t="s">
        <v>54</v>
      </c>
      <c r="G91" s="1" t="s">
        <v>17</v>
      </c>
      <c r="H91" s="1" t="s">
        <v>35</v>
      </c>
      <c r="I91" s="1" t="s">
        <v>26</v>
      </c>
      <c r="J91" s="1" t="s">
        <v>27</v>
      </c>
      <c r="K91" s="1" t="s">
        <v>28</v>
      </c>
      <c r="L91" s="1">
        <v>5</v>
      </c>
      <c r="M91" s="1">
        <v>1355.24</v>
      </c>
      <c r="N91" s="1">
        <v>5</v>
      </c>
      <c r="O91" s="1">
        <v>6437.39</v>
      </c>
      <c r="P91" s="1">
        <f t="shared" si="6"/>
        <v>6776.2</v>
      </c>
      <c r="Q91" s="10">
        <f t="shared" si="7"/>
        <v>321.86950000000002</v>
      </c>
      <c r="R91" s="11">
        <f t="shared" si="8"/>
        <v>6454.3305</v>
      </c>
      <c r="S91" s="1" t="str">
        <f t="shared" si="9"/>
        <v>High</v>
      </c>
      <c r="T91" s="1" t="str" cm="1">
        <f t="array" ref="T91">_xlfn.IFS(L91&gt;5,"High",L91=5,"mediam",L91&lt;5,"low")</f>
        <v>mediam</v>
      </c>
      <c r="U91" s="1" t="b">
        <f t="shared" si="10"/>
        <v>0</v>
      </c>
      <c r="AF91" s="5">
        <v>10030</v>
      </c>
      <c r="AG91" s="1">
        <v>1955</v>
      </c>
      <c r="AH91" s="2">
        <v>45077</v>
      </c>
      <c r="AI91" s="2">
        <v>45082</v>
      </c>
      <c r="AJ91" s="1" t="s">
        <v>46</v>
      </c>
      <c r="AK91" s="1" t="s">
        <v>23</v>
      </c>
      <c r="AL91" s="1" t="s">
        <v>30</v>
      </c>
      <c r="AM91" s="1" t="s">
        <v>35</v>
      </c>
      <c r="AN91" s="1" t="s">
        <v>26</v>
      </c>
      <c r="AO91" s="1" t="s">
        <v>61</v>
      </c>
      <c r="AP91" s="1" t="s">
        <v>45</v>
      </c>
      <c r="AQ91" s="1">
        <v>1</v>
      </c>
      <c r="AR91" s="1">
        <v>349.38</v>
      </c>
      <c r="AS91" s="1">
        <v>10</v>
      </c>
      <c r="AT91" s="1">
        <v>314.44</v>
      </c>
      <c r="AU91" s="1">
        <v>349.38</v>
      </c>
      <c r="AV91" s="10">
        <v>31.444000000000003</v>
      </c>
      <c r="AW91" s="11">
        <v>317.93599999999998</v>
      </c>
      <c r="AX91" s="1" t="s">
        <v>161</v>
      </c>
      <c r="AY91" s="1" t="s">
        <v>162</v>
      </c>
      <c r="AZ91" s="1" t="b">
        <v>0</v>
      </c>
    </row>
    <row r="92" spans="1:52" x14ac:dyDescent="0.3">
      <c r="A92" s="5">
        <v>10091</v>
      </c>
      <c r="B92" s="1">
        <v>1001</v>
      </c>
      <c r="C92" s="2">
        <v>45016</v>
      </c>
      <c r="D92" s="2">
        <v>45019</v>
      </c>
      <c r="E92" s="1" t="s">
        <v>37</v>
      </c>
      <c r="F92" s="1" t="s">
        <v>16</v>
      </c>
      <c r="G92" s="1" t="s">
        <v>17</v>
      </c>
      <c r="H92" s="1" t="s">
        <v>44</v>
      </c>
      <c r="I92" s="1" t="s">
        <v>26</v>
      </c>
      <c r="J92" s="1" t="s">
        <v>27</v>
      </c>
      <c r="K92" s="1" t="s">
        <v>28</v>
      </c>
      <c r="L92" s="1">
        <v>5</v>
      </c>
      <c r="M92" s="1">
        <v>3370.52</v>
      </c>
      <c r="N92" s="1">
        <v>10</v>
      </c>
      <c r="O92" s="1">
        <v>15167.34</v>
      </c>
      <c r="P92" s="1">
        <f t="shared" si="6"/>
        <v>16852.599999999999</v>
      </c>
      <c r="Q92" s="10">
        <f t="shared" si="7"/>
        <v>1516.7340000000002</v>
      </c>
      <c r="R92" s="11">
        <f t="shared" si="8"/>
        <v>15335.865999999998</v>
      </c>
      <c r="S92" s="1" t="str">
        <f t="shared" si="9"/>
        <v>High</v>
      </c>
      <c r="T92" s="1" t="str" cm="1">
        <f t="array" ref="T92">_xlfn.IFS(L92&gt;5,"High",L92=5,"mediam",L92&lt;5,"low")</f>
        <v>mediam</v>
      </c>
      <c r="U92" s="1" t="b">
        <f t="shared" si="10"/>
        <v>0</v>
      </c>
      <c r="AF92" s="5">
        <v>10040</v>
      </c>
      <c r="AG92" s="1">
        <v>1474</v>
      </c>
      <c r="AH92" s="2">
        <v>45274</v>
      </c>
      <c r="AI92" s="2">
        <v>45277</v>
      </c>
      <c r="AJ92" s="1" t="s">
        <v>15</v>
      </c>
      <c r="AK92" s="1" t="s">
        <v>16</v>
      </c>
      <c r="AL92" s="1" t="s">
        <v>30</v>
      </c>
      <c r="AM92" s="1" t="s">
        <v>35</v>
      </c>
      <c r="AN92" s="1" t="s">
        <v>26</v>
      </c>
      <c r="AO92" s="1" t="s">
        <v>27</v>
      </c>
      <c r="AP92" s="1" t="s">
        <v>28</v>
      </c>
      <c r="AQ92" s="1">
        <v>6</v>
      </c>
      <c r="AR92" s="1">
        <v>3083.25</v>
      </c>
      <c r="AS92" s="1">
        <v>10</v>
      </c>
      <c r="AT92" s="1">
        <v>16649.55</v>
      </c>
      <c r="AU92" s="1">
        <v>18499.5</v>
      </c>
      <c r="AV92" s="10">
        <v>1664.9549999999999</v>
      </c>
      <c r="AW92" s="11">
        <v>16834.544999999998</v>
      </c>
      <c r="AX92" s="1" t="s">
        <v>159</v>
      </c>
      <c r="AY92" s="1" t="s">
        <v>159</v>
      </c>
      <c r="AZ92" s="1" t="s">
        <v>159</v>
      </c>
    </row>
    <row r="93" spans="1:52" x14ac:dyDescent="0.3">
      <c r="A93" s="5">
        <v>10092</v>
      </c>
      <c r="B93" s="1">
        <v>1389</v>
      </c>
      <c r="C93" s="2">
        <v>45240</v>
      </c>
      <c r="D93" s="2">
        <v>45246</v>
      </c>
      <c r="E93" s="1" t="s">
        <v>46</v>
      </c>
      <c r="F93" s="1" t="s">
        <v>38</v>
      </c>
      <c r="G93" s="1" t="s">
        <v>30</v>
      </c>
      <c r="H93" s="1" t="s">
        <v>18</v>
      </c>
      <c r="I93" s="1" t="s">
        <v>49</v>
      </c>
      <c r="J93" s="1" t="s">
        <v>50</v>
      </c>
      <c r="K93" s="1" t="s">
        <v>33</v>
      </c>
      <c r="L93" s="1">
        <v>3</v>
      </c>
      <c r="M93" s="1">
        <v>343.33</v>
      </c>
      <c r="N93" s="1">
        <v>5</v>
      </c>
      <c r="O93" s="1">
        <v>978.49</v>
      </c>
      <c r="P93" s="1">
        <f t="shared" si="6"/>
        <v>1029.99</v>
      </c>
      <c r="Q93" s="10">
        <f t="shared" si="7"/>
        <v>48.924500000000002</v>
      </c>
      <c r="R93" s="11">
        <f t="shared" si="8"/>
        <v>981.06550000000004</v>
      </c>
      <c r="S93" s="1" t="str">
        <f t="shared" si="9"/>
        <v>Low</v>
      </c>
      <c r="T93" s="1" t="str" cm="1">
        <f t="array" ref="T93">_xlfn.IFS(L93&gt;5,"High",L93=5,"mediam",L93&lt;5,"low")</f>
        <v>low</v>
      </c>
      <c r="U93" s="1" t="b">
        <f t="shared" si="10"/>
        <v>0</v>
      </c>
      <c r="AF93" s="5">
        <v>10042</v>
      </c>
      <c r="AG93" s="1">
        <v>1510</v>
      </c>
      <c r="AH93" s="2">
        <v>45195</v>
      </c>
      <c r="AI93" s="2">
        <v>45204</v>
      </c>
      <c r="AJ93" s="1" t="s">
        <v>15</v>
      </c>
      <c r="AK93" s="1" t="s">
        <v>54</v>
      </c>
      <c r="AL93" s="1" t="s">
        <v>24</v>
      </c>
      <c r="AM93" s="1" t="s">
        <v>35</v>
      </c>
      <c r="AN93" s="1" t="s">
        <v>26</v>
      </c>
      <c r="AO93" s="1" t="s">
        <v>27</v>
      </c>
      <c r="AP93" s="1" t="s">
        <v>33</v>
      </c>
      <c r="AQ93" s="1">
        <v>4</v>
      </c>
      <c r="AR93" s="1">
        <v>1211.67</v>
      </c>
      <c r="AS93" s="1">
        <v>20</v>
      </c>
      <c r="AT93" s="1">
        <v>3877.34</v>
      </c>
      <c r="AU93" s="1">
        <v>4846.68</v>
      </c>
      <c r="AV93" s="10">
        <v>775.46800000000007</v>
      </c>
      <c r="AW93" s="11">
        <v>4071.2120000000004</v>
      </c>
      <c r="AX93" s="1" t="s">
        <v>161</v>
      </c>
      <c r="AY93" s="1" t="s">
        <v>162</v>
      </c>
      <c r="AZ93" s="1" t="b">
        <v>0</v>
      </c>
    </row>
    <row r="94" spans="1:52" x14ac:dyDescent="0.3">
      <c r="A94" s="5">
        <v>10093</v>
      </c>
      <c r="B94" s="1">
        <v>1565</v>
      </c>
      <c r="C94" s="2">
        <v>44980</v>
      </c>
      <c r="D94" s="2">
        <v>44982</v>
      </c>
      <c r="E94" s="1" t="s">
        <v>40</v>
      </c>
      <c r="F94" s="1" t="s">
        <v>29</v>
      </c>
      <c r="G94" s="1" t="s">
        <v>17</v>
      </c>
      <c r="H94" s="1" t="s">
        <v>42</v>
      </c>
      <c r="I94" s="1" t="s">
        <v>52</v>
      </c>
      <c r="J94" s="1" t="s">
        <v>56</v>
      </c>
      <c r="K94" s="1" t="s">
        <v>33</v>
      </c>
      <c r="L94" s="1">
        <v>9</v>
      </c>
      <c r="M94" s="1">
        <v>1938.76</v>
      </c>
      <c r="N94" s="1">
        <v>20</v>
      </c>
      <c r="O94" s="1">
        <v>13959.07</v>
      </c>
      <c r="P94" s="1">
        <f t="shared" si="6"/>
        <v>17448.84</v>
      </c>
      <c r="Q94" s="10">
        <f t="shared" si="7"/>
        <v>2791.8140000000003</v>
      </c>
      <c r="R94" s="11">
        <f t="shared" si="8"/>
        <v>14657.026</v>
      </c>
      <c r="S94" s="1" t="str">
        <f t="shared" si="9"/>
        <v>High</v>
      </c>
      <c r="T94" s="1" t="str" cm="1">
        <f t="array" ref="T94">_xlfn.IFS(L94&gt;5,"High",L94=5,"mediam",L94&lt;5,"low")</f>
        <v>High</v>
      </c>
      <c r="U94" s="1" t="str">
        <f t="shared" si="10"/>
        <v>High</v>
      </c>
      <c r="AF94" s="5">
        <v>10043</v>
      </c>
      <c r="AG94" s="1">
        <v>1681</v>
      </c>
      <c r="AH94" s="2">
        <v>45184</v>
      </c>
      <c r="AI94" s="2">
        <v>45188</v>
      </c>
      <c r="AJ94" s="1" t="s">
        <v>37</v>
      </c>
      <c r="AK94" s="1" t="s">
        <v>23</v>
      </c>
      <c r="AL94" s="1" t="s">
        <v>24</v>
      </c>
      <c r="AM94" s="1" t="s">
        <v>35</v>
      </c>
      <c r="AN94" s="1" t="s">
        <v>31</v>
      </c>
      <c r="AO94" s="1" t="s">
        <v>48</v>
      </c>
      <c r="AP94" s="1" t="s">
        <v>45</v>
      </c>
      <c r="AQ94" s="1">
        <v>5</v>
      </c>
      <c r="AR94" s="1">
        <v>936.35</v>
      </c>
      <c r="AS94" s="1">
        <v>15</v>
      </c>
      <c r="AT94" s="1">
        <v>3979.49</v>
      </c>
      <c r="AU94" s="1">
        <v>4681.75</v>
      </c>
      <c r="AV94" s="10">
        <v>596.92349999999999</v>
      </c>
      <c r="AW94" s="11">
        <v>4084.8265000000001</v>
      </c>
      <c r="AX94" s="1" t="s">
        <v>159</v>
      </c>
      <c r="AY94" s="1" t="s">
        <v>160</v>
      </c>
      <c r="AZ94" s="1" t="b">
        <v>0</v>
      </c>
    </row>
    <row r="95" spans="1:52" x14ac:dyDescent="0.3">
      <c r="A95" s="5">
        <v>10094</v>
      </c>
      <c r="B95" s="1">
        <v>1105</v>
      </c>
      <c r="C95" s="2">
        <v>44938</v>
      </c>
      <c r="D95" s="2">
        <v>44946</v>
      </c>
      <c r="E95" s="1" t="s">
        <v>22</v>
      </c>
      <c r="F95" s="1" t="s">
        <v>16</v>
      </c>
      <c r="G95" s="1" t="s">
        <v>30</v>
      </c>
      <c r="H95" s="1" t="s">
        <v>25</v>
      </c>
      <c r="I95" s="1" t="s">
        <v>52</v>
      </c>
      <c r="J95" s="1" t="s">
        <v>60</v>
      </c>
      <c r="K95" s="1" t="s">
        <v>21</v>
      </c>
      <c r="L95" s="1">
        <v>4</v>
      </c>
      <c r="M95" s="1">
        <v>1611.52</v>
      </c>
      <c r="N95" s="1">
        <v>10</v>
      </c>
      <c r="O95" s="1">
        <v>5801.47</v>
      </c>
      <c r="P95" s="1">
        <f t="shared" si="6"/>
        <v>6446.08</v>
      </c>
      <c r="Q95" s="10">
        <f t="shared" si="7"/>
        <v>580.14700000000005</v>
      </c>
      <c r="R95" s="11">
        <f t="shared" si="8"/>
        <v>5865.933</v>
      </c>
      <c r="S95" s="1" t="str">
        <f t="shared" si="9"/>
        <v>Low</v>
      </c>
      <c r="T95" s="1" t="str" cm="1">
        <f t="array" ref="T95">_xlfn.IFS(L95&gt;5,"High",L95=5,"mediam",L95&lt;5,"low")</f>
        <v>low</v>
      </c>
      <c r="U95" s="1" t="b">
        <f t="shared" si="10"/>
        <v>0</v>
      </c>
      <c r="AF95" s="5">
        <v>10051</v>
      </c>
      <c r="AG95" s="1">
        <v>1957</v>
      </c>
      <c r="AH95" s="2">
        <v>45204</v>
      </c>
      <c r="AI95" s="2">
        <v>45211</v>
      </c>
      <c r="AJ95" s="1" t="s">
        <v>40</v>
      </c>
      <c r="AK95" s="1" t="s">
        <v>23</v>
      </c>
      <c r="AL95" s="1" t="s">
        <v>17</v>
      </c>
      <c r="AM95" s="1" t="s">
        <v>35</v>
      </c>
      <c r="AN95" s="1" t="s">
        <v>19</v>
      </c>
      <c r="AO95" s="1" t="s">
        <v>66</v>
      </c>
      <c r="AP95" s="1" t="s">
        <v>47</v>
      </c>
      <c r="AQ95" s="1">
        <v>5</v>
      </c>
      <c r="AR95" s="1">
        <v>1111.6199999999999</v>
      </c>
      <c r="AS95" s="1">
        <v>15</v>
      </c>
      <c r="AT95" s="1">
        <v>4724.3900000000003</v>
      </c>
      <c r="AU95" s="1">
        <v>5558.0999999999995</v>
      </c>
      <c r="AV95" s="10">
        <v>708.6585</v>
      </c>
      <c r="AW95" s="11">
        <v>4849.441499999999</v>
      </c>
      <c r="AX95" s="1" t="s">
        <v>159</v>
      </c>
      <c r="AY95" s="1" t="s">
        <v>160</v>
      </c>
      <c r="AZ95" s="1" t="b">
        <v>0</v>
      </c>
    </row>
    <row r="96" spans="1:52" x14ac:dyDescent="0.3">
      <c r="A96" s="5">
        <v>10095</v>
      </c>
      <c r="B96" s="1">
        <v>1771</v>
      </c>
      <c r="C96" s="2">
        <v>45135</v>
      </c>
      <c r="D96" s="2">
        <v>45137</v>
      </c>
      <c r="E96" s="1" t="s">
        <v>40</v>
      </c>
      <c r="F96" s="1" t="s">
        <v>54</v>
      </c>
      <c r="G96" s="1" t="s">
        <v>30</v>
      </c>
      <c r="H96" s="1" t="s">
        <v>42</v>
      </c>
      <c r="I96" s="1" t="s">
        <v>49</v>
      </c>
      <c r="J96" s="1" t="s">
        <v>50</v>
      </c>
      <c r="K96" s="1" t="s">
        <v>47</v>
      </c>
      <c r="L96" s="1">
        <v>3</v>
      </c>
      <c r="M96" s="1">
        <v>1368.86</v>
      </c>
      <c r="N96" s="1">
        <v>10</v>
      </c>
      <c r="O96" s="1">
        <v>3695.92</v>
      </c>
      <c r="P96" s="1">
        <f t="shared" si="6"/>
        <v>4106.58</v>
      </c>
      <c r="Q96" s="10">
        <f t="shared" si="7"/>
        <v>369.59200000000004</v>
      </c>
      <c r="R96" s="11">
        <f t="shared" si="8"/>
        <v>3736.9879999999998</v>
      </c>
      <c r="S96" s="1" t="str">
        <f t="shared" si="9"/>
        <v>Low</v>
      </c>
      <c r="T96" s="1" t="str" cm="1">
        <f t="array" ref="T96">_xlfn.IFS(L96&gt;5,"High",L96=5,"mediam",L96&lt;5,"low")</f>
        <v>low</v>
      </c>
      <c r="U96" s="1" t="b">
        <f t="shared" si="10"/>
        <v>0</v>
      </c>
      <c r="AF96" s="5">
        <v>10052</v>
      </c>
      <c r="AG96" s="1">
        <v>1562</v>
      </c>
      <c r="AH96" s="2">
        <v>45097</v>
      </c>
      <c r="AI96" s="2">
        <v>45098</v>
      </c>
      <c r="AJ96" s="1" t="s">
        <v>22</v>
      </c>
      <c r="AK96" s="1" t="s">
        <v>54</v>
      </c>
      <c r="AL96" s="1" t="s">
        <v>24</v>
      </c>
      <c r="AM96" s="1" t="s">
        <v>35</v>
      </c>
      <c r="AN96" s="1" t="s">
        <v>57</v>
      </c>
      <c r="AO96" s="1" t="s">
        <v>62</v>
      </c>
      <c r="AP96" s="1" t="s">
        <v>33</v>
      </c>
      <c r="AQ96" s="1">
        <v>3</v>
      </c>
      <c r="AR96" s="1">
        <v>2668.52</v>
      </c>
      <c r="AS96" s="1">
        <v>5</v>
      </c>
      <c r="AT96" s="1">
        <v>7605.28</v>
      </c>
      <c r="AU96" s="1">
        <v>8005.5599999999995</v>
      </c>
      <c r="AV96" s="10">
        <v>380.26400000000001</v>
      </c>
      <c r="AW96" s="11">
        <v>7625.2959999999994</v>
      </c>
      <c r="AX96" s="1" t="s">
        <v>161</v>
      </c>
      <c r="AY96" s="1" t="s">
        <v>162</v>
      </c>
      <c r="AZ96" s="1" t="b">
        <v>0</v>
      </c>
    </row>
    <row r="97" spans="1:52" x14ac:dyDescent="0.3">
      <c r="A97" s="5">
        <v>10096</v>
      </c>
      <c r="B97" s="1">
        <v>1821</v>
      </c>
      <c r="C97" s="2">
        <v>44940</v>
      </c>
      <c r="D97" s="2">
        <v>44947</v>
      </c>
      <c r="E97" s="1" t="s">
        <v>40</v>
      </c>
      <c r="F97" s="1" t="s">
        <v>16</v>
      </c>
      <c r="G97" s="1" t="s">
        <v>17</v>
      </c>
      <c r="H97" s="1" t="s">
        <v>25</v>
      </c>
      <c r="I97" s="1" t="s">
        <v>52</v>
      </c>
      <c r="J97" s="1" t="s">
        <v>60</v>
      </c>
      <c r="K97" s="1" t="s">
        <v>33</v>
      </c>
      <c r="L97" s="1">
        <v>2</v>
      </c>
      <c r="M97" s="1">
        <v>1249.94</v>
      </c>
      <c r="N97" s="1">
        <v>10</v>
      </c>
      <c r="O97" s="1">
        <v>2249.89</v>
      </c>
      <c r="P97" s="1">
        <f t="shared" si="6"/>
        <v>2499.88</v>
      </c>
      <c r="Q97" s="10">
        <f t="shared" si="7"/>
        <v>224.989</v>
      </c>
      <c r="R97" s="11">
        <f t="shared" si="8"/>
        <v>2274.8910000000001</v>
      </c>
      <c r="S97" s="1" t="str">
        <f t="shared" si="9"/>
        <v>Low</v>
      </c>
      <c r="T97" s="1" t="str" cm="1">
        <f t="array" ref="T97">_xlfn.IFS(L97&gt;5,"High",L97=5,"mediam",L97&lt;5,"low")</f>
        <v>low</v>
      </c>
      <c r="U97" s="1" t="b">
        <f t="shared" si="10"/>
        <v>0</v>
      </c>
      <c r="AF97" s="5">
        <v>10053</v>
      </c>
      <c r="AG97" s="1">
        <v>1875</v>
      </c>
      <c r="AH97" s="2">
        <v>45115</v>
      </c>
      <c r="AI97" s="2">
        <v>45118</v>
      </c>
      <c r="AJ97" s="1" t="s">
        <v>46</v>
      </c>
      <c r="AK97" s="1" t="s">
        <v>16</v>
      </c>
      <c r="AL97" s="1" t="s">
        <v>17</v>
      </c>
      <c r="AM97" s="1" t="s">
        <v>35</v>
      </c>
      <c r="AN97" s="1" t="s">
        <v>52</v>
      </c>
      <c r="AO97" s="1" t="s">
        <v>64</v>
      </c>
      <c r="AP97" s="1" t="s">
        <v>21</v>
      </c>
      <c r="AQ97" s="1">
        <v>5</v>
      </c>
      <c r="AR97" s="1">
        <v>2534.0700000000002</v>
      </c>
      <c r="AS97" s="1">
        <v>10</v>
      </c>
      <c r="AT97" s="1">
        <v>11403.31</v>
      </c>
      <c r="AU97" s="1">
        <v>12670.35</v>
      </c>
      <c r="AV97" s="10">
        <v>1140.3309999999999</v>
      </c>
      <c r="AW97" s="11">
        <v>11530.019</v>
      </c>
      <c r="AX97" s="1" t="s">
        <v>159</v>
      </c>
      <c r="AY97" s="1" t="s">
        <v>160</v>
      </c>
      <c r="AZ97" s="1" t="b">
        <v>0</v>
      </c>
    </row>
    <row r="98" spans="1:52" x14ac:dyDescent="0.3">
      <c r="A98" s="5">
        <v>10097</v>
      </c>
      <c r="B98" s="1">
        <v>1476</v>
      </c>
      <c r="C98" s="2">
        <v>45047</v>
      </c>
      <c r="D98" s="2">
        <v>45056</v>
      </c>
      <c r="E98" s="1" t="s">
        <v>37</v>
      </c>
      <c r="F98" s="1" t="s">
        <v>23</v>
      </c>
      <c r="G98" s="1" t="s">
        <v>24</v>
      </c>
      <c r="H98" s="1" t="s">
        <v>18</v>
      </c>
      <c r="I98" s="1" t="s">
        <v>52</v>
      </c>
      <c r="J98" s="1" t="s">
        <v>60</v>
      </c>
      <c r="K98" s="1" t="s">
        <v>28</v>
      </c>
      <c r="L98" s="1">
        <v>9</v>
      </c>
      <c r="M98" s="1">
        <v>501.79</v>
      </c>
      <c r="N98" s="1">
        <v>5</v>
      </c>
      <c r="O98" s="1">
        <v>4290.3</v>
      </c>
      <c r="P98" s="1">
        <f t="shared" si="6"/>
        <v>4516.1100000000006</v>
      </c>
      <c r="Q98" s="10">
        <f t="shared" si="7"/>
        <v>214.51500000000001</v>
      </c>
      <c r="R98" s="11">
        <f t="shared" si="8"/>
        <v>4301.5950000000003</v>
      </c>
      <c r="S98" s="1" t="str">
        <f t="shared" si="9"/>
        <v>High</v>
      </c>
      <c r="T98" s="1" t="str" cm="1">
        <f t="array" ref="T98">_xlfn.IFS(L98&gt;5,"High",L98=5,"mediam",L98&lt;5,"low")</f>
        <v>High</v>
      </c>
      <c r="U98" s="1" t="str">
        <f t="shared" si="10"/>
        <v>High</v>
      </c>
      <c r="AF98" s="5">
        <v>10062</v>
      </c>
      <c r="AG98" s="1">
        <v>1020</v>
      </c>
      <c r="AH98" s="2">
        <v>45221</v>
      </c>
      <c r="AI98" s="2">
        <v>45226</v>
      </c>
      <c r="AJ98" s="1" t="s">
        <v>22</v>
      </c>
      <c r="AK98" s="1" t="s">
        <v>29</v>
      </c>
      <c r="AL98" s="1" t="s">
        <v>30</v>
      </c>
      <c r="AM98" s="1" t="s">
        <v>35</v>
      </c>
      <c r="AN98" s="1" t="s">
        <v>52</v>
      </c>
      <c r="AO98" s="1" t="s">
        <v>56</v>
      </c>
      <c r="AP98" s="1" t="s">
        <v>21</v>
      </c>
      <c r="AQ98" s="1">
        <v>8</v>
      </c>
      <c r="AR98" s="1">
        <v>2819.34</v>
      </c>
      <c r="AS98" s="1">
        <v>5</v>
      </c>
      <c r="AT98" s="1">
        <v>21426.98</v>
      </c>
      <c r="AU98" s="1">
        <v>22554.720000000001</v>
      </c>
      <c r="AV98" s="10">
        <v>1071.3489999999999</v>
      </c>
      <c r="AW98" s="11">
        <v>21483.371000000003</v>
      </c>
      <c r="AX98" s="1" t="s">
        <v>159</v>
      </c>
      <c r="AY98" s="1" t="s">
        <v>159</v>
      </c>
      <c r="AZ98" s="1" t="s">
        <v>159</v>
      </c>
    </row>
    <row r="99" spans="1:52" x14ac:dyDescent="0.3">
      <c r="A99" s="5">
        <v>10098</v>
      </c>
      <c r="B99" s="1">
        <v>1702</v>
      </c>
      <c r="C99" s="2">
        <v>44946</v>
      </c>
      <c r="D99" s="2">
        <v>44947</v>
      </c>
      <c r="E99" s="1" t="s">
        <v>37</v>
      </c>
      <c r="F99" s="1" t="s">
        <v>54</v>
      </c>
      <c r="G99" s="1" t="s">
        <v>24</v>
      </c>
      <c r="H99" s="1" t="s">
        <v>42</v>
      </c>
      <c r="I99" s="1" t="s">
        <v>26</v>
      </c>
      <c r="J99" s="1" t="s">
        <v>36</v>
      </c>
      <c r="K99" s="1" t="s">
        <v>45</v>
      </c>
      <c r="L99" s="1">
        <v>4</v>
      </c>
      <c r="M99" s="1">
        <v>1362.08</v>
      </c>
      <c r="N99" s="1">
        <v>15</v>
      </c>
      <c r="O99" s="1">
        <v>4631.07</v>
      </c>
      <c r="P99" s="1">
        <f t="shared" si="6"/>
        <v>5448.32</v>
      </c>
      <c r="Q99" s="10">
        <f t="shared" si="7"/>
        <v>694.66049999999996</v>
      </c>
      <c r="R99" s="11">
        <f t="shared" si="8"/>
        <v>4753.6594999999998</v>
      </c>
      <c r="S99" s="1" t="str">
        <f t="shared" si="9"/>
        <v>Low</v>
      </c>
      <c r="T99" s="1" t="str" cm="1">
        <f t="array" ref="T99">_xlfn.IFS(L99&gt;5,"High",L99=5,"mediam",L99&lt;5,"low")</f>
        <v>low</v>
      </c>
      <c r="U99" s="1" t="b">
        <f t="shared" si="10"/>
        <v>0</v>
      </c>
      <c r="AF99" s="5">
        <v>10066</v>
      </c>
      <c r="AG99" s="1">
        <v>1387</v>
      </c>
      <c r="AH99" s="2">
        <v>45155</v>
      </c>
      <c r="AI99" s="2">
        <v>45158</v>
      </c>
      <c r="AJ99" s="1" t="s">
        <v>15</v>
      </c>
      <c r="AK99" s="1" t="s">
        <v>23</v>
      </c>
      <c r="AL99" s="1" t="s">
        <v>17</v>
      </c>
      <c r="AM99" s="1" t="s">
        <v>35</v>
      </c>
      <c r="AN99" s="1" t="s">
        <v>57</v>
      </c>
      <c r="AO99" s="1" t="s">
        <v>67</v>
      </c>
      <c r="AP99" s="1" t="s">
        <v>45</v>
      </c>
      <c r="AQ99" s="1">
        <v>8</v>
      </c>
      <c r="AR99" s="1">
        <v>3769.71</v>
      </c>
      <c r="AS99" s="1">
        <v>5</v>
      </c>
      <c r="AT99" s="1">
        <v>28649.8</v>
      </c>
      <c r="AU99" s="1">
        <v>30157.68</v>
      </c>
      <c r="AV99" s="10">
        <v>1432.49</v>
      </c>
      <c r="AW99" s="11">
        <v>28725.19</v>
      </c>
      <c r="AX99" s="1" t="s">
        <v>159</v>
      </c>
      <c r="AY99" s="1" t="s">
        <v>159</v>
      </c>
      <c r="AZ99" s="1" t="s">
        <v>159</v>
      </c>
    </row>
    <row r="100" spans="1:52" x14ac:dyDescent="0.3">
      <c r="A100" s="5">
        <v>10099</v>
      </c>
      <c r="B100" s="1">
        <v>1401</v>
      </c>
      <c r="C100" s="2">
        <v>45001</v>
      </c>
      <c r="D100" s="2">
        <v>45009</v>
      </c>
      <c r="E100" s="1" t="s">
        <v>46</v>
      </c>
      <c r="F100" s="1" t="s">
        <v>38</v>
      </c>
      <c r="G100" s="1" t="s">
        <v>17</v>
      </c>
      <c r="H100" s="1" t="s">
        <v>42</v>
      </c>
      <c r="I100" s="1" t="s">
        <v>52</v>
      </c>
      <c r="J100" s="1" t="s">
        <v>53</v>
      </c>
      <c r="K100" s="1" t="s">
        <v>28</v>
      </c>
      <c r="L100" s="1">
        <v>3</v>
      </c>
      <c r="M100" s="1">
        <v>315.75</v>
      </c>
      <c r="N100" s="1">
        <v>20</v>
      </c>
      <c r="O100" s="1">
        <v>757.8</v>
      </c>
      <c r="P100" s="1">
        <f t="shared" si="6"/>
        <v>947.25</v>
      </c>
      <c r="Q100" s="10">
        <f t="shared" si="7"/>
        <v>151.56</v>
      </c>
      <c r="R100" s="11">
        <f t="shared" si="8"/>
        <v>795.69</v>
      </c>
      <c r="S100" s="1" t="str">
        <f t="shared" si="9"/>
        <v>Low</v>
      </c>
      <c r="T100" s="1" t="str" cm="1">
        <f t="array" ref="T100">_xlfn.IFS(L100&gt;5,"High",L100=5,"mediam",L100&lt;5,"low")</f>
        <v>low</v>
      </c>
      <c r="U100" s="1" t="b">
        <f t="shared" si="10"/>
        <v>0</v>
      </c>
      <c r="AF100" s="5">
        <v>10070</v>
      </c>
      <c r="AG100" s="1">
        <v>1241</v>
      </c>
      <c r="AH100" s="2">
        <v>45112</v>
      </c>
      <c r="AI100" s="2">
        <v>45113</v>
      </c>
      <c r="AJ100" s="1" t="s">
        <v>46</v>
      </c>
      <c r="AK100" s="1" t="s">
        <v>41</v>
      </c>
      <c r="AL100" s="1" t="s">
        <v>17</v>
      </c>
      <c r="AM100" s="1" t="s">
        <v>35</v>
      </c>
      <c r="AN100" s="1" t="s">
        <v>31</v>
      </c>
      <c r="AO100" s="1" t="s">
        <v>39</v>
      </c>
      <c r="AP100" s="1" t="s">
        <v>33</v>
      </c>
      <c r="AQ100" s="1">
        <v>4</v>
      </c>
      <c r="AR100" s="1">
        <v>3612.15</v>
      </c>
      <c r="AS100" s="1">
        <v>20</v>
      </c>
      <c r="AT100" s="1">
        <v>11558.88</v>
      </c>
      <c r="AU100" s="1">
        <v>14448.6</v>
      </c>
      <c r="AV100" s="10">
        <v>2311.7759999999998</v>
      </c>
      <c r="AW100" s="11">
        <v>12136.824000000001</v>
      </c>
      <c r="AX100" s="1" t="s">
        <v>161</v>
      </c>
      <c r="AY100" s="1" t="s">
        <v>162</v>
      </c>
      <c r="AZ100" s="1" t="b">
        <v>0</v>
      </c>
    </row>
    <row r="101" spans="1:52" x14ac:dyDescent="0.3">
      <c r="A101" s="5">
        <v>10100</v>
      </c>
      <c r="B101" s="1">
        <v>1729</v>
      </c>
      <c r="C101" s="2">
        <v>45169</v>
      </c>
      <c r="D101" s="2">
        <v>45176</v>
      </c>
      <c r="E101" s="1" t="s">
        <v>16</v>
      </c>
      <c r="F101" s="1" t="s">
        <v>29</v>
      </c>
      <c r="G101" s="1" t="s">
        <v>24</v>
      </c>
      <c r="H101" s="1" t="s">
        <v>18</v>
      </c>
      <c r="I101" s="1" t="s">
        <v>19</v>
      </c>
      <c r="J101" s="1" t="s">
        <v>43</v>
      </c>
      <c r="K101" s="1" t="s">
        <v>47</v>
      </c>
      <c r="L101" s="1">
        <v>7</v>
      </c>
      <c r="M101" s="1">
        <v>3156.71</v>
      </c>
      <c r="N101" s="1">
        <v>10</v>
      </c>
      <c r="O101" s="1">
        <v>19887.27</v>
      </c>
      <c r="P101" s="1">
        <f t="shared" si="6"/>
        <v>22096.97</v>
      </c>
      <c r="Q101" s="10">
        <f t="shared" si="7"/>
        <v>1988.7270000000001</v>
      </c>
      <c r="R101" s="11">
        <f t="shared" si="8"/>
        <v>20108.243000000002</v>
      </c>
      <c r="S101" s="1" t="str">
        <f t="shared" si="9"/>
        <v>High</v>
      </c>
      <c r="T101" s="1" t="str" cm="1">
        <f t="array" ref="T101">_xlfn.IFS(L101&gt;5,"High",L101=5,"mediam",L101&lt;5,"low")</f>
        <v>High</v>
      </c>
      <c r="U101" s="1" t="str">
        <f t="shared" si="10"/>
        <v>High</v>
      </c>
      <c r="AF101" s="5">
        <v>10074</v>
      </c>
      <c r="AG101" s="1">
        <v>1897</v>
      </c>
      <c r="AH101" s="2">
        <v>45290</v>
      </c>
      <c r="AI101" s="2">
        <v>45296</v>
      </c>
      <c r="AJ101" s="1" t="s">
        <v>16</v>
      </c>
      <c r="AK101" s="1" t="s">
        <v>54</v>
      </c>
      <c r="AL101" s="1" t="s">
        <v>30</v>
      </c>
      <c r="AM101" s="1" t="s">
        <v>35</v>
      </c>
      <c r="AN101" s="1" t="s">
        <v>19</v>
      </c>
      <c r="AO101" s="1" t="s">
        <v>43</v>
      </c>
      <c r="AP101" s="1" t="s">
        <v>33</v>
      </c>
      <c r="AQ101" s="1">
        <v>3</v>
      </c>
      <c r="AR101" s="1">
        <v>2196.89</v>
      </c>
      <c r="AS101" s="1">
        <v>0</v>
      </c>
      <c r="AT101" s="1">
        <v>6590.67</v>
      </c>
      <c r="AU101" s="1">
        <v>6590.67</v>
      </c>
      <c r="AV101" s="10">
        <v>0</v>
      </c>
      <c r="AW101" s="11">
        <v>6590.67</v>
      </c>
      <c r="AX101" s="1" t="s">
        <v>161</v>
      </c>
      <c r="AY101" s="1" t="s">
        <v>162</v>
      </c>
      <c r="AZ101" s="1" t="b">
        <v>0</v>
      </c>
    </row>
    <row r="102" spans="1:52" x14ac:dyDescent="0.3">
      <c r="A102" s="5">
        <v>10101</v>
      </c>
      <c r="B102" s="1">
        <v>1555</v>
      </c>
      <c r="C102" s="2">
        <v>45149</v>
      </c>
      <c r="D102" s="2">
        <v>45155</v>
      </c>
      <c r="E102" s="1" t="s">
        <v>16</v>
      </c>
      <c r="F102" s="1" t="s">
        <v>16</v>
      </c>
      <c r="G102" s="1" t="s">
        <v>30</v>
      </c>
      <c r="H102" s="1" t="s">
        <v>42</v>
      </c>
      <c r="I102" s="1" t="s">
        <v>57</v>
      </c>
      <c r="J102" s="1" t="s">
        <v>59</v>
      </c>
      <c r="K102" s="1" t="s">
        <v>28</v>
      </c>
      <c r="L102" s="1">
        <v>8</v>
      </c>
      <c r="M102" s="1">
        <v>1683.18</v>
      </c>
      <c r="N102" s="1">
        <v>15</v>
      </c>
      <c r="O102" s="1">
        <v>11445.62</v>
      </c>
      <c r="P102" s="1">
        <f t="shared" si="6"/>
        <v>13465.44</v>
      </c>
      <c r="Q102" s="10">
        <f t="shared" si="7"/>
        <v>1716.8430000000001</v>
      </c>
      <c r="R102" s="11">
        <f t="shared" si="8"/>
        <v>11748.597</v>
      </c>
      <c r="S102" s="1" t="str">
        <f t="shared" si="9"/>
        <v>High</v>
      </c>
      <c r="T102" s="1" t="str" cm="1">
        <f t="array" ref="T102">_xlfn.IFS(L102&gt;5,"High",L102=5,"mediam",L102&lt;5,"low")</f>
        <v>High</v>
      </c>
      <c r="U102" s="1" t="str">
        <f t="shared" si="10"/>
        <v>High</v>
      </c>
      <c r="AF102" s="5">
        <v>10076</v>
      </c>
      <c r="AG102" s="1">
        <v>1091</v>
      </c>
      <c r="AH102" s="2">
        <v>44929</v>
      </c>
      <c r="AI102" s="2">
        <v>44932</v>
      </c>
      <c r="AJ102" s="1" t="s">
        <v>22</v>
      </c>
      <c r="AK102" s="1" t="s">
        <v>16</v>
      </c>
      <c r="AL102" s="1" t="s">
        <v>30</v>
      </c>
      <c r="AM102" s="1" t="s">
        <v>35</v>
      </c>
      <c r="AN102" s="1" t="s">
        <v>31</v>
      </c>
      <c r="AO102" s="1" t="s">
        <v>39</v>
      </c>
      <c r="AP102" s="1" t="s">
        <v>33</v>
      </c>
      <c r="AQ102" s="1">
        <v>5</v>
      </c>
      <c r="AR102" s="1">
        <v>1220.68</v>
      </c>
      <c r="AS102" s="1">
        <v>20</v>
      </c>
      <c r="AT102" s="1">
        <v>4882.72</v>
      </c>
      <c r="AU102" s="1">
        <v>6103.4000000000005</v>
      </c>
      <c r="AV102" s="10">
        <v>976.5440000000001</v>
      </c>
      <c r="AW102" s="11">
        <v>5126.8560000000007</v>
      </c>
      <c r="AX102" s="1" t="s">
        <v>159</v>
      </c>
      <c r="AY102" s="1" t="s">
        <v>160</v>
      </c>
      <c r="AZ102" s="1" t="b">
        <v>0</v>
      </c>
    </row>
    <row r="103" spans="1:52" x14ac:dyDescent="0.3">
      <c r="A103" s="5">
        <v>10102</v>
      </c>
      <c r="B103" s="1">
        <v>1161</v>
      </c>
      <c r="C103" s="2">
        <v>44996</v>
      </c>
      <c r="D103" s="2">
        <v>45002</v>
      </c>
      <c r="E103" s="1" t="s">
        <v>37</v>
      </c>
      <c r="F103" s="1" t="s">
        <v>54</v>
      </c>
      <c r="G103" s="1" t="s">
        <v>30</v>
      </c>
      <c r="H103" s="1" t="s">
        <v>25</v>
      </c>
      <c r="I103" s="1" t="s">
        <v>31</v>
      </c>
      <c r="J103" s="1" t="s">
        <v>39</v>
      </c>
      <c r="K103" s="1" t="s">
        <v>21</v>
      </c>
      <c r="L103" s="1">
        <v>2</v>
      </c>
      <c r="M103" s="1">
        <v>1859.03</v>
      </c>
      <c r="N103" s="1">
        <v>20</v>
      </c>
      <c r="O103" s="1">
        <v>2974.45</v>
      </c>
      <c r="P103" s="1">
        <f t="shared" si="6"/>
        <v>3718.06</v>
      </c>
      <c r="Q103" s="10">
        <f t="shared" si="7"/>
        <v>594.89</v>
      </c>
      <c r="R103" s="11">
        <f t="shared" si="8"/>
        <v>3123.17</v>
      </c>
      <c r="S103" s="1" t="str">
        <f t="shared" si="9"/>
        <v>Low</v>
      </c>
      <c r="T103" s="1" t="str" cm="1">
        <f t="array" ref="T103">_xlfn.IFS(L103&gt;5,"High",L103=5,"mediam",L103&lt;5,"low")</f>
        <v>low</v>
      </c>
      <c r="U103" s="1" t="b">
        <f t="shared" si="10"/>
        <v>0</v>
      </c>
      <c r="AF103" s="5">
        <v>10078</v>
      </c>
      <c r="AG103" s="1">
        <v>1955</v>
      </c>
      <c r="AH103" s="2">
        <v>45150</v>
      </c>
      <c r="AI103" s="2">
        <v>45156</v>
      </c>
      <c r="AJ103" s="1" t="s">
        <v>40</v>
      </c>
      <c r="AK103" s="1" t="s">
        <v>23</v>
      </c>
      <c r="AL103" s="1" t="s">
        <v>24</v>
      </c>
      <c r="AM103" s="1" t="s">
        <v>35</v>
      </c>
      <c r="AN103" s="1" t="s">
        <v>52</v>
      </c>
      <c r="AO103" s="1" t="s">
        <v>60</v>
      </c>
      <c r="AP103" s="1" t="s">
        <v>28</v>
      </c>
      <c r="AQ103" s="1">
        <v>6</v>
      </c>
      <c r="AR103" s="1">
        <v>1258.82</v>
      </c>
      <c r="AS103" s="1">
        <v>15</v>
      </c>
      <c r="AT103" s="1">
        <v>6419.98</v>
      </c>
      <c r="AU103" s="1">
        <v>7552.92</v>
      </c>
      <c r="AV103" s="10">
        <v>962.99699999999984</v>
      </c>
      <c r="AW103" s="11">
        <v>6589.9230000000007</v>
      </c>
      <c r="AX103" s="1" t="s">
        <v>159</v>
      </c>
      <c r="AY103" s="1" t="s">
        <v>159</v>
      </c>
      <c r="AZ103" s="1" t="s">
        <v>159</v>
      </c>
    </row>
    <row r="104" spans="1:52" x14ac:dyDescent="0.3">
      <c r="A104" s="5">
        <v>10103</v>
      </c>
      <c r="B104" s="1">
        <v>1201</v>
      </c>
      <c r="C104" s="2">
        <v>45238</v>
      </c>
      <c r="D104" s="2">
        <v>45244</v>
      </c>
      <c r="E104" s="1" t="s">
        <v>46</v>
      </c>
      <c r="F104" s="1" t="s">
        <v>23</v>
      </c>
      <c r="G104" s="1" t="s">
        <v>17</v>
      </c>
      <c r="H104" s="1" t="s">
        <v>42</v>
      </c>
      <c r="I104" s="1" t="s">
        <v>19</v>
      </c>
      <c r="J104" s="1" t="s">
        <v>20</v>
      </c>
      <c r="K104" s="1" t="s">
        <v>47</v>
      </c>
      <c r="L104" s="1">
        <v>7</v>
      </c>
      <c r="M104" s="1">
        <v>3590.34</v>
      </c>
      <c r="N104" s="1">
        <v>20</v>
      </c>
      <c r="O104" s="1">
        <v>20105.900000000001</v>
      </c>
      <c r="P104" s="1">
        <f t="shared" si="6"/>
        <v>25132.38</v>
      </c>
      <c r="Q104" s="10">
        <f t="shared" si="7"/>
        <v>4021.1800000000003</v>
      </c>
      <c r="R104" s="11">
        <f t="shared" si="8"/>
        <v>21111.200000000001</v>
      </c>
      <c r="S104" s="1" t="str">
        <f t="shared" si="9"/>
        <v>High</v>
      </c>
      <c r="T104" s="1" t="str" cm="1">
        <f t="array" ref="T104">_xlfn.IFS(L104&gt;5,"High",L104=5,"mediam",L104&lt;5,"low")</f>
        <v>High</v>
      </c>
      <c r="U104" s="1" t="str">
        <f t="shared" si="10"/>
        <v>High</v>
      </c>
      <c r="AF104" s="5">
        <v>10079</v>
      </c>
      <c r="AG104" s="1">
        <v>1454</v>
      </c>
      <c r="AH104" s="2">
        <v>45246</v>
      </c>
      <c r="AI104" s="2">
        <v>45254</v>
      </c>
      <c r="AJ104" s="1" t="s">
        <v>34</v>
      </c>
      <c r="AK104" s="1" t="s">
        <v>16</v>
      </c>
      <c r="AL104" s="1" t="s">
        <v>30</v>
      </c>
      <c r="AM104" s="1" t="s">
        <v>35</v>
      </c>
      <c r="AN104" s="1" t="s">
        <v>31</v>
      </c>
      <c r="AO104" s="1" t="s">
        <v>32</v>
      </c>
      <c r="AP104" s="1" t="s">
        <v>33</v>
      </c>
      <c r="AQ104" s="1">
        <v>5</v>
      </c>
      <c r="AR104" s="1">
        <v>2291.86</v>
      </c>
      <c r="AS104" s="1">
        <v>15</v>
      </c>
      <c r="AT104" s="1">
        <v>9740.4</v>
      </c>
      <c r="AU104" s="1">
        <v>11459.300000000001</v>
      </c>
      <c r="AV104" s="10">
        <v>1461.06</v>
      </c>
      <c r="AW104" s="11">
        <v>9998.2400000000016</v>
      </c>
      <c r="AX104" s="1" t="s">
        <v>159</v>
      </c>
      <c r="AY104" s="1" t="s">
        <v>160</v>
      </c>
      <c r="AZ104" s="1" t="b">
        <v>0</v>
      </c>
    </row>
    <row r="105" spans="1:52" x14ac:dyDescent="0.3">
      <c r="A105" s="5">
        <v>10104</v>
      </c>
      <c r="B105" s="1">
        <v>1957</v>
      </c>
      <c r="C105" s="2">
        <v>45137</v>
      </c>
      <c r="D105" s="2">
        <v>45146</v>
      </c>
      <c r="E105" s="1" t="s">
        <v>16</v>
      </c>
      <c r="F105" s="1" t="s">
        <v>54</v>
      </c>
      <c r="G105" s="1" t="s">
        <v>24</v>
      </c>
      <c r="H105" s="1" t="s">
        <v>44</v>
      </c>
      <c r="I105" s="1" t="s">
        <v>52</v>
      </c>
      <c r="J105" s="1" t="s">
        <v>53</v>
      </c>
      <c r="K105" s="1" t="s">
        <v>45</v>
      </c>
      <c r="L105" s="1">
        <v>5</v>
      </c>
      <c r="M105" s="1">
        <v>2683.51</v>
      </c>
      <c r="N105" s="1">
        <v>10</v>
      </c>
      <c r="O105" s="1">
        <v>12075.79</v>
      </c>
      <c r="P105" s="1">
        <f t="shared" si="6"/>
        <v>13417.550000000001</v>
      </c>
      <c r="Q105" s="10">
        <f t="shared" si="7"/>
        <v>1207.5790000000002</v>
      </c>
      <c r="R105" s="11">
        <f t="shared" si="8"/>
        <v>12209.971000000001</v>
      </c>
      <c r="S105" s="1" t="str">
        <f t="shared" si="9"/>
        <v>High</v>
      </c>
      <c r="T105" s="1" t="str" cm="1">
        <f t="array" ref="T105">_xlfn.IFS(L105&gt;5,"High",L105=5,"mediam",L105&lt;5,"low")</f>
        <v>mediam</v>
      </c>
      <c r="U105" s="1" t="b">
        <f t="shared" si="10"/>
        <v>0</v>
      </c>
      <c r="AF105" s="5">
        <v>10090</v>
      </c>
      <c r="AG105" s="1">
        <v>1387</v>
      </c>
      <c r="AH105" s="2">
        <v>45160</v>
      </c>
      <c r="AI105" s="2">
        <v>45166</v>
      </c>
      <c r="AJ105" s="1" t="s">
        <v>46</v>
      </c>
      <c r="AK105" s="1" t="s">
        <v>54</v>
      </c>
      <c r="AL105" s="1" t="s">
        <v>17</v>
      </c>
      <c r="AM105" s="1" t="s">
        <v>35</v>
      </c>
      <c r="AN105" s="1" t="s">
        <v>26</v>
      </c>
      <c r="AO105" s="1" t="s">
        <v>27</v>
      </c>
      <c r="AP105" s="1" t="s">
        <v>28</v>
      </c>
      <c r="AQ105" s="1">
        <v>5</v>
      </c>
      <c r="AR105" s="1">
        <v>1355.24</v>
      </c>
      <c r="AS105" s="1">
        <v>5</v>
      </c>
      <c r="AT105" s="1">
        <v>6437.39</v>
      </c>
      <c r="AU105" s="1">
        <v>6776.2</v>
      </c>
      <c r="AV105" s="10">
        <v>321.86950000000002</v>
      </c>
      <c r="AW105" s="11">
        <v>6454.3305</v>
      </c>
      <c r="AX105" s="1" t="s">
        <v>159</v>
      </c>
      <c r="AY105" s="1" t="s">
        <v>160</v>
      </c>
      <c r="AZ105" s="1" t="b">
        <v>0</v>
      </c>
    </row>
    <row r="106" spans="1:52" x14ac:dyDescent="0.3">
      <c r="A106" s="5">
        <v>10105</v>
      </c>
      <c r="B106" s="1">
        <v>1995</v>
      </c>
      <c r="C106" s="2">
        <v>45027</v>
      </c>
      <c r="D106" s="2">
        <v>45029</v>
      </c>
      <c r="E106" s="1" t="s">
        <v>46</v>
      </c>
      <c r="F106" s="1" t="s">
        <v>41</v>
      </c>
      <c r="G106" s="1" t="s">
        <v>24</v>
      </c>
      <c r="H106" s="1" t="s">
        <v>35</v>
      </c>
      <c r="I106" s="1" t="s">
        <v>26</v>
      </c>
      <c r="J106" s="1" t="s">
        <v>27</v>
      </c>
      <c r="K106" s="1" t="s">
        <v>21</v>
      </c>
      <c r="L106" s="1">
        <v>5</v>
      </c>
      <c r="M106" s="1">
        <v>181.03</v>
      </c>
      <c r="N106" s="1">
        <v>10</v>
      </c>
      <c r="O106" s="1">
        <v>814.63</v>
      </c>
      <c r="P106" s="1">
        <f t="shared" si="6"/>
        <v>905.15</v>
      </c>
      <c r="Q106" s="10">
        <f t="shared" si="7"/>
        <v>81.463000000000008</v>
      </c>
      <c r="R106" s="11">
        <f t="shared" si="8"/>
        <v>823.68700000000001</v>
      </c>
      <c r="S106" s="1" t="str">
        <f t="shared" si="9"/>
        <v>High</v>
      </c>
      <c r="T106" s="1" t="str" cm="1">
        <f t="array" ref="T106">_xlfn.IFS(L106&gt;5,"High",L106=5,"mediam",L106&lt;5,"low")</f>
        <v>mediam</v>
      </c>
      <c r="U106" s="1" t="b">
        <f t="shared" si="10"/>
        <v>0</v>
      </c>
      <c r="AF106" s="5">
        <v>10105</v>
      </c>
      <c r="AG106" s="1">
        <v>1995</v>
      </c>
      <c r="AH106" s="2">
        <v>45027</v>
      </c>
      <c r="AI106" s="2">
        <v>45029</v>
      </c>
      <c r="AJ106" s="1" t="s">
        <v>46</v>
      </c>
      <c r="AK106" s="1" t="s">
        <v>41</v>
      </c>
      <c r="AL106" s="1" t="s">
        <v>24</v>
      </c>
      <c r="AM106" s="1" t="s">
        <v>35</v>
      </c>
      <c r="AN106" s="1" t="s">
        <v>26</v>
      </c>
      <c r="AO106" s="1" t="s">
        <v>27</v>
      </c>
      <c r="AP106" s="1" t="s">
        <v>21</v>
      </c>
      <c r="AQ106" s="1">
        <v>5</v>
      </c>
      <c r="AR106" s="1">
        <v>181.03</v>
      </c>
      <c r="AS106" s="1">
        <v>10</v>
      </c>
      <c r="AT106" s="1">
        <v>814.63</v>
      </c>
      <c r="AU106" s="1">
        <v>905.15</v>
      </c>
      <c r="AV106" s="10">
        <v>81.463000000000008</v>
      </c>
      <c r="AW106" s="11">
        <v>823.68700000000001</v>
      </c>
      <c r="AX106" s="1" t="s">
        <v>159</v>
      </c>
      <c r="AY106" s="1" t="s">
        <v>160</v>
      </c>
      <c r="AZ106" s="1" t="b">
        <v>0</v>
      </c>
    </row>
    <row r="107" spans="1:52" x14ac:dyDescent="0.3">
      <c r="A107" s="5">
        <v>10106</v>
      </c>
      <c r="B107" s="1">
        <v>1269</v>
      </c>
      <c r="C107" s="2">
        <v>45112</v>
      </c>
      <c r="D107" s="2">
        <v>45113</v>
      </c>
      <c r="E107" s="1" t="s">
        <v>46</v>
      </c>
      <c r="F107" s="1" t="s">
        <v>23</v>
      </c>
      <c r="G107" s="1" t="s">
        <v>30</v>
      </c>
      <c r="H107" s="1" t="s">
        <v>25</v>
      </c>
      <c r="I107" s="1" t="s">
        <v>49</v>
      </c>
      <c r="J107" s="1" t="s">
        <v>63</v>
      </c>
      <c r="K107" s="1" t="s">
        <v>47</v>
      </c>
      <c r="L107" s="1">
        <v>3</v>
      </c>
      <c r="M107" s="1">
        <v>3781.22</v>
      </c>
      <c r="N107" s="1">
        <v>5</v>
      </c>
      <c r="O107" s="1">
        <v>10776.48</v>
      </c>
      <c r="P107" s="1">
        <f t="shared" si="6"/>
        <v>11343.66</v>
      </c>
      <c r="Q107" s="10">
        <f t="shared" si="7"/>
        <v>538.82399999999996</v>
      </c>
      <c r="R107" s="11">
        <f t="shared" si="8"/>
        <v>10804.835999999999</v>
      </c>
      <c r="S107" s="1" t="str">
        <f t="shared" si="9"/>
        <v>Low</v>
      </c>
      <c r="T107" s="1" t="str" cm="1">
        <f t="array" ref="T107">_xlfn.IFS(L107&gt;5,"High",L107=5,"mediam",L107&lt;5,"low")</f>
        <v>low</v>
      </c>
      <c r="U107" s="1" t="b">
        <f t="shared" si="10"/>
        <v>0</v>
      </c>
      <c r="AF107" s="5">
        <v>10110</v>
      </c>
      <c r="AG107" s="1">
        <v>1455</v>
      </c>
      <c r="AH107" s="2">
        <v>44946</v>
      </c>
      <c r="AI107" s="2">
        <v>44947</v>
      </c>
      <c r="AJ107" s="1" t="s">
        <v>46</v>
      </c>
      <c r="AK107" s="1" t="s">
        <v>16</v>
      </c>
      <c r="AL107" s="1" t="s">
        <v>24</v>
      </c>
      <c r="AM107" s="1" t="s">
        <v>35</v>
      </c>
      <c r="AN107" s="1" t="s">
        <v>52</v>
      </c>
      <c r="AO107" s="1" t="s">
        <v>56</v>
      </c>
      <c r="AP107" s="1" t="s">
        <v>47</v>
      </c>
      <c r="AQ107" s="1">
        <v>6</v>
      </c>
      <c r="AR107" s="1">
        <v>2076.84</v>
      </c>
      <c r="AS107" s="1">
        <v>20</v>
      </c>
      <c r="AT107" s="1">
        <v>9968.83</v>
      </c>
      <c r="AU107" s="1">
        <v>12461.04</v>
      </c>
      <c r="AV107" s="10">
        <v>1993.7660000000001</v>
      </c>
      <c r="AW107" s="11">
        <v>10467.274000000001</v>
      </c>
      <c r="AX107" s="1" t="s">
        <v>159</v>
      </c>
      <c r="AY107" s="1" t="s">
        <v>159</v>
      </c>
      <c r="AZ107" s="1" t="s">
        <v>159</v>
      </c>
    </row>
    <row r="108" spans="1:52" x14ac:dyDescent="0.3">
      <c r="A108" s="5">
        <v>10107</v>
      </c>
      <c r="B108" s="1">
        <v>1862</v>
      </c>
      <c r="C108" s="2">
        <v>45058</v>
      </c>
      <c r="D108" s="2">
        <v>45064</v>
      </c>
      <c r="E108" s="1" t="s">
        <v>46</v>
      </c>
      <c r="F108" s="1" t="s">
        <v>38</v>
      </c>
      <c r="G108" s="1" t="s">
        <v>17</v>
      </c>
      <c r="H108" s="1" t="s">
        <v>44</v>
      </c>
      <c r="I108" s="1" t="s">
        <v>52</v>
      </c>
      <c r="J108" s="1" t="s">
        <v>60</v>
      </c>
      <c r="K108" s="1" t="s">
        <v>45</v>
      </c>
      <c r="L108" s="1">
        <v>5</v>
      </c>
      <c r="M108" s="1">
        <v>1063.01</v>
      </c>
      <c r="N108" s="1">
        <v>15</v>
      </c>
      <c r="O108" s="1">
        <v>4517.79</v>
      </c>
      <c r="P108" s="1">
        <f t="shared" si="6"/>
        <v>5315.05</v>
      </c>
      <c r="Q108" s="10">
        <f t="shared" si="7"/>
        <v>677.66849999999999</v>
      </c>
      <c r="R108" s="11">
        <f t="shared" si="8"/>
        <v>4637.3815000000004</v>
      </c>
      <c r="S108" s="1" t="str">
        <f t="shared" si="9"/>
        <v>High</v>
      </c>
      <c r="T108" s="1" t="str" cm="1">
        <f t="array" ref="T108">_xlfn.IFS(L108&gt;5,"High",L108=5,"mediam",L108&lt;5,"low")</f>
        <v>mediam</v>
      </c>
      <c r="U108" s="1" t="b">
        <f t="shared" si="10"/>
        <v>0</v>
      </c>
      <c r="AF108" s="5">
        <v>10111</v>
      </c>
      <c r="AG108" s="1">
        <v>1461</v>
      </c>
      <c r="AH108" s="2">
        <v>44950</v>
      </c>
      <c r="AI108" s="2">
        <v>44959</v>
      </c>
      <c r="AJ108" s="1" t="s">
        <v>15</v>
      </c>
      <c r="AK108" s="1" t="s">
        <v>54</v>
      </c>
      <c r="AL108" s="1" t="s">
        <v>30</v>
      </c>
      <c r="AM108" s="1" t="s">
        <v>35</v>
      </c>
      <c r="AN108" s="1" t="s">
        <v>49</v>
      </c>
      <c r="AO108" s="1" t="s">
        <v>68</v>
      </c>
      <c r="AP108" s="1" t="s">
        <v>33</v>
      </c>
      <c r="AQ108" s="1">
        <v>1</v>
      </c>
      <c r="AR108" s="1">
        <v>1820.02</v>
      </c>
      <c r="AS108" s="1">
        <v>10</v>
      </c>
      <c r="AT108" s="1">
        <v>1638.02</v>
      </c>
      <c r="AU108" s="1">
        <v>1820.02</v>
      </c>
      <c r="AV108" s="10">
        <v>163.80200000000002</v>
      </c>
      <c r="AW108" s="11">
        <v>1656.2179999999998</v>
      </c>
      <c r="AX108" s="1" t="s">
        <v>161</v>
      </c>
      <c r="AY108" s="1" t="s">
        <v>162</v>
      </c>
      <c r="AZ108" s="1" t="b">
        <v>0</v>
      </c>
    </row>
    <row r="109" spans="1:52" x14ac:dyDescent="0.3">
      <c r="A109" s="5">
        <v>10108</v>
      </c>
      <c r="B109" s="1">
        <v>1815</v>
      </c>
      <c r="C109" s="2">
        <v>45037</v>
      </c>
      <c r="D109" s="2">
        <v>45045</v>
      </c>
      <c r="E109" s="1" t="s">
        <v>15</v>
      </c>
      <c r="F109" s="1" t="s">
        <v>29</v>
      </c>
      <c r="G109" s="1" t="s">
        <v>24</v>
      </c>
      <c r="H109" s="1" t="s">
        <v>18</v>
      </c>
      <c r="I109" s="1" t="s">
        <v>26</v>
      </c>
      <c r="J109" s="1" t="s">
        <v>36</v>
      </c>
      <c r="K109" s="1" t="s">
        <v>21</v>
      </c>
      <c r="L109" s="1">
        <v>2</v>
      </c>
      <c r="M109" s="1">
        <v>564.30999999999995</v>
      </c>
      <c r="N109" s="1">
        <v>15</v>
      </c>
      <c r="O109" s="1">
        <v>959.33</v>
      </c>
      <c r="P109" s="1">
        <f t="shared" si="6"/>
        <v>1128.6199999999999</v>
      </c>
      <c r="Q109" s="10">
        <f t="shared" si="7"/>
        <v>143.89949999999999</v>
      </c>
      <c r="R109" s="11">
        <f t="shared" si="8"/>
        <v>984.7204999999999</v>
      </c>
      <c r="S109" s="1" t="str">
        <f t="shared" si="9"/>
        <v>Low</v>
      </c>
      <c r="T109" s="1" t="str" cm="1">
        <f t="array" ref="T109">_xlfn.IFS(L109&gt;5,"High",L109=5,"mediam",L109&lt;5,"low")</f>
        <v>low</v>
      </c>
      <c r="U109" s="1" t="b">
        <f t="shared" si="10"/>
        <v>0</v>
      </c>
      <c r="AF109" s="5">
        <v>10119</v>
      </c>
      <c r="AG109" s="1">
        <v>1337</v>
      </c>
      <c r="AH109" s="2">
        <v>44964</v>
      </c>
      <c r="AI109" s="2">
        <v>44970</v>
      </c>
      <c r="AJ109" s="1" t="s">
        <v>16</v>
      </c>
      <c r="AK109" s="1" t="s">
        <v>38</v>
      </c>
      <c r="AL109" s="1" t="s">
        <v>17</v>
      </c>
      <c r="AM109" s="1" t="s">
        <v>35</v>
      </c>
      <c r="AN109" s="1" t="s">
        <v>31</v>
      </c>
      <c r="AO109" s="1" t="s">
        <v>32</v>
      </c>
      <c r="AP109" s="1" t="s">
        <v>33</v>
      </c>
      <c r="AQ109" s="1">
        <v>8</v>
      </c>
      <c r="AR109" s="1">
        <v>3339.68</v>
      </c>
      <c r="AS109" s="1">
        <v>0</v>
      </c>
      <c r="AT109" s="1">
        <v>26717.439999999999</v>
      </c>
      <c r="AU109" s="1">
        <v>26717.439999999999</v>
      </c>
      <c r="AV109" s="10">
        <v>0</v>
      </c>
      <c r="AW109" s="11">
        <v>26717.439999999999</v>
      </c>
      <c r="AX109" s="1" t="s">
        <v>159</v>
      </c>
      <c r="AY109" s="1" t="s">
        <v>159</v>
      </c>
      <c r="AZ109" s="1" t="s">
        <v>159</v>
      </c>
    </row>
    <row r="110" spans="1:52" x14ac:dyDescent="0.3">
      <c r="A110" s="5">
        <v>10109</v>
      </c>
      <c r="B110" s="1">
        <v>1270</v>
      </c>
      <c r="C110" s="2">
        <v>45058</v>
      </c>
      <c r="D110" s="2">
        <v>45061</v>
      </c>
      <c r="E110" s="1" t="s">
        <v>40</v>
      </c>
      <c r="F110" s="1" t="s">
        <v>38</v>
      </c>
      <c r="G110" s="1" t="s">
        <v>17</v>
      </c>
      <c r="H110" s="1" t="s">
        <v>25</v>
      </c>
      <c r="I110" s="1" t="s">
        <v>57</v>
      </c>
      <c r="J110" s="1" t="s">
        <v>59</v>
      </c>
      <c r="K110" s="1" t="s">
        <v>21</v>
      </c>
      <c r="L110" s="1">
        <v>4</v>
      </c>
      <c r="M110" s="1">
        <v>3107.29</v>
      </c>
      <c r="N110" s="1">
        <v>10</v>
      </c>
      <c r="O110" s="1">
        <v>11186.24</v>
      </c>
      <c r="P110" s="1">
        <f t="shared" si="6"/>
        <v>12429.16</v>
      </c>
      <c r="Q110" s="10">
        <f t="shared" si="7"/>
        <v>1118.624</v>
      </c>
      <c r="R110" s="11">
        <f t="shared" si="8"/>
        <v>11310.536</v>
      </c>
      <c r="S110" s="1" t="str">
        <f t="shared" si="9"/>
        <v>Low</v>
      </c>
      <c r="T110" s="1" t="str" cm="1">
        <f t="array" ref="T110">_xlfn.IFS(L110&gt;5,"High",L110=5,"mediam",L110&lt;5,"low")</f>
        <v>low</v>
      </c>
      <c r="U110" s="1" t="b">
        <f t="shared" si="10"/>
        <v>0</v>
      </c>
      <c r="AF110" s="5">
        <v>10121</v>
      </c>
      <c r="AG110" s="1">
        <v>1052</v>
      </c>
      <c r="AH110" s="2">
        <v>45114</v>
      </c>
      <c r="AI110" s="2">
        <v>45115</v>
      </c>
      <c r="AJ110" s="1" t="s">
        <v>16</v>
      </c>
      <c r="AK110" s="1" t="s">
        <v>16</v>
      </c>
      <c r="AL110" s="1" t="s">
        <v>24</v>
      </c>
      <c r="AM110" s="1" t="s">
        <v>35</v>
      </c>
      <c r="AN110" s="1" t="s">
        <v>57</v>
      </c>
      <c r="AO110" s="1" t="s">
        <v>62</v>
      </c>
      <c r="AP110" s="1" t="s">
        <v>33</v>
      </c>
      <c r="AQ110" s="1">
        <v>5</v>
      </c>
      <c r="AR110" s="1">
        <v>2832.28</v>
      </c>
      <c r="AS110" s="1">
        <v>0</v>
      </c>
      <c r="AT110" s="1">
        <v>14161.4</v>
      </c>
      <c r="AU110" s="1">
        <v>14161.400000000001</v>
      </c>
      <c r="AV110" s="10">
        <v>0</v>
      </c>
      <c r="AW110" s="11">
        <v>14161.400000000001</v>
      </c>
      <c r="AX110" s="1" t="s">
        <v>159</v>
      </c>
      <c r="AY110" s="1" t="s">
        <v>160</v>
      </c>
      <c r="AZ110" s="1" t="b">
        <v>0</v>
      </c>
    </row>
    <row r="111" spans="1:52" x14ac:dyDescent="0.3">
      <c r="A111" s="5">
        <v>10110</v>
      </c>
      <c r="B111" s="1">
        <v>1455</v>
      </c>
      <c r="C111" s="2">
        <v>44946</v>
      </c>
      <c r="D111" s="2">
        <v>44947</v>
      </c>
      <c r="E111" s="1" t="s">
        <v>46</v>
      </c>
      <c r="F111" s="1" t="s">
        <v>16</v>
      </c>
      <c r="G111" s="1" t="s">
        <v>24</v>
      </c>
      <c r="H111" s="1" t="s">
        <v>35</v>
      </c>
      <c r="I111" s="1" t="s">
        <v>52</v>
      </c>
      <c r="J111" s="1" t="s">
        <v>56</v>
      </c>
      <c r="K111" s="1" t="s">
        <v>47</v>
      </c>
      <c r="L111" s="1">
        <v>6</v>
      </c>
      <c r="M111" s="1">
        <v>2076.84</v>
      </c>
      <c r="N111" s="1">
        <v>20</v>
      </c>
      <c r="O111" s="1">
        <v>9968.83</v>
      </c>
      <c r="P111" s="1">
        <f t="shared" si="6"/>
        <v>12461.04</v>
      </c>
      <c r="Q111" s="10">
        <f t="shared" si="7"/>
        <v>1993.7660000000001</v>
      </c>
      <c r="R111" s="11">
        <f t="shared" si="8"/>
        <v>10467.274000000001</v>
      </c>
      <c r="S111" s="1" t="str">
        <f t="shared" si="9"/>
        <v>High</v>
      </c>
      <c r="T111" s="1" t="str" cm="1">
        <f t="array" ref="T111">_xlfn.IFS(L111&gt;5,"High",L111=5,"mediam",L111&lt;5,"low")</f>
        <v>High</v>
      </c>
      <c r="U111" s="1" t="str">
        <f t="shared" si="10"/>
        <v>High</v>
      </c>
      <c r="AF111" s="5">
        <v>10128</v>
      </c>
      <c r="AG111" s="1">
        <v>1492</v>
      </c>
      <c r="AH111" s="2">
        <v>45147</v>
      </c>
      <c r="AI111" s="2">
        <v>45148</v>
      </c>
      <c r="AJ111" s="1" t="s">
        <v>46</v>
      </c>
      <c r="AK111" s="1" t="s">
        <v>38</v>
      </c>
      <c r="AL111" s="1" t="s">
        <v>30</v>
      </c>
      <c r="AM111" s="1" t="s">
        <v>35</v>
      </c>
      <c r="AN111" s="1" t="s">
        <v>26</v>
      </c>
      <c r="AO111" s="1" t="s">
        <v>61</v>
      </c>
      <c r="AP111" s="1" t="s">
        <v>47</v>
      </c>
      <c r="AQ111" s="1">
        <v>6</v>
      </c>
      <c r="AR111" s="1">
        <v>659.76</v>
      </c>
      <c r="AS111" s="1">
        <v>0</v>
      </c>
      <c r="AT111" s="1">
        <v>3958.56</v>
      </c>
      <c r="AU111" s="1">
        <v>3958.56</v>
      </c>
      <c r="AV111" s="10">
        <v>0</v>
      </c>
      <c r="AW111" s="11">
        <v>3958.56</v>
      </c>
      <c r="AX111" s="1" t="s">
        <v>159</v>
      </c>
      <c r="AY111" s="1" t="s">
        <v>159</v>
      </c>
      <c r="AZ111" s="1" t="s">
        <v>159</v>
      </c>
    </row>
    <row r="112" spans="1:52" x14ac:dyDescent="0.3">
      <c r="A112" s="5">
        <v>10111</v>
      </c>
      <c r="B112" s="1">
        <v>1461</v>
      </c>
      <c r="C112" s="2">
        <v>44950</v>
      </c>
      <c r="D112" s="2">
        <v>44959</v>
      </c>
      <c r="E112" s="1" t="s">
        <v>15</v>
      </c>
      <c r="F112" s="1" t="s">
        <v>54</v>
      </c>
      <c r="G112" s="1" t="s">
        <v>30</v>
      </c>
      <c r="H112" s="1" t="s">
        <v>35</v>
      </c>
      <c r="I112" s="1" t="s">
        <v>49</v>
      </c>
      <c r="J112" s="1" t="s">
        <v>68</v>
      </c>
      <c r="K112" s="1" t="s">
        <v>33</v>
      </c>
      <c r="L112" s="1">
        <v>1</v>
      </c>
      <c r="M112" s="1">
        <v>1820.02</v>
      </c>
      <c r="N112" s="1">
        <v>10</v>
      </c>
      <c r="O112" s="1">
        <v>1638.02</v>
      </c>
      <c r="P112" s="1">
        <f t="shared" si="6"/>
        <v>1820.02</v>
      </c>
      <c r="Q112" s="10">
        <f t="shared" si="7"/>
        <v>163.80200000000002</v>
      </c>
      <c r="R112" s="11">
        <f t="shared" si="8"/>
        <v>1656.2179999999998</v>
      </c>
      <c r="S112" s="1" t="str">
        <f t="shared" si="9"/>
        <v>Low</v>
      </c>
      <c r="T112" s="1" t="str" cm="1">
        <f t="array" ref="T112">_xlfn.IFS(L112&gt;5,"High",L112=5,"mediam",L112&lt;5,"low")</f>
        <v>low</v>
      </c>
      <c r="U112" s="1" t="b">
        <f t="shared" si="10"/>
        <v>0</v>
      </c>
      <c r="AF112" s="5">
        <v>10132</v>
      </c>
      <c r="AG112" s="1">
        <v>1812</v>
      </c>
      <c r="AH112" s="2">
        <v>45155</v>
      </c>
      <c r="AI112" s="2">
        <v>45163</v>
      </c>
      <c r="AJ112" s="1" t="s">
        <v>34</v>
      </c>
      <c r="AK112" s="1" t="s">
        <v>29</v>
      </c>
      <c r="AL112" s="1" t="s">
        <v>24</v>
      </c>
      <c r="AM112" s="1" t="s">
        <v>35</v>
      </c>
      <c r="AN112" s="1" t="s">
        <v>57</v>
      </c>
      <c r="AO112" s="1" t="s">
        <v>58</v>
      </c>
      <c r="AP112" s="1" t="s">
        <v>47</v>
      </c>
      <c r="AQ112" s="1">
        <v>4</v>
      </c>
      <c r="AR112" s="1">
        <v>3153.73</v>
      </c>
      <c r="AS112" s="1">
        <v>0</v>
      </c>
      <c r="AT112" s="1">
        <v>12614.92</v>
      </c>
      <c r="AU112" s="1">
        <v>12614.92</v>
      </c>
      <c r="AV112" s="10">
        <v>0</v>
      </c>
      <c r="AW112" s="11">
        <v>12614.92</v>
      </c>
      <c r="AX112" s="1" t="s">
        <v>161</v>
      </c>
      <c r="AY112" s="1" t="s">
        <v>162</v>
      </c>
      <c r="AZ112" s="1" t="b">
        <v>0</v>
      </c>
    </row>
    <row r="113" spans="1:52" x14ac:dyDescent="0.3">
      <c r="A113" s="5">
        <v>10112</v>
      </c>
      <c r="B113" s="1">
        <v>1726</v>
      </c>
      <c r="C113" s="2">
        <v>45153</v>
      </c>
      <c r="D113" s="2">
        <v>45154</v>
      </c>
      <c r="E113" s="1" t="s">
        <v>37</v>
      </c>
      <c r="F113" s="1" t="s">
        <v>41</v>
      </c>
      <c r="G113" s="1" t="s">
        <v>30</v>
      </c>
      <c r="H113" s="1" t="s">
        <v>18</v>
      </c>
      <c r="I113" s="1" t="s">
        <v>26</v>
      </c>
      <c r="J113" s="1" t="s">
        <v>36</v>
      </c>
      <c r="K113" s="1" t="s">
        <v>21</v>
      </c>
      <c r="L113" s="1">
        <v>4</v>
      </c>
      <c r="M113" s="1">
        <v>1110.5899999999999</v>
      </c>
      <c r="N113" s="1">
        <v>20</v>
      </c>
      <c r="O113" s="1">
        <v>3553.89</v>
      </c>
      <c r="P113" s="1">
        <f t="shared" si="6"/>
        <v>4442.3599999999997</v>
      </c>
      <c r="Q113" s="10">
        <f t="shared" si="7"/>
        <v>710.77800000000002</v>
      </c>
      <c r="R113" s="11">
        <f t="shared" si="8"/>
        <v>3731.5819999999994</v>
      </c>
      <c r="S113" s="1" t="str">
        <f t="shared" si="9"/>
        <v>Low</v>
      </c>
      <c r="T113" s="1" t="str" cm="1">
        <f t="array" ref="T113">_xlfn.IFS(L113&gt;5,"High",L113=5,"mediam",L113&lt;5,"low")</f>
        <v>low</v>
      </c>
      <c r="U113" s="1" t="b">
        <f t="shared" si="10"/>
        <v>0</v>
      </c>
      <c r="AF113" s="5">
        <v>10134</v>
      </c>
      <c r="AG113" s="1">
        <v>1856</v>
      </c>
      <c r="AH113" s="2">
        <v>45112</v>
      </c>
      <c r="AI113" s="2">
        <v>45113</v>
      </c>
      <c r="AJ113" s="1" t="s">
        <v>46</v>
      </c>
      <c r="AK113" s="1" t="s">
        <v>41</v>
      </c>
      <c r="AL113" s="1" t="s">
        <v>17</v>
      </c>
      <c r="AM113" s="1" t="s">
        <v>35</v>
      </c>
      <c r="AN113" s="1" t="s">
        <v>31</v>
      </c>
      <c r="AO113" s="1" t="s">
        <v>65</v>
      </c>
      <c r="AP113" s="1" t="s">
        <v>33</v>
      </c>
      <c r="AQ113" s="1">
        <v>8</v>
      </c>
      <c r="AR113" s="1">
        <v>885.86</v>
      </c>
      <c r="AS113" s="1">
        <v>15</v>
      </c>
      <c r="AT113" s="1">
        <v>6023.85</v>
      </c>
      <c r="AU113" s="1">
        <v>7086.88</v>
      </c>
      <c r="AV113" s="10">
        <v>903.57749999999999</v>
      </c>
      <c r="AW113" s="11">
        <v>6183.3024999999998</v>
      </c>
      <c r="AX113" s="1" t="s">
        <v>159</v>
      </c>
      <c r="AY113" s="1" t="s">
        <v>159</v>
      </c>
      <c r="AZ113" s="1" t="s">
        <v>159</v>
      </c>
    </row>
    <row r="114" spans="1:52" x14ac:dyDescent="0.3">
      <c r="A114" s="5">
        <v>10113</v>
      </c>
      <c r="B114" s="1">
        <v>1251</v>
      </c>
      <c r="C114" s="2">
        <v>45080</v>
      </c>
      <c r="D114" s="2">
        <v>45083</v>
      </c>
      <c r="E114" s="1" t="s">
        <v>16</v>
      </c>
      <c r="F114" s="1" t="s">
        <v>23</v>
      </c>
      <c r="G114" s="1" t="s">
        <v>17</v>
      </c>
      <c r="H114" s="1" t="s">
        <v>18</v>
      </c>
      <c r="I114" s="1" t="s">
        <v>26</v>
      </c>
      <c r="J114" s="1" t="s">
        <v>61</v>
      </c>
      <c r="K114" s="1" t="s">
        <v>21</v>
      </c>
      <c r="L114" s="1">
        <v>6</v>
      </c>
      <c r="M114" s="1">
        <v>2257.77</v>
      </c>
      <c r="N114" s="1">
        <v>20</v>
      </c>
      <c r="O114" s="1">
        <v>10837.3</v>
      </c>
      <c r="P114" s="1">
        <f t="shared" si="6"/>
        <v>13546.619999999999</v>
      </c>
      <c r="Q114" s="10">
        <f t="shared" si="7"/>
        <v>2167.46</v>
      </c>
      <c r="R114" s="11">
        <f t="shared" si="8"/>
        <v>11379.16</v>
      </c>
      <c r="S114" s="1" t="str">
        <f t="shared" si="9"/>
        <v>High</v>
      </c>
      <c r="T114" s="1" t="str" cm="1">
        <f t="array" ref="T114">_xlfn.IFS(L114&gt;5,"High",L114=5,"mediam",L114&lt;5,"low")</f>
        <v>High</v>
      </c>
      <c r="U114" s="1" t="str">
        <f t="shared" si="10"/>
        <v>High</v>
      </c>
      <c r="AF114" s="5">
        <v>10138</v>
      </c>
      <c r="AG114" s="1">
        <v>1128</v>
      </c>
      <c r="AH114" s="2">
        <v>45088</v>
      </c>
      <c r="AI114" s="2">
        <v>45093</v>
      </c>
      <c r="AJ114" s="1" t="s">
        <v>22</v>
      </c>
      <c r="AK114" s="1" t="s">
        <v>29</v>
      </c>
      <c r="AL114" s="1" t="s">
        <v>17</v>
      </c>
      <c r="AM114" s="1" t="s">
        <v>35</v>
      </c>
      <c r="AN114" s="1" t="s">
        <v>52</v>
      </c>
      <c r="AO114" s="1" t="s">
        <v>53</v>
      </c>
      <c r="AP114" s="1" t="s">
        <v>21</v>
      </c>
      <c r="AQ114" s="1">
        <v>1</v>
      </c>
      <c r="AR114" s="1">
        <v>912.67</v>
      </c>
      <c r="AS114" s="1">
        <v>0</v>
      </c>
      <c r="AT114" s="1">
        <v>912.67</v>
      </c>
      <c r="AU114" s="1">
        <v>912.67</v>
      </c>
      <c r="AV114" s="10">
        <v>0</v>
      </c>
      <c r="AW114" s="11">
        <v>912.67</v>
      </c>
      <c r="AX114" s="1" t="s">
        <v>161</v>
      </c>
      <c r="AY114" s="1" t="s">
        <v>162</v>
      </c>
      <c r="AZ114" s="1" t="b">
        <v>0</v>
      </c>
    </row>
    <row r="115" spans="1:52" x14ac:dyDescent="0.3">
      <c r="A115" s="5">
        <v>10114</v>
      </c>
      <c r="B115" s="1">
        <v>1701</v>
      </c>
      <c r="C115" s="2">
        <v>45219</v>
      </c>
      <c r="D115" s="2">
        <v>45227</v>
      </c>
      <c r="E115" s="1" t="s">
        <v>40</v>
      </c>
      <c r="F115" s="1" t="s">
        <v>23</v>
      </c>
      <c r="G115" s="1" t="s">
        <v>30</v>
      </c>
      <c r="H115" s="1" t="s">
        <v>25</v>
      </c>
      <c r="I115" s="1" t="s">
        <v>26</v>
      </c>
      <c r="J115" s="1" t="s">
        <v>69</v>
      </c>
      <c r="K115" s="1" t="s">
        <v>45</v>
      </c>
      <c r="L115" s="1">
        <v>9</v>
      </c>
      <c r="M115" s="1">
        <v>1206.3800000000001</v>
      </c>
      <c r="N115" s="1">
        <v>10</v>
      </c>
      <c r="O115" s="1">
        <v>9771.68</v>
      </c>
      <c r="P115" s="1">
        <f t="shared" si="6"/>
        <v>10857.420000000002</v>
      </c>
      <c r="Q115" s="10">
        <f t="shared" si="7"/>
        <v>977.16800000000012</v>
      </c>
      <c r="R115" s="11">
        <f t="shared" si="8"/>
        <v>9880.2520000000022</v>
      </c>
      <c r="S115" s="1" t="str">
        <f t="shared" si="9"/>
        <v>High</v>
      </c>
      <c r="T115" s="1" t="str" cm="1">
        <f t="array" ref="T115">_xlfn.IFS(L115&gt;5,"High",L115=5,"mediam",L115&lt;5,"low")</f>
        <v>High</v>
      </c>
      <c r="U115" s="1" t="str">
        <f t="shared" si="10"/>
        <v>High</v>
      </c>
      <c r="AF115" s="5">
        <v>10145</v>
      </c>
      <c r="AG115" s="1">
        <v>1391</v>
      </c>
      <c r="AH115" s="2">
        <v>45245</v>
      </c>
      <c r="AI115" s="2">
        <v>45246</v>
      </c>
      <c r="AJ115" s="1" t="s">
        <v>37</v>
      </c>
      <c r="AK115" s="1" t="s">
        <v>38</v>
      </c>
      <c r="AL115" s="1" t="s">
        <v>24</v>
      </c>
      <c r="AM115" s="1" t="s">
        <v>35</v>
      </c>
      <c r="AN115" s="1" t="s">
        <v>57</v>
      </c>
      <c r="AO115" s="1" t="s">
        <v>59</v>
      </c>
      <c r="AP115" s="1" t="s">
        <v>47</v>
      </c>
      <c r="AQ115" s="1">
        <v>6</v>
      </c>
      <c r="AR115" s="1">
        <v>652.42999999999995</v>
      </c>
      <c r="AS115" s="1">
        <v>10</v>
      </c>
      <c r="AT115" s="1">
        <v>3523.12</v>
      </c>
      <c r="AU115" s="1">
        <v>3914.58</v>
      </c>
      <c r="AV115" s="10">
        <v>352.31200000000001</v>
      </c>
      <c r="AW115" s="11">
        <v>3562.268</v>
      </c>
      <c r="AX115" s="1" t="s">
        <v>159</v>
      </c>
      <c r="AY115" s="1" t="s">
        <v>159</v>
      </c>
      <c r="AZ115" s="1" t="s">
        <v>159</v>
      </c>
    </row>
    <row r="116" spans="1:52" x14ac:dyDescent="0.3">
      <c r="A116" s="5">
        <v>10115</v>
      </c>
      <c r="B116" s="1">
        <v>1295</v>
      </c>
      <c r="C116" s="2">
        <v>45156</v>
      </c>
      <c r="D116" s="2">
        <v>45159</v>
      </c>
      <c r="E116" s="1" t="s">
        <v>22</v>
      </c>
      <c r="F116" s="1" t="s">
        <v>54</v>
      </c>
      <c r="G116" s="1" t="s">
        <v>24</v>
      </c>
      <c r="H116" s="1" t="s">
        <v>42</v>
      </c>
      <c r="I116" s="1" t="s">
        <v>57</v>
      </c>
      <c r="J116" s="1" t="s">
        <v>62</v>
      </c>
      <c r="K116" s="1" t="s">
        <v>28</v>
      </c>
      <c r="L116" s="1">
        <v>2</v>
      </c>
      <c r="M116" s="1">
        <v>3621.09</v>
      </c>
      <c r="N116" s="1">
        <v>0</v>
      </c>
      <c r="O116" s="1">
        <v>7242.18</v>
      </c>
      <c r="P116" s="1">
        <f t="shared" si="6"/>
        <v>7242.18</v>
      </c>
      <c r="Q116" s="10">
        <f t="shared" si="7"/>
        <v>0</v>
      </c>
      <c r="R116" s="11">
        <f t="shared" si="8"/>
        <v>7242.18</v>
      </c>
      <c r="S116" s="1" t="str">
        <f t="shared" si="9"/>
        <v>Low</v>
      </c>
      <c r="T116" s="1" t="str" cm="1">
        <f t="array" ref="T116">_xlfn.IFS(L116&gt;5,"High",L116=5,"mediam",L116&lt;5,"low")</f>
        <v>low</v>
      </c>
      <c r="U116" s="1" t="b">
        <f t="shared" si="10"/>
        <v>0</v>
      </c>
      <c r="AF116" s="5">
        <v>10161</v>
      </c>
      <c r="AG116" s="1">
        <v>1047</v>
      </c>
      <c r="AH116" s="2">
        <v>45109</v>
      </c>
      <c r="AI116" s="2">
        <v>45111</v>
      </c>
      <c r="AJ116" s="1" t="s">
        <v>46</v>
      </c>
      <c r="AK116" s="1" t="s">
        <v>41</v>
      </c>
      <c r="AL116" s="1" t="s">
        <v>17</v>
      </c>
      <c r="AM116" s="1" t="s">
        <v>35</v>
      </c>
      <c r="AN116" s="1" t="s">
        <v>19</v>
      </c>
      <c r="AO116" s="1" t="s">
        <v>20</v>
      </c>
      <c r="AP116" s="1" t="s">
        <v>33</v>
      </c>
      <c r="AQ116" s="1">
        <v>8</v>
      </c>
      <c r="AR116" s="1">
        <v>1168.3900000000001</v>
      </c>
      <c r="AS116" s="1">
        <v>10</v>
      </c>
      <c r="AT116" s="1">
        <v>8412.41</v>
      </c>
      <c r="AU116" s="1">
        <v>9347.1200000000008</v>
      </c>
      <c r="AV116" s="10">
        <v>841.24099999999999</v>
      </c>
      <c r="AW116" s="11">
        <v>8505.8790000000008</v>
      </c>
      <c r="AX116" s="1" t="s">
        <v>159</v>
      </c>
      <c r="AY116" s="1" t="s">
        <v>159</v>
      </c>
      <c r="AZ116" s="1" t="s">
        <v>159</v>
      </c>
    </row>
    <row r="117" spans="1:52" x14ac:dyDescent="0.3">
      <c r="A117" s="5">
        <v>10116</v>
      </c>
      <c r="B117" s="1">
        <v>1724</v>
      </c>
      <c r="C117" s="2">
        <v>45236</v>
      </c>
      <c r="D117" s="2">
        <v>45240</v>
      </c>
      <c r="E117" s="1" t="s">
        <v>16</v>
      </c>
      <c r="F117" s="1" t="s">
        <v>41</v>
      </c>
      <c r="G117" s="1" t="s">
        <v>30</v>
      </c>
      <c r="H117" s="1" t="s">
        <v>18</v>
      </c>
      <c r="I117" s="1" t="s">
        <v>52</v>
      </c>
      <c r="J117" s="1" t="s">
        <v>60</v>
      </c>
      <c r="K117" s="1" t="s">
        <v>47</v>
      </c>
      <c r="L117" s="1">
        <v>7</v>
      </c>
      <c r="M117" s="1">
        <v>978.54</v>
      </c>
      <c r="N117" s="1">
        <v>15</v>
      </c>
      <c r="O117" s="1">
        <v>5822.31</v>
      </c>
      <c r="P117" s="1">
        <f t="shared" si="6"/>
        <v>6849.78</v>
      </c>
      <c r="Q117" s="10">
        <f t="shared" si="7"/>
        <v>873.34649999999999</v>
      </c>
      <c r="R117" s="11">
        <f t="shared" si="8"/>
        <v>5976.4335000000001</v>
      </c>
      <c r="S117" s="1" t="str">
        <f t="shared" si="9"/>
        <v>High</v>
      </c>
      <c r="T117" s="1" t="str" cm="1">
        <f t="array" ref="T117">_xlfn.IFS(L117&gt;5,"High",L117=5,"mediam",L117&lt;5,"low")</f>
        <v>High</v>
      </c>
      <c r="U117" s="1" t="str">
        <f t="shared" si="10"/>
        <v>High</v>
      </c>
      <c r="AF117" s="5">
        <v>10164</v>
      </c>
      <c r="AG117" s="1">
        <v>1573</v>
      </c>
      <c r="AH117" s="2">
        <v>45042</v>
      </c>
      <c r="AI117" s="2">
        <v>45043</v>
      </c>
      <c r="AJ117" s="1" t="s">
        <v>40</v>
      </c>
      <c r="AK117" s="1" t="s">
        <v>16</v>
      </c>
      <c r="AL117" s="1" t="s">
        <v>24</v>
      </c>
      <c r="AM117" s="1" t="s">
        <v>35</v>
      </c>
      <c r="AN117" s="1" t="s">
        <v>52</v>
      </c>
      <c r="AO117" s="1" t="s">
        <v>64</v>
      </c>
      <c r="AP117" s="1" t="s">
        <v>45</v>
      </c>
      <c r="AQ117" s="1">
        <v>4</v>
      </c>
      <c r="AR117" s="1">
        <v>288.33</v>
      </c>
      <c r="AS117" s="1">
        <v>20</v>
      </c>
      <c r="AT117" s="1">
        <v>922.66</v>
      </c>
      <c r="AU117" s="1">
        <v>1153.32</v>
      </c>
      <c r="AV117" s="10">
        <v>184.53200000000001</v>
      </c>
      <c r="AW117" s="11">
        <v>968.7879999999999</v>
      </c>
      <c r="AX117" s="1" t="s">
        <v>161</v>
      </c>
      <c r="AY117" s="1" t="s">
        <v>162</v>
      </c>
      <c r="AZ117" s="1" t="b">
        <v>0</v>
      </c>
    </row>
    <row r="118" spans="1:52" x14ac:dyDescent="0.3">
      <c r="A118" s="5">
        <v>10117</v>
      </c>
      <c r="B118" s="1">
        <v>1719</v>
      </c>
      <c r="C118" s="2">
        <v>45285</v>
      </c>
      <c r="D118" s="2">
        <v>45293</v>
      </c>
      <c r="E118" s="1" t="s">
        <v>40</v>
      </c>
      <c r="F118" s="1" t="s">
        <v>54</v>
      </c>
      <c r="G118" s="1" t="s">
        <v>17</v>
      </c>
      <c r="H118" s="1" t="s">
        <v>42</v>
      </c>
      <c r="I118" s="1" t="s">
        <v>57</v>
      </c>
      <c r="J118" s="1" t="s">
        <v>58</v>
      </c>
      <c r="K118" s="1" t="s">
        <v>47</v>
      </c>
      <c r="L118" s="1">
        <v>6</v>
      </c>
      <c r="M118" s="1">
        <v>3554.77</v>
      </c>
      <c r="N118" s="1">
        <v>20</v>
      </c>
      <c r="O118" s="1">
        <v>17062.900000000001</v>
      </c>
      <c r="P118" s="1">
        <f t="shared" si="6"/>
        <v>21328.62</v>
      </c>
      <c r="Q118" s="10">
        <f t="shared" si="7"/>
        <v>3412.5800000000004</v>
      </c>
      <c r="R118" s="11">
        <f t="shared" si="8"/>
        <v>17916.039999999997</v>
      </c>
      <c r="S118" s="1" t="str">
        <f t="shared" si="9"/>
        <v>High</v>
      </c>
      <c r="T118" s="1" t="str" cm="1">
        <f t="array" ref="T118">_xlfn.IFS(L118&gt;5,"High",L118=5,"mediam",L118&lt;5,"low")</f>
        <v>High</v>
      </c>
      <c r="U118" s="1" t="str">
        <f t="shared" si="10"/>
        <v>High</v>
      </c>
      <c r="AF118" s="5">
        <v>10165</v>
      </c>
      <c r="AG118" s="1">
        <v>1727</v>
      </c>
      <c r="AH118" s="2">
        <v>45039</v>
      </c>
      <c r="AI118" s="2">
        <v>45043</v>
      </c>
      <c r="AJ118" s="1" t="s">
        <v>34</v>
      </c>
      <c r="AK118" s="1" t="s">
        <v>38</v>
      </c>
      <c r="AL118" s="1" t="s">
        <v>24</v>
      </c>
      <c r="AM118" s="1" t="s">
        <v>35</v>
      </c>
      <c r="AN118" s="1" t="s">
        <v>57</v>
      </c>
      <c r="AO118" s="1" t="s">
        <v>62</v>
      </c>
      <c r="AP118" s="1" t="s">
        <v>28</v>
      </c>
      <c r="AQ118" s="1">
        <v>4</v>
      </c>
      <c r="AR118" s="1">
        <v>3718.63</v>
      </c>
      <c r="AS118" s="1">
        <v>20</v>
      </c>
      <c r="AT118" s="1">
        <v>11899.62</v>
      </c>
      <c r="AU118" s="1">
        <v>14874.52</v>
      </c>
      <c r="AV118" s="10">
        <v>2379.9240000000004</v>
      </c>
      <c r="AW118" s="11">
        <v>12494.596</v>
      </c>
      <c r="AX118" s="1" t="s">
        <v>161</v>
      </c>
      <c r="AY118" s="1" t="s">
        <v>162</v>
      </c>
      <c r="AZ118" s="1" t="b">
        <v>0</v>
      </c>
    </row>
    <row r="119" spans="1:52" x14ac:dyDescent="0.3">
      <c r="A119" s="5">
        <v>10118</v>
      </c>
      <c r="B119" s="1">
        <v>1748</v>
      </c>
      <c r="C119" s="2">
        <v>45128</v>
      </c>
      <c r="D119" s="2">
        <v>45129</v>
      </c>
      <c r="E119" s="1" t="s">
        <v>22</v>
      </c>
      <c r="F119" s="1" t="s">
        <v>16</v>
      </c>
      <c r="G119" s="1" t="s">
        <v>17</v>
      </c>
      <c r="H119" s="1" t="s">
        <v>44</v>
      </c>
      <c r="I119" s="1" t="s">
        <v>31</v>
      </c>
      <c r="J119" s="1" t="s">
        <v>48</v>
      </c>
      <c r="K119" s="1" t="s">
        <v>33</v>
      </c>
      <c r="L119" s="1">
        <v>2</v>
      </c>
      <c r="M119" s="1">
        <v>2303.71</v>
      </c>
      <c r="N119" s="1">
        <v>20</v>
      </c>
      <c r="O119" s="1">
        <v>3685.94</v>
      </c>
      <c r="P119" s="1">
        <f t="shared" si="6"/>
        <v>4607.42</v>
      </c>
      <c r="Q119" s="10">
        <f t="shared" si="7"/>
        <v>737.1880000000001</v>
      </c>
      <c r="R119" s="11">
        <f t="shared" si="8"/>
        <v>3870.232</v>
      </c>
      <c r="S119" s="1" t="str">
        <f t="shared" si="9"/>
        <v>Low</v>
      </c>
      <c r="T119" s="1" t="str" cm="1">
        <f t="array" ref="T119">_xlfn.IFS(L119&gt;5,"High",L119=5,"mediam",L119&lt;5,"low")</f>
        <v>low</v>
      </c>
      <c r="U119" s="1" t="b">
        <f t="shared" si="10"/>
        <v>0</v>
      </c>
      <c r="AF119" s="5">
        <v>10180</v>
      </c>
      <c r="AG119" s="1">
        <v>1004</v>
      </c>
      <c r="AH119" s="2">
        <v>45004</v>
      </c>
      <c r="AI119" s="2">
        <v>45006</v>
      </c>
      <c r="AJ119" s="1" t="s">
        <v>15</v>
      </c>
      <c r="AK119" s="1" t="s">
        <v>29</v>
      </c>
      <c r="AL119" s="1" t="s">
        <v>17</v>
      </c>
      <c r="AM119" s="1" t="s">
        <v>35</v>
      </c>
      <c r="AN119" s="1" t="s">
        <v>19</v>
      </c>
      <c r="AO119" s="1" t="s">
        <v>43</v>
      </c>
      <c r="AP119" s="1" t="s">
        <v>45</v>
      </c>
      <c r="AQ119" s="1">
        <v>8</v>
      </c>
      <c r="AR119" s="1">
        <v>2211.17</v>
      </c>
      <c r="AS119" s="1">
        <v>10</v>
      </c>
      <c r="AT119" s="1">
        <v>15920.42</v>
      </c>
      <c r="AU119" s="1">
        <v>17689.36</v>
      </c>
      <c r="AV119" s="10">
        <v>1592.0420000000001</v>
      </c>
      <c r="AW119" s="11">
        <v>16097.318000000001</v>
      </c>
      <c r="AX119" s="1" t="s">
        <v>159</v>
      </c>
      <c r="AY119" s="1" t="s">
        <v>159</v>
      </c>
      <c r="AZ119" s="1" t="s">
        <v>159</v>
      </c>
    </row>
    <row r="120" spans="1:52" x14ac:dyDescent="0.3">
      <c r="A120" s="5">
        <v>10119</v>
      </c>
      <c r="B120" s="1">
        <v>1337</v>
      </c>
      <c r="C120" s="2">
        <v>44964</v>
      </c>
      <c r="D120" s="2">
        <v>44970</v>
      </c>
      <c r="E120" s="1" t="s">
        <v>16</v>
      </c>
      <c r="F120" s="1" t="s">
        <v>38</v>
      </c>
      <c r="G120" s="1" t="s">
        <v>17</v>
      </c>
      <c r="H120" s="1" t="s">
        <v>35</v>
      </c>
      <c r="I120" s="1" t="s">
        <v>31</v>
      </c>
      <c r="J120" s="1" t="s">
        <v>32</v>
      </c>
      <c r="K120" s="1" t="s">
        <v>33</v>
      </c>
      <c r="L120" s="1">
        <v>8</v>
      </c>
      <c r="M120" s="1">
        <v>3339.68</v>
      </c>
      <c r="N120" s="1">
        <v>0</v>
      </c>
      <c r="O120" s="1">
        <v>26717.439999999999</v>
      </c>
      <c r="P120" s="1">
        <f t="shared" si="6"/>
        <v>26717.439999999999</v>
      </c>
      <c r="Q120" s="10">
        <f t="shared" si="7"/>
        <v>0</v>
      </c>
      <c r="R120" s="11">
        <f t="shared" si="8"/>
        <v>26717.439999999999</v>
      </c>
      <c r="S120" s="1" t="str">
        <f t="shared" si="9"/>
        <v>High</v>
      </c>
      <c r="T120" s="1" t="str" cm="1">
        <f t="array" ref="T120">_xlfn.IFS(L120&gt;5,"High",L120=5,"mediam",L120&lt;5,"low")</f>
        <v>High</v>
      </c>
      <c r="U120" s="1" t="str">
        <f t="shared" si="10"/>
        <v>High</v>
      </c>
      <c r="AF120" s="5">
        <v>10189</v>
      </c>
      <c r="AG120" s="1">
        <v>1014</v>
      </c>
      <c r="AH120" s="2">
        <v>44976</v>
      </c>
      <c r="AI120" s="2">
        <v>44981</v>
      </c>
      <c r="AJ120" s="1" t="s">
        <v>16</v>
      </c>
      <c r="AK120" s="1" t="s">
        <v>29</v>
      </c>
      <c r="AL120" s="1" t="s">
        <v>17</v>
      </c>
      <c r="AM120" s="1" t="s">
        <v>35</v>
      </c>
      <c r="AN120" s="1" t="s">
        <v>57</v>
      </c>
      <c r="AO120" s="1" t="s">
        <v>62</v>
      </c>
      <c r="AP120" s="1" t="s">
        <v>21</v>
      </c>
      <c r="AQ120" s="1">
        <v>2</v>
      </c>
      <c r="AR120" s="1">
        <v>1003.86</v>
      </c>
      <c r="AS120" s="1">
        <v>10</v>
      </c>
      <c r="AT120" s="1">
        <v>1806.95</v>
      </c>
      <c r="AU120" s="1">
        <v>2007.72</v>
      </c>
      <c r="AV120" s="10">
        <v>180.69500000000002</v>
      </c>
      <c r="AW120" s="11">
        <v>1827.0250000000001</v>
      </c>
      <c r="AX120" s="1" t="s">
        <v>161</v>
      </c>
      <c r="AY120" s="1" t="s">
        <v>162</v>
      </c>
      <c r="AZ120" s="1" t="b">
        <v>0</v>
      </c>
    </row>
    <row r="121" spans="1:52" x14ac:dyDescent="0.3">
      <c r="A121" s="5">
        <v>10120</v>
      </c>
      <c r="B121" s="1">
        <v>1878</v>
      </c>
      <c r="C121" s="2">
        <v>45186</v>
      </c>
      <c r="D121" s="2">
        <v>45187</v>
      </c>
      <c r="E121" s="1" t="s">
        <v>40</v>
      </c>
      <c r="F121" s="1" t="s">
        <v>23</v>
      </c>
      <c r="G121" s="1" t="s">
        <v>24</v>
      </c>
      <c r="H121" s="1" t="s">
        <v>42</v>
      </c>
      <c r="I121" s="1" t="s">
        <v>52</v>
      </c>
      <c r="J121" s="1" t="s">
        <v>53</v>
      </c>
      <c r="K121" s="1" t="s">
        <v>47</v>
      </c>
      <c r="L121" s="1">
        <v>7</v>
      </c>
      <c r="M121" s="1">
        <v>2894.46</v>
      </c>
      <c r="N121" s="1">
        <v>5</v>
      </c>
      <c r="O121" s="1">
        <v>19248.16</v>
      </c>
      <c r="P121" s="1">
        <f t="shared" si="6"/>
        <v>20261.22</v>
      </c>
      <c r="Q121" s="10">
        <f t="shared" si="7"/>
        <v>962.40800000000002</v>
      </c>
      <c r="R121" s="11">
        <f t="shared" si="8"/>
        <v>19298.812000000002</v>
      </c>
      <c r="S121" s="1" t="str">
        <f t="shared" si="9"/>
        <v>High</v>
      </c>
      <c r="T121" s="1" t="str" cm="1">
        <f t="array" ref="T121">_xlfn.IFS(L121&gt;5,"High",L121=5,"mediam",L121&lt;5,"low")</f>
        <v>High</v>
      </c>
      <c r="U121" s="1" t="str">
        <f t="shared" si="10"/>
        <v>High</v>
      </c>
      <c r="AF121" s="5">
        <v>10191</v>
      </c>
      <c r="AG121" s="1">
        <v>1553</v>
      </c>
      <c r="AH121" s="2">
        <v>45033</v>
      </c>
      <c r="AI121" s="2">
        <v>45039</v>
      </c>
      <c r="AJ121" s="1" t="s">
        <v>40</v>
      </c>
      <c r="AK121" s="1" t="s">
        <v>29</v>
      </c>
      <c r="AL121" s="1" t="s">
        <v>30</v>
      </c>
      <c r="AM121" s="1" t="s">
        <v>35</v>
      </c>
      <c r="AN121" s="1" t="s">
        <v>52</v>
      </c>
      <c r="AO121" s="1" t="s">
        <v>56</v>
      </c>
      <c r="AP121" s="1" t="s">
        <v>21</v>
      </c>
      <c r="AQ121" s="1">
        <v>7</v>
      </c>
      <c r="AR121" s="1">
        <v>1148.6500000000001</v>
      </c>
      <c r="AS121" s="1">
        <v>15</v>
      </c>
      <c r="AT121" s="1">
        <v>6834.47</v>
      </c>
      <c r="AU121" s="1">
        <v>8040.5500000000011</v>
      </c>
      <c r="AV121" s="10">
        <v>1025.1704999999999</v>
      </c>
      <c r="AW121" s="11">
        <v>7015.3795000000009</v>
      </c>
      <c r="AX121" s="1" t="s">
        <v>159</v>
      </c>
      <c r="AY121" s="1" t="s">
        <v>159</v>
      </c>
      <c r="AZ121" s="1" t="s">
        <v>159</v>
      </c>
    </row>
    <row r="122" spans="1:52" x14ac:dyDescent="0.3">
      <c r="A122" s="5">
        <v>10121</v>
      </c>
      <c r="B122" s="1">
        <v>1052</v>
      </c>
      <c r="C122" s="2">
        <v>45114</v>
      </c>
      <c r="D122" s="2">
        <v>45115</v>
      </c>
      <c r="E122" s="1" t="s">
        <v>16</v>
      </c>
      <c r="F122" s="1" t="s">
        <v>16</v>
      </c>
      <c r="G122" s="1" t="s">
        <v>24</v>
      </c>
      <c r="H122" s="1" t="s">
        <v>35</v>
      </c>
      <c r="I122" s="1" t="s">
        <v>57</v>
      </c>
      <c r="J122" s="1" t="s">
        <v>62</v>
      </c>
      <c r="K122" s="1" t="s">
        <v>33</v>
      </c>
      <c r="L122" s="1">
        <v>5</v>
      </c>
      <c r="M122" s="1">
        <v>2832.28</v>
      </c>
      <c r="N122" s="1">
        <v>0</v>
      </c>
      <c r="O122" s="1">
        <v>14161.4</v>
      </c>
      <c r="P122" s="1">
        <f t="shared" si="6"/>
        <v>14161.400000000001</v>
      </c>
      <c r="Q122" s="10">
        <f t="shared" si="7"/>
        <v>0</v>
      </c>
      <c r="R122" s="11">
        <f t="shared" si="8"/>
        <v>14161.400000000001</v>
      </c>
      <c r="S122" s="1" t="str">
        <f t="shared" si="9"/>
        <v>High</v>
      </c>
      <c r="T122" s="1" t="str" cm="1">
        <f t="array" ref="T122">_xlfn.IFS(L122&gt;5,"High",L122=5,"mediam",L122&lt;5,"low")</f>
        <v>mediam</v>
      </c>
      <c r="U122" s="1" t="b">
        <f t="shared" si="10"/>
        <v>0</v>
      </c>
      <c r="AF122" s="5">
        <v>10192</v>
      </c>
      <c r="AG122" s="1">
        <v>1891</v>
      </c>
      <c r="AH122" s="2">
        <v>45039</v>
      </c>
      <c r="AI122" s="2">
        <v>45042</v>
      </c>
      <c r="AJ122" s="1" t="s">
        <v>15</v>
      </c>
      <c r="AK122" s="1" t="s">
        <v>29</v>
      </c>
      <c r="AL122" s="1" t="s">
        <v>30</v>
      </c>
      <c r="AM122" s="1" t="s">
        <v>35</v>
      </c>
      <c r="AN122" s="1" t="s">
        <v>52</v>
      </c>
      <c r="AO122" s="1" t="s">
        <v>60</v>
      </c>
      <c r="AP122" s="1" t="s">
        <v>21</v>
      </c>
      <c r="AQ122" s="1">
        <v>2</v>
      </c>
      <c r="AR122" s="1">
        <v>487.23</v>
      </c>
      <c r="AS122" s="1">
        <v>15</v>
      </c>
      <c r="AT122" s="1">
        <v>828.29</v>
      </c>
      <c r="AU122" s="1">
        <v>974.46</v>
      </c>
      <c r="AV122" s="10">
        <v>124.24349999999998</v>
      </c>
      <c r="AW122" s="11">
        <v>850.2165</v>
      </c>
      <c r="AX122" s="1" t="s">
        <v>161</v>
      </c>
      <c r="AY122" s="1" t="s">
        <v>162</v>
      </c>
      <c r="AZ122" s="1" t="b">
        <v>0</v>
      </c>
    </row>
    <row r="123" spans="1:52" x14ac:dyDescent="0.3">
      <c r="A123" s="5">
        <v>10122</v>
      </c>
      <c r="B123" s="1">
        <v>1791</v>
      </c>
      <c r="C123" s="2">
        <v>44983</v>
      </c>
      <c r="D123" s="2">
        <v>44991</v>
      </c>
      <c r="E123" s="1" t="s">
        <v>16</v>
      </c>
      <c r="F123" s="1" t="s">
        <v>38</v>
      </c>
      <c r="G123" s="1" t="s">
        <v>24</v>
      </c>
      <c r="H123" s="1" t="s">
        <v>42</v>
      </c>
      <c r="I123" s="1" t="s">
        <v>49</v>
      </c>
      <c r="J123" s="1" t="s">
        <v>63</v>
      </c>
      <c r="K123" s="1" t="s">
        <v>45</v>
      </c>
      <c r="L123" s="1">
        <v>5</v>
      </c>
      <c r="M123" s="1">
        <v>1398.73</v>
      </c>
      <c r="N123" s="1">
        <v>0</v>
      </c>
      <c r="O123" s="1">
        <v>6993.65</v>
      </c>
      <c r="P123" s="1">
        <f t="shared" si="6"/>
        <v>6993.65</v>
      </c>
      <c r="Q123" s="10">
        <f t="shared" si="7"/>
        <v>0</v>
      </c>
      <c r="R123" s="11">
        <f t="shared" si="8"/>
        <v>6993.65</v>
      </c>
      <c r="S123" s="1" t="str">
        <f t="shared" si="9"/>
        <v>High</v>
      </c>
      <c r="T123" s="1" t="str" cm="1">
        <f t="array" ref="T123">_xlfn.IFS(L123&gt;5,"High",L123=5,"mediam",L123&lt;5,"low")</f>
        <v>mediam</v>
      </c>
      <c r="U123" s="1" t="b">
        <f t="shared" si="10"/>
        <v>0</v>
      </c>
      <c r="AF123" s="5">
        <v>10195</v>
      </c>
      <c r="AG123" s="1">
        <v>1574</v>
      </c>
      <c r="AH123" s="2">
        <v>45044</v>
      </c>
      <c r="AI123" s="2">
        <v>45045</v>
      </c>
      <c r="AJ123" s="1" t="s">
        <v>34</v>
      </c>
      <c r="AK123" s="1" t="s">
        <v>23</v>
      </c>
      <c r="AL123" s="1" t="s">
        <v>17</v>
      </c>
      <c r="AM123" s="1" t="s">
        <v>35</v>
      </c>
      <c r="AN123" s="1" t="s">
        <v>31</v>
      </c>
      <c r="AO123" s="1" t="s">
        <v>65</v>
      </c>
      <c r="AP123" s="1" t="s">
        <v>47</v>
      </c>
      <c r="AQ123" s="1">
        <v>6</v>
      </c>
      <c r="AR123" s="1">
        <v>344.65</v>
      </c>
      <c r="AS123" s="1">
        <v>10</v>
      </c>
      <c r="AT123" s="1">
        <v>1861.11</v>
      </c>
      <c r="AU123" s="1">
        <v>2067.8999999999996</v>
      </c>
      <c r="AV123" s="10">
        <v>186.11099999999999</v>
      </c>
      <c r="AW123" s="11">
        <v>1881.7889999999998</v>
      </c>
      <c r="AX123" s="1" t="s">
        <v>159</v>
      </c>
      <c r="AY123" s="1" t="s">
        <v>159</v>
      </c>
      <c r="AZ123" s="1" t="s">
        <v>159</v>
      </c>
    </row>
    <row r="124" spans="1:52" x14ac:dyDescent="0.3">
      <c r="A124" s="5">
        <v>10123</v>
      </c>
      <c r="B124" s="1">
        <v>1921</v>
      </c>
      <c r="C124" s="2">
        <v>44946</v>
      </c>
      <c r="D124" s="2">
        <v>44950</v>
      </c>
      <c r="E124" s="1" t="s">
        <v>22</v>
      </c>
      <c r="F124" s="1" t="s">
        <v>16</v>
      </c>
      <c r="G124" s="1" t="s">
        <v>24</v>
      </c>
      <c r="H124" s="1" t="s">
        <v>44</v>
      </c>
      <c r="I124" s="1" t="s">
        <v>26</v>
      </c>
      <c r="J124" s="1" t="s">
        <v>69</v>
      </c>
      <c r="K124" s="1" t="s">
        <v>47</v>
      </c>
      <c r="L124" s="1">
        <v>7</v>
      </c>
      <c r="M124" s="1">
        <v>1050.5</v>
      </c>
      <c r="N124" s="1">
        <v>20</v>
      </c>
      <c r="O124" s="1">
        <v>5882.8</v>
      </c>
      <c r="P124" s="1">
        <f t="shared" si="6"/>
        <v>7353.5</v>
      </c>
      <c r="Q124" s="10">
        <f t="shared" si="7"/>
        <v>1176.5600000000002</v>
      </c>
      <c r="R124" s="11">
        <f t="shared" si="8"/>
        <v>6176.94</v>
      </c>
      <c r="S124" s="1" t="str">
        <f t="shared" si="9"/>
        <v>High</v>
      </c>
      <c r="T124" s="1" t="str" cm="1">
        <f t="array" ref="T124">_xlfn.IFS(L124&gt;5,"High",L124=5,"mediam",L124&lt;5,"low")</f>
        <v>High</v>
      </c>
      <c r="U124" s="1" t="str">
        <f t="shared" si="10"/>
        <v>High</v>
      </c>
      <c r="AF124" s="5">
        <v>10197</v>
      </c>
      <c r="AG124" s="1">
        <v>1742</v>
      </c>
      <c r="AH124" s="2">
        <v>45263</v>
      </c>
      <c r="AI124" s="2">
        <v>45266</v>
      </c>
      <c r="AJ124" s="1" t="s">
        <v>16</v>
      </c>
      <c r="AK124" s="1" t="s">
        <v>38</v>
      </c>
      <c r="AL124" s="1" t="s">
        <v>17</v>
      </c>
      <c r="AM124" s="1" t="s">
        <v>35</v>
      </c>
      <c r="AN124" s="1" t="s">
        <v>49</v>
      </c>
      <c r="AO124" s="1" t="s">
        <v>68</v>
      </c>
      <c r="AP124" s="1" t="s">
        <v>45</v>
      </c>
      <c r="AQ124" s="1">
        <v>4</v>
      </c>
      <c r="AR124" s="1">
        <v>1256.21</v>
      </c>
      <c r="AS124" s="1">
        <v>10</v>
      </c>
      <c r="AT124" s="1">
        <v>4522.3599999999997</v>
      </c>
      <c r="AU124" s="1">
        <v>5024.84</v>
      </c>
      <c r="AV124" s="10">
        <v>452.23599999999999</v>
      </c>
      <c r="AW124" s="11">
        <v>4572.6040000000003</v>
      </c>
      <c r="AX124" s="1" t="s">
        <v>161</v>
      </c>
      <c r="AY124" s="1" t="s">
        <v>162</v>
      </c>
      <c r="AZ124" s="1" t="b">
        <v>0</v>
      </c>
    </row>
    <row r="125" spans="1:52" x14ac:dyDescent="0.3">
      <c r="A125" s="5">
        <v>10124</v>
      </c>
      <c r="B125" s="1">
        <v>1216</v>
      </c>
      <c r="C125" s="2">
        <v>45199</v>
      </c>
      <c r="D125" s="2">
        <v>45200</v>
      </c>
      <c r="E125" s="1" t="s">
        <v>16</v>
      </c>
      <c r="F125" s="1" t="s">
        <v>41</v>
      </c>
      <c r="G125" s="1" t="s">
        <v>24</v>
      </c>
      <c r="H125" s="1" t="s">
        <v>18</v>
      </c>
      <c r="I125" s="1" t="s">
        <v>26</v>
      </c>
      <c r="J125" s="1" t="s">
        <v>61</v>
      </c>
      <c r="K125" s="1" t="s">
        <v>33</v>
      </c>
      <c r="L125" s="1">
        <v>9</v>
      </c>
      <c r="M125" s="1">
        <v>961.91</v>
      </c>
      <c r="N125" s="1">
        <v>15</v>
      </c>
      <c r="O125" s="1">
        <v>7358.61</v>
      </c>
      <c r="P125" s="1">
        <f t="shared" si="6"/>
        <v>8657.19</v>
      </c>
      <c r="Q125" s="10">
        <f t="shared" si="7"/>
        <v>1103.7914999999998</v>
      </c>
      <c r="R125" s="11">
        <f t="shared" si="8"/>
        <v>7553.3985000000011</v>
      </c>
      <c r="S125" s="1" t="str">
        <f t="shared" si="9"/>
        <v>High</v>
      </c>
      <c r="T125" s="1" t="str" cm="1">
        <f t="array" ref="T125">_xlfn.IFS(L125&gt;5,"High",L125=5,"mediam",L125&lt;5,"low")</f>
        <v>High</v>
      </c>
      <c r="U125" s="1" t="str">
        <f t="shared" si="10"/>
        <v>High</v>
      </c>
      <c r="AF125" s="5">
        <v>10199</v>
      </c>
      <c r="AG125" s="1">
        <v>1563</v>
      </c>
      <c r="AH125" s="2">
        <v>44977</v>
      </c>
      <c r="AI125" s="2">
        <v>44984</v>
      </c>
      <c r="AJ125" s="1" t="s">
        <v>34</v>
      </c>
      <c r="AK125" s="1" t="s">
        <v>23</v>
      </c>
      <c r="AL125" s="1" t="s">
        <v>24</v>
      </c>
      <c r="AM125" s="1" t="s">
        <v>35</v>
      </c>
      <c r="AN125" s="1" t="s">
        <v>49</v>
      </c>
      <c r="AO125" s="1" t="s">
        <v>51</v>
      </c>
      <c r="AP125" s="1" t="s">
        <v>47</v>
      </c>
      <c r="AQ125" s="1">
        <v>4</v>
      </c>
      <c r="AR125" s="1">
        <v>1428.19</v>
      </c>
      <c r="AS125" s="1">
        <v>10</v>
      </c>
      <c r="AT125" s="1">
        <v>5141.4799999999996</v>
      </c>
      <c r="AU125" s="1">
        <v>5712.76</v>
      </c>
      <c r="AV125" s="10">
        <v>514.14800000000002</v>
      </c>
      <c r="AW125" s="11">
        <v>5198.6120000000001</v>
      </c>
      <c r="AX125" s="1" t="s">
        <v>161</v>
      </c>
      <c r="AY125" s="1" t="s">
        <v>162</v>
      </c>
      <c r="AZ125" s="1" t="b">
        <v>0</v>
      </c>
    </row>
    <row r="126" spans="1:52" x14ac:dyDescent="0.3">
      <c r="A126" s="5">
        <v>10125</v>
      </c>
      <c r="B126" s="1">
        <v>1763</v>
      </c>
      <c r="C126" s="2">
        <v>45045</v>
      </c>
      <c r="D126" s="2">
        <v>45052</v>
      </c>
      <c r="E126" s="1" t="s">
        <v>16</v>
      </c>
      <c r="F126" s="1" t="s">
        <v>23</v>
      </c>
      <c r="G126" s="1" t="s">
        <v>30</v>
      </c>
      <c r="H126" s="1" t="s">
        <v>44</v>
      </c>
      <c r="I126" s="1" t="s">
        <v>52</v>
      </c>
      <c r="J126" s="1" t="s">
        <v>64</v>
      </c>
      <c r="K126" s="1" t="s">
        <v>47</v>
      </c>
      <c r="L126" s="1">
        <v>9</v>
      </c>
      <c r="M126" s="1">
        <v>3450.19</v>
      </c>
      <c r="N126" s="1">
        <v>0</v>
      </c>
      <c r="O126" s="1">
        <v>31051.71</v>
      </c>
      <c r="P126" s="1">
        <f t="shared" si="6"/>
        <v>31051.71</v>
      </c>
      <c r="Q126" s="10">
        <f t="shared" si="7"/>
        <v>0</v>
      </c>
      <c r="R126" s="11">
        <f t="shared" si="8"/>
        <v>31051.71</v>
      </c>
      <c r="S126" s="1" t="str">
        <f t="shared" si="9"/>
        <v>High</v>
      </c>
      <c r="T126" s="1" t="str" cm="1">
        <f t="array" ref="T126">_xlfn.IFS(L126&gt;5,"High",L126=5,"mediam",L126&lt;5,"low")</f>
        <v>High</v>
      </c>
      <c r="U126" s="1" t="str">
        <f t="shared" si="10"/>
        <v>High</v>
      </c>
      <c r="AF126" s="5">
        <v>10205</v>
      </c>
      <c r="AG126" s="1">
        <v>1230</v>
      </c>
      <c r="AH126" s="2">
        <v>45246</v>
      </c>
      <c r="AI126" s="2">
        <v>45254</v>
      </c>
      <c r="AJ126" s="1" t="s">
        <v>46</v>
      </c>
      <c r="AK126" s="1" t="s">
        <v>23</v>
      </c>
      <c r="AL126" s="1" t="s">
        <v>17</v>
      </c>
      <c r="AM126" s="1" t="s">
        <v>35</v>
      </c>
      <c r="AN126" s="1" t="s">
        <v>52</v>
      </c>
      <c r="AO126" s="1" t="s">
        <v>60</v>
      </c>
      <c r="AP126" s="1" t="s">
        <v>28</v>
      </c>
      <c r="AQ126" s="1">
        <v>8</v>
      </c>
      <c r="AR126" s="1">
        <v>2821.15</v>
      </c>
      <c r="AS126" s="1">
        <v>10</v>
      </c>
      <c r="AT126" s="1">
        <v>20312.28</v>
      </c>
      <c r="AU126" s="1">
        <v>22569.200000000001</v>
      </c>
      <c r="AV126" s="10">
        <v>2031.2280000000001</v>
      </c>
      <c r="AW126" s="11">
        <v>20537.972000000002</v>
      </c>
      <c r="AX126" s="1" t="s">
        <v>159</v>
      </c>
      <c r="AY126" s="1" t="s">
        <v>159</v>
      </c>
      <c r="AZ126" s="1" t="s">
        <v>159</v>
      </c>
    </row>
    <row r="127" spans="1:52" x14ac:dyDescent="0.3">
      <c r="A127" s="5">
        <v>10126</v>
      </c>
      <c r="B127" s="1">
        <v>1187</v>
      </c>
      <c r="C127" s="2">
        <v>44997</v>
      </c>
      <c r="D127" s="2">
        <v>45002</v>
      </c>
      <c r="E127" s="1" t="s">
        <v>22</v>
      </c>
      <c r="F127" s="1" t="s">
        <v>54</v>
      </c>
      <c r="G127" s="1" t="s">
        <v>24</v>
      </c>
      <c r="H127" s="1" t="s">
        <v>18</v>
      </c>
      <c r="I127" s="1" t="s">
        <v>31</v>
      </c>
      <c r="J127" s="1" t="s">
        <v>48</v>
      </c>
      <c r="K127" s="1" t="s">
        <v>28</v>
      </c>
      <c r="L127" s="1">
        <v>9</v>
      </c>
      <c r="M127" s="1">
        <v>3308.64</v>
      </c>
      <c r="N127" s="1">
        <v>5</v>
      </c>
      <c r="O127" s="1">
        <v>28288.87</v>
      </c>
      <c r="P127" s="1">
        <f t="shared" si="6"/>
        <v>29777.759999999998</v>
      </c>
      <c r="Q127" s="10">
        <f t="shared" si="7"/>
        <v>1414.4435000000001</v>
      </c>
      <c r="R127" s="11">
        <f t="shared" si="8"/>
        <v>28363.316499999997</v>
      </c>
      <c r="S127" s="1" t="str">
        <f t="shared" si="9"/>
        <v>High</v>
      </c>
      <c r="T127" s="1" t="str" cm="1">
        <f t="array" ref="T127">_xlfn.IFS(L127&gt;5,"High",L127=5,"mediam",L127&lt;5,"low")</f>
        <v>High</v>
      </c>
      <c r="U127" s="1" t="str">
        <f t="shared" si="10"/>
        <v>High</v>
      </c>
      <c r="AF127" s="5">
        <v>10219</v>
      </c>
      <c r="AG127" s="1">
        <v>1681</v>
      </c>
      <c r="AH127" s="2">
        <v>45239</v>
      </c>
      <c r="AI127" s="2">
        <v>45242</v>
      </c>
      <c r="AJ127" s="1" t="s">
        <v>40</v>
      </c>
      <c r="AK127" s="1" t="s">
        <v>54</v>
      </c>
      <c r="AL127" s="1" t="s">
        <v>30</v>
      </c>
      <c r="AM127" s="1" t="s">
        <v>35</v>
      </c>
      <c r="AN127" s="1" t="s">
        <v>52</v>
      </c>
      <c r="AO127" s="1" t="s">
        <v>64</v>
      </c>
      <c r="AP127" s="1" t="s">
        <v>33</v>
      </c>
      <c r="AQ127" s="1">
        <v>6</v>
      </c>
      <c r="AR127" s="1">
        <v>1449.5</v>
      </c>
      <c r="AS127" s="1">
        <v>0</v>
      </c>
      <c r="AT127" s="1">
        <v>8697</v>
      </c>
      <c r="AU127" s="1">
        <v>8697</v>
      </c>
      <c r="AV127" s="10">
        <v>0</v>
      </c>
      <c r="AW127" s="11">
        <v>8697</v>
      </c>
      <c r="AX127" s="1" t="s">
        <v>159</v>
      </c>
      <c r="AY127" s="1" t="s">
        <v>159</v>
      </c>
      <c r="AZ127" s="1" t="s">
        <v>159</v>
      </c>
    </row>
    <row r="128" spans="1:52" x14ac:dyDescent="0.3">
      <c r="A128" s="5">
        <v>10127</v>
      </c>
      <c r="B128" s="1">
        <v>1379</v>
      </c>
      <c r="C128" s="2">
        <v>44930</v>
      </c>
      <c r="D128" s="2">
        <v>44935</v>
      </c>
      <c r="E128" s="1" t="s">
        <v>37</v>
      </c>
      <c r="F128" s="1" t="s">
        <v>54</v>
      </c>
      <c r="G128" s="1" t="s">
        <v>24</v>
      </c>
      <c r="H128" s="1" t="s">
        <v>18</v>
      </c>
      <c r="I128" s="1" t="s">
        <v>31</v>
      </c>
      <c r="J128" s="1" t="s">
        <v>39</v>
      </c>
      <c r="K128" s="1" t="s">
        <v>21</v>
      </c>
      <c r="L128" s="1">
        <v>6</v>
      </c>
      <c r="M128" s="1">
        <v>1846.21</v>
      </c>
      <c r="N128" s="1">
        <v>10</v>
      </c>
      <c r="O128" s="1">
        <v>9969.5300000000007</v>
      </c>
      <c r="P128" s="1">
        <f t="shared" si="6"/>
        <v>11077.26</v>
      </c>
      <c r="Q128" s="10">
        <f t="shared" si="7"/>
        <v>996.95300000000009</v>
      </c>
      <c r="R128" s="11">
        <f t="shared" si="8"/>
        <v>10080.307000000001</v>
      </c>
      <c r="S128" s="1" t="str">
        <f t="shared" si="9"/>
        <v>High</v>
      </c>
      <c r="T128" s="1" t="str" cm="1">
        <f t="array" ref="T128">_xlfn.IFS(L128&gt;5,"High",L128=5,"mediam",L128&lt;5,"low")</f>
        <v>High</v>
      </c>
      <c r="U128" s="1" t="str">
        <f t="shared" si="10"/>
        <v>High</v>
      </c>
      <c r="AF128" s="5">
        <v>10228</v>
      </c>
      <c r="AG128" s="1">
        <v>1339</v>
      </c>
      <c r="AH128" s="2">
        <v>44983</v>
      </c>
      <c r="AI128" s="2">
        <v>44990</v>
      </c>
      <c r="AJ128" s="1" t="s">
        <v>15</v>
      </c>
      <c r="AK128" s="1" t="s">
        <v>54</v>
      </c>
      <c r="AL128" s="1" t="s">
        <v>17</v>
      </c>
      <c r="AM128" s="1" t="s">
        <v>35</v>
      </c>
      <c r="AN128" s="1" t="s">
        <v>57</v>
      </c>
      <c r="AO128" s="1" t="s">
        <v>62</v>
      </c>
      <c r="AP128" s="1" t="s">
        <v>21</v>
      </c>
      <c r="AQ128" s="1">
        <v>8</v>
      </c>
      <c r="AR128" s="1">
        <v>2645.2</v>
      </c>
      <c r="AS128" s="1">
        <v>20</v>
      </c>
      <c r="AT128" s="1">
        <v>16929.28</v>
      </c>
      <c r="AU128" s="1">
        <v>21161.599999999999</v>
      </c>
      <c r="AV128" s="10">
        <v>3385.8559999999998</v>
      </c>
      <c r="AW128" s="11">
        <v>17775.743999999999</v>
      </c>
      <c r="AX128" s="1" t="s">
        <v>159</v>
      </c>
      <c r="AY128" s="1" t="s">
        <v>159</v>
      </c>
      <c r="AZ128" s="1" t="s">
        <v>159</v>
      </c>
    </row>
    <row r="129" spans="1:52" x14ac:dyDescent="0.3">
      <c r="A129" s="5">
        <v>10128</v>
      </c>
      <c r="B129" s="1">
        <v>1492</v>
      </c>
      <c r="C129" s="2">
        <v>45147</v>
      </c>
      <c r="D129" s="2">
        <v>45148</v>
      </c>
      <c r="E129" s="1" t="s">
        <v>46</v>
      </c>
      <c r="F129" s="1" t="s">
        <v>38</v>
      </c>
      <c r="G129" s="1" t="s">
        <v>30</v>
      </c>
      <c r="H129" s="1" t="s">
        <v>35</v>
      </c>
      <c r="I129" s="1" t="s">
        <v>26</v>
      </c>
      <c r="J129" s="1" t="s">
        <v>61</v>
      </c>
      <c r="K129" s="1" t="s">
        <v>47</v>
      </c>
      <c r="L129" s="1">
        <v>6</v>
      </c>
      <c r="M129" s="1">
        <v>659.76</v>
      </c>
      <c r="N129" s="1">
        <v>0</v>
      </c>
      <c r="O129" s="1">
        <v>3958.56</v>
      </c>
      <c r="P129" s="1">
        <f t="shared" si="6"/>
        <v>3958.56</v>
      </c>
      <c r="Q129" s="10">
        <f t="shared" si="7"/>
        <v>0</v>
      </c>
      <c r="R129" s="11">
        <f t="shared" si="8"/>
        <v>3958.56</v>
      </c>
      <c r="S129" s="1" t="str">
        <f t="shared" si="9"/>
        <v>High</v>
      </c>
      <c r="T129" s="1" t="str" cm="1">
        <f t="array" ref="T129">_xlfn.IFS(L129&gt;5,"High",L129=5,"mediam",L129&lt;5,"low")</f>
        <v>High</v>
      </c>
      <c r="U129" s="1" t="str">
        <f t="shared" si="10"/>
        <v>High</v>
      </c>
      <c r="AF129" s="5">
        <v>10230</v>
      </c>
      <c r="AG129" s="1">
        <v>1957</v>
      </c>
      <c r="AH129" s="2">
        <v>45010</v>
      </c>
      <c r="AI129" s="2">
        <v>45018</v>
      </c>
      <c r="AJ129" s="1" t="s">
        <v>37</v>
      </c>
      <c r="AK129" s="1" t="s">
        <v>38</v>
      </c>
      <c r="AL129" s="1" t="s">
        <v>24</v>
      </c>
      <c r="AM129" s="1" t="s">
        <v>35</v>
      </c>
      <c r="AN129" s="1" t="s">
        <v>57</v>
      </c>
      <c r="AO129" s="1" t="s">
        <v>62</v>
      </c>
      <c r="AP129" s="1" t="s">
        <v>47</v>
      </c>
      <c r="AQ129" s="1">
        <v>3</v>
      </c>
      <c r="AR129" s="1">
        <v>3193.5</v>
      </c>
      <c r="AS129" s="1">
        <v>10</v>
      </c>
      <c r="AT129" s="1">
        <v>8622.4500000000007</v>
      </c>
      <c r="AU129" s="1">
        <v>9580.5</v>
      </c>
      <c r="AV129" s="10">
        <v>862.24500000000012</v>
      </c>
      <c r="AW129" s="11">
        <v>8718.2549999999992</v>
      </c>
      <c r="AX129" s="1" t="s">
        <v>161</v>
      </c>
      <c r="AY129" s="1" t="s">
        <v>162</v>
      </c>
      <c r="AZ129" s="1" t="b">
        <v>0</v>
      </c>
    </row>
    <row r="130" spans="1:52" x14ac:dyDescent="0.3">
      <c r="A130" s="5">
        <v>10129</v>
      </c>
      <c r="B130" s="1">
        <v>1040</v>
      </c>
      <c r="C130" s="2">
        <v>44940</v>
      </c>
      <c r="D130" s="2">
        <v>44946</v>
      </c>
      <c r="E130" s="1" t="s">
        <v>34</v>
      </c>
      <c r="F130" s="1" t="s">
        <v>29</v>
      </c>
      <c r="G130" s="1" t="s">
        <v>24</v>
      </c>
      <c r="H130" s="1" t="s">
        <v>44</v>
      </c>
      <c r="I130" s="1" t="s">
        <v>52</v>
      </c>
      <c r="J130" s="1" t="s">
        <v>56</v>
      </c>
      <c r="K130" s="1" t="s">
        <v>21</v>
      </c>
      <c r="L130" s="1">
        <v>3</v>
      </c>
      <c r="M130" s="1">
        <v>1621.67</v>
      </c>
      <c r="N130" s="1">
        <v>0</v>
      </c>
      <c r="O130" s="1">
        <v>4865.01</v>
      </c>
      <c r="P130" s="1">
        <f t="shared" si="6"/>
        <v>4865.01</v>
      </c>
      <c r="Q130" s="10">
        <f t="shared" si="7"/>
        <v>0</v>
      </c>
      <c r="R130" s="11">
        <f t="shared" si="8"/>
        <v>4865.01</v>
      </c>
      <c r="S130" s="1" t="str">
        <f t="shared" si="9"/>
        <v>Low</v>
      </c>
      <c r="T130" s="1" t="str" cm="1">
        <f t="array" ref="T130">_xlfn.IFS(L130&gt;5,"High",L130=5,"mediam",L130&lt;5,"low")</f>
        <v>low</v>
      </c>
      <c r="U130" s="1" t="b">
        <f t="shared" si="10"/>
        <v>0</v>
      </c>
      <c r="AF130" s="5">
        <v>10235</v>
      </c>
      <c r="AG130" s="1">
        <v>1472</v>
      </c>
      <c r="AH130" s="2">
        <v>45032</v>
      </c>
      <c r="AI130" s="2">
        <v>45040</v>
      </c>
      <c r="AJ130" s="1" t="s">
        <v>40</v>
      </c>
      <c r="AK130" s="1" t="s">
        <v>29</v>
      </c>
      <c r="AL130" s="1" t="s">
        <v>17</v>
      </c>
      <c r="AM130" s="1" t="s">
        <v>35</v>
      </c>
      <c r="AN130" s="1" t="s">
        <v>52</v>
      </c>
      <c r="AO130" s="1" t="s">
        <v>60</v>
      </c>
      <c r="AP130" s="1" t="s">
        <v>47</v>
      </c>
      <c r="AQ130" s="1">
        <v>9</v>
      </c>
      <c r="AR130" s="1">
        <v>2677.09</v>
      </c>
      <c r="AS130" s="1">
        <v>10</v>
      </c>
      <c r="AT130" s="1">
        <v>21684.43</v>
      </c>
      <c r="AU130" s="1">
        <v>24093.81</v>
      </c>
      <c r="AV130" s="10">
        <v>2168.4430000000002</v>
      </c>
      <c r="AW130" s="11">
        <v>21925.367000000002</v>
      </c>
      <c r="AX130" s="1" t="s">
        <v>159</v>
      </c>
      <c r="AY130" s="1" t="s">
        <v>159</v>
      </c>
      <c r="AZ130" s="1" t="s">
        <v>159</v>
      </c>
    </row>
    <row r="131" spans="1:52" x14ac:dyDescent="0.3">
      <c r="A131" s="5">
        <v>10130</v>
      </c>
      <c r="B131" s="1">
        <v>1156</v>
      </c>
      <c r="C131" s="2">
        <v>44929</v>
      </c>
      <c r="D131" s="2">
        <v>44938</v>
      </c>
      <c r="E131" s="1" t="s">
        <v>15</v>
      </c>
      <c r="F131" s="1" t="s">
        <v>41</v>
      </c>
      <c r="G131" s="1" t="s">
        <v>17</v>
      </c>
      <c r="H131" s="1" t="s">
        <v>42</v>
      </c>
      <c r="I131" s="1" t="s">
        <v>57</v>
      </c>
      <c r="J131" s="1" t="s">
        <v>62</v>
      </c>
      <c r="K131" s="1" t="s">
        <v>33</v>
      </c>
      <c r="L131" s="1">
        <v>1</v>
      </c>
      <c r="M131" s="1">
        <v>2534.4699999999998</v>
      </c>
      <c r="N131" s="1">
        <v>5</v>
      </c>
      <c r="O131" s="1">
        <v>2407.75</v>
      </c>
      <c r="P131" s="1">
        <f t="shared" ref="P131:P194" si="11">L131*M131</f>
        <v>2534.4699999999998</v>
      </c>
      <c r="Q131" s="10">
        <f t="shared" ref="Q131:Q194" si="12">O131*N131%</f>
        <v>120.3875</v>
      </c>
      <c r="R131" s="11">
        <f t="shared" ref="R131:R194" si="13">P131-Q131</f>
        <v>2414.0825</v>
      </c>
      <c r="S131" s="1" t="str">
        <f t="shared" ref="S131:S194" si="14">IF(L131&gt;=5,"High","Low")</f>
        <v>Low</v>
      </c>
      <c r="T131" s="1" t="str" cm="1">
        <f t="array" ref="T131">_xlfn.IFS(L131&gt;5,"High",L131=5,"mediam",L131&lt;5,"low")</f>
        <v>low</v>
      </c>
      <c r="U131" s="1" t="b">
        <f t="shared" si="10"/>
        <v>0</v>
      </c>
      <c r="AF131" s="5">
        <v>10238</v>
      </c>
      <c r="AG131" s="1">
        <v>1224</v>
      </c>
      <c r="AH131" s="2">
        <v>45089</v>
      </c>
      <c r="AI131" s="2">
        <v>45093</v>
      </c>
      <c r="AJ131" s="1" t="s">
        <v>34</v>
      </c>
      <c r="AK131" s="1" t="s">
        <v>38</v>
      </c>
      <c r="AL131" s="1" t="s">
        <v>24</v>
      </c>
      <c r="AM131" s="1" t="s">
        <v>35</v>
      </c>
      <c r="AN131" s="1" t="s">
        <v>57</v>
      </c>
      <c r="AO131" s="1" t="s">
        <v>62</v>
      </c>
      <c r="AP131" s="1" t="s">
        <v>45</v>
      </c>
      <c r="AQ131" s="1">
        <v>8</v>
      </c>
      <c r="AR131" s="1">
        <v>284.52</v>
      </c>
      <c r="AS131" s="1">
        <v>15</v>
      </c>
      <c r="AT131" s="1">
        <v>1934.74</v>
      </c>
      <c r="AU131" s="1">
        <v>2276.16</v>
      </c>
      <c r="AV131" s="10">
        <v>290.21100000000001</v>
      </c>
      <c r="AW131" s="11">
        <v>1985.9489999999998</v>
      </c>
      <c r="AX131" s="1" t="s">
        <v>159</v>
      </c>
      <c r="AY131" s="1" t="s">
        <v>159</v>
      </c>
      <c r="AZ131" s="1" t="s">
        <v>159</v>
      </c>
    </row>
    <row r="132" spans="1:52" x14ac:dyDescent="0.3">
      <c r="A132" s="5">
        <v>10131</v>
      </c>
      <c r="B132" s="1">
        <v>1014</v>
      </c>
      <c r="C132" s="2">
        <v>45142</v>
      </c>
      <c r="D132" s="2">
        <v>45151</v>
      </c>
      <c r="E132" s="1" t="s">
        <v>34</v>
      </c>
      <c r="F132" s="1" t="s">
        <v>38</v>
      </c>
      <c r="G132" s="1" t="s">
        <v>24</v>
      </c>
      <c r="H132" s="1" t="s">
        <v>44</v>
      </c>
      <c r="I132" s="1" t="s">
        <v>31</v>
      </c>
      <c r="J132" s="1" t="s">
        <v>32</v>
      </c>
      <c r="K132" s="1" t="s">
        <v>21</v>
      </c>
      <c r="L132" s="1">
        <v>7</v>
      </c>
      <c r="M132" s="1">
        <v>1899.45</v>
      </c>
      <c r="N132" s="1">
        <v>15</v>
      </c>
      <c r="O132" s="1">
        <v>11301.73</v>
      </c>
      <c r="P132" s="1">
        <f t="shared" si="11"/>
        <v>13296.15</v>
      </c>
      <c r="Q132" s="10">
        <f t="shared" si="12"/>
        <v>1695.2594999999999</v>
      </c>
      <c r="R132" s="11">
        <f t="shared" si="13"/>
        <v>11600.8905</v>
      </c>
      <c r="S132" s="1" t="str">
        <f t="shared" si="14"/>
        <v>High</v>
      </c>
      <c r="T132" s="1" t="str" cm="1">
        <f t="array" ref="T132">_xlfn.IFS(L132&gt;5,"High",L132=5,"mediam",L132&lt;5,"low")</f>
        <v>High</v>
      </c>
      <c r="U132" s="1" t="str">
        <f t="shared" si="10"/>
        <v>High</v>
      </c>
      <c r="AF132" s="5">
        <v>10247</v>
      </c>
      <c r="AG132" s="1">
        <v>1258</v>
      </c>
      <c r="AH132" s="2">
        <v>44996</v>
      </c>
      <c r="AI132" s="2">
        <v>44998</v>
      </c>
      <c r="AJ132" s="1" t="s">
        <v>15</v>
      </c>
      <c r="AK132" s="1" t="s">
        <v>54</v>
      </c>
      <c r="AL132" s="1" t="s">
        <v>30</v>
      </c>
      <c r="AM132" s="1" t="s">
        <v>35</v>
      </c>
      <c r="AN132" s="1" t="s">
        <v>52</v>
      </c>
      <c r="AO132" s="1" t="s">
        <v>64</v>
      </c>
      <c r="AP132" s="1" t="s">
        <v>47</v>
      </c>
      <c r="AQ132" s="1">
        <v>7</v>
      </c>
      <c r="AR132" s="1">
        <v>2102.27</v>
      </c>
      <c r="AS132" s="1">
        <v>20</v>
      </c>
      <c r="AT132" s="1">
        <v>11772.71</v>
      </c>
      <c r="AU132" s="1">
        <v>14715.89</v>
      </c>
      <c r="AV132" s="10">
        <v>2354.5419999999999</v>
      </c>
      <c r="AW132" s="11">
        <v>12361.348</v>
      </c>
      <c r="AX132" s="1" t="s">
        <v>159</v>
      </c>
      <c r="AY132" s="1" t="s">
        <v>159</v>
      </c>
      <c r="AZ132" s="1" t="s">
        <v>159</v>
      </c>
    </row>
    <row r="133" spans="1:52" x14ac:dyDescent="0.3">
      <c r="A133" s="5">
        <v>10132</v>
      </c>
      <c r="B133" s="1">
        <v>1812</v>
      </c>
      <c r="C133" s="2">
        <v>45155</v>
      </c>
      <c r="D133" s="2">
        <v>45163</v>
      </c>
      <c r="E133" s="1" t="s">
        <v>34</v>
      </c>
      <c r="F133" s="1" t="s">
        <v>29</v>
      </c>
      <c r="G133" s="1" t="s">
        <v>24</v>
      </c>
      <c r="H133" s="1" t="s">
        <v>35</v>
      </c>
      <c r="I133" s="1" t="s">
        <v>57</v>
      </c>
      <c r="J133" s="1" t="s">
        <v>58</v>
      </c>
      <c r="K133" s="1" t="s">
        <v>47</v>
      </c>
      <c r="L133" s="1">
        <v>4</v>
      </c>
      <c r="M133" s="1">
        <v>3153.73</v>
      </c>
      <c r="N133" s="1">
        <v>0</v>
      </c>
      <c r="O133" s="1">
        <v>12614.92</v>
      </c>
      <c r="P133" s="1">
        <f t="shared" si="11"/>
        <v>12614.92</v>
      </c>
      <c r="Q133" s="10">
        <f t="shared" si="12"/>
        <v>0</v>
      </c>
      <c r="R133" s="11">
        <f t="shared" si="13"/>
        <v>12614.92</v>
      </c>
      <c r="S133" s="1" t="str">
        <f t="shared" si="14"/>
        <v>Low</v>
      </c>
      <c r="T133" s="1" t="str" cm="1">
        <f t="array" ref="T133">_xlfn.IFS(L133&gt;5,"High",L133=5,"mediam",L133&lt;5,"low")</f>
        <v>low</v>
      </c>
      <c r="U133" s="1" t="b">
        <f t="shared" si="10"/>
        <v>0</v>
      </c>
      <c r="AF133" s="5">
        <v>10250</v>
      </c>
      <c r="AG133" s="1">
        <v>1455</v>
      </c>
      <c r="AH133" s="2">
        <v>45227</v>
      </c>
      <c r="AI133" s="2">
        <v>45233</v>
      </c>
      <c r="AJ133" s="1" t="s">
        <v>34</v>
      </c>
      <c r="AK133" s="1" t="s">
        <v>16</v>
      </c>
      <c r="AL133" s="1" t="s">
        <v>17</v>
      </c>
      <c r="AM133" s="1" t="s">
        <v>35</v>
      </c>
      <c r="AN133" s="1" t="s">
        <v>26</v>
      </c>
      <c r="AO133" s="1" t="s">
        <v>69</v>
      </c>
      <c r="AP133" s="1" t="s">
        <v>28</v>
      </c>
      <c r="AQ133" s="1">
        <v>9</v>
      </c>
      <c r="AR133" s="1">
        <v>3106.82</v>
      </c>
      <c r="AS133" s="1">
        <v>15</v>
      </c>
      <c r="AT133" s="1">
        <v>23767.17</v>
      </c>
      <c r="AU133" s="1">
        <v>27961.38</v>
      </c>
      <c r="AV133" s="10">
        <v>3565.0754999999995</v>
      </c>
      <c r="AW133" s="11">
        <v>24396.304500000002</v>
      </c>
      <c r="AX133" s="1" t="s">
        <v>159</v>
      </c>
      <c r="AY133" s="1" t="s">
        <v>159</v>
      </c>
      <c r="AZ133" s="1" t="s">
        <v>159</v>
      </c>
    </row>
    <row r="134" spans="1:52" x14ac:dyDescent="0.3">
      <c r="A134" s="5">
        <v>10133</v>
      </c>
      <c r="B134" s="1">
        <v>1064</v>
      </c>
      <c r="C134" s="2">
        <v>45262</v>
      </c>
      <c r="D134" s="2">
        <v>45267</v>
      </c>
      <c r="E134" s="1" t="s">
        <v>40</v>
      </c>
      <c r="F134" s="1" t="s">
        <v>16</v>
      </c>
      <c r="G134" s="1" t="s">
        <v>17</v>
      </c>
      <c r="H134" s="1" t="s">
        <v>18</v>
      </c>
      <c r="I134" s="1" t="s">
        <v>31</v>
      </c>
      <c r="J134" s="1" t="s">
        <v>48</v>
      </c>
      <c r="K134" s="1" t="s">
        <v>28</v>
      </c>
      <c r="L134" s="1">
        <v>1</v>
      </c>
      <c r="M134" s="1">
        <v>3990.85</v>
      </c>
      <c r="N134" s="1">
        <v>0</v>
      </c>
      <c r="O134" s="1">
        <v>3990.85</v>
      </c>
      <c r="P134" s="1">
        <f t="shared" si="11"/>
        <v>3990.85</v>
      </c>
      <c r="Q134" s="10">
        <f t="shared" si="12"/>
        <v>0</v>
      </c>
      <c r="R134" s="11">
        <f t="shared" si="13"/>
        <v>3990.85</v>
      </c>
      <c r="S134" s="1" t="str">
        <f t="shared" si="14"/>
        <v>Low</v>
      </c>
      <c r="T134" s="1" t="str" cm="1">
        <f t="array" ref="T134">_xlfn.IFS(L134&gt;5,"High",L134=5,"mediam",L134&lt;5,"low")</f>
        <v>low</v>
      </c>
      <c r="U134" s="1" t="b">
        <f t="shared" si="10"/>
        <v>0</v>
      </c>
      <c r="AF134" s="5">
        <v>10253</v>
      </c>
      <c r="AG134" s="1">
        <v>1317</v>
      </c>
      <c r="AH134" s="2">
        <v>45033</v>
      </c>
      <c r="AI134" s="2">
        <v>45034</v>
      </c>
      <c r="AJ134" s="1" t="s">
        <v>40</v>
      </c>
      <c r="AK134" s="1" t="s">
        <v>41</v>
      </c>
      <c r="AL134" s="1" t="s">
        <v>24</v>
      </c>
      <c r="AM134" s="1" t="s">
        <v>35</v>
      </c>
      <c r="AN134" s="1" t="s">
        <v>19</v>
      </c>
      <c r="AO134" s="1" t="s">
        <v>20</v>
      </c>
      <c r="AP134" s="1" t="s">
        <v>47</v>
      </c>
      <c r="AQ134" s="1">
        <v>5</v>
      </c>
      <c r="AR134" s="1">
        <v>2532.27</v>
      </c>
      <c r="AS134" s="1">
        <v>15</v>
      </c>
      <c r="AT134" s="1">
        <v>10762.15</v>
      </c>
      <c r="AU134" s="1">
        <v>12661.35</v>
      </c>
      <c r="AV134" s="10">
        <v>1614.3225</v>
      </c>
      <c r="AW134" s="11">
        <v>11047.0275</v>
      </c>
      <c r="AX134" s="1" t="s">
        <v>159</v>
      </c>
      <c r="AY134" s="1" t="s">
        <v>160</v>
      </c>
      <c r="AZ134" s="1" t="b">
        <v>0</v>
      </c>
    </row>
    <row r="135" spans="1:52" x14ac:dyDescent="0.3">
      <c r="A135" s="5">
        <v>10134</v>
      </c>
      <c r="B135" s="1">
        <v>1856</v>
      </c>
      <c r="C135" s="2">
        <v>45112</v>
      </c>
      <c r="D135" s="2">
        <v>45113</v>
      </c>
      <c r="E135" s="1" t="s">
        <v>46</v>
      </c>
      <c r="F135" s="1" t="s">
        <v>41</v>
      </c>
      <c r="G135" s="1" t="s">
        <v>17</v>
      </c>
      <c r="H135" s="1" t="s">
        <v>35</v>
      </c>
      <c r="I135" s="1" t="s">
        <v>31</v>
      </c>
      <c r="J135" s="1" t="s">
        <v>65</v>
      </c>
      <c r="K135" s="1" t="s">
        <v>33</v>
      </c>
      <c r="L135" s="1">
        <v>8</v>
      </c>
      <c r="M135" s="1">
        <v>885.86</v>
      </c>
      <c r="N135" s="1">
        <v>15</v>
      </c>
      <c r="O135" s="1">
        <v>6023.85</v>
      </c>
      <c r="P135" s="1">
        <f t="shared" si="11"/>
        <v>7086.88</v>
      </c>
      <c r="Q135" s="10">
        <f t="shared" si="12"/>
        <v>903.57749999999999</v>
      </c>
      <c r="R135" s="11">
        <f t="shared" si="13"/>
        <v>6183.3024999999998</v>
      </c>
      <c r="S135" s="1" t="str">
        <f t="shared" si="14"/>
        <v>High</v>
      </c>
      <c r="T135" s="1" t="str" cm="1">
        <f t="array" ref="T135">_xlfn.IFS(L135&gt;5,"High",L135=5,"mediam",L135&lt;5,"low")</f>
        <v>High</v>
      </c>
      <c r="U135" s="1" t="str">
        <f t="shared" si="10"/>
        <v>High</v>
      </c>
      <c r="AF135" s="5">
        <v>10258</v>
      </c>
      <c r="AG135" s="1">
        <v>1683</v>
      </c>
      <c r="AH135" s="2">
        <v>44947</v>
      </c>
      <c r="AI135" s="2">
        <v>44950</v>
      </c>
      <c r="AJ135" s="1" t="s">
        <v>40</v>
      </c>
      <c r="AK135" s="1" t="s">
        <v>38</v>
      </c>
      <c r="AL135" s="1" t="s">
        <v>24</v>
      </c>
      <c r="AM135" s="1" t="s">
        <v>35</v>
      </c>
      <c r="AN135" s="1" t="s">
        <v>57</v>
      </c>
      <c r="AO135" s="1" t="s">
        <v>59</v>
      </c>
      <c r="AP135" s="1" t="s">
        <v>28</v>
      </c>
      <c r="AQ135" s="1">
        <v>7</v>
      </c>
      <c r="AR135" s="1">
        <v>1804.05</v>
      </c>
      <c r="AS135" s="1">
        <v>0</v>
      </c>
      <c r="AT135" s="1">
        <v>12628.35</v>
      </c>
      <c r="AU135" s="1">
        <v>12628.35</v>
      </c>
      <c r="AV135" s="10">
        <v>0</v>
      </c>
      <c r="AW135" s="11">
        <v>12628.35</v>
      </c>
      <c r="AX135" s="1" t="s">
        <v>159</v>
      </c>
      <c r="AY135" s="1" t="s">
        <v>159</v>
      </c>
      <c r="AZ135" s="1" t="s">
        <v>159</v>
      </c>
    </row>
    <row r="136" spans="1:52" x14ac:dyDescent="0.3">
      <c r="A136" s="5">
        <v>10135</v>
      </c>
      <c r="B136" s="1">
        <v>1838</v>
      </c>
      <c r="C136" s="2">
        <v>44981</v>
      </c>
      <c r="D136" s="2">
        <v>44990</v>
      </c>
      <c r="E136" s="1" t="s">
        <v>40</v>
      </c>
      <c r="F136" s="1" t="s">
        <v>16</v>
      </c>
      <c r="G136" s="1" t="s">
        <v>17</v>
      </c>
      <c r="H136" s="1" t="s">
        <v>25</v>
      </c>
      <c r="I136" s="1" t="s">
        <v>19</v>
      </c>
      <c r="J136" s="1" t="s">
        <v>43</v>
      </c>
      <c r="K136" s="1" t="s">
        <v>47</v>
      </c>
      <c r="L136" s="1">
        <v>6</v>
      </c>
      <c r="M136" s="1">
        <v>1919.66</v>
      </c>
      <c r="N136" s="1">
        <v>5</v>
      </c>
      <c r="O136" s="1">
        <v>10942.06</v>
      </c>
      <c r="P136" s="1">
        <f t="shared" si="11"/>
        <v>11517.960000000001</v>
      </c>
      <c r="Q136" s="10">
        <f t="shared" si="12"/>
        <v>547.10299999999995</v>
      </c>
      <c r="R136" s="11">
        <f t="shared" si="13"/>
        <v>10970.857000000002</v>
      </c>
      <c r="S136" s="1" t="str">
        <f t="shared" si="14"/>
        <v>High</v>
      </c>
      <c r="T136" s="1" t="str" cm="1">
        <f t="array" ref="T136">_xlfn.IFS(L136&gt;5,"High",L136=5,"mediam",L136&lt;5,"low")</f>
        <v>High</v>
      </c>
      <c r="U136" s="1" t="str">
        <f t="shared" si="10"/>
        <v>High</v>
      </c>
      <c r="AF136" s="5">
        <v>10263</v>
      </c>
      <c r="AG136" s="1">
        <v>1671</v>
      </c>
      <c r="AH136" s="2">
        <v>45053</v>
      </c>
      <c r="AI136" s="2">
        <v>45059</v>
      </c>
      <c r="AJ136" s="1" t="s">
        <v>40</v>
      </c>
      <c r="AK136" s="1" t="s">
        <v>38</v>
      </c>
      <c r="AL136" s="1" t="s">
        <v>30</v>
      </c>
      <c r="AM136" s="1" t="s">
        <v>35</v>
      </c>
      <c r="AN136" s="1" t="s">
        <v>49</v>
      </c>
      <c r="AO136" s="1" t="s">
        <v>63</v>
      </c>
      <c r="AP136" s="1" t="s">
        <v>33</v>
      </c>
      <c r="AQ136" s="1">
        <v>7</v>
      </c>
      <c r="AR136" s="1">
        <v>2165.86</v>
      </c>
      <c r="AS136" s="1">
        <v>0</v>
      </c>
      <c r="AT136" s="1">
        <v>15161.02</v>
      </c>
      <c r="AU136" s="1">
        <v>15161.02</v>
      </c>
      <c r="AV136" s="10">
        <v>0</v>
      </c>
      <c r="AW136" s="11">
        <v>15161.02</v>
      </c>
      <c r="AX136" s="1" t="s">
        <v>159</v>
      </c>
      <c r="AY136" s="1" t="s">
        <v>159</v>
      </c>
      <c r="AZ136" s="1" t="s">
        <v>159</v>
      </c>
    </row>
    <row r="137" spans="1:52" x14ac:dyDescent="0.3">
      <c r="A137" s="5">
        <v>10136</v>
      </c>
      <c r="B137" s="1">
        <v>1520</v>
      </c>
      <c r="C137" s="2">
        <v>45180</v>
      </c>
      <c r="D137" s="2">
        <v>45181</v>
      </c>
      <c r="E137" s="1" t="s">
        <v>46</v>
      </c>
      <c r="F137" s="1" t="s">
        <v>23</v>
      </c>
      <c r="G137" s="1" t="s">
        <v>17</v>
      </c>
      <c r="H137" s="1" t="s">
        <v>25</v>
      </c>
      <c r="I137" s="1" t="s">
        <v>31</v>
      </c>
      <c r="J137" s="1" t="s">
        <v>39</v>
      </c>
      <c r="K137" s="1" t="s">
        <v>33</v>
      </c>
      <c r="L137" s="1">
        <v>6</v>
      </c>
      <c r="M137" s="1">
        <v>1809.29</v>
      </c>
      <c r="N137" s="1">
        <v>0</v>
      </c>
      <c r="O137" s="1">
        <v>10855.74</v>
      </c>
      <c r="P137" s="1">
        <f t="shared" si="11"/>
        <v>10855.74</v>
      </c>
      <c r="Q137" s="10">
        <f t="shared" si="12"/>
        <v>0</v>
      </c>
      <c r="R137" s="11">
        <f t="shared" si="13"/>
        <v>10855.74</v>
      </c>
      <c r="S137" s="1" t="str">
        <f t="shared" si="14"/>
        <v>High</v>
      </c>
      <c r="T137" s="1" t="str" cm="1">
        <f t="array" ref="T137">_xlfn.IFS(L137&gt;5,"High",L137=5,"mediam",L137&lt;5,"low")</f>
        <v>High</v>
      </c>
      <c r="U137" s="1" t="str">
        <f t="shared" ref="U137:U200" si="15">IF(L137&gt;5,"High",IF(L137="Mediam","Low"))</f>
        <v>High</v>
      </c>
      <c r="AF137" s="5">
        <v>10266</v>
      </c>
      <c r="AG137" s="1">
        <v>1232</v>
      </c>
      <c r="AH137" s="2">
        <v>45129</v>
      </c>
      <c r="AI137" s="2">
        <v>45134</v>
      </c>
      <c r="AJ137" s="1" t="s">
        <v>40</v>
      </c>
      <c r="AK137" s="1" t="s">
        <v>16</v>
      </c>
      <c r="AL137" s="1" t="s">
        <v>30</v>
      </c>
      <c r="AM137" s="1" t="s">
        <v>35</v>
      </c>
      <c r="AN137" s="1" t="s">
        <v>26</v>
      </c>
      <c r="AO137" s="1" t="s">
        <v>61</v>
      </c>
      <c r="AP137" s="1" t="s">
        <v>33</v>
      </c>
      <c r="AQ137" s="1">
        <v>8</v>
      </c>
      <c r="AR137" s="1">
        <v>2045.09</v>
      </c>
      <c r="AS137" s="1">
        <v>10</v>
      </c>
      <c r="AT137" s="1">
        <v>14724.65</v>
      </c>
      <c r="AU137" s="1">
        <v>16360.72</v>
      </c>
      <c r="AV137" s="10">
        <v>1472.4650000000001</v>
      </c>
      <c r="AW137" s="11">
        <v>14888.254999999999</v>
      </c>
      <c r="AX137" s="1" t="s">
        <v>159</v>
      </c>
      <c r="AY137" s="1" t="s">
        <v>159</v>
      </c>
      <c r="AZ137" s="1" t="s">
        <v>159</v>
      </c>
    </row>
    <row r="138" spans="1:52" x14ac:dyDescent="0.3">
      <c r="A138" s="5">
        <v>10137</v>
      </c>
      <c r="B138" s="1">
        <v>1343</v>
      </c>
      <c r="C138" s="2">
        <v>44950</v>
      </c>
      <c r="D138" s="2">
        <v>44958</v>
      </c>
      <c r="E138" s="1" t="s">
        <v>22</v>
      </c>
      <c r="F138" s="1" t="s">
        <v>41</v>
      </c>
      <c r="G138" s="1" t="s">
        <v>24</v>
      </c>
      <c r="H138" s="1" t="s">
        <v>42</v>
      </c>
      <c r="I138" s="1" t="s">
        <v>49</v>
      </c>
      <c r="J138" s="1" t="s">
        <v>50</v>
      </c>
      <c r="K138" s="1" t="s">
        <v>45</v>
      </c>
      <c r="L138" s="1">
        <v>2</v>
      </c>
      <c r="M138" s="1">
        <v>1322.3</v>
      </c>
      <c r="N138" s="1">
        <v>15</v>
      </c>
      <c r="O138" s="1">
        <v>2247.91</v>
      </c>
      <c r="P138" s="1">
        <f t="shared" si="11"/>
        <v>2644.6</v>
      </c>
      <c r="Q138" s="10">
        <f t="shared" si="12"/>
        <v>337.18649999999997</v>
      </c>
      <c r="R138" s="11">
        <f t="shared" si="13"/>
        <v>2307.4135000000001</v>
      </c>
      <c r="S138" s="1" t="str">
        <f t="shared" si="14"/>
        <v>Low</v>
      </c>
      <c r="T138" s="1" t="str" cm="1">
        <f t="array" ref="T138">_xlfn.IFS(L138&gt;5,"High",L138=5,"mediam",L138&lt;5,"low")</f>
        <v>low</v>
      </c>
      <c r="U138" s="1" t="b">
        <f t="shared" si="15"/>
        <v>0</v>
      </c>
      <c r="AF138" s="5">
        <v>10269</v>
      </c>
      <c r="AG138" s="1">
        <v>1829</v>
      </c>
      <c r="AH138" s="2">
        <v>45125</v>
      </c>
      <c r="AI138" s="2">
        <v>45132</v>
      </c>
      <c r="AJ138" s="1" t="s">
        <v>15</v>
      </c>
      <c r="AK138" s="1" t="s">
        <v>41</v>
      </c>
      <c r="AL138" s="1" t="s">
        <v>24</v>
      </c>
      <c r="AM138" s="1" t="s">
        <v>35</v>
      </c>
      <c r="AN138" s="1" t="s">
        <v>49</v>
      </c>
      <c r="AO138" s="1" t="s">
        <v>51</v>
      </c>
      <c r="AP138" s="1" t="s">
        <v>47</v>
      </c>
      <c r="AQ138" s="1">
        <v>5</v>
      </c>
      <c r="AR138" s="1">
        <v>3156.54</v>
      </c>
      <c r="AS138" s="1">
        <v>20</v>
      </c>
      <c r="AT138" s="1">
        <v>12626.16</v>
      </c>
      <c r="AU138" s="1">
        <v>15782.7</v>
      </c>
      <c r="AV138" s="10">
        <v>2525.232</v>
      </c>
      <c r="AW138" s="11">
        <v>13257.468000000001</v>
      </c>
      <c r="AX138" s="1" t="s">
        <v>159</v>
      </c>
      <c r="AY138" s="1" t="s">
        <v>160</v>
      </c>
      <c r="AZ138" s="1" t="b">
        <v>0</v>
      </c>
    </row>
    <row r="139" spans="1:52" x14ac:dyDescent="0.3">
      <c r="A139" s="5">
        <v>10138</v>
      </c>
      <c r="B139" s="1">
        <v>1128</v>
      </c>
      <c r="C139" s="2">
        <v>45088</v>
      </c>
      <c r="D139" s="2">
        <v>45093</v>
      </c>
      <c r="E139" s="1" t="s">
        <v>22</v>
      </c>
      <c r="F139" s="1" t="s">
        <v>29</v>
      </c>
      <c r="G139" s="1" t="s">
        <v>17</v>
      </c>
      <c r="H139" s="1" t="s">
        <v>35</v>
      </c>
      <c r="I139" s="1" t="s">
        <v>52</v>
      </c>
      <c r="J139" s="1" t="s">
        <v>53</v>
      </c>
      <c r="K139" s="1" t="s">
        <v>21</v>
      </c>
      <c r="L139" s="1">
        <v>1</v>
      </c>
      <c r="M139" s="1">
        <v>912.67</v>
      </c>
      <c r="N139" s="1">
        <v>0</v>
      </c>
      <c r="O139" s="1">
        <v>912.67</v>
      </c>
      <c r="P139" s="1">
        <f t="shared" si="11"/>
        <v>912.67</v>
      </c>
      <c r="Q139" s="10">
        <f t="shared" si="12"/>
        <v>0</v>
      </c>
      <c r="R139" s="11">
        <f t="shared" si="13"/>
        <v>912.67</v>
      </c>
      <c r="S139" s="1" t="str">
        <f t="shared" si="14"/>
        <v>Low</v>
      </c>
      <c r="T139" s="1" t="str" cm="1">
        <f t="array" ref="T139">_xlfn.IFS(L139&gt;5,"High",L139=5,"mediam",L139&lt;5,"low")</f>
        <v>low</v>
      </c>
      <c r="U139" s="1" t="b">
        <f t="shared" si="15"/>
        <v>0</v>
      </c>
      <c r="AF139" s="5">
        <v>10270</v>
      </c>
      <c r="AG139" s="1">
        <v>1496</v>
      </c>
      <c r="AH139" s="2">
        <v>45080</v>
      </c>
      <c r="AI139" s="2">
        <v>45086</v>
      </c>
      <c r="AJ139" s="1" t="s">
        <v>22</v>
      </c>
      <c r="AK139" s="1" t="s">
        <v>29</v>
      </c>
      <c r="AL139" s="1" t="s">
        <v>24</v>
      </c>
      <c r="AM139" s="1" t="s">
        <v>35</v>
      </c>
      <c r="AN139" s="1" t="s">
        <v>31</v>
      </c>
      <c r="AO139" s="1" t="s">
        <v>65</v>
      </c>
      <c r="AP139" s="1" t="s">
        <v>45</v>
      </c>
      <c r="AQ139" s="1">
        <v>6</v>
      </c>
      <c r="AR139" s="1">
        <v>3197.13</v>
      </c>
      <c r="AS139" s="1">
        <v>10</v>
      </c>
      <c r="AT139" s="1">
        <v>17264.5</v>
      </c>
      <c r="AU139" s="1">
        <v>19182.78</v>
      </c>
      <c r="AV139" s="10">
        <v>1726.45</v>
      </c>
      <c r="AW139" s="11">
        <v>17456.329999999998</v>
      </c>
      <c r="AX139" s="1" t="s">
        <v>159</v>
      </c>
      <c r="AY139" s="1" t="s">
        <v>159</v>
      </c>
      <c r="AZ139" s="1" t="s">
        <v>159</v>
      </c>
    </row>
    <row r="140" spans="1:52" x14ac:dyDescent="0.3">
      <c r="A140" s="5">
        <v>10139</v>
      </c>
      <c r="B140" s="1">
        <v>1647</v>
      </c>
      <c r="C140" s="2">
        <v>45084</v>
      </c>
      <c r="D140" s="2">
        <v>45087</v>
      </c>
      <c r="E140" s="1" t="s">
        <v>46</v>
      </c>
      <c r="F140" s="1" t="s">
        <v>23</v>
      </c>
      <c r="G140" s="1" t="s">
        <v>17</v>
      </c>
      <c r="H140" s="1" t="s">
        <v>42</v>
      </c>
      <c r="I140" s="1" t="s">
        <v>52</v>
      </c>
      <c r="J140" s="1" t="s">
        <v>53</v>
      </c>
      <c r="K140" s="1" t="s">
        <v>45</v>
      </c>
      <c r="L140" s="1">
        <v>2</v>
      </c>
      <c r="M140" s="1">
        <v>402.91</v>
      </c>
      <c r="N140" s="1">
        <v>10</v>
      </c>
      <c r="O140" s="1">
        <v>725.24</v>
      </c>
      <c r="P140" s="1">
        <f t="shared" si="11"/>
        <v>805.82</v>
      </c>
      <c r="Q140" s="10">
        <f t="shared" si="12"/>
        <v>72.524000000000001</v>
      </c>
      <c r="R140" s="11">
        <f t="shared" si="13"/>
        <v>733.29600000000005</v>
      </c>
      <c r="S140" s="1" t="str">
        <f t="shared" si="14"/>
        <v>Low</v>
      </c>
      <c r="T140" s="1" t="str" cm="1">
        <f t="array" ref="T140">_xlfn.IFS(L140&gt;5,"High",L140=5,"mediam",L140&lt;5,"low")</f>
        <v>low</v>
      </c>
      <c r="U140" s="1" t="b">
        <f t="shared" si="15"/>
        <v>0</v>
      </c>
      <c r="AF140" s="5">
        <v>10279</v>
      </c>
      <c r="AG140" s="1">
        <v>1612</v>
      </c>
      <c r="AH140" s="2">
        <v>45013</v>
      </c>
      <c r="AI140" s="2">
        <v>45018</v>
      </c>
      <c r="AJ140" s="1" t="s">
        <v>34</v>
      </c>
      <c r="AK140" s="1" t="s">
        <v>29</v>
      </c>
      <c r="AL140" s="1" t="s">
        <v>24</v>
      </c>
      <c r="AM140" s="1" t="s">
        <v>35</v>
      </c>
      <c r="AN140" s="1" t="s">
        <v>52</v>
      </c>
      <c r="AO140" s="1" t="s">
        <v>60</v>
      </c>
      <c r="AP140" s="1" t="s">
        <v>28</v>
      </c>
      <c r="AQ140" s="1">
        <v>6</v>
      </c>
      <c r="AR140" s="1">
        <v>3574.87</v>
      </c>
      <c r="AS140" s="1">
        <v>0</v>
      </c>
      <c r="AT140" s="1">
        <v>21449.22</v>
      </c>
      <c r="AU140" s="1">
        <v>21449.22</v>
      </c>
      <c r="AV140" s="10">
        <v>0</v>
      </c>
      <c r="AW140" s="11">
        <v>21449.22</v>
      </c>
      <c r="AX140" s="1" t="s">
        <v>159</v>
      </c>
      <c r="AY140" s="1" t="s">
        <v>159</v>
      </c>
      <c r="AZ140" s="1" t="s">
        <v>159</v>
      </c>
    </row>
    <row r="141" spans="1:52" x14ac:dyDescent="0.3">
      <c r="A141" s="5">
        <v>10140</v>
      </c>
      <c r="B141" s="1">
        <v>1471</v>
      </c>
      <c r="C141" s="2">
        <v>45008</v>
      </c>
      <c r="D141" s="2">
        <v>45015</v>
      </c>
      <c r="E141" s="1" t="s">
        <v>16</v>
      </c>
      <c r="F141" s="1" t="s">
        <v>54</v>
      </c>
      <c r="G141" s="1" t="s">
        <v>30</v>
      </c>
      <c r="H141" s="1" t="s">
        <v>42</v>
      </c>
      <c r="I141" s="1" t="s">
        <v>57</v>
      </c>
      <c r="J141" s="1" t="s">
        <v>59</v>
      </c>
      <c r="K141" s="1" t="s">
        <v>47</v>
      </c>
      <c r="L141" s="1">
        <v>4</v>
      </c>
      <c r="M141" s="1">
        <v>3565.41</v>
      </c>
      <c r="N141" s="1">
        <v>20</v>
      </c>
      <c r="O141" s="1">
        <v>11409.31</v>
      </c>
      <c r="P141" s="1">
        <f t="shared" si="11"/>
        <v>14261.64</v>
      </c>
      <c r="Q141" s="10">
        <f t="shared" si="12"/>
        <v>2281.8620000000001</v>
      </c>
      <c r="R141" s="11">
        <f t="shared" si="13"/>
        <v>11979.777999999998</v>
      </c>
      <c r="S141" s="1" t="str">
        <f t="shared" si="14"/>
        <v>Low</v>
      </c>
      <c r="T141" s="1" t="str" cm="1">
        <f t="array" ref="T141">_xlfn.IFS(L141&gt;5,"High",L141=5,"mediam",L141&lt;5,"low")</f>
        <v>low</v>
      </c>
      <c r="U141" s="1" t="b">
        <f t="shared" si="15"/>
        <v>0</v>
      </c>
      <c r="AF141" s="5">
        <v>10284</v>
      </c>
      <c r="AG141" s="1">
        <v>1112</v>
      </c>
      <c r="AH141" s="2">
        <v>45087</v>
      </c>
      <c r="AI141" s="2">
        <v>45093</v>
      </c>
      <c r="AJ141" s="1" t="s">
        <v>34</v>
      </c>
      <c r="AK141" s="1" t="s">
        <v>41</v>
      </c>
      <c r="AL141" s="1" t="s">
        <v>24</v>
      </c>
      <c r="AM141" s="1" t="s">
        <v>35</v>
      </c>
      <c r="AN141" s="1" t="s">
        <v>49</v>
      </c>
      <c r="AO141" s="1" t="s">
        <v>51</v>
      </c>
      <c r="AP141" s="1" t="s">
        <v>28</v>
      </c>
      <c r="AQ141" s="1">
        <v>6</v>
      </c>
      <c r="AR141" s="1">
        <v>1605.69</v>
      </c>
      <c r="AS141" s="1">
        <v>15</v>
      </c>
      <c r="AT141" s="1">
        <v>8189.02</v>
      </c>
      <c r="AU141" s="1">
        <v>9634.14</v>
      </c>
      <c r="AV141" s="10">
        <v>1228.3530000000001</v>
      </c>
      <c r="AW141" s="11">
        <v>8405.7870000000003</v>
      </c>
      <c r="AX141" s="1" t="s">
        <v>159</v>
      </c>
      <c r="AY141" s="1" t="s">
        <v>159</v>
      </c>
      <c r="AZ141" s="1" t="s">
        <v>159</v>
      </c>
    </row>
    <row r="142" spans="1:52" x14ac:dyDescent="0.3">
      <c r="A142" s="5">
        <v>10141</v>
      </c>
      <c r="B142" s="1">
        <v>1062</v>
      </c>
      <c r="C142" s="2">
        <v>45085</v>
      </c>
      <c r="D142" s="2">
        <v>45092</v>
      </c>
      <c r="E142" s="1" t="s">
        <v>37</v>
      </c>
      <c r="F142" s="1" t="s">
        <v>29</v>
      </c>
      <c r="G142" s="1" t="s">
        <v>17</v>
      </c>
      <c r="H142" s="1" t="s">
        <v>25</v>
      </c>
      <c r="I142" s="1" t="s">
        <v>31</v>
      </c>
      <c r="J142" s="1" t="s">
        <v>39</v>
      </c>
      <c r="K142" s="1" t="s">
        <v>28</v>
      </c>
      <c r="L142" s="1">
        <v>2</v>
      </c>
      <c r="M142" s="1">
        <v>1766.42</v>
      </c>
      <c r="N142" s="1">
        <v>10</v>
      </c>
      <c r="O142" s="1">
        <v>3179.56</v>
      </c>
      <c r="P142" s="1">
        <f t="shared" si="11"/>
        <v>3532.84</v>
      </c>
      <c r="Q142" s="10">
        <f t="shared" si="12"/>
        <v>317.95600000000002</v>
      </c>
      <c r="R142" s="11">
        <f t="shared" si="13"/>
        <v>3214.884</v>
      </c>
      <c r="S142" s="1" t="str">
        <f t="shared" si="14"/>
        <v>Low</v>
      </c>
      <c r="T142" s="1" t="str" cm="1">
        <f t="array" ref="T142">_xlfn.IFS(L142&gt;5,"High",L142=5,"mediam",L142&lt;5,"low")</f>
        <v>low</v>
      </c>
      <c r="U142" s="1" t="b">
        <f t="shared" si="15"/>
        <v>0</v>
      </c>
      <c r="AF142" s="5">
        <v>10292</v>
      </c>
      <c r="AG142" s="1">
        <v>1224</v>
      </c>
      <c r="AH142" s="2">
        <v>45078</v>
      </c>
      <c r="AI142" s="2">
        <v>45083</v>
      </c>
      <c r="AJ142" s="1" t="s">
        <v>22</v>
      </c>
      <c r="AK142" s="1" t="s">
        <v>23</v>
      </c>
      <c r="AL142" s="1" t="s">
        <v>24</v>
      </c>
      <c r="AM142" s="1" t="s">
        <v>35</v>
      </c>
      <c r="AN142" s="1" t="s">
        <v>57</v>
      </c>
      <c r="AO142" s="1" t="s">
        <v>67</v>
      </c>
      <c r="AP142" s="1" t="s">
        <v>21</v>
      </c>
      <c r="AQ142" s="1">
        <v>6</v>
      </c>
      <c r="AR142" s="1">
        <v>1116.6600000000001</v>
      </c>
      <c r="AS142" s="1">
        <v>0</v>
      </c>
      <c r="AT142" s="1">
        <v>6699.96</v>
      </c>
      <c r="AU142" s="1">
        <v>6699.9600000000009</v>
      </c>
      <c r="AV142" s="10">
        <v>0</v>
      </c>
      <c r="AW142" s="11">
        <v>6699.9600000000009</v>
      </c>
      <c r="AX142" s="1" t="s">
        <v>159</v>
      </c>
      <c r="AY142" s="1" t="s">
        <v>159</v>
      </c>
      <c r="AZ142" s="1" t="s">
        <v>159</v>
      </c>
    </row>
    <row r="143" spans="1:52" x14ac:dyDescent="0.3">
      <c r="A143" s="5">
        <v>10142</v>
      </c>
      <c r="B143" s="1">
        <v>1138</v>
      </c>
      <c r="C143" s="2">
        <v>45114</v>
      </c>
      <c r="D143" s="2">
        <v>45123</v>
      </c>
      <c r="E143" s="1" t="s">
        <v>16</v>
      </c>
      <c r="F143" s="1" t="s">
        <v>38</v>
      </c>
      <c r="G143" s="1" t="s">
        <v>17</v>
      </c>
      <c r="H143" s="1" t="s">
        <v>42</v>
      </c>
      <c r="I143" s="1" t="s">
        <v>49</v>
      </c>
      <c r="J143" s="1" t="s">
        <v>51</v>
      </c>
      <c r="K143" s="1" t="s">
        <v>33</v>
      </c>
      <c r="L143" s="1">
        <v>1</v>
      </c>
      <c r="M143" s="1">
        <v>2063.0500000000002</v>
      </c>
      <c r="N143" s="1">
        <v>0</v>
      </c>
      <c r="O143" s="1">
        <v>2063.0500000000002</v>
      </c>
      <c r="P143" s="1">
        <f t="shared" si="11"/>
        <v>2063.0500000000002</v>
      </c>
      <c r="Q143" s="10">
        <f t="shared" si="12"/>
        <v>0</v>
      </c>
      <c r="R143" s="11">
        <f t="shared" si="13"/>
        <v>2063.0500000000002</v>
      </c>
      <c r="S143" s="1" t="str">
        <f t="shared" si="14"/>
        <v>Low</v>
      </c>
      <c r="T143" s="1" t="str" cm="1">
        <f t="array" ref="T143">_xlfn.IFS(L143&gt;5,"High",L143=5,"mediam",L143&lt;5,"low")</f>
        <v>low</v>
      </c>
      <c r="U143" s="1" t="b">
        <f t="shared" si="15"/>
        <v>0</v>
      </c>
      <c r="AF143" s="5">
        <v>10294</v>
      </c>
      <c r="AG143" s="1">
        <v>1402</v>
      </c>
      <c r="AH143" s="2">
        <v>44987</v>
      </c>
      <c r="AI143" s="2">
        <v>44994</v>
      </c>
      <c r="AJ143" s="1" t="s">
        <v>22</v>
      </c>
      <c r="AK143" s="1" t="s">
        <v>16</v>
      </c>
      <c r="AL143" s="1" t="s">
        <v>24</v>
      </c>
      <c r="AM143" s="1" t="s">
        <v>35</v>
      </c>
      <c r="AN143" s="1" t="s">
        <v>19</v>
      </c>
      <c r="AO143" s="1" t="s">
        <v>43</v>
      </c>
      <c r="AP143" s="1" t="s">
        <v>45</v>
      </c>
      <c r="AQ143" s="1">
        <v>3</v>
      </c>
      <c r="AR143" s="1">
        <v>967.49</v>
      </c>
      <c r="AS143" s="1">
        <v>0</v>
      </c>
      <c r="AT143" s="1">
        <v>2902.47</v>
      </c>
      <c r="AU143" s="1">
        <v>2902.4700000000003</v>
      </c>
      <c r="AV143" s="10">
        <v>0</v>
      </c>
      <c r="AW143" s="11">
        <v>2902.4700000000003</v>
      </c>
      <c r="AX143" s="1" t="s">
        <v>161</v>
      </c>
      <c r="AY143" s="1" t="s">
        <v>162</v>
      </c>
      <c r="AZ143" s="1" t="b">
        <v>0</v>
      </c>
    </row>
    <row r="144" spans="1:52" x14ac:dyDescent="0.3">
      <c r="A144" s="5">
        <v>10143</v>
      </c>
      <c r="B144" s="1">
        <v>1498</v>
      </c>
      <c r="C144" s="2">
        <v>44986</v>
      </c>
      <c r="D144" s="2">
        <v>44993</v>
      </c>
      <c r="E144" s="1" t="s">
        <v>37</v>
      </c>
      <c r="F144" s="1" t="s">
        <v>54</v>
      </c>
      <c r="G144" s="1" t="s">
        <v>30</v>
      </c>
      <c r="H144" s="1" t="s">
        <v>25</v>
      </c>
      <c r="I144" s="1" t="s">
        <v>57</v>
      </c>
      <c r="J144" s="1" t="s">
        <v>58</v>
      </c>
      <c r="K144" s="1" t="s">
        <v>21</v>
      </c>
      <c r="L144" s="1">
        <v>7</v>
      </c>
      <c r="M144" s="1">
        <v>3680.23</v>
      </c>
      <c r="N144" s="1">
        <v>5</v>
      </c>
      <c r="O144" s="1">
        <v>24473.53</v>
      </c>
      <c r="P144" s="1">
        <f t="shared" si="11"/>
        <v>25761.61</v>
      </c>
      <c r="Q144" s="10">
        <f t="shared" si="12"/>
        <v>1223.6765</v>
      </c>
      <c r="R144" s="11">
        <f t="shared" si="13"/>
        <v>24537.933499999999</v>
      </c>
      <c r="S144" s="1" t="str">
        <f t="shared" si="14"/>
        <v>High</v>
      </c>
      <c r="T144" s="1" t="str" cm="1">
        <f t="array" ref="T144">_xlfn.IFS(L144&gt;5,"High",L144=5,"mediam",L144&lt;5,"low")</f>
        <v>High</v>
      </c>
      <c r="U144" s="1" t="str">
        <f t="shared" si="15"/>
        <v>High</v>
      </c>
      <c r="AF144" s="5">
        <v>10296</v>
      </c>
      <c r="AG144" s="1">
        <v>1129</v>
      </c>
      <c r="AH144" s="2">
        <v>44954</v>
      </c>
      <c r="AI144" s="2">
        <v>44957</v>
      </c>
      <c r="AJ144" s="1" t="s">
        <v>16</v>
      </c>
      <c r="AK144" s="1" t="s">
        <v>16</v>
      </c>
      <c r="AL144" s="1" t="s">
        <v>17</v>
      </c>
      <c r="AM144" s="1" t="s">
        <v>35</v>
      </c>
      <c r="AN144" s="1" t="s">
        <v>31</v>
      </c>
      <c r="AO144" s="1" t="s">
        <v>48</v>
      </c>
      <c r="AP144" s="1" t="s">
        <v>47</v>
      </c>
      <c r="AQ144" s="1">
        <v>5</v>
      </c>
      <c r="AR144" s="1">
        <v>2850.33</v>
      </c>
      <c r="AS144" s="1">
        <v>5</v>
      </c>
      <c r="AT144" s="1">
        <v>13539.07</v>
      </c>
      <c r="AU144" s="1">
        <v>14251.65</v>
      </c>
      <c r="AV144" s="10">
        <v>676.95350000000008</v>
      </c>
      <c r="AW144" s="11">
        <v>13574.6965</v>
      </c>
      <c r="AX144" s="1" t="s">
        <v>159</v>
      </c>
      <c r="AY144" s="1" t="s">
        <v>160</v>
      </c>
      <c r="AZ144" s="1" t="b">
        <v>0</v>
      </c>
    </row>
    <row r="145" spans="1:52" x14ac:dyDescent="0.3">
      <c r="A145" s="5">
        <v>10144</v>
      </c>
      <c r="B145" s="1">
        <v>1592</v>
      </c>
      <c r="C145" s="2">
        <v>45231</v>
      </c>
      <c r="D145" s="2">
        <v>45234</v>
      </c>
      <c r="E145" s="1" t="s">
        <v>40</v>
      </c>
      <c r="F145" s="1" t="s">
        <v>54</v>
      </c>
      <c r="G145" s="1" t="s">
        <v>30</v>
      </c>
      <c r="H145" s="1" t="s">
        <v>18</v>
      </c>
      <c r="I145" s="1" t="s">
        <v>19</v>
      </c>
      <c r="J145" s="1" t="s">
        <v>55</v>
      </c>
      <c r="K145" s="1" t="s">
        <v>33</v>
      </c>
      <c r="L145" s="1">
        <v>8</v>
      </c>
      <c r="M145" s="1">
        <v>3138.72</v>
      </c>
      <c r="N145" s="1">
        <v>20</v>
      </c>
      <c r="O145" s="1">
        <v>20087.810000000001</v>
      </c>
      <c r="P145" s="1">
        <f t="shared" si="11"/>
        <v>25109.759999999998</v>
      </c>
      <c r="Q145" s="10">
        <f t="shared" si="12"/>
        <v>4017.5620000000004</v>
      </c>
      <c r="R145" s="11">
        <f t="shared" si="13"/>
        <v>21092.197999999997</v>
      </c>
      <c r="S145" s="1" t="str">
        <f t="shared" si="14"/>
        <v>High</v>
      </c>
      <c r="T145" s="1" t="str" cm="1">
        <f t="array" ref="T145">_xlfn.IFS(L145&gt;5,"High",L145=5,"mediam",L145&lt;5,"low")</f>
        <v>High</v>
      </c>
      <c r="U145" s="1" t="str">
        <f t="shared" si="15"/>
        <v>High</v>
      </c>
      <c r="AF145" s="5">
        <v>10305</v>
      </c>
      <c r="AG145" s="1">
        <v>1438</v>
      </c>
      <c r="AH145" s="2">
        <v>44991</v>
      </c>
      <c r="AI145" s="2">
        <v>44993</v>
      </c>
      <c r="AJ145" s="1" t="s">
        <v>46</v>
      </c>
      <c r="AK145" s="1" t="s">
        <v>41</v>
      </c>
      <c r="AL145" s="1" t="s">
        <v>17</v>
      </c>
      <c r="AM145" s="1" t="s">
        <v>35</v>
      </c>
      <c r="AN145" s="1" t="s">
        <v>31</v>
      </c>
      <c r="AO145" s="1" t="s">
        <v>48</v>
      </c>
      <c r="AP145" s="1" t="s">
        <v>21</v>
      </c>
      <c r="AQ145" s="1">
        <v>2</v>
      </c>
      <c r="AR145" s="1">
        <v>3256.02</v>
      </c>
      <c r="AS145" s="1">
        <v>20</v>
      </c>
      <c r="AT145" s="1">
        <v>5209.63</v>
      </c>
      <c r="AU145" s="1">
        <v>6512.04</v>
      </c>
      <c r="AV145" s="10">
        <v>1041.9260000000002</v>
      </c>
      <c r="AW145" s="11">
        <v>5470.1139999999996</v>
      </c>
      <c r="AX145" s="1" t="s">
        <v>161</v>
      </c>
      <c r="AY145" s="1" t="s">
        <v>162</v>
      </c>
      <c r="AZ145" s="1" t="b">
        <v>0</v>
      </c>
    </row>
    <row r="146" spans="1:52" x14ac:dyDescent="0.3">
      <c r="A146" s="5">
        <v>10145</v>
      </c>
      <c r="B146" s="1">
        <v>1391</v>
      </c>
      <c r="C146" s="2">
        <v>45245</v>
      </c>
      <c r="D146" s="2">
        <v>45246</v>
      </c>
      <c r="E146" s="1" t="s">
        <v>37</v>
      </c>
      <c r="F146" s="1" t="s">
        <v>38</v>
      </c>
      <c r="G146" s="1" t="s">
        <v>24</v>
      </c>
      <c r="H146" s="1" t="s">
        <v>35</v>
      </c>
      <c r="I146" s="1" t="s">
        <v>57</v>
      </c>
      <c r="J146" s="1" t="s">
        <v>59</v>
      </c>
      <c r="K146" s="1" t="s">
        <v>47</v>
      </c>
      <c r="L146" s="1">
        <v>6</v>
      </c>
      <c r="M146" s="1">
        <v>652.42999999999995</v>
      </c>
      <c r="N146" s="1">
        <v>10</v>
      </c>
      <c r="O146" s="1">
        <v>3523.12</v>
      </c>
      <c r="P146" s="1">
        <f t="shared" si="11"/>
        <v>3914.58</v>
      </c>
      <c r="Q146" s="10">
        <f t="shared" si="12"/>
        <v>352.31200000000001</v>
      </c>
      <c r="R146" s="11">
        <f t="shared" si="13"/>
        <v>3562.268</v>
      </c>
      <c r="S146" s="1" t="str">
        <f t="shared" si="14"/>
        <v>High</v>
      </c>
      <c r="T146" s="1" t="str" cm="1">
        <f t="array" ref="T146">_xlfn.IFS(L146&gt;5,"High",L146=5,"mediam",L146&lt;5,"low")</f>
        <v>High</v>
      </c>
      <c r="U146" s="1" t="str">
        <f t="shared" si="15"/>
        <v>High</v>
      </c>
      <c r="AF146" s="5">
        <v>10313</v>
      </c>
      <c r="AG146" s="1">
        <v>1836</v>
      </c>
      <c r="AH146" s="2">
        <v>44992</v>
      </c>
      <c r="AI146" s="2">
        <v>44997</v>
      </c>
      <c r="AJ146" s="1" t="s">
        <v>40</v>
      </c>
      <c r="AK146" s="1" t="s">
        <v>41</v>
      </c>
      <c r="AL146" s="1" t="s">
        <v>17</v>
      </c>
      <c r="AM146" s="1" t="s">
        <v>35</v>
      </c>
      <c r="AN146" s="1" t="s">
        <v>57</v>
      </c>
      <c r="AO146" s="1" t="s">
        <v>62</v>
      </c>
      <c r="AP146" s="1" t="s">
        <v>45</v>
      </c>
      <c r="AQ146" s="1">
        <v>1</v>
      </c>
      <c r="AR146" s="1">
        <v>3251.27</v>
      </c>
      <c r="AS146" s="1">
        <v>15</v>
      </c>
      <c r="AT146" s="1">
        <v>2763.58</v>
      </c>
      <c r="AU146" s="1">
        <v>3251.27</v>
      </c>
      <c r="AV146" s="10">
        <v>414.53699999999998</v>
      </c>
      <c r="AW146" s="11">
        <v>2836.7330000000002</v>
      </c>
      <c r="AX146" s="1" t="s">
        <v>161</v>
      </c>
      <c r="AY146" s="1" t="s">
        <v>162</v>
      </c>
      <c r="AZ146" s="1" t="b">
        <v>0</v>
      </c>
    </row>
    <row r="147" spans="1:52" x14ac:dyDescent="0.3">
      <c r="A147" s="5">
        <v>10146</v>
      </c>
      <c r="B147" s="1">
        <v>1674</v>
      </c>
      <c r="C147" s="2">
        <v>45137</v>
      </c>
      <c r="D147" s="2">
        <v>45145</v>
      </c>
      <c r="E147" s="1" t="s">
        <v>40</v>
      </c>
      <c r="F147" s="1" t="s">
        <v>41</v>
      </c>
      <c r="G147" s="1" t="s">
        <v>30</v>
      </c>
      <c r="H147" s="1" t="s">
        <v>42</v>
      </c>
      <c r="I147" s="1" t="s">
        <v>57</v>
      </c>
      <c r="J147" s="1" t="s">
        <v>62</v>
      </c>
      <c r="K147" s="1" t="s">
        <v>33</v>
      </c>
      <c r="L147" s="1">
        <v>4</v>
      </c>
      <c r="M147" s="1">
        <v>2326.87</v>
      </c>
      <c r="N147" s="1">
        <v>15</v>
      </c>
      <c r="O147" s="1">
        <v>7911.36</v>
      </c>
      <c r="P147" s="1">
        <f t="shared" si="11"/>
        <v>9307.48</v>
      </c>
      <c r="Q147" s="10">
        <f t="shared" si="12"/>
        <v>1186.704</v>
      </c>
      <c r="R147" s="11">
        <f t="shared" si="13"/>
        <v>8120.7759999999998</v>
      </c>
      <c r="S147" s="1" t="str">
        <f t="shared" si="14"/>
        <v>Low</v>
      </c>
      <c r="T147" s="1" t="str" cm="1">
        <f t="array" ref="T147">_xlfn.IFS(L147&gt;5,"High",L147=5,"mediam",L147&lt;5,"low")</f>
        <v>low</v>
      </c>
      <c r="U147" s="1" t="b">
        <f t="shared" si="15"/>
        <v>0</v>
      </c>
      <c r="AF147" s="5">
        <v>10318</v>
      </c>
      <c r="AG147" s="1">
        <v>1906</v>
      </c>
      <c r="AH147" s="2">
        <v>45093</v>
      </c>
      <c r="AI147" s="2">
        <v>45097</v>
      </c>
      <c r="AJ147" s="1" t="s">
        <v>15</v>
      </c>
      <c r="AK147" s="1" t="s">
        <v>23</v>
      </c>
      <c r="AL147" s="1" t="s">
        <v>30</v>
      </c>
      <c r="AM147" s="1" t="s">
        <v>35</v>
      </c>
      <c r="AN147" s="1" t="s">
        <v>49</v>
      </c>
      <c r="AO147" s="1" t="s">
        <v>68</v>
      </c>
      <c r="AP147" s="1" t="s">
        <v>21</v>
      </c>
      <c r="AQ147" s="1">
        <v>7</v>
      </c>
      <c r="AR147" s="1">
        <v>245.03</v>
      </c>
      <c r="AS147" s="1">
        <v>0</v>
      </c>
      <c r="AT147" s="1">
        <v>1715.21</v>
      </c>
      <c r="AU147" s="1">
        <v>1715.21</v>
      </c>
      <c r="AV147" s="10">
        <v>0</v>
      </c>
      <c r="AW147" s="11">
        <v>1715.21</v>
      </c>
      <c r="AX147" s="1" t="s">
        <v>159</v>
      </c>
      <c r="AY147" s="1" t="s">
        <v>159</v>
      </c>
      <c r="AZ147" s="1" t="s">
        <v>159</v>
      </c>
    </row>
    <row r="148" spans="1:52" x14ac:dyDescent="0.3">
      <c r="A148" s="5">
        <v>10147</v>
      </c>
      <c r="B148" s="1">
        <v>1418</v>
      </c>
      <c r="C148" s="2">
        <v>45078</v>
      </c>
      <c r="D148" s="2">
        <v>45081</v>
      </c>
      <c r="E148" s="1" t="s">
        <v>22</v>
      </c>
      <c r="F148" s="1" t="s">
        <v>54</v>
      </c>
      <c r="G148" s="1" t="s">
        <v>24</v>
      </c>
      <c r="H148" s="1" t="s">
        <v>25</v>
      </c>
      <c r="I148" s="1" t="s">
        <v>31</v>
      </c>
      <c r="J148" s="1" t="s">
        <v>48</v>
      </c>
      <c r="K148" s="1" t="s">
        <v>21</v>
      </c>
      <c r="L148" s="1">
        <v>6</v>
      </c>
      <c r="M148" s="1">
        <v>1852.67</v>
      </c>
      <c r="N148" s="1">
        <v>5</v>
      </c>
      <c r="O148" s="1">
        <v>10560.22</v>
      </c>
      <c r="P148" s="1">
        <f t="shared" si="11"/>
        <v>11116.02</v>
      </c>
      <c r="Q148" s="10">
        <f t="shared" si="12"/>
        <v>528.01099999999997</v>
      </c>
      <c r="R148" s="11">
        <f t="shared" si="13"/>
        <v>10588.009</v>
      </c>
      <c r="S148" s="1" t="str">
        <f t="shared" si="14"/>
        <v>High</v>
      </c>
      <c r="T148" s="1" t="str" cm="1">
        <f t="array" ref="T148">_xlfn.IFS(L148&gt;5,"High",L148=5,"mediam",L148&lt;5,"low")</f>
        <v>High</v>
      </c>
      <c r="U148" s="1" t="str">
        <f t="shared" si="15"/>
        <v>High</v>
      </c>
      <c r="AF148" s="5">
        <v>10320</v>
      </c>
      <c r="AG148" s="1">
        <v>1751</v>
      </c>
      <c r="AH148" s="2">
        <v>45002</v>
      </c>
      <c r="AI148" s="2">
        <v>45005</v>
      </c>
      <c r="AJ148" s="1" t="s">
        <v>15</v>
      </c>
      <c r="AK148" s="1" t="s">
        <v>16</v>
      </c>
      <c r="AL148" s="1" t="s">
        <v>17</v>
      </c>
      <c r="AM148" s="1" t="s">
        <v>35</v>
      </c>
      <c r="AN148" s="1" t="s">
        <v>26</v>
      </c>
      <c r="AO148" s="1" t="s">
        <v>36</v>
      </c>
      <c r="AP148" s="1" t="s">
        <v>28</v>
      </c>
      <c r="AQ148" s="1">
        <v>8</v>
      </c>
      <c r="AR148" s="1">
        <v>2254.7800000000002</v>
      </c>
      <c r="AS148" s="1">
        <v>0</v>
      </c>
      <c r="AT148" s="1">
        <v>18038.240000000002</v>
      </c>
      <c r="AU148" s="1">
        <v>18038.240000000002</v>
      </c>
      <c r="AV148" s="10">
        <v>0</v>
      </c>
      <c r="AW148" s="11">
        <v>18038.240000000002</v>
      </c>
      <c r="AX148" s="1" t="s">
        <v>159</v>
      </c>
      <c r="AY148" s="1" t="s">
        <v>159</v>
      </c>
      <c r="AZ148" s="1" t="s">
        <v>159</v>
      </c>
    </row>
    <row r="149" spans="1:52" x14ac:dyDescent="0.3">
      <c r="A149" s="5">
        <v>10148</v>
      </c>
      <c r="B149" s="1">
        <v>1288</v>
      </c>
      <c r="C149" s="2">
        <v>45035</v>
      </c>
      <c r="D149" s="2">
        <v>45043</v>
      </c>
      <c r="E149" s="1" t="s">
        <v>34</v>
      </c>
      <c r="F149" s="1" t="s">
        <v>29</v>
      </c>
      <c r="G149" s="1" t="s">
        <v>30</v>
      </c>
      <c r="H149" s="1" t="s">
        <v>44</v>
      </c>
      <c r="I149" s="1" t="s">
        <v>19</v>
      </c>
      <c r="J149" s="1" t="s">
        <v>20</v>
      </c>
      <c r="K149" s="1" t="s">
        <v>47</v>
      </c>
      <c r="L149" s="1">
        <v>3</v>
      </c>
      <c r="M149" s="1">
        <v>3219.26</v>
      </c>
      <c r="N149" s="1">
        <v>10</v>
      </c>
      <c r="O149" s="1">
        <v>8692</v>
      </c>
      <c r="P149" s="1">
        <f t="shared" si="11"/>
        <v>9657.7800000000007</v>
      </c>
      <c r="Q149" s="10">
        <f t="shared" si="12"/>
        <v>869.2</v>
      </c>
      <c r="R149" s="11">
        <f t="shared" si="13"/>
        <v>8788.58</v>
      </c>
      <c r="S149" s="1" t="str">
        <f t="shared" si="14"/>
        <v>Low</v>
      </c>
      <c r="T149" s="1" t="str" cm="1">
        <f t="array" ref="T149">_xlfn.IFS(L149&gt;5,"High",L149=5,"mediam",L149&lt;5,"low")</f>
        <v>low</v>
      </c>
      <c r="U149" s="1" t="b">
        <f t="shared" si="15"/>
        <v>0</v>
      </c>
      <c r="AF149" s="5">
        <v>10322</v>
      </c>
      <c r="AG149" s="1">
        <v>1608</v>
      </c>
      <c r="AH149" s="2">
        <v>45220</v>
      </c>
      <c r="AI149" s="2">
        <v>45222</v>
      </c>
      <c r="AJ149" s="1" t="s">
        <v>15</v>
      </c>
      <c r="AK149" s="1" t="s">
        <v>54</v>
      </c>
      <c r="AL149" s="1" t="s">
        <v>30</v>
      </c>
      <c r="AM149" s="1" t="s">
        <v>35</v>
      </c>
      <c r="AN149" s="1" t="s">
        <v>26</v>
      </c>
      <c r="AO149" s="1" t="s">
        <v>61</v>
      </c>
      <c r="AP149" s="1" t="s">
        <v>28</v>
      </c>
      <c r="AQ149" s="1">
        <v>5</v>
      </c>
      <c r="AR149" s="1">
        <v>640.82000000000005</v>
      </c>
      <c r="AS149" s="1">
        <v>0</v>
      </c>
      <c r="AT149" s="1">
        <v>3204.1</v>
      </c>
      <c r="AU149" s="1">
        <v>3204.1000000000004</v>
      </c>
      <c r="AV149" s="10">
        <v>0</v>
      </c>
      <c r="AW149" s="11">
        <v>3204.1000000000004</v>
      </c>
      <c r="AX149" s="1" t="s">
        <v>159</v>
      </c>
      <c r="AY149" s="1" t="s">
        <v>160</v>
      </c>
      <c r="AZ149" s="1" t="b">
        <v>0</v>
      </c>
    </row>
    <row r="150" spans="1:52" x14ac:dyDescent="0.3">
      <c r="A150" s="5">
        <v>10149</v>
      </c>
      <c r="B150" s="1">
        <v>1378</v>
      </c>
      <c r="C150" s="2">
        <v>45002</v>
      </c>
      <c r="D150" s="2">
        <v>45010</v>
      </c>
      <c r="E150" s="1" t="s">
        <v>22</v>
      </c>
      <c r="F150" s="1" t="s">
        <v>23</v>
      </c>
      <c r="G150" s="1" t="s">
        <v>30</v>
      </c>
      <c r="H150" s="1" t="s">
        <v>42</v>
      </c>
      <c r="I150" s="1" t="s">
        <v>57</v>
      </c>
      <c r="J150" s="1" t="s">
        <v>62</v>
      </c>
      <c r="K150" s="1" t="s">
        <v>33</v>
      </c>
      <c r="L150" s="1">
        <v>8</v>
      </c>
      <c r="M150" s="1">
        <v>2938.3</v>
      </c>
      <c r="N150" s="1">
        <v>15</v>
      </c>
      <c r="O150" s="1">
        <v>19980.439999999999</v>
      </c>
      <c r="P150" s="1">
        <f t="shared" si="11"/>
        <v>23506.400000000001</v>
      </c>
      <c r="Q150" s="10">
        <f t="shared" si="12"/>
        <v>2997.0659999999998</v>
      </c>
      <c r="R150" s="11">
        <f t="shared" si="13"/>
        <v>20509.334000000003</v>
      </c>
      <c r="S150" s="1" t="str">
        <f t="shared" si="14"/>
        <v>High</v>
      </c>
      <c r="T150" s="1" t="str" cm="1">
        <f t="array" ref="T150">_xlfn.IFS(L150&gt;5,"High",L150=5,"mediam",L150&lt;5,"low")</f>
        <v>High</v>
      </c>
      <c r="U150" s="1" t="str">
        <f t="shared" si="15"/>
        <v>High</v>
      </c>
      <c r="AF150" s="5">
        <v>10325</v>
      </c>
      <c r="AG150" s="1">
        <v>1186</v>
      </c>
      <c r="AH150" s="2">
        <v>45025</v>
      </c>
      <c r="AI150" s="2">
        <v>45030</v>
      </c>
      <c r="AJ150" s="1" t="s">
        <v>37</v>
      </c>
      <c r="AK150" s="1" t="s">
        <v>38</v>
      </c>
      <c r="AL150" s="1" t="s">
        <v>30</v>
      </c>
      <c r="AM150" s="1" t="s">
        <v>35</v>
      </c>
      <c r="AN150" s="1" t="s">
        <v>52</v>
      </c>
      <c r="AO150" s="1" t="s">
        <v>64</v>
      </c>
      <c r="AP150" s="1" t="s">
        <v>45</v>
      </c>
      <c r="AQ150" s="1">
        <v>7</v>
      </c>
      <c r="AR150" s="1">
        <v>730.15</v>
      </c>
      <c r="AS150" s="1">
        <v>0</v>
      </c>
      <c r="AT150" s="1">
        <v>5111.05</v>
      </c>
      <c r="AU150" s="1">
        <v>5111.05</v>
      </c>
      <c r="AV150" s="10">
        <v>0</v>
      </c>
      <c r="AW150" s="11">
        <v>5111.05</v>
      </c>
      <c r="AX150" s="1" t="s">
        <v>159</v>
      </c>
      <c r="AY150" s="1" t="s">
        <v>159</v>
      </c>
      <c r="AZ150" s="1" t="s">
        <v>159</v>
      </c>
    </row>
    <row r="151" spans="1:52" x14ac:dyDescent="0.3">
      <c r="A151" s="5">
        <v>10150</v>
      </c>
      <c r="B151" s="1">
        <v>1772</v>
      </c>
      <c r="C151" s="2">
        <v>44956</v>
      </c>
      <c r="D151" s="2">
        <v>44961</v>
      </c>
      <c r="E151" s="1" t="s">
        <v>22</v>
      </c>
      <c r="F151" s="1" t="s">
        <v>54</v>
      </c>
      <c r="G151" s="1" t="s">
        <v>24</v>
      </c>
      <c r="H151" s="1" t="s">
        <v>18</v>
      </c>
      <c r="I151" s="1" t="s">
        <v>49</v>
      </c>
      <c r="J151" s="1" t="s">
        <v>51</v>
      </c>
      <c r="K151" s="1" t="s">
        <v>28</v>
      </c>
      <c r="L151" s="1">
        <v>2</v>
      </c>
      <c r="M151" s="1">
        <v>2808.06</v>
      </c>
      <c r="N151" s="1">
        <v>0</v>
      </c>
      <c r="O151" s="1">
        <v>5616.12</v>
      </c>
      <c r="P151" s="1">
        <f t="shared" si="11"/>
        <v>5616.12</v>
      </c>
      <c r="Q151" s="10">
        <f t="shared" si="12"/>
        <v>0</v>
      </c>
      <c r="R151" s="11">
        <f t="shared" si="13"/>
        <v>5616.12</v>
      </c>
      <c r="S151" s="1" t="str">
        <f t="shared" si="14"/>
        <v>Low</v>
      </c>
      <c r="T151" s="1" t="str" cm="1">
        <f t="array" ref="T151">_xlfn.IFS(L151&gt;5,"High",L151=5,"mediam",L151&lt;5,"low")</f>
        <v>low</v>
      </c>
      <c r="U151" s="1" t="b">
        <f t="shared" si="15"/>
        <v>0</v>
      </c>
      <c r="AF151" s="5">
        <v>10331</v>
      </c>
      <c r="AG151" s="1">
        <v>1763</v>
      </c>
      <c r="AH151" s="2">
        <v>45203</v>
      </c>
      <c r="AI151" s="2">
        <v>45207</v>
      </c>
      <c r="AJ151" s="1" t="s">
        <v>34</v>
      </c>
      <c r="AK151" s="1" t="s">
        <v>38</v>
      </c>
      <c r="AL151" s="1" t="s">
        <v>17</v>
      </c>
      <c r="AM151" s="1" t="s">
        <v>35</v>
      </c>
      <c r="AN151" s="1" t="s">
        <v>19</v>
      </c>
      <c r="AO151" s="1" t="s">
        <v>55</v>
      </c>
      <c r="AP151" s="1" t="s">
        <v>47</v>
      </c>
      <c r="AQ151" s="1">
        <v>2</v>
      </c>
      <c r="AR151" s="1">
        <v>2481.1</v>
      </c>
      <c r="AS151" s="1">
        <v>15</v>
      </c>
      <c r="AT151" s="1">
        <v>4217.87</v>
      </c>
      <c r="AU151" s="1">
        <v>4962.2</v>
      </c>
      <c r="AV151" s="10">
        <v>632.68049999999994</v>
      </c>
      <c r="AW151" s="11">
        <v>4329.5195000000003</v>
      </c>
      <c r="AX151" s="1" t="s">
        <v>161</v>
      </c>
      <c r="AY151" s="1" t="s">
        <v>162</v>
      </c>
      <c r="AZ151" s="1" t="b">
        <v>0</v>
      </c>
    </row>
    <row r="152" spans="1:52" x14ac:dyDescent="0.3">
      <c r="A152" s="5">
        <v>10151</v>
      </c>
      <c r="B152" s="1">
        <v>1489</v>
      </c>
      <c r="C152" s="2">
        <v>45240</v>
      </c>
      <c r="D152" s="2">
        <v>45241</v>
      </c>
      <c r="E152" s="1" t="s">
        <v>34</v>
      </c>
      <c r="F152" s="1" t="s">
        <v>29</v>
      </c>
      <c r="G152" s="1" t="s">
        <v>30</v>
      </c>
      <c r="H152" s="1" t="s">
        <v>18</v>
      </c>
      <c r="I152" s="1" t="s">
        <v>49</v>
      </c>
      <c r="J152" s="1" t="s">
        <v>63</v>
      </c>
      <c r="K152" s="1" t="s">
        <v>47</v>
      </c>
      <c r="L152" s="1">
        <v>5</v>
      </c>
      <c r="M152" s="1">
        <v>1461.1</v>
      </c>
      <c r="N152" s="1">
        <v>15</v>
      </c>
      <c r="O152" s="1">
        <v>6209.68</v>
      </c>
      <c r="P152" s="1">
        <f t="shared" si="11"/>
        <v>7305.5</v>
      </c>
      <c r="Q152" s="10">
        <f t="shared" si="12"/>
        <v>931.452</v>
      </c>
      <c r="R152" s="11">
        <f t="shared" si="13"/>
        <v>6374.0479999999998</v>
      </c>
      <c r="S152" s="1" t="str">
        <f t="shared" si="14"/>
        <v>High</v>
      </c>
      <c r="T152" s="1" t="str" cm="1">
        <f t="array" ref="T152">_xlfn.IFS(L152&gt;5,"High",L152=5,"mediam",L152&lt;5,"low")</f>
        <v>mediam</v>
      </c>
      <c r="U152" s="1" t="b">
        <f t="shared" si="15"/>
        <v>0</v>
      </c>
      <c r="AF152" s="5">
        <v>10334</v>
      </c>
      <c r="AG152" s="1">
        <v>1402</v>
      </c>
      <c r="AH152" s="2">
        <v>44994</v>
      </c>
      <c r="AI152" s="2">
        <v>44995</v>
      </c>
      <c r="AJ152" s="1" t="s">
        <v>16</v>
      </c>
      <c r="AK152" s="1" t="s">
        <v>29</v>
      </c>
      <c r="AL152" s="1" t="s">
        <v>24</v>
      </c>
      <c r="AM152" s="1" t="s">
        <v>35</v>
      </c>
      <c r="AN152" s="1" t="s">
        <v>57</v>
      </c>
      <c r="AO152" s="1" t="s">
        <v>59</v>
      </c>
      <c r="AP152" s="1" t="s">
        <v>47</v>
      </c>
      <c r="AQ152" s="1">
        <v>5</v>
      </c>
      <c r="AR152" s="1">
        <v>2515.77</v>
      </c>
      <c r="AS152" s="1">
        <v>20</v>
      </c>
      <c r="AT152" s="1">
        <v>10063.08</v>
      </c>
      <c r="AU152" s="1">
        <v>12578.85</v>
      </c>
      <c r="AV152" s="10">
        <v>2012.616</v>
      </c>
      <c r="AW152" s="11">
        <v>10566.234</v>
      </c>
      <c r="AX152" s="1" t="s">
        <v>159</v>
      </c>
      <c r="AY152" s="1" t="s">
        <v>160</v>
      </c>
      <c r="AZ152" s="1" t="b">
        <v>0</v>
      </c>
    </row>
    <row r="153" spans="1:52" x14ac:dyDescent="0.3">
      <c r="A153" s="5">
        <v>10152</v>
      </c>
      <c r="B153" s="1">
        <v>1230</v>
      </c>
      <c r="C153" s="2">
        <v>45043</v>
      </c>
      <c r="D153" s="2">
        <v>45050</v>
      </c>
      <c r="E153" s="1" t="s">
        <v>37</v>
      </c>
      <c r="F153" s="1" t="s">
        <v>16</v>
      </c>
      <c r="G153" s="1" t="s">
        <v>24</v>
      </c>
      <c r="H153" s="1" t="s">
        <v>44</v>
      </c>
      <c r="I153" s="1" t="s">
        <v>52</v>
      </c>
      <c r="J153" s="1" t="s">
        <v>56</v>
      </c>
      <c r="K153" s="1" t="s">
        <v>47</v>
      </c>
      <c r="L153" s="1">
        <v>1</v>
      </c>
      <c r="M153" s="1">
        <v>3249.11</v>
      </c>
      <c r="N153" s="1">
        <v>10</v>
      </c>
      <c r="O153" s="1">
        <v>2924.2</v>
      </c>
      <c r="P153" s="1">
        <f t="shared" si="11"/>
        <v>3249.11</v>
      </c>
      <c r="Q153" s="10">
        <f t="shared" si="12"/>
        <v>292.42</v>
      </c>
      <c r="R153" s="11">
        <f t="shared" si="13"/>
        <v>2956.69</v>
      </c>
      <c r="S153" s="1" t="str">
        <f t="shared" si="14"/>
        <v>Low</v>
      </c>
      <c r="T153" s="1" t="str" cm="1">
        <f t="array" ref="T153">_xlfn.IFS(L153&gt;5,"High",L153=5,"mediam",L153&lt;5,"low")</f>
        <v>low</v>
      </c>
      <c r="U153" s="1" t="b">
        <f t="shared" si="15"/>
        <v>0</v>
      </c>
      <c r="AF153" s="5">
        <v>10335</v>
      </c>
      <c r="AG153" s="1">
        <v>1345</v>
      </c>
      <c r="AH153" s="2">
        <v>45140</v>
      </c>
      <c r="AI153" s="2">
        <v>45143</v>
      </c>
      <c r="AJ153" s="1" t="s">
        <v>40</v>
      </c>
      <c r="AK153" s="1" t="s">
        <v>41</v>
      </c>
      <c r="AL153" s="1" t="s">
        <v>17</v>
      </c>
      <c r="AM153" s="1" t="s">
        <v>35</v>
      </c>
      <c r="AN153" s="1" t="s">
        <v>19</v>
      </c>
      <c r="AO153" s="1" t="s">
        <v>43</v>
      </c>
      <c r="AP153" s="1" t="s">
        <v>45</v>
      </c>
      <c r="AQ153" s="1">
        <v>7</v>
      </c>
      <c r="AR153" s="1">
        <v>2387.6</v>
      </c>
      <c r="AS153" s="1">
        <v>20</v>
      </c>
      <c r="AT153" s="1">
        <v>13370.56</v>
      </c>
      <c r="AU153" s="1">
        <v>16713.2</v>
      </c>
      <c r="AV153" s="10">
        <v>2674.1120000000001</v>
      </c>
      <c r="AW153" s="11">
        <v>14039.088</v>
      </c>
      <c r="AX153" s="1" t="s">
        <v>159</v>
      </c>
      <c r="AY153" s="1" t="s">
        <v>159</v>
      </c>
      <c r="AZ153" s="1" t="s">
        <v>159</v>
      </c>
    </row>
    <row r="154" spans="1:52" x14ac:dyDescent="0.3">
      <c r="A154" s="5">
        <v>10153</v>
      </c>
      <c r="B154" s="1">
        <v>1040</v>
      </c>
      <c r="C154" s="2">
        <v>45282</v>
      </c>
      <c r="D154" s="2">
        <v>45287</v>
      </c>
      <c r="E154" s="1" t="s">
        <v>37</v>
      </c>
      <c r="F154" s="1" t="s">
        <v>29</v>
      </c>
      <c r="G154" s="1" t="s">
        <v>30</v>
      </c>
      <c r="H154" s="1" t="s">
        <v>25</v>
      </c>
      <c r="I154" s="1" t="s">
        <v>19</v>
      </c>
      <c r="J154" s="1" t="s">
        <v>66</v>
      </c>
      <c r="K154" s="1" t="s">
        <v>28</v>
      </c>
      <c r="L154" s="1">
        <v>6</v>
      </c>
      <c r="M154" s="1">
        <v>351.71</v>
      </c>
      <c r="N154" s="1">
        <v>10</v>
      </c>
      <c r="O154" s="1">
        <v>1899.23</v>
      </c>
      <c r="P154" s="1">
        <f t="shared" si="11"/>
        <v>2110.2599999999998</v>
      </c>
      <c r="Q154" s="10">
        <f t="shared" si="12"/>
        <v>189.923</v>
      </c>
      <c r="R154" s="11">
        <f t="shared" si="13"/>
        <v>1920.3369999999998</v>
      </c>
      <c r="S154" s="1" t="str">
        <f t="shared" si="14"/>
        <v>High</v>
      </c>
      <c r="T154" s="1" t="str" cm="1">
        <f t="array" ref="T154">_xlfn.IFS(L154&gt;5,"High",L154=5,"mediam",L154&lt;5,"low")</f>
        <v>High</v>
      </c>
      <c r="U154" s="1" t="str">
        <f t="shared" si="15"/>
        <v>High</v>
      </c>
      <c r="AF154" s="5">
        <v>10341</v>
      </c>
      <c r="AG154" s="1">
        <v>1710</v>
      </c>
      <c r="AH154" s="2">
        <v>45042</v>
      </c>
      <c r="AI154" s="2">
        <v>45048</v>
      </c>
      <c r="AJ154" s="1" t="s">
        <v>16</v>
      </c>
      <c r="AK154" s="1" t="s">
        <v>29</v>
      </c>
      <c r="AL154" s="1" t="s">
        <v>17</v>
      </c>
      <c r="AM154" s="1" t="s">
        <v>35</v>
      </c>
      <c r="AN154" s="1" t="s">
        <v>49</v>
      </c>
      <c r="AO154" s="1" t="s">
        <v>51</v>
      </c>
      <c r="AP154" s="1" t="s">
        <v>28</v>
      </c>
      <c r="AQ154" s="1">
        <v>4</v>
      </c>
      <c r="AR154" s="1">
        <v>641.92999999999995</v>
      </c>
      <c r="AS154" s="1">
        <v>0</v>
      </c>
      <c r="AT154" s="1">
        <v>2567.7199999999998</v>
      </c>
      <c r="AU154" s="1">
        <v>2567.7199999999998</v>
      </c>
      <c r="AV154" s="10">
        <v>0</v>
      </c>
      <c r="AW154" s="11">
        <v>2567.7199999999998</v>
      </c>
      <c r="AX154" s="1" t="s">
        <v>161</v>
      </c>
      <c r="AY154" s="1" t="s">
        <v>162</v>
      </c>
      <c r="AZ154" s="1" t="b">
        <v>0</v>
      </c>
    </row>
    <row r="155" spans="1:52" x14ac:dyDescent="0.3">
      <c r="A155" s="5">
        <v>10154</v>
      </c>
      <c r="B155" s="1">
        <v>1027</v>
      </c>
      <c r="C155" s="2">
        <v>45118</v>
      </c>
      <c r="D155" s="2">
        <v>45126</v>
      </c>
      <c r="E155" s="1" t="s">
        <v>40</v>
      </c>
      <c r="F155" s="1" t="s">
        <v>23</v>
      </c>
      <c r="G155" s="1" t="s">
        <v>17</v>
      </c>
      <c r="H155" s="1" t="s">
        <v>42</v>
      </c>
      <c r="I155" s="1" t="s">
        <v>19</v>
      </c>
      <c r="J155" s="1" t="s">
        <v>43</v>
      </c>
      <c r="K155" s="1" t="s">
        <v>45</v>
      </c>
      <c r="L155" s="1">
        <v>2</v>
      </c>
      <c r="M155" s="1">
        <v>764.56</v>
      </c>
      <c r="N155" s="1">
        <v>0</v>
      </c>
      <c r="O155" s="1">
        <v>1529.12</v>
      </c>
      <c r="P155" s="1">
        <f t="shared" si="11"/>
        <v>1529.12</v>
      </c>
      <c r="Q155" s="10">
        <f t="shared" si="12"/>
        <v>0</v>
      </c>
      <c r="R155" s="11">
        <f t="shared" si="13"/>
        <v>1529.12</v>
      </c>
      <c r="S155" s="1" t="str">
        <f t="shared" si="14"/>
        <v>Low</v>
      </c>
      <c r="T155" s="1" t="str" cm="1">
        <f t="array" ref="T155">_xlfn.IFS(L155&gt;5,"High",L155=5,"mediam",L155&lt;5,"low")</f>
        <v>low</v>
      </c>
      <c r="U155" s="1" t="b">
        <f t="shared" si="15"/>
        <v>0</v>
      </c>
      <c r="AF155" s="5">
        <v>10342</v>
      </c>
      <c r="AG155" s="1">
        <v>1819</v>
      </c>
      <c r="AH155" s="2">
        <v>45018</v>
      </c>
      <c r="AI155" s="2">
        <v>45019</v>
      </c>
      <c r="AJ155" s="1" t="s">
        <v>15</v>
      </c>
      <c r="AK155" s="1" t="s">
        <v>54</v>
      </c>
      <c r="AL155" s="1" t="s">
        <v>17</v>
      </c>
      <c r="AM155" s="1" t="s">
        <v>35</v>
      </c>
      <c r="AN155" s="1" t="s">
        <v>26</v>
      </c>
      <c r="AO155" s="1" t="s">
        <v>27</v>
      </c>
      <c r="AP155" s="1" t="s">
        <v>47</v>
      </c>
      <c r="AQ155" s="1">
        <v>5</v>
      </c>
      <c r="AR155" s="1">
        <v>1853.11</v>
      </c>
      <c r="AS155" s="1">
        <v>10</v>
      </c>
      <c r="AT155" s="1">
        <v>8338.99</v>
      </c>
      <c r="AU155" s="1">
        <v>9265.5499999999993</v>
      </c>
      <c r="AV155" s="10">
        <v>833.899</v>
      </c>
      <c r="AW155" s="11">
        <v>8431.6509999999998</v>
      </c>
      <c r="AX155" s="1" t="s">
        <v>159</v>
      </c>
      <c r="AY155" s="1" t="s">
        <v>160</v>
      </c>
      <c r="AZ155" s="1" t="b">
        <v>0</v>
      </c>
    </row>
    <row r="156" spans="1:52" x14ac:dyDescent="0.3">
      <c r="A156" s="5">
        <v>10155</v>
      </c>
      <c r="B156" s="1">
        <v>1134</v>
      </c>
      <c r="C156" s="2">
        <v>44945</v>
      </c>
      <c r="D156" s="2">
        <v>44954</v>
      </c>
      <c r="E156" s="1" t="s">
        <v>16</v>
      </c>
      <c r="F156" s="1" t="s">
        <v>29</v>
      </c>
      <c r="G156" s="1" t="s">
        <v>30</v>
      </c>
      <c r="H156" s="1" t="s">
        <v>25</v>
      </c>
      <c r="I156" s="1" t="s">
        <v>52</v>
      </c>
      <c r="J156" s="1" t="s">
        <v>56</v>
      </c>
      <c r="K156" s="1" t="s">
        <v>21</v>
      </c>
      <c r="L156" s="1">
        <v>4</v>
      </c>
      <c r="M156" s="1">
        <v>1442.15</v>
      </c>
      <c r="N156" s="1">
        <v>15</v>
      </c>
      <c r="O156" s="1">
        <v>4903.3100000000004</v>
      </c>
      <c r="P156" s="1">
        <f t="shared" si="11"/>
        <v>5768.6</v>
      </c>
      <c r="Q156" s="10">
        <f t="shared" si="12"/>
        <v>735.49650000000008</v>
      </c>
      <c r="R156" s="11">
        <f t="shared" si="13"/>
        <v>5033.1035000000002</v>
      </c>
      <c r="S156" s="1" t="str">
        <f t="shared" si="14"/>
        <v>Low</v>
      </c>
      <c r="T156" s="1" t="str" cm="1">
        <f t="array" ref="T156">_xlfn.IFS(L156&gt;5,"High",L156=5,"mediam",L156&lt;5,"low")</f>
        <v>low</v>
      </c>
      <c r="U156" s="1" t="b">
        <f t="shared" si="15"/>
        <v>0</v>
      </c>
      <c r="AF156" s="5">
        <v>10351</v>
      </c>
      <c r="AG156" s="1">
        <v>1778</v>
      </c>
      <c r="AH156" s="2">
        <v>44970</v>
      </c>
      <c r="AI156" s="2">
        <v>44972</v>
      </c>
      <c r="AJ156" s="1" t="s">
        <v>46</v>
      </c>
      <c r="AK156" s="1" t="s">
        <v>16</v>
      </c>
      <c r="AL156" s="1" t="s">
        <v>30</v>
      </c>
      <c r="AM156" s="1" t="s">
        <v>35</v>
      </c>
      <c r="AN156" s="1" t="s">
        <v>31</v>
      </c>
      <c r="AO156" s="1" t="s">
        <v>32</v>
      </c>
      <c r="AP156" s="1" t="s">
        <v>45</v>
      </c>
      <c r="AQ156" s="1">
        <v>3</v>
      </c>
      <c r="AR156" s="1">
        <v>1923.58</v>
      </c>
      <c r="AS156" s="1">
        <v>15</v>
      </c>
      <c r="AT156" s="1">
        <v>4905.13</v>
      </c>
      <c r="AU156" s="1">
        <v>5770.74</v>
      </c>
      <c r="AV156" s="10">
        <v>735.76949999999999</v>
      </c>
      <c r="AW156" s="11">
        <v>5034.9704999999994</v>
      </c>
      <c r="AX156" s="1" t="s">
        <v>161</v>
      </c>
      <c r="AY156" s="1" t="s">
        <v>162</v>
      </c>
      <c r="AZ156" s="1" t="b">
        <v>0</v>
      </c>
    </row>
    <row r="157" spans="1:52" x14ac:dyDescent="0.3">
      <c r="A157" s="5">
        <v>10156</v>
      </c>
      <c r="B157" s="1">
        <v>1200</v>
      </c>
      <c r="C157" s="2">
        <v>45099</v>
      </c>
      <c r="D157" s="2">
        <v>45106</v>
      </c>
      <c r="E157" s="1" t="s">
        <v>40</v>
      </c>
      <c r="F157" s="1" t="s">
        <v>38</v>
      </c>
      <c r="G157" s="1" t="s">
        <v>24</v>
      </c>
      <c r="H157" s="1" t="s">
        <v>18</v>
      </c>
      <c r="I157" s="1" t="s">
        <v>57</v>
      </c>
      <c r="J157" s="1" t="s">
        <v>59</v>
      </c>
      <c r="K157" s="1" t="s">
        <v>45</v>
      </c>
      <c r="L157" s="1">
        <v>6</v>
      </c>
      <c r="M157" s="1">
        <v>445.71</v>
      </c>
      <c r="N157" s="1">
        <v>15</v>
      </c>
      <c r="O157" s="1">
        <v>2273.12</v>
      </c>
      <c r="P157" s="1">
        <f t="shared" si="11"/>
        <v>2674.2599999999998</v>
      </c>
      <c r="Q157" s="10">
        <f t="shared" si="12"/>
        <v>340.96799999999996</v>
      </c>
      <c r="R157" s="11">
        <f t="shared" si="13"/>
        <v>2333.2919999999999</v>
      </c>
      <c r="S157" s="1" t="str">
        <f t="shared" si="14"/>
        <v>High</v>
      </c>
      <c r="T157" s="1" t="str" cm="1">
        <f t="array" ref="T157">_xlfn.IFS(L157&gt;5,"High",L157=5,"mediam",L157&lt;5,"low")</f>
        <v>High</v>
      </c>
      <c r="U157" s="1" t="str">
        <f t="shared" si="15"/>
        <v>High</v>
      </c>
      <c r="AF157" s="5">
        <v>10355</v>
      </c>
      <c r="AG157" s="1">
        <v>1945</v>
      </c>
      <c r="AH157" s="2">
        <v>45188</v>
      </c>
      <c r="AI157" s="2">
        <v>45191</v>
      </c>
      <c r="AJ157" s="1" t="s">
        <v>37</v>
      </c>
      <c r="AK157" s="1" t="s">
        <v>23</v>
      </c>
      <c r="AL157" s="1" t="s">
        <v>30</v>
      </c>
      <c r="AM157" s="1" t="s">
        <v>35</v>
      </c>
      <c r="AN157" s="1" t="s">
        <v>52</v>
      </c>
      <c r="AO157" s="1" t="s">
        <v>53</v>
      </c>
      <c r="AP157" s="1" t="s">
        <v>21</v>
      </c>
      <c r="AQ157" s="1">
        <v>9</v>
      </c>
      <c r="AR157" s="1">
        <v>2632.88</v>
      </c>
      <c r="AS157" s="1">
        <v>5</v>
      </c>
      <c r="AT157" s="1">
        <v>22511.119999999999</v>
      </c>
      <c r="AU157" s="1">
        <v>23695.920000000002</v>
      </c>
      <c r="AV157" s="10">
        <v>1125.556</v>
      </c>
      <c r="AW157" s="11">
        <v>22570.364000000001</v>
      </c>
      <c r="AX157" s="1" t="s">
        <v>159</v>
      </c>
      <c r="AY157" s="1" t="s">
        <v>159</v>
      </c>
      <c r="AZ157" s="1" t="s">
        <v>159</v>
      </c>
    </row>
    <row r="158" spans="1:52" x14ac:dyDescent="0.3">
      <c r="A158" s="5">
        <v>10157</v>
      </c>
      <c r="B158" s="1">
        <v>1839</v>
      </c>
      <c r="C158" s="2">
        <v>45154</v>
      </c>
      <c r="D158" s="2">
        <v>45161</v>
      </c>
      <c r="E158" s="1" t="s">
        <v>16</v>
      </c>
      <c r="F158" s="1" t="s">
        <v>23</v>
      </c>
      <c r="G158" s="1" t="s">
        <v>30</v>
      </c>
      <c r="H158" s="1" t="s">
        <v>25</v>
      </c>
      <c r="I158" s="1" t="s">
        <v>19</v>
      </c>
      <c r="J158" s="1" t="s">
        <v>20</v>
      </c>
      <c r="K158" s="1" t="s">
        <v>33</v>
      </c>
      <c r="L158" s="1">
        <v>8</v>
      </c>
      <c r="M158" s="1">
        <v>1054.73</v>
      </c>
      <c r="N158" s="1">
        <v>0</v>
      </c>
      <c r="O158" s="1">
        <v>8437.84</v>
      </c>
      <c r="P158" s="1">
        <f t="shared" si="11"/>
        <v>8437.84</v>
      </c>
      <c r="Q158" s="10">
        <f t="shared" si="12"/>
        <v>0</v>
      </c>
      <c r="R158" s="11">
        <f t="shared" si="13"/>
        <v>8437.84</v>
      </c>
      <c r="S158" s="1" t="str">
        <f t="shared" si="14"/>
        <v>High</v>
      </c>
      <c r="T158" s="1" t="str" cm="1">
        <f t="array" ref="T158">_xlfn.IFS(L158&gt;5,"High",L158=5,"mediam",L158&lt;5,"low")</f>
        <v>High</v>
      </c>
      <c r="U158" s="1" t="str">
        <f t="shared" si="15"/>
        <v>High</v>
      </c>
      <c r="AF158" s="5">
        <v>10358</v>
      </c>
      <c r="AG158" s="1">
        <v>1989</v>
      </c>
      <c r="AH158" s="2">
        <v>45015</v>
      </c>
      <c r="AI158" s="2">
        <v>45019</v>
      </c>
      <c r="AJ158" s="1" t="s">
        <v>15</v>
      </c>
      <c r="AK158" s="1" t="s">
        <v>29</v>
      </c>
      <c r="AL158" s="1" t="s">
        <v>30</v>
      </c>
      <c r="AM158" s="1" t="s">
        <v>35</v>
      </c>
      <c r="AN158" s="1" t="s">
        <v>57</v>
      </c>
      <c r="AO158" s="1" t="s">
        <v>58</v>
      </c>
      <c r="AP158" s="1" t="s">
        <v>33</v>
      </c>
      <c r="AQ158" s="1">
        <v>8</v>
      </c>
      <c r="AR158" s="1">
        <v>3581.12</v>
      </c>
      <c r="AS158" s="1">
        <v>15</v>
      </c>
      <c r="AT158" s="1">
        <v>24351.62</v>
      </c>
      <c r="AU158" s="1">
        <v>28648.959999999999</v>
      </c>
      <c r="AV158" s="10">
        <v>3652.7429999999999</v>
      </c>
      <c r="AW158" s="11">
        <v>24996.217000000001</v>
      </c>
      <c r="AX158" s="1" t="s">
        <v>159</v>
      </c>
      <c r="AY158" s="1" t="s">
        <v>159</v>
      </c>
      <c r="AZ158" s="1" t="s">
        <v>159</v>
      </c>
    </row>
    <row r="159" spans="1:52" x14ac:dyDescent="0.3">
      <c r="A159" s="5">
        <v>10158</v>
      </c>
      <c r="B159" s="1">
        <v>1779</v>
      </c>
      <c r="C159" s="2">
        <v>45276</v>
      </c>
      <c r="D159" s="2">
        <v>45277</v>
      </c>
      <c r="E159" s="1" t="s">
        <v>22</v>
      </c>
      <c r="F159" s="1" t="s">
        <v>41</v>
      </c>
      <c r="G159" s="1" t="s">
        <v>24</v>
      </c>
      <c r="H159" s="1" t="s">
        <v>18</v>
      </c>
      <c r="I159" s="1" t="s">
        <v>49</v>
      </c>
      <c r="J159" s="1" t="s">
        <v>63</v>
      </c>
      <c r="K159" s="1" t="s">
        <v>28</v>
      </c>
      <c r="L159" s="1">
        <v>8</v>
      </c>
      <c r="M159" s="1">
        <v>3346.08</v>
      </c>
      <c r="N159" s="1">
        <v>15</v>
      </c>
      <c r="O159" s="1">
        <v>22753.34</v>
      </c>
      <c r="P159" s="1">
        <f t="shared" si="11"/>
        <v>26768.639999999999</v>
      </c>
      <c r="Q159" s="10">
        <f t="shared" si="12"/>
        <v>3413.0009999999997</v>
      </c>
      <c r="R159" s="11">
        <f t="shared" si="13"/>
        <v>23355.638999999999</v>
      </c>
      <c r="S159" s="1" t="str">
        <f t="shared" si="14"/>
        <v>High</v>
      </c>
      <c r="T159" s="1" t="str" cm="1">
        <f t="array" ref="T159">_xlfn.IFS(L159&gt;5,"High",L159=5,"mediam",L159&lt;5,"low")</f>
        <v>High</v>
      </c>
      <c r="U159" s="1" t="str">
        <f t="shared" si="15"/>
        <v>High</v>
      </c>
      <c r="AF159" s="5">
        <v>10365</v>
      </c>
      <c r="AG159" s="1">
        <v>1623</v>
      </c>
      <c r="AH159" s="2">
        <v>44934</v>
      </c>
      <c r="AI159" s="2">
        <v>44940</v>
      </c>
      <c r="AJ159" s="1" t="s">
        <v>16</v>
      </c>
      <c r="AK159" s="1" t="s">
        <v>41</v>
      </c>
      <c r="AL159" s="1" t="s">
        <v>17</v>
      </c>
      <c r="AM159" s="1" t="s">
        <v>35</v>
      </c>
      <c r="AN159" s="1" t="s">
        <v>52</v>
      </c>
      <c r="AO159" s="1" t="s">
        <v>53</v>
      </c>
      <c r="AP159" s="1" t="s">
        <v>33</v>
      </c>
      <c r="AQ159" s="1">
        <v>5</v>
      </c>
      <c r="AR159" s="1">
        <v>3593.46</v>
      </c>
      <c r="AS159" s="1">
        <v>20</v>
      </c>
      <c r="AT159" s="1">
        <v>14373.84</v>
      </c>
      <c r="AU159" s="1">
        <v>17967.3</v>
      </c>
      <c r="AV159" s="10">
        <v>2874.768</v>
      </c>
      <c r="AW159" s="11">
        <v>15092.531999999999</v>
      </c>
      <c r="AX159" s="1" t="s">
        <v>159</v>
      </c>
      <c r="AY159" s="1" t="s">
        <v>160</v>
      </c>
      <c r="AZ159" s="1" t="b">
        <v>0</v>
      </c>
    </row>
    <row r="160" spans="1:52" x14ac:dyDescent="0.3">
      <c r="A160" s="5">
        <v>10159</v>
      </c>
      <c r="B160" s="1">
        <v>1929</v>
      </c>
      <c r="C160" s="2">
        <v>45109</v>
      </c>
      <c r="D160" s="2">
        <v>45113</v>
      </c>
      <c r="E160" s="1" t="s">
        <v>34</v>
      </c>
      <c r="F160" s="1" t="s">
        <v>16</v>
      </c>
      <c r="G160" s="1" t="s">
        <v>24</v>
      </c>
      <c r="H160" s="1" t="s">
        <v>25</v>
      </c>
      <c r="I160" s="1" t="s">
        <v>49</v>
      </c>
      <c r="J160" s="1" t="s">
        <v>68</v>
      </c>
      <c r="K160" s="1" t="s">
        <v>45</v>
      </c>
      <c r="L160" s="1">
        <v>6</v>
      </c>
      <c r="M160" s="1">
        <v>3800.77</v>
      </c>
      <c r="N160" s="1">
        <v>0</v>
      </c>
      <c r="O160" s="1">
        <v>22804.62</v>
      </c>
      <c r="P160" s="1">
        <f t="shared" si="11"/>
        <v>22804.62</v>
      </c>
      <c r="Q160" s="10">
        <f t="shared" si="12"/>
        <v>0</v>
      </c>
      <c r="R160" s="11">
        <f t="shared" si="13"/>
        <v>22804.62</v>
      </c>
      <c r="S160" s="1" t="str">
        <f t="shared" si="14"/>
        <v>High</v>
      </c>
      <c r="T160" s="1" t="str" cm="1">
        <f t="array" ref="T160">_xlfn.IFS(L160&gt;5,"High",L160=5,"mediam",L160&lt;5,"low")</f>
        <v>High</v>
      </c>
      <c r="U160" s="1" t="str">
        <f t="shared" si="15"/>
        <v>High</v>
      </c>
      <c r="AF160" s="5">
        <v>10367</v>
      </c>
      <c r="AG160" s="1">
        <v>1880</v>
      </c>
      <c r="AH160" s="2">
        <v>45090</v>
      </c>
      <c r="AI160" s="2">
        <v>45095</v>
      </c>
      <c r="AJ160" s="1" t="s">
        <v>46</v>
      </c>
      <c r="AK160" s="1" t="s">
        <v>41</v>
      </c>
      <c r="AL160" s="1" t="s">
        <v>30</v>
      </c>
      <c r="AM160" s="1" t="s">
        <v>35</v>
      </c>
      <c r="AN160" s="1" t="s">
        <v>57</v>
      </c>
      <c r="AO160" s="1" t="s">
        <v>62</v>
      </c>
      <c r="AP160" s="1" t="s">
        <v>45</v>
      </c>
      <c r="AQ160" s="1">
        <v>8</v>
      </c>
      <c r="AR160" s="1">
        <v>3610.33</v>
      </c>
      <c r="AS160" s="1">
        <v>5</v>
      </c>
      <c r="AT160" s="1">
        <v>27438.51</v>
      </c>
      <c r="AU160" s="1">
        <v>28882.639999999999</v>
      </c>
      <c r="AV160" s="10">
        <v>1371.9255000000001</v>
      </c>
      <c r="AW160" s="11">
        <v>27510.714499999998</v>
      </c>
      <c r="AX160" s="1" t="s">
        <v>159</v>
      </c>
      <c r="AY160" s="1" t="s">
        <v>159</v>
      </c>
      <c r="AZ160" s="1" t="s">
        <v>159</v>
      </c>
    </row>
    <row r="161" spans="1:52" x14ac:dyDescent="0.3">
      <c r="A161" s="5">
        <v>10160</v>
      </c>
      <c r="B161" s="1">
        <v>1032</v>
      </c>
      <c r="C161" s="2">
        <v>45039</v>
      </c>
      <c r="D161" s="2">
        <v>45041</v>
      </c>
      <c r="E161" s="1" t="s">
        <v>22</v>
      </c>
      <c r="F161" s="1" t="s">
        <v>38</v>
      </c>
      <c r="G161" s="1" t="s">
        <v>17</v>
      </c>
      <c r="H161" s="1" t="s">
        <v>44</v>
      </c>
      <c r="I161" s="1" t="s">
        <v>31</v>
      </c>
      <c r="J161" s="1" t="s">
        <v>48</v>
      </c>
      <c r="K161" s="1" t="s">
        <v>47</v>
      </c>
      <c r="L161" s="1">
        <v>4</v>
      </c>
      <c r="M161" s="1">
        <v>1322.72</v>
      </c>
      <c r="N161" s="1">
        <v>5</v>
      </c>
      <c r="O161" s="1">
        <v>5026.34</v>
      </c>
      <c r="P161" s="1">
        <f t="shared" si="11"/>
        <v>5290.88</v>
      </c>
      <c r="Q161" s="10">
        <f t="shared" si="12"/>
        <v>251.31700000000001</v>
      </c>
      <c r="R161" s="11">
        <f t="shared" si="13"/>
        <v>5039.5630000000001</v>
      </c>
      <c r="S161" s="1" t="str">
        <f t="shared" si="14"/>
        <v>Low</v>
      </c>
      <c r="T161" s="1" t="str" cm="1">
        <f t="array" ref="T161">_xlfn.IFS(L161&gt;5,"High",L161=5,"mediam",L161&lt;5,"low")</f>
        <v>low</v>
      </c>
      <c r="U161" s="1" t="b">
        <f t="shared" si="15"/>
        <v>0</v>
      </c>
      <c r="AF161" s="5">
        <v>10368</v>
      </c>
      <c r="AG161" s="1">
        <v>1001</v>
      </c>
      <c r="AH161" s="2">
        <v>45011</v>
      </c>
      <c r="AI161" s="2">
        <v>45018</v>
      </c>
      <c r="AJ161" s="1" t="s">
        <v>22</v>
      </c>
      <c r="AK161" s="1" t="s">
        <v>38</v>
      </c>
      <c r="AL161" s="1" t="s">
        <v>30</v>
      </c>
      <c r="AM161" s="1" t="s">
        <v>35</v>
      </c>
      <c r="AN161" s="1" t="s">
        <v>19</v>
      </c>
      <c r="AO161" s="1" t="s">
        <v>20</v>
      </c>
      <c r="AP161" s="1" t="s">
        <v>21</v>
      </c>
      <c r="AQ161" s="1">
        <v>7</v>
      </c>
      <c r="AR161" s="1">
        <v>2279.48</v>
      </c>
      <c r="AS161" s="1">
        <v>15</v>
      </c>
      <c r="AT161" s="1">
        <v>13562.91</v>
      </c>
      <c r="AU161" s="1">
        <v>15956.36</v>
      </c>
      <c r="AV161" s="10">
        <v>2034.4364999999998</v>
      </c>
      <c r="AW161" s="11">
        <v>13921.923500000001</v>
      </c>
      <c r="AX161" s="1" t="s">
        <v>159</v>
      </c>
      <c r="AY161" s="1" t="s">
        <v>159</v>
      </c>
      <c r="AZ161" s="1" t="s">
        <v>159</v>
      </c>
    </row>
    <row r="162" spans="1:52" x14ac:dyDescent="0.3">
      <c r="A162" s="5">
        <v>10161</v>
      </c>
      <c r="B162" s="1">
        <v>1047</v>
      </c>
      <c r="C162" s="2">
        <v>45109</v>
      </c>
      <c r="D162" s="2">
        <v>45111</v>
      </c>
      <c r="E162" s="1" t="s">
        <v>46</v>
      </c>
      <c r="F162" s="1" t="s">
        <v>41</v>
      </c>
      <c r="G162" s="1" t="s">
        <v>17</v>
      </c>
      <c r="H162" s="1" t="s">
        <v>35</v>
      </c>
      <c r="I162" s="1" t="s">
        <v>19</v>
      </c>
      <c r="J162" s="1" t="s">
        <v>20</v>
      </c>
      <c r="K162" s="1" t="s">
        <v>33</v>
      </c>
      <c r="L162" s="1">
        <v>8</v>
      </c>
      <c r="M162" s="1">
        <v>1168.3900000000001</v>
      </c>
      <c r="N162" s="1">
        <v>10</v>
      </c>
      <c r="O162" s="1">
        <v>8412.41</v>
      </c>
      <c r="P162" s="1">
        <f t="shared" si="11"/>
        <v>9347.1200000000008</v>
      </c>
      <c r="Q162" s="10">
        <f t="shared" si="12"/>
        <v>841.24099999999999</v>
      </c>
      <c r="R162" s="11">
        <f t="shared" si="13"/>
        <v>8505.8790000000008</v>
      </c>
      <c r="S162" s="1" t="str">
        <f t="shared" si="14"/>
        <v>High</v>
      </c>
      <c r="T162" s="1" t="str" cm="1">
        <f t="array" ref="T162">_xlfn.IFS(L162&gt;5,"High",L162=5,"mediam",L162&lt;5,"low")</f>
        <v>High</v>
      </c>
      <c r="U162" s="1" t="str">
        <f t="shared" si="15"/>
        <v>High</v>
      </c>
      <c r="AF162" s="5">
        <v>10369</v>
      </c>
      <c r="AG162" s="1">
        <v>1896</v>
      </c>
      <c r="AH162" s="2">
        <v>44998</v>
      </c>
      <c r="AI162" s="2">
        <v>45000</v>
      </c>
      <c r="AJ162" s="1" t="s">
        <v>22</v>
      </c>
      <c r="AK162" s="1" t="s">
        <v>23</v>
      </c>
      <c r="AL162" s="1" t="s">
        <v>17</v>
      </c>
      <c r="AM162" s="1" t="s">
        <v>35</v>
      </c>
      <c r="AN162" s="1" t="s">
        <v>26</v>
      </c>
      <c r="AO162" s="1" t="s">
        <v>36</v>
      </c>
      <c r="AP162" s="1" t="s">
        <v>47</v>
      </c>
      <c r="AQ162" s="1">
        <v>8</v>
      </c>
      <c r="AR162" s="1">
        <v>3277.19</v>
      </c>
      <c r="AS162" s="1">
        <v>15</v>
      </c>
      <c r="AT162" s="1">
        <v>22284.89</v>
      </c>
      <c r="AU162" s="1">
        <v>26217.52</v>
      </c>
      <c r="AV162" s="10">
        <v>3342.7334999999998</v>
      </c>
      <c r="AW162" s="11">
        <v>22874.786500000002</v>
      </c>
      <c r="AX162" s="1" t="s">
        <v>159</v>
      </c>
      <c r="AY162" s="1" t="s">
        <v>159</v>
      </c>
      <c r="AZ162" s="1" t="s">
        <v>159</v>
      </c>
    </row>
    <row r="163" spans="1:52" x14ac:dyDescent="0.3">
      <c r="A163" s="5">
        <v>10162</v>
      </c>
      <c r="B163" s="1">
        <v>1502</v>
      </c>
      <c r="C163" s="2">
        <v>45072</v>
      </c>
      <c r="D163" s="2">
        <v>45074</v>
      </c>
      <c r="E163" s="1" t="s">
        <v>37</v>
      </c>
      <c r="F163" s="1" t="s">
        <v>29</v>
      </c>
      <c r="G163" s="1" t="s">
        <v>24</v>
      </c>
      <c r="H163" s="1" t="s">
        <v>44</v>
      </c>
      <c r="I163" s="1" t="s">
        <v>57</v>
      </c>
      <c r="J163" s="1" t="s">
        <v>58</v>
      </c>
      <c r="K163" s="1" t="s">
        <v>33</v>
      </c>
      <c r="L163" s="1">
        <v>8</v>
      </c>
      <c r="M163" s="1">
        <v>1227.5899999999999</v>
      </c>
      <c r="N163" s="1">
        <v>5</v>
      </c>
      <c r="O163" s="1">
        <v>9329.68</v>
      </c>
      <c r="P163" s="1">
        <f t="shared" si="11"/>
        <v>9820.7199999999993</v>
      </c>
      <c r="Q163" s="10">
        <f t="shared" si="12"/>
        <v>466.48400000000004</v>
      </c>
      <c r="R163" s="11">
        <f t="shared" si="13"/>
        <v>9354.235999999999</v>
      </c>
      <c r="S163" s="1" t="str">
        <f t="shared" si="14"/>
        <v>High</v>
      </c>
      <c r="T163" s="1" t="str" cm="1">
        <f t="array" ref="T163">_xlfn.IFS(L163&gt;5,"High",L163=5,"mediam",L163&lt;5,"low")</f>
        <v>High</v>
      </c>
      <c r="U163" s="1" t="str">
        <f t="shared" si="15"/>
        <v>High</v>
      </c>
      <c r="AF163" s="5">
        <v>10372</v>
      </c>
      <c r="AG163" s="1">
        <v>1651</v>
      </c>
      <c r="AH163" s="2">
        <v>45164</v>
      </c>
      <c r="AI163" s="2">
        <v>45167</v>
      </c>
      <c r="AJ163" s="1" t="s">
        <v>16</v>
      </c>
      <c r="AK163" s="1" t="s">
        <v>23</v>
      </c>
      <c r="AL163" s="1" t="s">
        <v>24</v>
      </c>
      <c r="AM163" s="1" t="s">
        <v>35</v>
      </c>
      <c r="AN163" s="1" t="s">
        <v>49</v>
      </c>
      <c r="AO163" s="1" t="s">
        <v>63</v>
      </c>
      <c r="AP163" s="1" t="s">
        <v>21</v>
      </c>
      <c r="AQ163" s="1">
        <v>2</v>
      </c>
      <c r="AR163" s="1">
        <v>3957.02</v>
      </c>
      <c r="AS163" s="1">
        <v>5</v>
      </c>
      <c r="AT163" s="1">
        <v>7518.34</v>
      </c>
      <c r="AU163" s="1">
        <v>7914.04</v>
      </c>
      <c r="AV163" s="10">
        <v>375.91700000000003</v>
      </c>
      <c r="AW163" s="11">
        <v>7538.1229999999996</v>
      </c>
      <c r="AX163" s="1" t="s">
        <v>161</v>
      </c>
      <c r="AY163" s="1" t="s">
        <v>162</v>
      </c>
      <c r="AZ163" s="1" t="b">
        <v>0</v>
      </c>
    </row>
    <row r="164" spans="1:52" x14ac:dyDescent="0.3">
      <c r="A164" s="5">
        <v>10163</v>
      </c>
      <c r="B164" s="1">
        <v>1406</v>
      </c>
      <c r="C164" s="2">
        <v>45245</v>
      </c>
      <c r="D164" s="2">
        <v>45249</v>
      </c>
      <c r="E164" s="1" t="s">
        <v>16</v>
      </c>
      <c r="F164" s="1" t="s">
        <v>23</v>
      </c>
      <c r="G164" s="1" t="s">
        <v>30</v>
      </c>
      <c r="H164" s="1" t="s">
        <v>44</v>
      </c>
      <c r="I164" s="1" t="s">
        <v>52</v>
      </c>
      <c r="J164" s="1" t="s">
        <v>53</v>
      </c>
      <c r="K164" s="1" t="s">
        <v>45</v>
      </c>
      <c r="L164" s="1">
        <v>1</v>
      </c>
      <c r="M164" s="1">
        <v>1219.22</v>
      </c>
      <c r="N164" s="1">
        <v>20</v>
      </c>
      <c r="O164" s="1">
        <v>975.38</v>
      </c>
      <c r="P164" s="1">
        <f t="shared" si="11"/>
        <v>1219.22</v>
      </c>
      <c r="Q164" s="10">
        <f t="shared" si="12"/>
        <v>195.07600000000002</v>
      </c>
      <c r="R164" s="11">
        <f t="shared" si="13"/>
        <v>1024.144</v>
      </c>
      <c r="S164" s="1" t="str">
        <f t="shared" si="14"/>
        <v>Low</v>
      </c>
      <c r="T164" s="1" t="str" cm="1">
        <f t="array" ref="T164">_xlfn.IFS(L164&gt;5,"High",L164=5,"mediam",L164&lt;5,"low")</f>
        <v>low</v>
      </c>
      <c r="U164" s="1" t="b">
        <f t="shared" si="15"/>
        <v>0</v>
      </c>
      <c r="AF164" s="5">
        <v>10375</v>
      </c>
      <c r="AG164" s="1">
        <v>1159</v>
      </c>
      <c r="AH164" s="2">
        <v>44968</v>
      </c>
      <c r="AI164" s="2">
        <v>44970</v>
      </c>
      <c r="AJ164" s="1" t="s">
        <v>40</v>
      </c>
      <c r="AK164" s="1" t="s">
        <v>23</v>
      </c>
      <c r="AL164" s="1" t="s">
        <v>17</v>
      </c>
      <c r="AM164" s="1" t="s">
        <v>35</v>
      </c>
      <c r="AN164" s="1" t="s">
        <v>52</v>
      </c>
      <c r="AO164" s="1" t="s">
        <v>60</v>
      </c>
      <c r="AP164" s="1" t="s">
        <v>45</v>
      </c>
      <c r="AQ164" s="1">
        <v>3</v>
      </c>
      <c r="AR164" s="1">
        <v>1998.18</v>
      </c>
      <c r="AS164" s="1">
        <v>5</v>
      </c>
      <c r="AT164" s="1">
        <v>5694.81</v>
      </c>
      <c r="AU164" s="1">
        <v>5994.54</v>
      </c>
      <c r="AV164" s="10">
        <v>284.74050000000005</v>
      </c>
      <c r="AW164" s="11">
        <v>5709.7995000000001</v>
      </c>
      <c r="AX164" s="1" t="s">
        <v>161</v>
      </c>
      <c r="AY164" s="1" t="s">
        <v>162</v>
      </c>
      <c r="AZ164" s="1" t="b">
        <v>0</v>
      </c>
    </row>
    <row r="165" spans="1:52" x14ac:dyDescent="0.3">
      <c r="A165" s="5">
        <v>10164</v>
      </c>
      <c r="B165" s="1">
        <v>1573</v>
      </c>
      <c r="C165" s="2">
        <v>45042</v>
      </c>
      <c r="D165" s="2">
        <v>45043</v>
      </c>
      <c r="E165" s="1" t="s">
        <v>40</v>
      </c>
      <c r="F165" s="1" t="s">
        <v>16</v>
      </c>
      <c r="G165" s="1" t="s">
        <v>24</v>
      </c>
      <c r="H165" s="1" t="s">
        <v>35</v>
      </c>
      <c r="I165" s="1" t="s">
        <v>52</v>
      </c>
      <c r="J165" s="1" t="s">
        <v>64</v>
      </c>
      <c r="K165" s="1" t="s">
        <v>45</v>
      </c>
      <c r="L165" s="1">
        <v>4</v>
      </c>
      <c r="M165" s="1">
        <v>288.33</v>
      </c>
      <c r="N165" s="1">
        <v>20</v>
      </c>
      <c r="O165" s="1">
        <v>922.66</v>
      </c>
      <c r="P165" s="1">
        <f t="shared" si="11"/>
        <v>1153.32</v>
      </c>
      <c r="Q165" s="10">
        <f t="shared" si="12"/>
        <v>184.53200000000001</v>
      </c>
      <c r="R165" s="11">
        <f t="shared" si="13"/>
        <v>968.7879999999999</v>
      </c>
      <c r="S165" s="1" t="str">
        <f t="shared" si="14"/>
        <v>Low</v>
      </c>
      <c r="T165" s="1" t="str" cm="1">
        <f t="array" ref="T165">_xlfn.IFS(L165&gt;5,"High",L165=5,"mediam",L165&lt;5,"low")</f>
        <v>low</v>
      </c>
      <c r="U165" s="1" t="b">
        <f t="shared" si="15"/>
        <v>0</v>
      </c>
      <c r="AF165" s="5">
        <v>10378</v>
      </c>
      <c r="AG165" s="1">
        <v>1098</v>
      </c>
      <c r="AH165" s="2">
        <v>45189</v>
      </c>
      <c r="AI165" s="2">
        <v>45192</v>
      </c>
      <c r="AJ165" s="1" t="s">
        <v>40</v>
      </c>
      <c r="AK165" s="1" t="s">
        <v>23</v>
      </c>
      <c r="AL165" s="1" t="s">
        <v>17</v>
      </c>
      <c r="AM165" s="1" t="s">
        <v>35</v>
      </c>
      <c r="AN165" s="1" t="s">
        <v>52</v>
      </c>
      <c r="AO165" s="1" t="s">
        <v>64</v>
      </c>
      <c r="AP165" s="1" t="s">
        <v>28</v>
      </c>
      <c r="AQ165" s="1">
        <v>9</v>
      </c>
      <c r="AR165" s="1">
        <v>3344.43</v>
      </c>
      <c r="AS165" s="1">
        <v>10</v>
      </c>
      <c r="AT165" s="1">
        <v>27089.88</v>
      </c>
      <c r="AU165" s="1">
        <v>30099.87</v>
      </c>
      <c r="AV165" s="10">
        <v>2708.9880000000003</v>
      </c>
      <c r="AW165" s="11">
        <v>27390.881999999998</v>
      </c>
      <c r="AX165" s="1" t="s">
        <v>159</v>
      </c>
      <c r="AY165" s="1" t="s">
        <v>159</v>
      </c>
      <c r="AZ165" s="1" t="s">
        <v>159</v>
      </c>
    </row>
    <row r="166" spans="1:52" x14ac:dyDescent="0.3">
      <c r="A166" s="5">
        <v>10165</v>
      </c>
      <c r="B166" s="1">
        <v>1727</v>
      </c>
      <c r="C166" s="2">
        <v>45039</v>
      </c>
      <c r="D166" s="2">
        <v>45043</v>
      </c>
      <c r="E166" s="1" t="s">
        <v>34</v>
      </c>
      <c r="F166" s="1" t="s">
        <v>38</v>
      </c>
      <c r="G166" s="1" t="s">
        <v>24</v>
      </c>
      <c r="H166" s="1" t="s">
        <v>35</v>
      </c>
      <c r="I166" s="1" t="s">
        <v>57</v>
      </c>
      <c r="J166" s="1" t="s">
        <v>62</v>
      </c>
      <c r="K166" s="1" t="s">
        <v>28</v>
      </c>
      <c r="L166" s="1">
        <v>4</v>
      </c>
      <c r="M166" s="1">
        <v>3718.63</v>
      </c>
      <c r="N166" s="1">
        <v>20</v>
      </c>
      <c r="O166" s="1">
        <v>11899.62</v>
      </c>
      <c r="P166" s="1">
        <f t="shared" si="11"/>
        <v>14874.52</v>
      </c>
      <c r="Q166" s="10">
        <f t="shared" si="12"/>
        <v>2379.9240000000004</v>
      </c>
      <c r="R166" s="11">
        <f t="shared" si="13"/>
        <v>12494.596</v>
      </c>
      <c r="S166" s="1" t="str">
        <f t="shared" si="14"/>
        <v>Low</v>
      </c>
      <c r="T166" s="1" t="str" cm="1">
        <f t="array" ref="T166">_xlfn.IFS(L166&gt;5,"High",L166=5,"mediam",L166&lt;5,"low")</f>
        <v>low</v>
      </c>
      <c r="U166" s="1" t="b">
        <f t="shared" si="15"/>
        <v>0</v>
      </c>
      <c r="AF166" s="5">
        <v>10379</v>
      </c>
      <c r="AG166" s="1">
        <v>1658</v>
      </c>
      <c r="AH166" s="2">
        <v>45262</v>
      </c>
      <c r="AI166" s="2">
        <v>45270</v>
      </c>
      <c r="AJ166" s="1" t="s">
        <v>15</v>
      </c>
      <c r="AK166" s="1" t="s">
        <v>16</v>
      </c>
      <c r="AL166" s="1" t="s">
        <v>24</v>
      </c>
      <c r="AM166" s="1" t="s">
        <v>35</v>
      </c>
      <c r="AN166" s="1" t="s">
        <v>26</v>
      </c>
      <c r="AO166" s="1" t="s">
        <v>69</v>
      </c>
      <c r="AP166" s="1" t="s">
        <v>45</v>
      </c>
      <c r="AQ166" s="1">
        <v>1</v>
      </c>
      <c r="AR166" s="1">
        <v>3910.66</v>
      </c>
      <c r="AS166" s="1">
        <v>5</v>
      </c>
      <c r="AT166" s="1">
        <v>3715.13</v>
      </c>
      <c r="AU166" s="1">
        <v>3910.66</v>
      </c>
      <c r="AV166" s="10">
        <v>185.75650000000002</v>
      </c>
      <c r="AW166" s="11">
        <v>3724.9034999999999</v>
      </c>
      <c r="AX166" s="1" t="s">
        <v>161</v>
      </c>
      <c r="AY166" s="1" t="s">
        <v>162</v>
      </c>
      <c r="AZ166" s="1" t="b">
        <v>0</v>
      </c>
    </row>
    <row r="167" spans="1:52" x14ac:dyDescent="0.3">
      <c r="A167" s="5">
        <v>10166</v>
      </c>
      <c r="B167" s="1">
        <v>1804</v>
      </c>
      <c r="C167" s="2">
        <v>45177</v>
      </c>
      <c r="D167" s="2">
        <v>45179</v>
      </c>
      <c r="E167" s="1" t="s">
        <v>16</v>
      </c>
      <c r="F167" s="1" t="s">
        <v>41</v>
      </c>
      <c r="G167" s="1" t="s">
        <v>30</v>
      </c>
      <c r="H167" s="1" t="s">
        <v>42</v>
      </c>
      <c r="I167" s="1" t="s">
        <v>26</v>
      </c>
      <c r="J167" s="1" t="s">
        <v>27</v>
      </c>
      <c r="K167" s="1" t="s">
        <v>21</v>
      </c>
      <c r="L167" s="1">
        <v>7</v>
      </c>
      <c r="M167" s="1">
        <v>972.74</v>
      </c>
      <c r="N167" s="1">
        <v>0</v>
      </c>
      <c r="O167" s="1">
        <v>6809.18</v>
      </c>
      <c r="P167" s="1">
        <f t="shared" si="11"/>
        <v>6809.18</v>
      </c>
      <c r="Q167" s="10">
        <f t="shared" si="12"/>
        <v>0</v>
      </c>
      <c r="R167" s="11">
        <f t="shared" si="13"/>
        <v>6809.18</v>
      </c>
      <c r="S167" s="1" t="str">
        <f t="shared" si="14"/>
        <v>High</v>
      </c>
      <c r="T167" s="1" t="str" cm="1">
        <f t="array" ref="T167">_xlfn.IFS(L167&gt;5,"High",L167=5,"mediam",L167&lt;5,"low")</f>
        <v>High</v>
      </c>
      <c r="U167" s="1" t="str">
        <f t="shared" si="15"/>
        <v>High</v>
      </c>
      <c r="AF167" s="5">
        <v>10389</v>
      </c>
      <c r="AG167" s="1">
        <v>1627</v>
      </c>
      <c r="AH167" s="2">
        <v>45027</v>
      </c>
      <c r="AI167" s="2">
        <v>45030</v>
      </c>
      <c r="AJ167" s="1" t="s">
        <v>15</v>
      </c>
      <c r="AK167" s="1" t="s">
        <v>38</v>
      </c>
      <c r="AL167" s="1" t="s">
        <v>17</v>
      </c>
      <c r="AM167" s="1" t="s">
        <v>35</v>
      </c>
      <c r="AN167" s="1" t="s">
        <v>26</v>
      </c>
      <c r="AO167" s="1" t="s">
        <v>69</v>
      </c>
      <c r="AP167" s="1" t="s">
        <v>21</v>
      </c>
      <c r="AQ167" s="1">
        <v>7</v>
      </c>
      <c r="AR167" s="1">
        <v>3459.29</v>
      </c>
      <c r="AS167" s="1">
        <v>0</v>
      </c>
      <c r="AT167" s="1">
        <v>24215.03</v>
      </c>
      <c r="AU167" s="1">
        <v>24215.03</v>
      </c>
      <c r="AV167" s="10">
        <v>0</v>
      </c>
      <c r="AW167" s="11">
        <v>24215.03</v>
      </c>
      <c r="AX167" s="1" t="s">
        <v>159</v>
      </c>
      <c r="AY167" s="1" t="s">
        <v>159</v>
      </c>
      <c r="AZ167" s="1" t="s">
        <v>159</v>
      </c>
    </row>
    <row r="168" spans="1:52" x14ac:dyDescent="0.3">
      <c r="A168" s="5">
        <v>10167</v>
      </c>
      <c r="B168" s="1">
        <v>1098</v>
      </c>
      <c r="C168" s="2">
        <v>45177</v>
      </c>
      <c r="D168" s="2">
        <v>45182</v>
      </c>
      <c r="E168" s="1" t="s">
        <v>40</v>
      </c>
      <c r="F168" s="1" t="s">
        <v>41</v>
      </c>
      <c r="G168" s="1" t="s">
        <v>30</v>
      </c>
      <c r="H168" s="1" t="s">
        <v>42</v>
      </c>
      <c r="I168" s="1" t="s">
        <v>31</v>
      </c>
      <c r="J168" s="1" t="s">
        <v>32</v>
      </c>
      <c r="K168" s="1" t="s">
        <v>45</v>
      </c>
      <c r="L168" s="1">
        <v>7</v>
      </c>
      <c r="M168" s="1">
        <v>1767.02</v>
      </c>
      <c r="N168" s="1">
        <v>15</v>
      </c>
      <c r="O168" s="1">
        <v>10513.77</v>
      </c>
      <c r="P168" s="1">
        <f t="shared" si="11"/>
        <v>12369.14</v>
      </c>
      <c r="Q168" s="10">
        <f t="shared" si="12"/>
        <v>1577.0654999999999</v>
      </c>
      <c r="R168" s="11">
        <f t="shared" si="13"/>
        <v>10792.074499999999</v>
      </c>
      <c r="S168" s="1" t="str">
        <f t="shared" si="14"/>
        <v>High</v>
      </c>
      <c r="T168" s="1" t="str" cm="1">
        <f t="array" ref="T168">_xlfn.IFS(L168&gt;5,"High",L168=5,"mediam",L168&lt;5,"low")</f>
        <v>High</v>
      </c>
      <c r="U168" s="1" t="str">
        <f t="shared" si="15"/>
        <v>High</v>
      </c>
      <c r="AF168" s="5">
        <v>10390</v>
      </c>
      <c r="AG168" s="1">
        <v>1586</v>
      </c>
      <c r="AH168" s="2">
        <v>45102</v>
      </c>
      <c r="AI168" s="2">
        <v>45103</v>
      </c>
      <c r="AJ168" s="1" t="s">
        <v>40</v>
      </c>
      <c r="AK168" s="1" t="s">
        <v>54</v>
      </c>
      <c r="AL168" s="1" t="s">
        <v>24</v>
      </c>
      <c r="AM168" s="1" t="s">
        <v>35</v>
      </c>
      <c r="AN168" s="1" t="s">
        <v>31</v>
      </c>
      <c r="AO168" s="1" t="s">
        <v>48</v>
      </c>
      <c r="AP168" s="1" t="s">
        <v>47</v>
      </c>
      <c r="AQ168" s="1">
        <v>1</v>
      </c>
      <c r="AR168" s="1">
        <v>2430.36</v>
      </c>
      <c r="AS168" s="1">
        <v>15</v>
      </c>
      <c r="AT168" s="1">
        <v>2065.81</v>
      </c>
      <c r="AU168" s="1">
        <v>2430.36</v>
      </c>
      <c r="AV168" s="10">
        <v>309.87149999999997</v>
      </c>
      <c r="AW168" s="11">
        <v>2120.4885000000004</v>
      </c>
      <c r="AX168" s="1" t="s">
        <v>161</v>
      </c>
      <c r="AY168" s="1" t="s">
        <v>162</v>
      </c>
      <c r="AZ168" s="1" t="b">
        <v>0</v>
      </c>
    </row>
    <row r="169" spans="1:52" x14ac:dyDescent="0.3">
      <c r="A169" s="5">
        <v>10168</v>
      </c>
      <c r="B169" s="1">
        <v>1683</v>
      </c>
      <c r="C169" s="2">
        <v>45229</v>
      </c>
      <c r="D169" s="2">
        <v>45232</v>
      </c>
      <c r="E169" s="1" t="s">
        <v>37</v>
      </c>
      <c r="F169" s="1" t="s">
        <v>16</v>
      </c>
      <c r="G169" s="1" t="s">
        <v>30</v>
      </c>
      <c r="H169" s="1" t="s">
        <v>44</v>
      </c>
      <c r="I169" s="1" t="s">
        <v>52</v>
      </c>
      <c r="J169" s="1" t="s">
        <v>56</v>
      </c>
      <c r="K169" s="1" t="s">
        <v>45</v>
      </c>
      <c r="L169" s="1">
        <v>8</v>
      </c>
      <c r="M169" s="1">
        <v>187.29</v>
      </c>
      <c r="N169" s="1">
        <v>5</v>
      </c>
      <c r="O169" s="1">
        <v>1423.4</v>
      </c>
      <c r="P169" s="1">
        <f t="shared" si="11"/>
        <v>1498.32</v>
      </c>
      <c r="Q169" s="10">
        <f t="shared" si="12"/>
        <v>71.17</v>
      </c>
      <c r="R169" s="11">
        <f t="shared" si="13"/>
        <v>1427.1499999999999</v>
      </c>
      <c r="S169" s="1" t="str">
        <f t="shared" si="14"/>
        <v>High</v>
      </c>
      <c r="T169" s="1" t="str" cm="1">
        <f t="array" ref="T169">_xlfn.IFS(L169&gt;5,"High",L169=5,"mediam",L169&lt;5,"low")</f>
        <v>High</v>
      </c>
      <c r="U169" s="1" t="str">
        <f t="shared" si="15"/>
        <v>High</v>
      </c>
      <c r="AF169" s="5">
        <v>10393</v>
      </c>
      <c r="AG169" s="1">
        <v>1419</v>
      </c>
      <c r="AH169" s="2">
        <v>45186</v>
      </c>
      <c r="AI169" s="2">
        <v>45191</v>
      </c>
      <c r="AJ169" s="1" t="s">
        <v>40</v>
      </c>
      <c r="AK169" s="1" t="s">
        <v>23</v>
      </c>
      <c r="AL169" s="1" t="s">
        <v>24</v>
      </c>
      <c r="AM169" s="1" t="s">
        <v>35</v>
      </c>
      <c r="AN169" s="1" t="s">
        <v>52</v>
      </c>
      <c r="AO169" s="1" t="s">
        <v>60</v>
      </c>
      <c r="AP169" s="1" t="s">
        <v>45</v>
      </c>
      <c r="AQ169" s="1">
        <v>8</v>
      </c>
      <c r="AR169" s="1">
        <v>2993.25</v>
      </c>
      <c r="AS169" s="1">
        <v>10</v>
      </c>
      <c r="AT169" s="1">
        <v>21551.4</v>
      </c>
      <c r="AU169" s="1">
        <v>23946</v>
      </c>
      <c r="AV169" s="10">
        <v>2155.1400000000003</v>
      </c>
      <c r="AW169" s="11">
        <v>21790.86</v>
      </c>
      <c r="AX169" s="1" t="s">
        <v>159</v>
      </c>
      <c r="AY169" s="1" t="s">
        <v>159</v>
      </c>
      <c r="AZ169" s="1" t="s">
        <v>159</v>
      </c>
    </row>
    <row r="170" spans="1:52" x14ac:dyDescent="0.3">
      <c r="A170" s="5">
        <v>10169</v>
      </c>
      <c r="B170" s="1">
        <v>1871</v>
      </c>
      <c r="C170" s="2">
        <v>45239</v>
      </c>
      <c r="D170" s="2">
        <v>45247</v>
      </c>
      <c r="E170" s="1" t="s">
        <v>22</v>
      </c>
      <c r="F170" s="1" t="s">
        <v>29</v>
      </c>
      <c r="G170" s="1" t="s">
        <v>30</v>
      </c>
      <c r="H170" s="1" t="s">
        <v>44</v>
      </c>
      <c r="I170" s="1" t="s">
        <v>19</v>
      </c>
      <c r="J170" s="1" t="s">
        <v>55</v>
      </c>
      <c r="K170" s="1" t="s">
        <v>47</v>
      </c>
      <c r="L170" s="1">
        <v>5</v>
      </c>
      <c r="M170" s="1">
        <v>3453.13</v>
      </c>
      <c r="N170" s="1">
        <v>5</v>
      </c>
      <c r="O170" s="1">
        <v>16402.37</v>
      </c>
      <c r="P170" s="1">
        <f t="shared" si="11"/>
        <v>17265.650000000001</v>
      </c>
      <c r="Q170" s="10">
        <f t="shared" si="12"/>
        <v>820.11850000000004</v>
      </c>
      <c r="R170" s="11">
        <f t="shared" si="13"/>
        <v>16445.531500000001</v>
      </c>
      <c r="S170" s="1" t="str">
        <f t="shared" si="14"/>
        <v>High</v>
      </c>
      <c r="T170" s="1" t="str" cm="1">
        <f t="array" ref="T170">_xlfn.IFS(L170&gt;5,"High",L170=5,"mediam",L170&lt;5,"low")</f>
        <v>mediam</v>
      </c>
      <c r="U170" s="1" t="b">
        <f t="shared" si="15"/>
        <v>0</v>
      </c>
      <c r="AF170" s="5">
        <v>10400</v>
      </c>
      <c r="AG170" s="1">
        <v>1509</v>
      </c>
      <c r="AH170" s="2">
        <v>44942</v>
      </c>
      <c r="AI170" s="2">
        <v>44943</v>
      </c>
      <c r="AJ170" s="1" t="s">
        <v>34</v>
      </c>
      <c r="AK170" s="1" t="s">
        <v>29</v>
      </c>
      <c r="AL170" s="1" t="s">
        <v>30</v>
      </c>
      <c r="AM170" s="1" t="s">
        <v>35</v>
      </c>
      <c r="AN170" s="1" t="s">
        <v>52</v>
      </c>
      <c r="AO170" s="1" t="s">
        <v>60</v>
      </c>
      <c r="AP170" s="1" t="s">
        <v>21</v>
      </c>
      <c r="AQ170" s="1">
        <v>4</v>
      </c>
      <c r="AR170" s="1">
        <v>3979.53</v>
      </c>
      <c r="AS170" s="1">
        <v>10</v>
      </c>
      <c r="AT170" s="1">
        <v>14326.31</v>
      </c>
      <c r="AU170" s="1">
        <v>15918.12</v>
      </c>
      <c r="AV170" s="10">
        <v>1432.6310000000001</v>
      </c>
      <c r="AW170" s="11">
        <v>14485.489000000001</v>
      </c>
      <c r="AX170" s="1" t="s">
        <v>161</v>
      </c>
      <c r="AY170" s="1" t="s">
        <v>162</v>
      </c>
      <c r="AZ170" s="1" t="b">
        <v>0</v>
      </c>
    </row>
    <row r="171" spans="1:52" x14ac:dyDescent="0.3">
      <c r="A171" s="5">
        <v>10170</v>
      </c>
      <c r="B171" s="1">
        <v>1725</v>
      </c>
      <c r="C171" s="2">
        <v>45044</v>
      </c>
      <c r="D171" s="2">
        <v>45048</v>
      </c>
      <c r="E171" s="1" t="s">
        <v>37</v>
      </c>
      <c r="F171" s="1" t="s">
        <v>16</v>
      </c>
      <c r="G171" s="1" t="s">
        <v>24</v>
      </c>
      <c r="H171" s="1" t="s">
        <v>18</v>
      </c>
      <c r="I171" s="1" t="s">
        <v>31</v>
      </c>
      <c r="J171" s="1" t="s">
        <v>65</v>
      </c>
      <c r="K171" s="1" t="s">
        <v>33</v>
      </c>
      <c r="L171" s="1">
        <v>7</v>
      </c>
      <c r="M171" s="1">
        <v>2964.96</v>
      </c>
      <c r="N171" s="1">
        <v>5</v>
      </c>
      <c r="O171" s="1">
        <v>19716.98</v>
      </c>
      <c r="P171" s="1">
        <f t="shared" si="11"/>
        <v>20754.72</v>
      </c>
      <c r="Q171" s="10">
        <f t="shared" si="12"/>
        <v>985.84900000000005</v>
      </c>
      <c r="R171" s="11">
        <f t="shared" si="13"/>
        <v>19768.871000000003</v>
      </c>
      <c r="S171" s="1" t="str">
        <f t="shared" si="14"/>
        <v>High</v>
      </c>
      <c r="T171" s="1" t="str" cm="1">
        <f t="array" ref="T171">_xlfn.IFS(L171&gt;5,"High",L171=5,"mediam",L171&lt;5,"low")</f>
        <v>High</v>
      </c>
      <c r="U171" s="1" t="str">
        <f t="shared" si="15"/>
        <v>High</v>
      </c>
      <c r="AF171" s="5">
        <v>10401</v>
      </c>
      <c r="AG171" s="1">
        <v>1472</v>
      </c>
      <c r="AH171" s="2">
        <v>45055</v>
      </c>
      <c r="AI171" s="2">
        <v>45059</v>
      </c>
      <c r="AJ171" s="1" t="s">
        <v>16</v>
      </c>
      <c r="AK171" s="1" t="s">
        <v>29</v>
      </c>
      <c r="AL171" s="1" t="s">
        <v>24</v>
      </c>
      <c r="AM171" s="1" t="s">
        <v>35</v>
      </c>
      <c r="AN171" s="1" t="s">
        <v>31</v>
      </c>
      <c r="AO171" s="1" t="s">
        <v>48</v>
      </c>
      <c r="AP171" s="1" t="s">
        <v>45</v>
      </c>
      <c r="AQ171" s="1">
        <v>4</v>
      </c>
      <c r="AR171" s="1">
        <v>506.13</v>
      </c>
      <c r="AS171" s="1">
        <v>5</v>
      </c>
      <c r="AT171" s="1">
        <v>1923.29</v>
      </c>
      <c r="AU171" s="1">
        <v>2024.52</v>
      </c>
      <c r="AV171" s="10">
        <v>96.164500000000004</v>
      </c>
      <c r="AW171" s="11">
        <v>1928.3554999999999</v>
      </c>
      <c r="AX171" s="1" t="s">
        <v>161</v>
      </c>
      <c r="AY171" s="1" t="s">
        <v>162</v>
      </c>
      <c r="AZ171" s="1" t="b">
        <v>0</v>
      </c>
    </row>
    <row r="172" spans="1:52" x14ac:dyDescent="0.3">
      <c r="A172" s="5">
        <v>10171</v>
      </c>
      <c r="B172" s="1">
        <v>1986</v>
      </c>
      <c r="C172" s="2">
        <v>45227</v>
      </c>
      <c r="D172" s="2">
        <v>45228</v>
      </c>
      <c r="E172" s="1" t="s">
        <v>15</v>
      </c>
      <c r="F172" s="1" t="s">
        <v>41</v>
      </c>
      <c r="G172" s="1" t="s">
        <v>24</v>
      </c>
      <c r="H172" s="1" t="s">
        <v>18</v>
      </c>
      <c r="I172" s="1" t="s">
        <v>19</v>
      </c>
      <c r="J172" s="1" t="s">
        <v>43</v>
      </c>
      <c r="K172" s="1" t="s">
        <v>21</v>
      </c>
      <c r="L172" s="1">
        <v>8</v>
      </c>
      <c r="M172" s="1">
        <v>3795.01</v>
      </c>
      <c r="N172" s="1">
        <v>5</v>
      </c>
      <c r="O172" s="1">
        <v>28842.080000000002</v>
      </c>
      <c r="P172" s="1">
        <f t="shared" si="11"/>
        <v>30360.080000000002</v>
      </c>
      <c r="Q172" s="10">
        <f t="shared" si="12"/>
        <v>1442.1040000000003</v>
      </c>
      <c r="R172" s="11">
        <f t="shared" si="13"/>
        <v>28917.976000000002</v>
      </c>
      <c r="S172" s="1" t="str">
        <f t="shared" si="14"/>
        <v>High</v>
      </c>
      <c r="T172" s="1" t="str" cm="1">
        <f t="array" ref="T172">_xlfn.IFS(L172&gt;5,"High",L172=5,"mediam",L172&lt;5,"low")</f>
        <v>High</v>
      </c>
      <c r="U172" s="1" t="str">
        <f t="shared" si="15"/>
        <v>High</v>
      </c>
      <c r="AF172" s="5">
        <v>10418</v>
      </c>
      <c r="AG172" s="1">
        <v>1800</v>
      </c>
      <c r="AH172" s="2">
        <v>45279</v>
      </c>
      <c r="AI172" s="2">
        <v>45280</v>
      </c>
      <c r="AJ172" s="1" t="s">
        <v>40</v>
      </c>
      <c r="AK172" s="1" t="s">
        <v>54</v>
      </c>
      <c r="AL172" s="1" t="s">
        <v>24</v>
      </c>
      <c r="AM172" s="1" t="s">
        <v>35</v>
      </c>
      <c r="AN172" s="1" t="s">
        <v>52</v>
      </c>
      <c r="AO172" s="1" t="s">
        <v>56</v>
      </c>
      <c r="AP172" s="1" t="s">
        <v>33</v>
      </c>
      <c r="AQ172" s="1">
        <v>8</v>
      </c>
      <c r="AR172" s="1">
        <v>3905.57</v>
      </c>
      <c r="AS172" s="1">
        <v>10</v>
      </c>
      <c r="AT172" s="1">
        <v>28120.1</v>
      </c>
      <c r="AU172" s="1">
        <v>31244.560000000001</v>
      </c>
      <c r="AV172" s="10">
        <v>2812.01</v>
      </c>
      <c r="AW172" s="11">
        <v>28432.550000000003</v>
      </c>
      <c r="AX172" s="1" t="s">
        <v>159</v>
      </c>
      <c r="AY172" s="1" t="s">
        <v>159</v>
      </c>
      <c r="AZ172" s="1" t="s">
        <v>159</v>
      </c>
    </row>
    <row r="173" spans="1:52" x14ac:dyDescent="0.3">
      <c r="A173" s="5">
        <v>10172</v>
      </c>
      <c r="B173" s="1">
        <v>1546</v>
      </c>
      <c r="C173" s="2">
        <v>45087</v>
      </c>
      <c r="D173" s="2">
        <v>45088</v>
      </c>
      <c r="E173" s="1" t="s">
        <v>46</v>
      </c>
      <c r="F173" s="1" t="s">
        <v>54</v>
      </c>
      <c r="G173" s="1" t="s">
        <v>17</v>
      </c>
      <c r="H173" s="1" t="s">
        <v>42</v>
      </c>
      <c r="I173" s="1" t="s">
        <v>49</v>
      </c>
      <c r="J173" s="1" t="s">
        <v>63</v>
      </c>
      <c r="K173" s="1" t="s">
        <v>47</v>
      </c>
      <c r="L173" s="1">
        <v>9</v>
      </c>
      <c r="M173" s="1">
        <v>3159.22</v>
      </c>
      <c r="N173" s="1">
        <v>20</v>
      </c>
      <c r="O173" s="1">
        <v>22746.38</v>
      </c>
      <c r="P173" s="1">
        <f t="shared" si="11"/>
        <v>28432.98</v>
      </c>
      <c r="Q173" s="10">
        <f t="shared" si="12"/>
        <v>4549.2760000000007</v>
      </c>
      <c r="R173" s="11">
        <f t="shared" si="13"/>
        <v>23883.703999999998</v>
      </c>
      <c r="S173" s="1" t="str">
        <f t="shared" si="14"/>
        <v>High</v>
      </c>
      <c r="T173" s="1" t="str" cm="1">
        <f t="array" ref="T173">_xlfn.IFS(L173&gt;5,"High",L173=5,"mediam",L173&lt;5,"low")</f>
        <v>High</v>
      </c>
      <c r="U173" s="1" t="str">
        <f t="shared" si="15"/>
        <v>High</v>
      </c>
      <c r="AF173" s="5">
        <v>10419</v>
      </c>
      <c r="AG173" s="1">
        <v>1397</v>
      </c>
      <c r="AH173" s="2">
        <v>45122</v>
      </c>
      <c r="AI173" s="2">
        <v>45129</v>
      </c>
      <c r="AJ173" s="1" t="s">
        <v>15</v>
      </c>
      <c r="AK173" s="1" t="s">
        <v>16</v>
      </c>
      <c r="AL173" s="1" t="s">
        <v>24</v>
      </c>
      <c r="AM173" s="1" t="s">
        <v>35</v>
      </c>
      <c r="AN173" s="1" t="s">
        <v>26</v>
      </c>
      <c r="AO173" s="1" t="s">
        <v>27</v>
      </c>
      <c r="AP173" s="1" t="s">
        <v>47</v>
      </c>
      <c r="AQ173" s="1">
        <v>8</v>
      </c>
      <c r="AR173" s="1">
        <v>1975.53</v>
      </c>
      <c r="AS173" s="1">
        <v>5</v>
      </c>
      <c r="AT173" s="1">
        <v>15014.03</v>
      </c>
      <c r="AU173" s="1">
        <v>15804.24</v>
      </c>
      <c r="AV173" s="10">
        <v>750.70150000000012</v>
      </c>
      <c r="AW173" s="11">
        <v>15053.538499999999</v>
      </c>
      <c r="AX173" s="1" t="s">
        <v>159</v>
      </c>
      <c r="AY173" s="1" t="s">
        <v>159</v>
      </c>
      <c r="AZ173" s="1" t="s">
        <v>159</v>
      </c>
    </row>
    <row r="174" spans="1:52" x14ac:dyDescent="0.3">
      <c r="A174" s="5">
        <v>10173</v>
      </c>
      <c r="B174" s="1">
        <v>1960</v>
      </c>
      <c r="C174" s="2">
        <v>45124</v>
      </c>
      <c r="D174" s="2">
        <v>45127</v>
      </c>
      <c r="E174" s="1" t="s">
        <v>15</v>
      </c>
      <c r="F174" s="1" t="s">
        <v>38</v>
      </c>
      <c r="G174" s="1" t="s">
        <v>24</v>
      </c>
      <c r="H174" s="1" t="s">
        <v>42</v>
      </c>
      <c r="I174" s="1" t="s">
        <v>31</v>
      </c>
      <c r="J174" s="1" t="s">
        <v>65</v>
      </c>
      <c r="K174" s="1" t="s">
        <v>28</v>
      </c>
      <c r="L174" s="1">
        <v>3</v>
      </c>
      <c r="M174" s="1">
        <v>1357.77</v>
      </c>
      <c r="N174" s="1">
        <v>5</v>
      </c>
      <c r="O174" s="1">
        <v>3869.64</v>
      </c>
      <c r="P174" s="1">
        <f t="shared" si="11"/>
        <v>4073.31</v>
      </c>
      <c r="Q174" s="10">
        <f t="shared" si="12"/>
        <v>193.482</v>
      </c>
      <c r="R174" s="11">
        <f t="shared" si="13"/>
        <v>3879.828</v>
      </c>
      <c r="S174" s="1" t="str">
        <f t="shared" si="14"/>
        <v>Low</v>
      </c>
      <c r="T174" s="1" t="str" cm="1">
        <f t="array" ref="T174">_xlfn.IFS(L174&gt;5,"High",L174=5,"mediam",L174&lt;5,"low")</f>
        <v>low</v>
      </c>
      <c r="U174" s="1" t="b">
        <f t="shared" si="15"/>
        <v>0</v>
      </c>
      <c r="AF174" s="5">
        <v>10431</v>
      </c>
      <c r="AG174" s="1">
        <v>1687</v>
      </c>
      <c r="AH174" s="2">
        <v>45139</v>
      </c>
      <c r="AI174" s="2">
        <v>45146</v>
      </c>
      <c r="AJ174" s="1" t="s">
        <v>46</v>
      </c>
      <c r="AK174" s="1" t="s">
        <v>38</v>
      </c>
      <c r="AL174" s="1" t="s">
        <v>30</v>
      </c>
      <c r="AM174" s="1" t="s">
        <v>35</v>
      </c>
      <c r="AN174" s="1" t="s">
        <v>49</v>
      </c>
      <c r="AO174" s="1" t="s">
        <v>51</v>
      </c>
      <c r="AP174" s="1" t="s">
        <v>28</v>
      </c>
      <c r="AQ174" s="1">
        <v>6</v>
      </c>
      <c r="AR174" s="1">
        <v>2247.37</v>
      </c>
      <c r="AS174" s="1">
        <v>15</v>
      </c>
      <c r="AT174" s="1">
        <v>11461.59</v>
      </c>
      <c r="AU174" s="1">
        <v>13484.22</v>
      </c>
      <c r="AV174" s="10">
        <v>1719.2384999999999</v>
      </c>
      <c r="AW174" s="11">
        <v>11764.9815</v>
      </c>
      <c r="AX174" s="1" t="s">
        <v>159</v>
      </c>
      <c r="AY174" s="1" t="s">
        <v>159</v>
      </c>
      <c r="AZ174" s="1" t="s">
        <v>159</v>
      </c>
    </row>
    <row r="175" spans="1:52" x14ac:dyDescent="0.3">
      <c r="A175" s="5">
        <v>10174</v>
      </c>
      <c r="B175" s="1">
        <v>1738</v>
      </c>
      <c r="C175" s="2">
        <v>45186</v>
      </c>
      <c r="D175" s="2">
        <v>45195</v>
      </c>
      <c r="E175" s="1" t="s">
        <v>34</v>
      </c>
      <c r="F175" s="1" t="s">
        <v>16</v>
      </c>
      <c r="G175" s="1" t="s">
        <v>30</v>
      </c>
      <c r="H175" s="1" t="s">
        <v>18</v>
      </c>
      <c r="I175" s="1" t="s">
        <v>52</v>
      </c>
      <c r="J175" s="1" t="s">
        <v>53</v>
      </c>
      <c r="K175" s="1" t="s">
        <v>28</v>
      </c>
      <c r="L175" s="1">
        <v>3</v>
      </c>
      <c r="M175" s="1">
        <v>1104.31</v>
      </c>
      <c r="N175" s="1">
        <v>15</v>
      </c>
      <c r="O175" s="1">
        <v>2815.99</v>
      </c>
      <c r="P175" s="1">
        <f t="shared" si="11"/>
        <v>3312.93</v>
      </c>
      <c r="Q175" s="10">
        <f t="shared" si="12"/>
        <v>422.39849999999996</v>
      </c>
      <c r="R175" s="11">
        <f t="shared" si="13"/>
        <v>2890.5315000000001</v>
      </c>
      <c r="S175" s="1" t="str">
        <f t="shared" si="14"/>
        <v>Low</v>
      </c>
      <c r="T175" s="1" t="str" cm="1">
        <f t="array" ref="T175">_xlfn.IFS(L175&gt;5,"High",L175=5,"mediam",L175&lt;5,"low")</f>
        <v>low</v>
      </c>
      <c r="U175" s="1" t="b">
        <f t="shared" si="15"/>
        <v>0</v>
      </c>
      <c r="AF175" s="5">
        <v>10437</v>
      </c>
      <c r="AG175" s="1">
        <v>1021</v>
      </c>
      <c r="AH175" s="2">
        <v>45203</v>
      </c>
      <c r="AI175" s="2">
        <v>45204</v>
      </c>
      <c r="AJ175" s="1" t="s">
        <v>22</v>
      </c>
      <c r="AK175" s="1" t="s">
        <v>38</v>
      </c>
      <c r="AL175" s="1" t="s">
        <v>30</v>
      </c>
      <c r="AM175" s="1" t="s">
        <v>35</v>
      </c>
      <c r="AN175" s="1" t="s">
        <v>57</v>
      </c>
      <c r="AO175" s="1" t="s">
        <v>62</v>
      </c>
      <c r="AP175" s="1" t="s">
        <v>21</v>
      </c>
      <c r="AQ175" s="1">
        <v>8</v>
      </c>
      <c r="AR175" s="1">
        <v>2846.66</v>
      </c>
      <c r="AS175" s="1">
        <v>15</v>
      </c>
      <c r="AT175" s="1">
        <v>19357.29</v>
      </c>
      <c r="AU175" s="1">
        <v>22773.279999999999</v>
      </c>
      <c r="AV175" s="10">
        <v>2903.5934999999999</v>
      </c>
      <c r="AW175" s="11">
        <v>19869.6865</v>
      </c>
      <c r="AX175" s="1" t="s">
        <v>159</v>
      </c>
      <c r="AY175" s="1" t="s">
        <v>159</v>
      </c>
      <c r="AZ175" s="1" t="s">
        <v>159</v>
      </c>
    </row>
    <row r="176" spans="1:52" x14ac:dyDescent="0.3">
      <c r="A176" s="5">
        <v>10175</v>
      </c>
      <c r="B176" s="1">
        <v>1612</v>
      </c>
      <c r="C176" s="2">
        <v>45074</v>
      </c>
      <c r="D176" s="2">
        <v>45081</v>
      </c>
      <c r="E176" s="1" t="s">
        <v>16</v>
      </c>
      <c r="F176" s="1" t="s">
        <v>41</v>
      </c>
      <c r="G176" s="1" t="s">
        <v>17</v>
      </c>
      <c r="H176" s="1" t="s">
        <v>18</v>
      </c>
      <c r="I176" s="1" t="s">
        <v>31</v>
      </c>
      <c r="J176" s="1" t="s">
        <v>32</v>
      </c>
      <c r="K176" s="1" t="s">
        <v>45</v>
      </c>
      <c r="L176" s="1">
        <v>4</v>
      </c>
      <c r="M176" s="1">
        <v>2836.21</v>
      </c>
      <c r="N176" s="1">
        <v>20</v>
      </c>
      <c r="O176" s="1">
        <v>9075.8700000000008</v>
      </c>
      <c r="P176" s="1">
        <f t="shared" si="11"/>
        <v>11344.84</v>
      </c>
      <c r="Q176" s="10">
        <f t="shared" si="12"/>
        <v>1815.1740000000002</v>
      </c>
      <c r="R176" s="11">
        <f t="shared" si="13"/>
        <v>9529.6659999999993</v>
      </c>
      <c r="S176" s="1" t="str">
        <f t="shared" si="14"/>
        <v>Low</v>
      </c>
      <c r="T176" s="1" t="str" cm="1">
        <f t="array" ref="T176">_xlfn.IFS(L176&gt;5,"High",L176=5,"mediam",L176&lt;5,"low")</f>
        <v>low</v>
      </c>
      <c r="U176" s="1" t="b">
        <f t="shared" si="15"/>
        <v>0</v>
      </c>
      <c r="AF176" s="5">
        <v>10439</v>
      </c>
      <c r="AG176" s="1">
        <v>1669</v>
      </c>
      <c r="AH176" s="2">
        <v>45174</v>
      </c>
      <c r="AI176" s="2">
        <v>45179</v>
      </c>
      <c r="AJ176" s="1" t="s">
        <v>34</v>
      </c>
      <c r="AK176" s="1" t="s">
        <v>29</v>
      </c>
      <c r="AL176" s="1" t="s">
        <v>24</v>
      </c>
      <c r="AM176" s="1" t="s">
        <v>35</v>
      </c>
      <c r="AN176" s="1" t="s">
        <v>49</v>
      </c>
      <c r="AO176" s="1" t="s">
        <v>51</v>
      </c>
      <c r="AP176" s="1" t="s">
        <v>28</v>
      </c>
      <c r="AQ176" s="1">
        <v>3</v>
      </c>
      <c r="AR176" s="1">
        <v>1448.62</v>
      </c>
      <c r="AS176" s="1">
        <v>10</v>
      </c>
      <c r="AT176" s="1">
        <v>3911.27</v>
      </c>
      <c r="AU176" s="1">
        <v>4345.8599999999997</v>
      </c>
      <c r="AV176" s="10">
        <v>391.12700000000001</v>
      </c>
      <c r="AW176" s="11">
        <v>3954.7329999999997</v>
      </c>
      <c r="AX176" s="1" t="s">
        <v>161</v>
      </c>
      <c r="AY176" s="1" t="s">
        <v>162</v>
      </c>
      <c r="AZ176" s="1" t="b">
        <v>0</v>
      </c>
    </row>
    <row r="177" spans="1:52" x14ac:dyDescent="0.3">
      <c r="A177" s="5">
        <v>10176</v>
      </c>
      <c r="B177" s="1">
        <v>1942</v>
      </c>
      <c r="C177" s="2">
        <v>45166</v>
      </c>
      <c r="D177" s="2">
        <v>45168</v>
      </c>
      <c r="E177" s="1" t="s">
        <v>34</v>
      </c>
      <c r="F177" s="1" t="s">
        <v>29</v>
      </c>
      <c r="G177" s="1" t="s">
        <v>30</v>
      </c>
      <c r="H177" s="1" t="s">
        <v>25</v>
      </c>
      <c r="I177" s="1" t="s">
        <v>31</v>
      </c>
      <c r="J177" s="1" t="s">
        <v>39</v>
      </c>
      <c r="K177" s="1" t="s">
        <v>45</v>
      </c>
      <c r="L177" s="1">
        <v>5</v>
      </c>
      <c r="M177" s="1">
        <v>1551.83</v>
      </c>
      <c r="N177" s="1">
        <v>5</v>
      </c>
      <c r="O177" s="1">
        <v>7371.19</v>
      </c>
      <c r="P177" s="1">
        <f t="shared" si="11"/>
        <v>7759.15</v>
      </c>
      <c r="Q177" s="10">
        <f t="shared" si="12"/>
        <v>368.55950000000001</v>
      </c>
      <c r="R177" s="11">
        <f t="shared" si="13"/>
        <v>7390.5904999999993</v>
      </c>
      <c r="S177" s="1" t="str">
        <f t="shared" si="14"/>
        <v>High</v>
      </c>
      <c r="T177" s="1" t="str" cm="1">
        <f t="array" ref="T177">_xlfn.IFS(L177&gt;5,"High",L177=5,"mediam",L177&lt;5,"low")</f>
        <v>mediam</v>
      </c>
      <c r="U177" s="1" t="b">
        <f t="shared" si="15"/>
        <v>0</v>
      </c>
      <c r="AF177" s="5">
        <v>10442</v>
      </c>
      <c r="AG177" s="1">
        <v>1364</v>
      </c>
      <c r="AH177" s="2">
        <v>45089</v>
      </c>
      <c r="AI177" s="2">
        <v>45094</v>
      </c>
      <c r="AJ177" s="1" t="s">
        <v>15</v>
      </c>
      <c r="AK177" s="1" t="s">
        <v>23</v>
      </c>
      <c r="AL177" s="1" t="s">
        <v>24</v>
      </c>
      <c r="AM177" s="1" t="s">
        <v>35</v>
      </c>
      <c r="AN177" s="1" t="s">
        <v>57</v>
      </c>
      <c r="AO177" s="1" t="s">
        <v>58</v>
      </c>
      <c r="AP177" s="1" t="s">
        <v>45</v>
      </c>
      <c r="AQ177" s="1">
        <v>9</v>
      </c>
      <c r="AR177" s="1">
        <v>2969.7</v>
      </c>
      <c r="AS177" s="1">
        <v>10</v>
      </c>
      <c r="AT177" s="1">
        <v>24054.57</v>
      </c>
      <c r="AU177" s="1">
        <v>26727.3</v>
      </c>
      <c r="AV177" s="10">
        <v>2405.4569999999999</v>
      </c>
      <c r="AW177" s="11">
        <v>24321.843000000001</v>
      </c>
      <c r="AX177" s="1" t="s">
        <v>159</v>
      </c>
      <c r="AY177" s="1" t="s">
        <v>159</v>
      </c>
      <c r="AZ177" s="1" t="s">
        <v>159</v>
      </c>
    </row>
    <row r="178" spans="1:52" x14ac:dyDescent="0.3">
      <c r="A178" s="5">
        <v>10177</v>
      </c>
      <c r="B178" s="1">
        <v>1461</v>
      </c>
      <c r="C178" s="2">
        <v>44973</v>
      </c>
      <c r="D178" s="2">
        <v>44982</v>
      </c>
      <c r="E178" s="1" t="s">
        <v>22</v>
      </c>
      <c r="F178" s="1" t="s">
        <v>41</v>
      </c>
      <c r="G178" s="1" t="s">
        <v>24</v>
      </c>
      <c r="H178" s="1" t="s">
        <v>25</v>
      </c>
      <c r="I178" s="1" t="s">
        <v>31</v>
      </c>
      <c r="J178" s="1" t="s">
        <v>32</v>
      </c>
      <c r="K178" s="1" t="s">
        <v>28</v>
      </c>
      <c r="L178" s="1">
        <v>1</v>
      </c>
      <c r="M178" s="1">
        <v>2329.9299999999998</v>
      </c>
      <c r="N178" s="1">
        <v>0</v>
      </c>
      <c r="O178" s="1">
        <v>2329.9299999999998</v>
      </c>
      <c r="P178" s="1">
        <f t="shared" si="11"/>
        <v>2329.9299999999998</v>
      </c>
      <c r="Q178" s="10">
        <f t="shared" si="12"/>
        <v>0</v>
      </c>
      <c r="R178" s="11">
        <f t="shared" si="13"/>
        <v>2329.9299999999998</v>
      </c>
      <c r="S178" s="1" t="str">
        <f t="shared" si="14"/>
        <v>Low</v>
      </c>
      <c r="T178" s="1" t="str" cm="1">
        <f t="array" ref="T178">_xlfn.IFS(L178&gt;5,"High",L178=5,"mediam",L178&lt;5,"low")</f>
        <v>low</v>
      </c>
      <c r="U178" s="1" t="b">
        <f t="shared" si="15"/>
        <v>0</v>
      </c>
      <c r="AF178" s="5">
        <v>10447</v>
      </c>
      <c r="AG178" s="1">
        <v>1026</v>
      </c>
      <c r="AH178" s="2">
        <v>45264</v>
      </c>
      <c r="AI178" s="2">
        <v>45265</v>
      </c>
      <c r="AJ178" s="1" t="s">
        <v>34</v>
      </c>
      <c r="AK178" s="1" t="s">
        <v>38</v>
      </c>
      <c r="AL178" s="1" t="s">
        <v>17</v>
      </c>
      <c r="AM178" s="1" t="s">
        <v>35</v>
      </c>
      <c r="AN178" s="1" t="s">
        <v>26</v>
      </c>
      <c r="AO178" s="1" t="s">
        <v>69</v>
      </c>
      <c r="AP178" s="1" t="s">
        <v>28</v>
      </c>
      <c r="AQ178" s="1">
        <v>4</v>
      </c>
      <c r="AR178" s="1">
        <v>3871.21</v>
      </c>
      <c r="AS178" s="1">
        <v>10</v>
      </c>
      <c r="AT178" s="1">
        <v>13936.36</v>
      </c>
      <c r="AU178" s="1">
        <v>15484.84</v>
      </c>
      <c r="AV178" s="10">
        <v>1393.6360000000002</v>
      </c>
      <c r="AW178" s="11">
        <v>14091.204</v>
      </c>
      <c r="AX178" s="1" t="s">
        <v>161</v>
      </c>
      <c r="AY178" s="1" t="s">
        <v>162</v>
      </c>
      <c r="AZ178" s="1" t="b">
        <v>0</v>
      </c>
    </row>
    <row r="179" spans="1:52" x14ac:dyDescent="0.3">
      <c r="A179" s="5">
        <v>10178</v>
      </c>
      <c r="B179" s="1">
        <v>1642</v>
      </c>
      <c r="C179" s="2">
        <v>45124</v>
      </c>
      <c r="D179" s="2">
        <v>45126</v>
      </c>
      <c r="E179" s="1" t="s">
        <v>40</v>
      </c>
      <c r="F179" s="1" t="s">
        <v>29</v>
      </c>
      <c r="G179" s="1" t="s">
        <v>17</v>
      </c>
      <c r="H179" s="1" t="s">
        <v>18</v>
      </c>
      <c r="I179" s="1" t="s">
        <v>26</v>
      </c>
      <c r="J179" s="1" t="s">
        <v>61</v>
      </c>
      <c r="K179" s="1" t="s">
        <v>45</v>
      </c>
      <c r="L179" s="1">
        <v>7</v>
      </c>
      <c r="M179" s="1">
        <v>174.09</v>
      </c>
      <c r="N179" s="1">
        <v>10</v>
      </c>
      <c r="O179" s="1">
        <v>1096.77</v>
      </c>
      <c r="P179" s="1">
        <f t="shared" si="11"/>
        <v>1218.6300000000001</v>
      </c>
      <c r="Q179" s="10">
        <f t="shared" si="12"/>
        <v>109.67700000000001</v>
      </c>
      <c r="R179" s="11">
        <f t="shared" si="13"/>
        <v>1108.9530000000002</v>
      </c>
      <c r="S179" s="1" t="str">
        <f t="shared" si="14"/>
        <v>High</v>
      </c>
      <c r="T179" s="1" t="str" cm="1">
        <f t="array" ref="T179">_xlfn.IFS(L179&gt;5,"High",L179=5,"mediam",L179&lt;5,"low")</f>
        <v>High</v>
      </c>
      <c r="U179" s="1" t="str">
        <f t="shared" si="15"/>
        <v>High</v>
      </c>
      <c r="AF179" s="5">
        <v>10463</v>
      </c>
      <c r="AG179" s="1">
        <v>1048</v>
      </c>
      <c r="AH179" s="2">
        <v>44992</v>
      </c>
      <c r="AI179" s="2">
        <v>45000</v>
      </c>
      <c r="AJ179" s="1" t="s">
        <v>22</v>
      </c>
      <c r="AK179" s="1" t="s">
        <v>16</v>
      </c>
      <c r="AL179" s="1" t="s">
        <v>24</v>
      </c>
      <c r="AM179" s="1" t="s">
        <v>35</v>
      </c>
      <c r="AN179" s="1" t="s">
        <v>26</v>
      </c>
      <c r="AO179" s="1" t="s">
        <v>36</v>
      </c>
      <c r="AP179" s="1" t="s">
        <v>47</v>
      </c>
      <c r="AQ179" s="1">
        <v>5</v>
      </c>
      <c r="AR179" s="1">
        <v>2072.3200000000002</v>
      </c>
      <c r="AS179" s="1">
        <v>15</v>
      </c>
      <c r="AT179" s="1">
        <v>8807.36</v>
      </c>
      <c r="AU179" s="1">
        <v>10361.6</v>
      </c>
      <c r="AV179" s="10">
        <v>1321.104</v>
      </c>
      <c r="AW179" s="11">
        <v>9040.496000000001</v>
      </c>
      <c r="AX179" s="1" t="s">
        <v>159</v>
      </c>
      <c r="AY179" s="1" t="s">
        <v>160</v>
      </c>
      <c r="AZ179" s="1" t="b">
        <v>0</v>
      </c>
    </row>
    <row r="180" spans="1:52" x14ac:dyDescent="0.3">
      <c r="A180" s="5">
        <v>10179</v>
      </c>
      <c r="B180" s="1">
        <v>1768</v>
      </c>
      <c r="C180" s="2">
        <v>44973</v>
      </c>
      <c r="D180" s="2">
        <v>44976</v>
      </c>
      <c r="E180" s="1" t="s">
        <v>37</v>
      </c>
      <c r="F180" s="1" t="s">
        <v>16</v>
      </c>
      <c r="G180" s="1" t="s">
        <v>30</v>
      </c>
      <c r="H180" s="1" t="s">
        <v>25</v>
      </c>
      <c r="I180" s="1" t="s">
        <v>31</v>
      </c>
      <c r="J180" s="1" t="s">
        <v>32</v>
      </c>
      <c r="K180" s="1" t="s">
        <v>21</v>
      </c>
      <c r="L180" s="1">
        <v>9</v>
      </c>
      <c r="M180" s="1">
        <v>388.26</v>
      </c>
      <c r="N180" s="1">
        <v>10</v>
      </c>
      <c r="O180" s="1">
        <v>3144.91</v>
      </c>
      <c r="P180" s="1">
        <f t="shared" si="11"/>
        <v>3494.34</v>
      </c>
      <c r="Q180" s="10">
        <f t="shared" si="12"/>
        <v>314.49099999999999</v>
      </c>
      <c r="R180" s="11">
        <f t="shared" si="13"/>
        <v>3179.8490000000002</v>
      </c>
      <c r="S180" s="1" t="str">
        <f t="shared" si="14"/>
        <v>High</v>
      </c>
      <c r="T180" s="1" t="str" cm="1">
        <f t="array" ref="T180">_xlfn.IFS(L180&gt;5,"High",L180=5,"mediam",L180&lt;5,"low")</f>
        <v>High</v>
      </c>
      <c r="U180" s="1" t="str">
        <f t="shared" si="15"/>
        <v>High</v>
      </c>
      <c r="AF180" s="5">
        <v>10466</v>
      </c>
      <c r="AG180" s="1">
        <v>1171</v>
      </c>
      <c r="AH180" s="2">
        <v>44973</v>
      </c>
      <c r="AI180" s="2">
        <v>44975</v>
      </c>
      <c r="AJ180" s="1" t="s">
        <v>16</v>
      </c>
      <c r="AK180" s="1" t="s">
        <v>41</v>
      </c>
      <c r="AL180" s="1" t="s">
        <v>30</v>
      </c>
      <c r="AM180" s="1" t="s">
        <v>35</v>
      </c>
      <c r="AN180" s="1" t="s">
        <v>19</v>
      </c>
      <c r="AO180" s="1" t="s">
        <v>43</v>
      </c>
      <c r="AP180" s="1" t="s">
        <v>28</v>
      </c>
      <c r="AQ180" s="1">
        <v>6</v>
      </c>
      <c r="AR180" s="1">
        <v>3773.04</v>
      </c>
      <c r="AS180" s="1">
        <v>0</v>
      </c>
      <c r="AT180" s="1">
        <v>22638.240000000002</v>
      </c>
      <c r="AU180" s="1">
        <v>22638.239999999998</v>
      </c>
      <c r="AV180" s="10">
        <v>0</v>
      </c>
      <c r="AW180" s="11">
        <v>22638.239999999998</v>
      </c>
      <c r="AX180" s="1" t="s">
        <v>159</v>
      </c>
      <c r="AY180" s="1" t="s">
        <v>159</v>
      </c>
      <c r="AZ180" s="1" t="s">
        <v>159</v>
      </c>
    </row>
    <row r="181" spans="1:52" x14ac:dyDescent="0.3">
      <c r="A181" s="5">
        <v>10180</v>
      </c>
      <c r="B181" s="1">
        <v>1004</v>
      </c>
      <c r="C181" s="2">
        <v>45004</v>
      </c>
      <c r="D181" s="2">
        <v>45006</v>
      </c>
      <c r="E181" s="1" t="s">
        <v>15</v>
      </c>
      <c r="F181" s="1" t="s">
        <v>29</v>
      </c>
      <c r="G181" s="1" t="s">
        <v>17</v>
      </c>
      <c r="H181" s="1" t="s">
        <v>35</v>
      </c>
      <c r="I181" s="1" t="s">
        <v>19</v>
      </c>
      <c r="J181" s="1" t="s">
        <v>43</v>
      </c>
      <c r="K181" s="1" t="s">
        <v>45</v>
      </c>
      <c r="L181" s="1">
        <v>8</v>
      </c>
      <c r="M181" s="1">
        <v>2211.17</v>
      </c>
      <c r="N181" s="1">
        <v>10</v>
      </c>
      <c r="O181" s="1">
        <v>15920.42</v>
      </c>
      <c r="P181" s="1">
        <f t="shared" si="11"/>
        <v>17689.36</v>
      </c>
      <c r="Q181" s="10">
        <f t="shared" si="12"/>
        <v>1592.0420000000001</v>
      </c>
      <c r="R181" s="11">
        <f t="shared" si="13"/>
        <v>16097.318000000001</v>
      </c>
      <c r="S181" s="1" t="str">
        <f t="shared" si="14"/>
        <v>High</v>
      </c>
      <c r="T181" s="1" t="str" cm="1">
        <f t="array" ref="T181">_xlfn.IFS(L181&gt;5,"High",L181=5,"mediam",L181&lt;5,"low")</f>
        <v>High</v>
      </c>
      <c r="U181" s="1" t="str">
        <f t="shared" si="15"/>
        <v>High</v>
      </c>
      <c r="AF181" s="5">
        <v>10472</v>
      </c>
      <c r="AG181" s="1">
        <v>1517</v>
      </c>
      <c r="AH181" s="2">
        <v>45269</v>
      </c>
      <c r="AI181" s="2">
        <v>45278</v>
      </c>
      <c r="AJ181" s="1" t="s">
        <v>15</v>
      </c>
      <c r="AK181" s="1" t="s">
        <v>54</v>
      </c>
      <c r="AL181" s="1" t="s">
        <v>30</v>
      </c>
      <c r="AM181" s="1" t="s">
        <v>35</v>
      </c>
      <c r="AN181" s="1" t="s">
        <v>31</v>
      </c>
      <c r="AO181" s="1" t="s">
        <v>48</v>
      </c>
      <c r="AP181" s="1" t="s">
        <v>28</v>
      </c>
      <c r="AQ181" s="1">
        <v>5</v>
      </c>
      <c r="AR181" s="1">
        <v>2523.25</v>
      </c>
      <c r="AS181" s="1">
        <v>10</v>
      </c>
      <c r="AT181" s="1">
        <v>11354.63</v>
      </c>
      <c r="AU181" s="1">
        <v>12616.25</v>
      </c>
      <c r="AV181" s="10">
        <v>1135.463</v>
      </c>
      <c r="AW181" s="11">
        <v>11480.787</v>
      </c>
      <c r="AX181" s="1" t="s">
        <v>159</v>
      </c>
      <c r="AY181" s="1" t="s">
        <v>160</v>
      </c>
      <c r="AZ181" s="1" t="b">
        <v>0</v>
      </c>
    </row>
    <row r="182" spans="1:52" x14ac:dyDescent="0.3">
      <c r="A182" s="5">
        <v>10181</v>
      </c>
      <c r="B182" s="1">
        <v>1217</v>
      </c>
      <c r="C182" s="2">
        <v>45050</v>
      </c>
      <c r="D182" s="2">
        <v>45053</v>
      </c>
      <c r="E182" s="1" t="s">
        <v>15</v>
      </c>
      <c r="F182" s="1" t="s">
        <v>23</v>
      </c>
      <c r="G182" s="1" t="s">
        <v>17</v>
      </c>
      <c r="H182" s="1" t="s">
        <v>42</v>
      </c>
      <c r="I182" s="1" t="s">
        <v>49</v>
      </c>
      <c r="J182" s="1" t="s">
        <v>50</v>
      </c>
      <c r="K182" s="1" t="s">
        <v>33</v>
      </c>
      <c r="L182" s="1">
        <v>5</v>
      </c>
      <c r="M182" s="1">
        <v>2329.38</v>
      </c>
      <c r="N182" s="1">
        <v>20</v>
      </c>
      <c r="O182" s="1">
        <v>9317.52</v>
      </c>
      <c r="P182" s="1">
        <f t="shared" si="11"/>
        <v>11646.900000000001</v>
      </c>
      <c r="Q182" s="10">
        <f t="shared" si="12"/>
        <v>1863.5040000000001</v>
      </c>
      <c r="R182" s="11">
        <f t="shared" si="13"/>
        <v>9783.3960000000006</v>
      </c>
      <c r="S182" s="1" t="str">
        <f t="shared" si="14"/>
        <v>High</v>
      </c>
      <c r="T182" s="1" t="str" cm="1">
        <f t="array" ref="T182">_xlfn.IFS(L182&gt;5,"High",L182=5,"mediam",L182&lt;5,"low")</f>
        <v>mediam</v>
      </c>
      <c r="U182" s="1" t="b">
        <f t="shared" si="15"/>
        <v>0</v>
      </c>
      <c r="AF182" s="5">
        <v>10474</v>
      </c>
      <c r="AG182" s="1">
        <v>1891</v>
      </c>
      <c r="AH182" s="2">
        <v>45117</v>
      </c>
      <c r="AI182" s="2">
        <v>45119</v>
      </c>
      <c r="AJ182" s="1" t="s">
        <v>46</v>
      </c>
      <c r="AK182" s="1" t="s">
        <v>16</v>
      </c>
      <c r="AL182" s="1" t="s">
        <v>17</v>
      </c>
      <c r="AM182" s="1" t="s">
        <v>35</v>
      </c>
      <c r="AN182" s="1" t="s">
        <v>26</v>
      </c>
      <c r="AO182" s="1" t="s">
        <v>27</v>
      </c>
      <c r="AP182" s="1" t="s">
        <v>45</v>
      </c>
      <c r="AQ182" s="1">
        <v>1</v>
      </c>
      <c r="AR182" s="1">
        <v>1678.25</v>
      </c>
      <c r="AS182" s="1">
        <v>15</v>
      </c>
      <c r="AT182" s="1">
        <v>1426.51</v>
      </c>
      <c r="AU182" s="1">
        <v>1678.25</v>
      </c>
      <c r="AV182" s="10">
        <v>213.97649999999999</v>
      </c>
      <c r="AW182" s="11">
        <v>1464.2735</v>
      </c>
      <c r="AX182" s="1" t="s">
        <v>161</v>
      </c>
      <c r="AY182" s="1" t="s">
        <v>162</v>
      </c>
      <c r="AZ182" s="1" t="b">
        <v>0</v>
      </c>
    </row>
    <row r="183" spans="1:52" x14ac:dyDescent="0.3">
      <c r="A183" s="5">
        <v>10182</v>
      </c>
      <c r="B183" s="1">
        <v>1502</v>
      </c>
      <c r="C183" s="2">
        <v>45001</v>
      </c>
      <c r="D183" s="2">
        <v>45007</v>
      </c>
      <c r="E183" s="1" t="s">
        <v>22</v>
      </c>
      <c r="F183" s="1" t="s">
        <v>23</v>
      </c>
      <c r="G183" s="1" t="s">
        <v>24</v>
      </c>
      <c r="H183" s="1" t="s">
        <v>42</v>
      </c>
      <c r="I183" s="1" t="s">
        <v>57</v>
      </c>
      <c r="J183" s="1" t="s">
        <v>59</v>
      </c>
      <c r="K183" s="1" t="s">
        <v>45</v>
      </c>
      <c r="L183" s="1">
        <v>4</v>
      </c>
      <c r="M183" s="1">
        <v>3043.09</v>
      </c>
      <c r="N183" s="1">
        <v>5</v>
      </c>
      <c r="O183" s="1">
        <v>11563.74</v>
      </c>
      <c r="P183" s="1">
        <f t="shared" si="11"/>
        <v>12172.36</v>
      </c>
      <c r="Q183" s="10">
        <f t="shared" si="12"/>
        <v>578.18700000000001</v>
      </c>
      <c r="R183" s="11">
        <f t="shared" si="13"/>
        <v>11594.173000000001</v>
      </c>
      <c r="S183" s="1" t="str">
        <f t="shared" si="14"/>
        <v>Low</v>
      </c>
      <c r="T183" s="1" t="str" cm="1">
        <f t="array" ref="T183">_xlfn.IFS(L183&gt;5,"High",L183=5,"mediam",L183&lt;5,"low")</f>
        <v>low</v>
      </c>
      <c r="U183" s="1" t="b">
        <f t="shared" si="15"/>
        <v>0</v>
      </c>
      <c r="AF183" s="5">
        <v>10476</v>
      </c>
      <c r="AG183" s="1">
        <v>1036</v>
      </c>
      <c r="AH183" s="2">
        <v>44930</v>
      </c>
      <c r="AI183" s="2">
        <v>44936</v>
      </c>
      <c r="AJ183" s="1" t="s">
        <v>46</v>
      </c>
      <c r="AK183" s="1" t="s">
        <v>38</v>
      </c>
      <c r="AL183" s="1" t="s">
        <v>30</v>
      </c>
      <c r="AM183" s="1" t="s">
        <v>35</v>
      </c>
      <c r="AN183" s="1" t="s">
        <v>19</v>
      </c>
      <c r="AO183" s="1" t="s">
        <v>20</v>
      </c>
      <c r="AP183" s="1" t="s">
        <v>45</v>
      </c>
      <c r="AQ183" s="1">
        <v>4</v>
      </c>
      <c r="AR183" s="1">
        <v>1747.6</v>
      </c>
      <c r="AS183" s="1">
        <v>20</v>
      </c>
      <c r="AT183" s="1">
        <v>5592.32</v>
      </c>
      <c r="AU183" s="1">
        <v>6990.4</v>
      </c>
      <c r="AV183" s="10">
        <v>1118.4639999999999</v>
      </c>
      <c r="AW183" s="11">
        <v>5871.9359999999997</v>
      </c>
      <c r="AX183" s="1" t="s">
        <v>161</v>
      </c>
      <c r="AY183" s="1" t="s">
        <v>162</v>
      </c>
      <c r="AZ183" s="1" t="b">
        <v>0</v>
      </c>
    </row>
    <row r="184" spans="1:52" x14ac:dyDescent="0.3">
      <c r="A184" s="5">
        <v>10183</v>
      </c>
      <c r="B184" s="1">
        <v>1766</v>
      </c>
      <c r="C184" s="2">
        <v>45285</v>
      </c>
      <c r="D184" s="2">
        <v>45294</v>
      </c>
      <c r="E184" s="1" t="s">
        <v>15</v>
      </c>
      <c r="F184" s="1" t="s">
        <v>23</v>
      </c>
      <c r="G184" s="1" t="s">
        <v>30</v>
      </c>
      <c r="H184" s="1" t="s">
        <v>18</v>
      </c>
      <c r="I184" s="1" t="s">
        <v>31</v>
      </c>
      <c r="J184" s="1" t="s">
        <v>39</v>
      </c>
      <c r="K184" s="1" t="s">
        <v>47</v>
      </c>
      <c r="L184" s="1">
        <v>7</v>
      </c>
      <c r="M184" s="1">
        <v>658.07</v>
      </c>
      <c r="N184" s="1">
        <v>20</v>
      </c>
      <c r="O184" s="1">
        <v>3685.19</v>
      </c>
      <c r="P184" s="1">
        <f t="shared" si="11"/>
        <v>4606.4900000000007</v>
      </c>
      <c r="Q184" s="10">
        <f t="shared" si="12"/>
        <v>737.03800000000001</v>
      </c>
      <c r="R184" s="11">
        <f t="shared" si="13"/>
        <v>3869.4520000000007</v>
      </c>
      <c r="S184" s="1" t="str">
        <f t="shared" si="14"/>
        <v>High</v>
      </c>
      <c r="T184" s="1" t="str" cm="1">
        <f t="array" ref="T184">_xlfn.IFS(L184&gt;5,"High",L184=5,"mediam",L184&lt;5,"low")</f>
        <v>High</v>
      </c>
      <c r="U184" s="1" t="str">
        <f t="shared" si="15"/>
        <v>High</v>
      </c>
      <c r="AF184" s="5">
        <v>10490</v>
      </c>
      <c r="AG184" s="1">
        <v>1927</v>
      </c>
      <c r="AH184" s="2">
        <v>45259</v>
      </c>
      <c r="AI184" s="2">
        <v>45261</v>
      </c>
      <c r="AJ184" s="1" t="s">
        <v>15</v>
      </c>
      <c r="AK184" s="1" t="s">
        <v>29</v>
      </c>
      <c r="AL184" s="1" t="s">
        <v>17</v>
      </c>
      <c r="AM184" s="1" t="s">
        <v>35</v>
      </c>
      <c r="AN184" s="1" t="s">
        <v>31</v>
      </c>
      <c r="AO184" s="1" t="s">
        <v>32</v>
      </c>
      <c r="AP184" s="1" t="s">
        <v>45</v>
      </c>
      <c r="AQ184" s="1">
        <v>7</v>
      </c>
      <c r="AR184" s="1">
        <v>2838.06</v>
      </c>
      <c r="AS184" s="1">
        <v>20</v>
      </c>
      <c r="AT184" s="1">
        <v>15893.14</v>
      </c>
      <c r="AU184" s="1">
        <v>19866.419999999998</v>
      </c>
      <c r="AV184" s="10">
        <v>3178.6280000000002</v>
      </c>
      <c r="AW184" s="11">
        <v>16687.791999999998</v>
      </c>
      <c r="AX184" s="1" t="s">
        <v>159</v>
      </c>
      <c r="AY184" s="1" t="s">
        <v>159</v>
      </c>
      <c r="AZ184" s="1" t="s">
        <v>159</v>
      </c>
    </row>
    <row r="185" spans="1:52" x14ac:dyDescent="0.3">
      <c r="A185" s="5">
        <v>10184</v>
      </c>
      <c r="B185" s="1">
        <v>1397</v>
      </c>
      <c r="C185" s="2">
        <v>45063</v>
      </c>
      <c r="D185" s="2">
        <v>45072</v>
      </c>
      <c r="E185" s="1" t="s">
        <v>22</v>
      </c>
      <c r="F185" s="1" t="s">
        <v>54</v>
      </c>
      <c r="G185" s="1" t="s">
        <v>17</v>
      </c>
      <c r="H185" s="1" t="s">
        <v>44</v>
      </c>
      <c r="I185" s="1" t="s">
        <v>52</v>
      </c>
      <c r="J185" s="1" t="s">
        <v>64</v>
      </c>
      <c r="K185" s="1" t="s">
        <v>21</v>
      </c>
      <c r="L185" s="1">
        <v>5</v>
      </c>
      <c r="M185" s="1">
        <v>2125.75</v>
      </c>
      <c r="N185" s="1">
        <v>15</v>
      </c>
      <c r="O185" s="1">
        <v>9034.44</v>
      </c>
      <c r="P185" s="1">
        <f t="shared" si="11"/>
        <v>10628.75</v>
      </c>
      <c r="Q185" s="10">
        <f t="shared" si="12"/>
        <v>1355.1659999999999</v>
      </c>
      <c r="R185" s="11">
        <f t="shared" si="13"/>
        <v>9273.5840000000007</v>
      </c>
      <c r="S185" s="1" t="str">
        <f t="shared" si="14"/>
        <v>High</v>
      </c>
      <c r="T185" s="1" t="str" cm="1">
        <f t="array" ref="T185">_xlfn.IFS(L185&gt;5,"High",L185=5,"mediam",L185&lt;5,"low")</f>
        <v>mediam</v>
      </c>
      <c r="U185" s="1" t="b">
        <f t="shared" si="15"/>
        <v>0</v>
      </c>
    </row>
    <row r="186" spans="1:52" x14ac:dyDescent="0.3">
      <c r="A186" s="5">
        <v>10185</v>
      </c>
      <c r="B186" s="1">
        <v>1870</v>
      </c>
      <c r="C186" s="2">
        <v>45016</v>
      </c>
      <c r="D186" s="2">
        <v>45023</v>
      </c>
      <c r="E186" s="1" t="s">
        <v>34</v>
      </c>
      <c r="F186" s="1" t="s">
        <v>16</v>
      </c>
      <c r="G186" s="1" t="s">
        <v>17</v>
      </c>
      <c r="H186" s="1" t="s">
        <v>18</v>
      </c>
      <c r="I186" s="1" t="s">
        <v>31</v>
      </c>
      <c r="J186" s="1" t="s">
        <v>39</v>
      </c>
      <c r="K186" s="1" t="s">
        <v>47</v>
      </c>
      <c r="L186" s="1">
        <v>7</v>
      </c>
      <c r="M186" s="1">
        <v>898.62</v>
      </c>
      <c r="N186" s="1">
        <v>0</v>
      </c>
      <c r="O186" s="1">
        <v>6290.34</v>
      </c>
      <c r="P186" s="1">
        <f t="shared" si="11"/>
        <v>6290.34</v>
      </c>
      <c r="Q186" s="10">
        <f t="shared" si="12"/>
        <v>0</v>
      </c>
      <c r="R186" s="11">
        <f t="shared" si="13"/>
        <v>6290.34</v>
      </c>
      <c r="S186" s="1" t="str">
        <f t="shared" si="14"/>
        <v>High</v>
      </c>
      <c r="T186" s="1" t="str" cm="1">
        <f t="array" ref="T186">_xlfn.IFS(L186&gt;5,"High",L186=5,"mediam",L186&lt;5,"low")</f>
        <v>High</v>
      </c>
      <c r="U186" s="1" t="str">
        <f t="shared" si="15"/>
        <v>High</v>
      </c>
    </row>
    <row r="187" spans="1:52" x14ac:dyDescent="0.3">
      <c r="A187" s="5">
        <v>10186</v>
      </c>
      <c r="B187" s="1">
        <v>1794</v>
      </c>
      <c r="C187" s="2">
        <v>45251</v>
      </c>
      <c r="D187" s="2">
        <v>45254</v>
      </c>
      <c r="E187" s="1" t="s">
        <v>37</v>
      </c>
      <c r="F187" s="1" t="s">
        <v>41</v>
      </c>
      <c r="G187" s="1" t="s">
        <v>30</v>
      </c>
      <c r="H187" s="1" t="s">
        <v>25</v>
      </c>
      <c r="I187" s="1" t="s">
        <v>52</v>
      </c>
      <c r="J187" s="1" t="s">
        <v>56</v>
      </c>
      <c r="K187" s="1" t="s">
        <v>47</v>
      </c>
      <c r="L187" s="1">
        <v>1</v>
      </c>
      <c r="M187" s="1">
        <v>508.81</v>
      </c>
      <c r="N187" s="1">
        <v>0</v>
      </c>
      <c r="O187" s="1">
        <v>508.81</v>
      </c>
      <c r="P187" s="1">
        <f t="shared" si="11"/>
        <v>508.81</v>
      </c>
      <c r="Q187" s="10">
        <f t="shared" si="12"/>
        <v>0</v>
      </c>
      <c r="R187" s="11">
        <f t="shared" si="13"/>
        <v>508.81</v>
      </c>
      <c r="S187" s="1" t="str">
        <f t="shared" si="14"/>
        <v>Low</v>
      </c>
      <c r="T187" s="1" t="str" cm="1">
        <f t="array" ref="T187">_xlfn.IFS(L187&gt;5,"High",L187=5,"mediam",L187&lt;5,"low")</f>
        <v>low</v>
      </c>
      <c r="U187" s="1" t="b">
        <f t="shared" si="15"/>
        <v>0</v>
      </c>
    </row>
    <row r="188" spans="1:52" x14ac:dyDescent="0.3">
      <c r="A188" s="5">
        <v>10187</v>
      </c>
      <c r="B188" s="1">
        <v>1392</v>
      </c>
      <c r="C188" s="2">
        <v>44987</v>
      </c>
      <c r="D188" s="2">
        <v>44991</v>
      </c>
      <c r="E188" s="1" t="s">
        <v>16</v>
      </c>
      <c r="F188" s="1" t="s">
        <v>41</v>
      </c>
      <c r="G188" s="1" t="s">
        <v>17</v>
      </c>
      <c r="H188" s="1" t="s">
        <v>44</v>
      </c>
      <c r="I188" s="1" t="s">
        <v>19</v>
      </c>
      <c r="J188" s="1" t="s">
        <v>43</v>
      </c>
      <c r="K188" s="1" t="s">
        <v>33</v>
      </c>
      <c r="L188" s="1">
        <v>1</v>
      </c>
      <c r="M188" s="1">
        <v>1730.41</v>
      </c>
      <c r="N188" s="1">
        <v>10</v>
      </c>
      <c r="O188" s="1">
        <v>1557.37</v>
      </c>
      <c r="P188" s="1">
        <f t="shared" si="11"/>
        <v>1730.41</v>
      </c>
      <c r="Q188" s="10">
        <f t="shared" si="12"/>
        <v>155.73699999999999</v>
      </c>
      <c r="R188" s="11">
        <f t="shared" si="13"/>
        <v>1574.673</v>
      </c>
      <c r="S188" s="1" t="str">
        <f t="shared" si="14"/>
        <v>Low</v>
      </c>
      <c r="T188" s="1" t="str" cm="1">
        <f t="array" ref="T188">_xlfn.IFS(L188&gt;5,"High",L188=5,"mediam",L188&lt;5,"low")</f>
        <v>low</v>
      </c>
      <c r="U188" s="1" t="b">
        <f t="shared" si="15"/>
        <v>0</v>
      </c>
    </row>
    <row r="189" spans="1:52" x14ac:dyDescent="0.3">
      <c r="A189" s="5">
        <v>10188</v>
      </c>
      <c r="B189" s="1">
        <v>1206</v>
      </c>
      <c r="C189" s="2">
        <v>45064</v>
      </c>
      <c r="D189" s="2">
        <v>45070</v>
      </c>
      <c r="E189" s="1" t="s">
        <v>40</v>
      </c>
      <c r="F189" s="1" t="s">
        <v>54</v>
      </c>
      <c r="G189" s="1" t="s">
        <v>17</v>
      </c>
      <c r="H189" s="1" t="s">
        <v>25</v>
      </c>
      <c r="I189" s="1" t="s">
        <v>52</v>
      </c>
      <c r="J189" s="1" t="s">
        <v>53</v>
      </c>
      <c r="K189" s="1" t="s">
        <v>21</v>
      </c>
      <c r="L189" s="1">
        <v>3</v>
      </c>
      <c r="M189" s="1">
        <v>778.85</v>
      </c>
      <c r="N189" s="1">
        <v>10</v>
      </c>
      <c r="O189" s="1">
        <v>2102.89</v>
      </c>
      <c r="P189" s="1">
        <f t="shared" si="11"/>
        <v>2336.5500000000002</v>
      </c>
      <c r="Q189" s="10">
        <f t="shared" si="12"/>
        <v>210.28899999999999</v>
      </c>
      <c r="R189" s="11">
        <f t="shared" si="13"/>
        <v>2126.2610000000004</v>
      </c>
      <c r="S189" s="1" t="str">
        <f t="shared" si="14"/>
        <v>Low</v>
      </c>
      <c r="T189" s="1" t="str" cm="1">
        <f t="array" ref="T189">_xlfn.IFS(L189&gt;5,"High",L189=5,"mediam",L189&lt;5,"low")</f>
        <v>low</v>
      </c>
      <c r="U189" s="1" t="b">
        <f t="shared" si="15"/>
        <v>0</v>
      </c>
    </row>
    <row r="190" spans="1:52" x14ac:dyDescent="0.3">
      <c r="A190" s="5">
        <v>10189</v>
      </c>
      <c r="B190" s="1">
        <v>1014</v>
      </c>
      <c r="C190" s="2">
        <v>44976</v>
      </c>
      <c r="D190" s="2">
        <v>44981</v>
      </c>
      <c r="E190" s="1" t="s">
        <v>16</v>
      </c>
      <c r="F190" s="1" t="s">
        <v>29</v>
      </c>
      <c r="G190" s="1" t="s">
        <v>17</v>
      </c>
      <c r="H190" s="1" t="s">
        <v>35</v>
      </c>
      <c r="I190" s="1" t="s">
        <v>57</v>
      </c>
      <c r="J190" s="1" t="s">
        <v>62</v>
      </c>
      <c r="K190" s="1" t="s">
        <v>21</v>
      </c>
      <c r="L190" s="1">
        <v>2</v>
      </c>
      <c r="M190" s="1">
        <v>1003.86</v>
      </c>
      <c r="N190" s="1">
        <v>10</v>
      </c>
      <c r="O190" s="1">
        <v>1806.95</v>
      </c>
      <c r="P190" s="1">
        <f t="shared" si="11"/>
        <v>2007.72</v>
      </c>
      <c r="Q190" s="10">
        <f t="shared" si="12"/>
        <v>180.69500000000002</v>
      </c>
      <c r="R190" s="11">
        <f t="shared" si="13"/>
        <v>1827.0250000000001</v>
      </c>
      <c r="S190" s="1" t="str">
        <f t="shared" si="14"/>
        <v>Low</v>
      </c>
      <c r="T190" s="1" t="str" cm="1">
        <f t="array" ref="T190">_xlfn.IFS(L190&gt;5,"High",L190=5,"mediam",L190&lt;5,"low")</f>
        <v>low</v>
      </c>
      <c r="U190" s="1" t="b">
        <f t="shared" si="15"/>
        <v>0</v>
      </c>
    </row>
    <row r="191" spans="1:52" x14ac:dyDescent="0.3">
      <c r="A191" s="5">
        <v>10190</v>
      </c>
      <c r="B191" s="1">
        <v>1857</v>
      </c>
      <c r="C191" s="2">
        <v>45185</v>
      </c>
      <c r="D191" s="2">
        <v>45187</v>
      </c>
      <c r="E191" s="1" t="s">
        <v>34</v>
      </c>
      <c r="F191" s="1" t="s">
        <v>54</v>
      </c>
      <c r="G191" s="1" t="s">
        <v>30</v>
      </c>
      <c r="H191" s="1" t="s">
        <v>25</v>
      </c>
      <c r="I191" s="1" t="s">
        <v>49</v>
      </c>
      <c r="J191" s="1" t="s">
        <v>51</v>
      </c>
      <c r="K191" s="1" t="s">
        <v>21</v>
      </c>
      <c r="L191" s="1">
        <v>2</v>
      </c>
      <c r="M191" s="1">
        <v>1372.59</v>
      </c>
      <c r="N191" s="1">
        <v>5</v>
      </c>
      <c r="O191" s="1">
        <v>2607.92</v>
      </c>
      <c r="P191" s="1">
        <f t="shared" si="11"/>
        <v>2745.18</v>
      </c>
      <c r="Q191" s="10">
        <f t="shared" si="12"/>
        <v>130.39600000000002</v>
      </c>
      <c r="R191" s="11">
        <f t="shared" si="13"/>
        <v>2614.7839999999997</v>
      </c>
      <c r="S191" s="1" t="str">
        <f t="shared" si="14"/>
        <v>Low</v>
      </c>
      <c r="T191" s="1" t="str" cm="1">
        <f t="array" ref="T191">_xlfn.IFS(L191&gt;5,"High",L191=5,"mediam",L191&lt;5,"low")</f>
        <v>low</v>
      </c>
      <c r="U191" s="1" t="b">
        <f t="shared" si="15"/>
        <v>0</v>
      </c>
    </row>
    <row r="192" spans="1:52" x14ac:dyDescent="0.3">
      <c r="A192" s="5">
        <v>10191</v>
      </c>
      <c r="B192" s="1">
        <v>1553</v>
      </c>
      <c r="C192" s="2">
        <v>45033</v>
      </c>
      <c r="D192" s="2">
        <v>45039</v>
      </c>
      <c r="E192" s="1" t="s">
        <v>40</v>
      </c>
      <c r="F192" s="1" t="s">
        <v>29</v>
      </c>
      <c r="G192" s="1" t="s">
        <v>30</v>
      </c>
      <c r="H192" s="1" t="s">
        <v>35</v>
      </c>
      <c r="I192" s="1" t="s">
        <v>52</v>
      </c>
      <c r="J192" s="1" t="s">
        <v>56</v>
      </c>
      <c r="K192" s="1" t="s">
        <v>21</v>
      </c>
      <c r="L192" s="1">
        <v>7</v>
      </c>
      <c r="M192" s="1">
        <v>1148.6500000000001</v>
      </c>
      <c r="N192" s="1">
        <v>15</v>
      </c>
      <c r="O192" s="1">
        <v>6834.47</v>
      </c>
      <c r="P192" s="1">
        <f t="shared" si="11"/>
        <v>8040.5500000000011</v>
      </c>
      <c r="Q192" s="10">
        <f t="shared" si="12"/>
        <v>1025.1704999999999</v>
      </c>
      <c r="R192" s="11">
        <f t="shared" si="13"/>
        <v>7015.3795000000009</v>
      </c>
      <c r="S192" s="1" t="str">
        <f t="shared" si="14"/>
        <v>High</v>
      </c>
      <c r="T192" s="1" t="str" cm="1">
        <f t="array" ref="T192">_xlfn.IFS(L192&gt;5,"High",L192=5,"mediam",L192&lt;5,"low")</f>
        <v>High</v>
      </c>
      <c r="U192" s="1" t="str">
        <f t="shared" si="15"/>
        <v>High</v>
      </c>
    </row>
    <row r="193" spans="1:21" x14ac:dyDescent="0.3">
      <c r="A193" s="5">
        <v>10192</v>
      </c>
      <c r="B193" s="1">
        <v>1891</v>
      </c>
      <c r="C193" s="2">
        <v>45039</v>
      </c>
      <c r="D193" s="2">
        <v>45042</v>
      </c>
      <c r="E193" s="1" t="s">
        <v>15</v>
      </c>
      <c r="F193" s="1" t="s">
        <v>29</v>
      </c>
      <c r="G193" s="1" t="s">
        <v>30</v>
      </c>
      <c r="H193" s="1" t="s">
        <v>35</v>
      </c>
      <c r="I193" s="1" t="s">
        <v>52</v>
      </c>
      <c r="J193" s="1" t="s">
        <v>60</v>
      </c>
      <c r="K193" s="1" t="s">
        <v>21</v>
      </c>
      <c r="L193" s="1">
        <v>2</v>
      </c>
      <c r="M193" s="1">
        <v>487.23</v>
      </c>
      <c r="N193" s="1">
        <v>15</v>
      </c>
      <c r="O193" s="1">
        <v>828.29</v>
      </c>
      <c r="P193" s="1">
        <f t="shared" si="11"/>
        <v>974.46</v>
      </c>
      <c r="Q193" s="10">
        <f t="shared" si="12"/>
        <v>124.24349999999998</v>
      </c>
      <c r="R193" s="11">
        <f t="shared" si="13"/>
        <v>850.2165</v>
      </c>
      <c r="S193" s="1" t="str">
        <f t="shared" si="14"/>
        <v>Low</v>
      </c>
      <c r="T193" s="1" t="str" cm="1">
        <f t="array" ref="T193">_xlfn.IFS(L193&gt;5,"High",L193=5,"mediam",L193&lt;5,"low")</f>
        <v>low</v>
      </c>
      <c r="U193" s="1" t="b">
        <f t="shared" si="15"/>
        <v>0</v>
      </c>
    </row>
    <row r="194" spans="1:21" x14ac:dyDescent="0.3">
      <c r="A194" s="5">
        <v>10193</v>
      </c>
      <c r="B194" s="1">
        <v>1460</v>
      </c>
      <c r="C194" s="2">
        <v>45276</v>
      </c>
      <c r="D194" s="2">
        <v>45284</v>
      </c>
      <c r="E194" s="1" t="s">
        <v>46</v>
      </c>
      <c r="F194" s="1" t="s">
        <v>38</v>
      </c>
      <c r="G194" s="1" t="s">
        <v>30</v>
      </c>
      <c r="H194" s="1" t="s">
        <v>25</v>
      </c>
      <c r="I194" s="1" t="s">
        <v>49</v>
      </c>
      <c r="J194" s="1" t="s">
        <v>51</v>
      </c>
      <c r="K194" s="1" t="s">
        <v>33</v>
      </c>
      <c r="L194" s="1">
        <v>4</v>
      </c>
      <c r="M194" s="1">
        <v>496.18</v>
      </c>
      <c r="N194" s="1">
        <v>15</v>
      </c>
      <c r="O194" s="1">
        <v>1687.01</v>
      </c>
      <c r="P194" s="1">
        <f t="shared" si="11"/>
        <v>1984.72</v>
      </c>
      <c r="Q194" s="10">
        <f t="shared" si="12"/>
        <v>253.05149999999998</v>
      </c>
      <c r="R194" s="11">
        <f t="shared" si="13"/>
        <v>1731.6685</v>
      </c>
      <c r="S194" s="1" t="str">
        <f t="shared" si="14"/>
        <v>Low</v>
      </c>
      <c r="T194" s="1" t="str" cm="1">
        <f t="array" ref="T194">_xlfn.IFS(L194&gt;5,"High",L194=5,"mediam",L194&lt;5,"low")</f>
        <v>low</v>
      </c>
      <c r="U194" s="1" t="b">
        <f t="shared" si="15"/>
        <v>0</v>
      </c>
    </row>
    <row r="195" spans="1:21" x14ac:dyDescent="0.3">
      <c r="A195" s="5">
        <v>10194</v>
      </c>
      <c r="B195" s="1">
        <v>1690</v>
      </c>
      <c r="C195" s="2">
        <v>45180</v>
      </c>
      <c r="D195" s="2">
        <v>45182</v>
      </c>
      <c r="E195" s="1" t="s">
        <v>34</v>
      </c>
      <c r="F195" s="1" t="s">
        <v>41</v>
      </c>
      <c r="G195" s="1" t="s">
        <v>24</v>
      </c>
      <c r="H195" s="1" t="s">
        <v>25</v>
      </c>
      <c r="I195" s="1" t="s">
        <v>57</v>
      </c>
      <c r="J195" s="1" t="s">
        <v>59</v>
      </c>
      <c r="K195" s="1" t="s">
        <v>45</v>
      </c>
      <c r="L195" s="1">
        <v>2</v>
      </c>
      <c r="M195" s="1">
        <v>894.01</v>
      </c>
      <c r="N195" s="1">
        <v>15</v>
      </c>
      <c r="O195" s="1">
        <v>1519.82</v>
      </c>
      <c r="P195" s="1">
        <f t="shared" ref="P195:P258" si="16">L195*M195</f>
        <v>1788.02</v>
      </c>
      <c r="Q195" s="10">
        <f t="shared" ref="Q195:Q258" si="17">O195*N195%</f>
        <v>227.97299999999998</v>
      </c>
      <c r="R195" s="11">
        <f t="shared" ref="R195:R258" si="18">P195-Q195</f>
        <v>1560.047</v>
      </c>
      <c r="S195" s="1" t="str">
        <f t="shared" ref="S195:S258" si="19">IF(L195&gt;=5,"High","Low")</f>
        <v>Low</v>
      </c>
      <c r="T195" s="1" t="str" cm="1">
        <f t="array" ref="T195">_xlfn.IFS(L195&gt;5,"High",L195=5,"mediam",L195&lt;5,"low")</f>
        <v>low</v>
      </c>
      <c r="U195" s="1" t="b">
        <f t="shared" si="15"/>
        <v>0</v>
      </c>
    </row>
    <row r="196" spans="1:21" x14ac:dyDescent="0.3">
      <c r="A196" s="5">
        <v>10195</v>
      </c>
      <c r="B196" s="1">
        <v>1574</v>
      </c>
      <c r="C196" s="2">
        <v>45044</v>
      </c>
      <c r="D196" s="2">
        <v>45045</v>
      </c>
      <c r="E196" s="1" t="s">
        <v>34</v>
      </c>
      <c r="F196" s="1" t="s">
        <v>23</v>
      </c>
      <c r="G196" s="1" t="s">
        <v>17</v>
      </c>
      <c r="H196" s="1" t="s">
        <v>35</v>
      </c>
      <c r="I196" s="1" t="s">
        <v>31</v>
      </c>
      <c r="J196" s="1" t="s">
        <v>65</v>
      </c>
      <c r="K196" s="1" t="s">
        <v>47</v>
      </c>
      <c r="L196" s="1">
        <v>6</v>
      </c>
      <c r="M196" s="1">
        <v>344.65</v>
      </c>
      <c r="N196" s="1">
        <v>10</v>
      </c>
      <c r="O196" s="1">
        <v>1861.11</v>
      </c>
      <c r="P196" s="1">
        <f t="shared" si="16"/>
        <v>2067.8999999999996</v>
      </c>
      <c r="Q196" s="10">
        <f t="shared" si="17"/>
        <v>186.11099999999999</v>
      </c>
      <c r="R196" s="11">
        <f t="shared" si="18"/>
        <v>1881.7889999999998</v>
      </c>
      <c r="S196" s="1" t="str">
        <f t="shared" si="19"/>
        <v>High</v>
      </c>
      <c r="T196" s="1" t="str" cm="1">
        <f t="array" ref="T196">_xlfn.IFS(L196&gt;5,"High",L196=5,"mediam",L196&lt;5,"low")</f>
        <v>High</v>
      </c>
      <c r="U196" s="1" t="str">
        <f t="shared" si="15"/>
        <v>High</v>
      </c>
    </row>
    <row r="197" spans="1:21" x14ac:dyDescent="0.3">
      <c r="A197" s="5">
        <v>10196</v>
      </c>
      <c r="B197" s="1">
        <v>1863</v>
      </c>
      <c r="C197" s="2">
        <v>45124</v>
      </c>
      <c r="D197" s="2">
        <v>45133</v>
      </c>
      <c r="E197" s="1" t="s">
        <v>37</v>
      </c>
      <c r="F197" s="1" t="s">
        <v>29</v>
      </c>
      <c r="G197" s="1" t="s">
        <v>30</v>
      </c>
      <c r="H197" s="1" t="s">
        <v>44</v>
      </c>
      <c r="I197" s="1" t="s">
        <v>52</v>
      </c>
      <c r="J197" s="1" t="s">
        <v>53</v>
      </c>
      <c r="K197" s="1" t="s">
        <v>21</v>
      </c>
      <c r="L197" s="1">
        <v>8</v>
      </c>
      <c r="M197" s="1">
        <v>2561.86</v>
      </c>
      <c r="N197" s="1">
        <v>0</v>
      </c>
      <c r="O197" s="1">
        <v>20494.88</v>
      </c>
      <c r="P197" s="1">
        <f t="shared" si="16"/>
        <v>20494.88</v>
      </c>
      <c r="Q197" s="10">
        <f t="shared" si="17"/>
        <v>0</v>
      </c>
      <c r="R197" s="11">
        <f t="shared" si="18"/>
        <v>20494.88</v>
      </c>
      <c r="S197" s="1" t="str">
        <f t="shared" si="19"/>
        <v>High</v>
      </c>
      <c r="T197" s="1" t="str" cm="1">
        <f t="array" ref="T197">_xlfn.IFS(L197&gt;5,"High",L197=5,"mediam",L197&lt;5,"low")</f>
        <v>High</v>
      </c>
      <c r="U197" s="1" t="str">
        <f t="shared" si="15"/>
        <v>High</v>
      </c>
    </row>
    <row r="198" spans="1:21" x14ac:dyDescent="0.3">
      <c r="A198" s="5">
        <v>10197</v>
      </c>
      <c r="B198" s="1">
        <v>1742</v>
      </c>
      <c r="C198" s="2">
        <v>45263</v>
      </c>
      <c r="D198" s="2">
        <v>45266</v>
      </c>
      <c r="E198" s="1" t="s">
        <v>16</v>
      </c>
      <c r="F198" s="1" t="s">
        <v>38</v>
      </c>
      <c r="G198" s="1" t="s">
        <v>17</v>
      </c>
      <c r="H198" s="1" t="s">
        <v>35</v>
      </c>
      <c r="I198" s="1" t="s">
        <v>49</v>
      </c>
      <c r="J198" s="1" t="s">
        <v>68</v>
      </c>
      <c r="K198" s="1" t="s">
        <v>45</v>
      </c>
      <c r="L198" s="1">
        <v>4</v>
      </c>
      <c r="M198" s="1">
        <v>1256.21</v>
      </c>
      <c r="N198" s="1">
        <v>10</v>
      </c>
      <c r="O198" s="1">
        <v>4522.3599999999997</v>
      </c>
      <c r="P198" s="1">
        <f t="shared" si="16"/>
        <v>5024.84</v>
      </c>
      <c r="Q198" s="10">
        <f t="shared" si="17"/>
        <v>452.23599999999999</v>
      </c>
      <c r="R198" s="11">
        <f t="shared" si="18"/>
        <v>4572.6040000000003</v>
      </c>
      <c r="S198" s="1" t="str">
        <f t="shared" si="19"/>
        <v>Low</v>
      </c>
      <c r="T198" s="1" t="str" cm="1">
        <f t="array" ref="T198">_xlfn.IFS(L198&gt;5,"High",L198=5,"mediam",L198&lt;5,"low")</f>
        <v>low</v>
      </c>
      <c r="U198" s="1" t="b">
        <f t="shared" si="15"/>
        <v>0</v>
      </c>
    </row>
    <row r="199" spans="1:21" x14ac:dyDescent="0.3">
      <c r="A199" s="5">
        <v>10198</v>
      </c>
      <c r="B199" s="1">
        <v>1240</v>
      </c>
      <c r="C199" s="2">
        <v>45291</v>
      </c>
      <c r="D199" s="2">
        <v>45292</v>
      </c>
      <c r="E199" s="1" t="s">
        <v>34</v>
      </c>
      <c r="F199" s="1" t="s">
        <v>41</v>
      </c>
      <c r="G199" s="1" t="s">
        <v>17</v>
      </c>
      <c r="H199" s="1" t="s">
        <v>42</v>
      </c>
      <c r="I199" s="1" t="s">
        <v>19</v>
      </c>
      <c r="J199" s="1" t="s">
        <v>66</v>
      </c>
      <c r="K199" s="1" t="s">
        <v>45</v>
      </c>
      <c r="L199" s="1">
        <v>5</v>
      </c>
      <c r="M199" s="1">
        <v>1227.02</v>
      </c>
      <c r="N199" s="1">
        <v>15</v>
      </c>
      <c r="O199" s="1">
        <v>5214.84</v>
      </c>
      <c r="P199" s="1">
        <f t="shared" si="16"/>
        <v>6135.1</v>
      </c>
      <c r="Q199" s="10">
        <f t="shared" si="17"/>
        <v>782.226</v>
      </c>
      <c r="R199" s="11">
        <f t="shared" si="18"/>
        <v>5352.8740000000007</v>
      </c>
      <c r="S199" s="1" t="str">
        <f t="shared" si="19"/>
        <v>High</v>
      </c>
      <c r="T199" s="1" t="str" cm="1">
        <f t="array" ref="T199">_xlfn.IFS(L199&gt;5,"High",L199=5,"mediam",L199&lt;5,"low")</f>
        <v>mediam</v>
      </c>
      <c r="U199" s="1" t="b">
        <f t="shared" si="15"/>
        <v>0</v>
      </c>
    </row>
    <row r="200" spans="1:21" x14ac:dyDescent="0.3">
      <c r="A200" s="5">
        <v>10199</v>
      </c>
      <c r="B200" s="1">
        <v>1563</v>
      </c>
      <c r="C200" s="2">
        <v>44977</v>
      </c>
      <c r="D200" s="2">
        <v>44984</v>
      </c>
      <c r="E200" s="1" t="s">
        <v>34</v>
      </c>
      <c r="F200" s="1" t="s">
        <v>23</v>
      </c>
      <c r="G200" s="1" t="s">
        <v>24</v>
      </c>
      <c r="H200" s="1" t="s">
        <v>35</v>
      </c>
      <c r="I200" s="1" t="s">
        <v>49</v>
      </c>
      <c r="J200" s="1" t="s">
        <v>51</v>
      </c>
      <c r="K200" s="1" t="s">
        <v>47</v>
      </c>
      <c r="L200" s="1">
        <v>4</v>
      </c>
      <c r="M200" s="1">
        <v>1428.19</v>
      </c>
      <c r="N200" s="1">
        <v>10</v>
      </c>
      <c r="O200" s="1">
        <v>5141.4799999999996</v>
      </c>
      <c r="P200" s="1">
        <f t="shared" si="16"/>
        <v>5712.76</v>
      </c>
      <c r="Q200" s="10">
        <f t="shared" si="17"/>
        <v>514.14800000000002</v>
      </c>
      <c r="R200" s="11">
        <f t="shared" si="18"/>
        <v>5198.6120000000001</v>
      </c>
      <c r="S200" s="1" t="str">
        <f t="shared" si="19"/>
        <v>Low</v>
      </c>
      <c r="T200" s="1" t="str" cm="1">
        <f t="array" ref="T200">_xlfn.IFS(L200&gt;5,"High",L200=5,"mediam",L200&lt;5,"low")</f>
        <v>low</v>
      </c>
      <c r="U200" s="1" t="b">
        <f t="shared" si="15"/>
        <v>0</v>
      </c>
    </row>
    <row r="201" spans="1:21" x14ac:dyDescent="0.3">
      <c r="A201" s="5">
        <v>10200</v>
      </c>
      <c r="B201" s="1">
        <v>1095</v>
      </c>
      <c r="C201" s="2">
        <v>45171</v>
      </c>
      <c r="D201" s="2">
        <v>45176</v>
      </c>
      <c r="E201" s="1" t="s">
        <v>15</v>
      </c>
      <c r="F201" s="1" t="s">
        <v>29</v>
      </c>
      <c r="G201" s="1" t="s">
        <v>30</v>
      </c>
      <c r="H201" s="1" t="s">
        <v>44</v>
      </c>
      <c r="I201" s="1" t="s">
        <v>19</v>
      </c>
      <c r="J201" s="1" t="s">
        <v>66</v>
      </c>
      <c r="K201" s="1" t="s">
        <v>33</v>
      </c>
      <c r="L201" s="1">
        <v>3</v>
      </c>
      <c r="M201" s="1">
        <v>2701.77</v>
      </c>
      <c r="N201" s="1">
        <v>15</v>
      </c>
      <c r="O201" s="1">
        <v>6889.51</v>
      </c>
      <c r="P201" s="1">
        <f t="shared" si="16"/>
        <v>8105.3099999999995</v>
      </c>
      <c r="Q201" s="10">
        <f t="shared" si="17"/>
        <v>1033.4265</v>
      </c>
      <c r="R201" s="11">
        <f t="shared" si="18"/>
        <v>7071.8834999999999</v>
      </c>
      <c r="S201" s="1" t="str">
        <f t="shared" si="19"/>
        <v>Low</v>
      </c>
      <c r="T201" s="1" t="str" cm="1">
        <f t="array" ref="T201">_xlfn.IFS(L201&gt;5,"High",L201=5,"mediam",L201&lt;5,"low")</f>
        <v>low</v>
      </c>
      <c r="U201" s="1" t="b">
        <f t="shared" ref="U201:U264" si="20">IF(L201&gt;5,"High",IF(L201="Mediam","Low"))</f>
        <v>0</v>
      </c>
    </row>
    <row r="202" spans="1:21" x14ac:dyDescent="0.3">
      <c r="A202" s="5">
        <v>10201</v>
      </c>
      <c r="B202" s="1">
        <v>1899</v>
      </c>
      <c r="C202" s="2">
        <v>44961</v>
      </c>
      <c r="D202" s="2">
        <v>44966</v>
      </c>
      <c r="E202" s="1" t="s">
        <v>15</v>
      </c>
      <c r="F202" s="1" t="s">
        <v>29</v>
      </c>
      <c r="G202" s="1" t="s">
        <v>30</v>
      </c>
      <c r="H202" s="1" t="s">
        <v>42</v>
      </c>
      <c r="I202" s="1" t="s">
        <v>57</v>
      </c>
      <c r="J202" s="1" t="s">
        <v>59</v>
      </c>
      <c r="K202" s="1" t="s">
        <v>28</v>
      </c>
      <c r="L202" s="1">
        <v>5</v>
      </c>
      <c r="M202" s="1">
        <v>3501.94</v>
      </c>
      <c r="N202" s="1">
        <v>20</v>
      </c>
      <c r="O202" s="1">
        <v>14007.76</v>
      </c>
      <c r="P202" s="1">
        <f t="shared" si="16"/>
        <v>17509.7</v>
      </c>
      <c r="Q202" s="10">
        <f t="shared" si="17"/>
        <v>2801.5520000000001</v>
      </c>
      <c r="R202" s="11">
        <f t="shared" si="18"/>
        <v>14708.148000000001</v>
      </c>
      <c r="S202" s="1" t="str">
        <f t="shared" si="19"/>
        <v>High</v>
      </c>
      <c r="T202" s="1" t="str" cm="1">
        <f t="array" ref="T202">_xlfn.IFS(L202&gt;5,"High",L202=5,"mediam",L202&lt;5,"low")</f>
        <v>mediam</v>
      </c>
      <c r="U202" s="1" t="b">
        <f t="shared" si="20"/>
        <v>0</v>
      </c>
    </row>
    <row r="203" spans="1:21" x14ac:dyDescent="0.3">
      <c r="A203" s="5">
        <v>10202</v>
      </c>
      <c r="B203" s="1">
        <v>1733</v>
      </c>
      <c r="C203" s="2">
        <v>45228</v>
      </c>
      <c r="D203" s="2">
        <v>45229</v>
      </c>
      <c r="E203" s="1" t="s">
        <v>40</v>
      </c>
      <c r="F203" s="1" t="s">
        <v>54</v>
      </c>
      <c r="G203" s="1" t="s">
        <v>17</v>
      </c>
      <c r="H203" s="1" t="s">
        <v>18</v>
      </c>
      <c r="I203" s="1" t="s">
        <v>31</v>
      </c>
      <c r="J203" s="1" t="s">
        <v>65</v>
      </c>
      <c r="K203" s="1" t="s">
        <v>28</v>
      </c>
      <c r="L203" s="1">
        <v>9</v>
      </c>
      <c r="M203" s="1">
        <v>3072.48</v>
      </c>
      <c r="N203" s="1">
        <v>0</v>
      </c>
      <c r="O203" s="1">
        <v>27652.32</v>
      </c>
      <c r="P203" s="1">
        <f t="shared" si="16"/>
        <v>27652.32</v>
      </c>
      <c r="Q203" s="10">
        <f t="shared" si="17"/>
        <v>0</v>
      </c>
      <c r="R203" s="11">
        <f t="shared" si="18"/>
        <v>27652.32</v>
      </c>
      <c r="S203" s="1" t="str">
        <f t="shared" si="19"/>
        <v>High</v>
      </c>
      <c r="T203" s="1" t="str" cm="1">
        <f t="array" ref="T203">_xlfn.IFS(L203&gt;5,"High",L203=5,"mediam",L203&lt;5,"low")</f>
        <v>High</v>
      </c>
      <c r="U203" s="1" t="str">
        <f t="shared" si="20"/>
        <v>High</v>
      </c>
    </row>
    <row r="204" spans="1:21" x14ac:dyDescent="0.3">
      <c r="A204" s="5">
        <v>10203</v>
      </c>
      <c r="B204" s="1">
        <v>1484</v>
      </c>
      <c r="C204" s="2">
        <v>44995</v>
      </c>
      <c r="D204" s="2">
        <v>45004</v>
      </c>
      <c r="E204" s="1" t="s">
        <v>22</v>
      </c>
      <c r="F204" s="1" t="s">
        <v>54</v>
      </c>
      <c r="G204" s="1" t="s">
        <v>30</v>
      </c>
      <c r="H204" s="1" t="s">
        <v>18</v>
      </c>
      <c r="I204" s="1" t="s">
        <v>49</v>
      </c>
      <c r="J204" s="1" t="s">
        <v>68</v>
      </c>
      <c r="K204" s="1" t="s">
        <v>45</v>
      </c>
      <c r="L204" s="1">
        <v>8</v>
      </c>
      <c r="M204" s="1">
        <v>2950.99</v>
      </c>
      <c r="N204" s="1">
        <v>20</v>
      </c>
      <c r="O204" s="1">
        <v>18886.34</v>
      </c>
      <c r="P204" s="1">
        <f t="shared" si="16"/>
        <v>23607.919999999998</v>
      </c>
      <c r="Q204" s="10">
        <f t="shared" si="17"/>
        <v>3777.268</v>
      </c>
      <c r="R204" s="11">
        <f t="shared" si="18"/>
        <v>19830.651999999998</v>
      </c>
      <c r="S204" s="1" t="str">
        <f t="shared" si="19"/>
        <v>High</v>
      </c>
      <c r="T204" s="1" t="str" cm="1">
        <f t="array" ref="T204">_xlfn.IFS(L204&gt;5,"High",L204=5,"mediam",L204&lt;5,"low")</f>
        <v>High</v>
      </c>
      <c r="U204" s="1" t="str">
        <f t="shared" si="20"/>
        <v>High</v>
      </c>
    </row>
    <row r="205" spans="1:21" x14ac:dyDescent="0.3">
      <c r="A205" s="5">
        <v>10204</v>
      </c>
      <c r="B205" s="1">
        <v>1406</v>
      </c>
      <c r="C205" s="2">
        <v>45275</v>
      </c>
      <c r="D205" s="2">
        <v>45282</v>
      </c>
      <c r="E205" s="1" t="s">
        <v>22</v>
      </c>
      <c r="F205" s="1" t="s">
        <v>41</v>
      </c>
      <c r="G205" s="1" t="s">
        <v>17</v>
      </c>
      <c r="H205" s="1" t="s">
        <v>44</v>
      </c>
      <c r="I205" s="1" t="s">
        <v>26</v>
      </c>
      <c r="J205" s="1" t="s">
        <v>27</v>
      </c>
      <c r="K205" s="1" t="s">
        <v>47</v>
      </c>
      <c r="L205" s="1">
        <v>8</v>
      </c>
      <c r="M205" s="1">
        <v>2014.91</v>
      </c>
      <c r="N205" s="1">
        <v>5</v>
      </c>
      <c r="O205" s="1">
        <v>15313.32</v>
      </c>
      <c r="P205" s="1">
        <f t="shared" si="16"/>
        <v>16119.28</v>
      </c>
      <c r="Q205" s="10">
        <f t="shared" si="17"/>
        <v>765.66600000000005</v>
      </c>
      <c r="R205" s="11">
        <f t="shared" si="18"/>
        <v>15353.614000000001</v>
      </c>
      <c r="S205" s="1" t="str">
        <f t="shared" si="19"/>
        <v>High</v>
      </c>
      <c r="T205" s="1" t="str" cm="1">
        <f t="array" ref="T205">_xlfn.IFS(L205&gt;5,"High",L205=5,"mediam",L205&lt;5,"low")</f>
        <v>High</v>
      </c>
      <c r="U205" s="1" t="str">
        <f t="shared" si="20"/>
        <v>High</v>
      </c>
    </row>
    <row r="206" spans="1:21" x14ac:dyDescent="0.3">
      <c r="A206" s="5">
        <v>10205</v>
      </c>
      <c r="B206" s="1">
        <v>1230</v>
      </c>
      <c r="C206" s="2">
        <v>45246</v>
      </c>
      <c r="D206" s="2">
        <v>45254</v>
      </c>
      <c r="E206" s="1" t="s">
        <v>46</v>
      </c>
      <c r="F206" s="1" t="s">
        <v>23</v>
      </c>
      <c r="G206" s="1" t="s">
        <v>17</v>
      </c>
      <c r="H206" s="1" t="s">
        <v>35</v>
      </c>
      <c r="I206" s="1" t="s">
        <v>52</v>
      </c>
      <c r="J206" s="1" t="s">
        <v>60</v>
      </c>
      <c r="K206" s="1" t="s">
        <v>28</v>
      </c>
      <c r="L206" s="1">
        <v>8</v>
      </c>
      <c r="M206" s="1">
        <v>2821.15</v>
      </c>
      <c r="N206" s="1">
        <v>10</v>
      </c>
      <c r="O206" s="1">
        <v>20312.28</v>
      </c>
      <c r="P206" s="1">
        <f t="shared" si="16"/>
        <v>22569.200000000001</v>
      </c>
      <c r="Q206" s="10">
        <f t="shared" si="17"/>
        <v>2031.2280000000001</v>
      </c>
      <c r="R206" s="11">
        <f t="shared" si="18"/>
        <v>20537.972000000002</v>
      </c>
      <c r="S206" s="1" t="str">
        <f t="shared" si="19"/>
        <v>High</v>
      </c>
      <c r="T206" s="1" t="str" cm="1">
        <f t="array" ref="T206">_xlfn.IFS(L206&gt;5,"High",L206=5,"mediam",L206&lt;5,"low")</f>
        <v>High</v>
      </c>
      <c r="U206" s="1" t="str">
        <f t="shared" si="20"/>
        <v>High</v>
      </c>
    </row>
    <row r="207" spans="1:21" x14ac:dyDescent="0.3">
      <c r="A207" s="5">
        <v>10206</v>
      </c>
      <c r="B207" s="1">
        <v>1748</v>
      </c>
      <c r="C207" s="2">
        <v>44975</v>
      </c>
      <c r="D207" s="2">
        <v>44984</v>
      </c>
      <c r="E207" s="1" t="s">
        <v>22</v>
      </c>
      <c r="F207" s="1" t="s">
        <v>29</v>
      </c>
      <c r="G207" s="1" t="s">
        <v>24</v>
      </c>
      <c r="H207" s="1" t="s">
        <v>25</v>
      </c>
      <c r="I207" s="1" t="s">
        <v>57</v>
      </c>
      <c r="J207" s="1" t="s">
        <v>59</v>
      </c>
      <c r="K207" s="1" t="s">
        <v>45</v>
      </c>
      <c r="L207" s="1">
        <v>8</v>
      </c>
      <c r="M207" s="1">
        <v>2278.14</v>
      </c>
      <c r="N207" s="1">
        <v>5</v>
      </c>
      <c r="O207" s="1">
        <v>17313.86</v>
      </c>
      <c r="P207" s="1">
        <f t="shared" si="16"/>
        <v>18225.12</v>
      </c>
      <c r="Q207" s="10">
        <f t="shared" si="17"/>
        <v>865.6930000000001</v>
      </c>
      <c r="R207" s="11">
        <f t="shared" si="18"/>
        <v>17359.427</v>
      </c>
      <c r="S207" s="1" t="str">
        <f t="shared" si="19"/>
        <v>High</v>
      </c>
      <c r="T207" s="1" t="str" cm="1">
        <f t="array" ref="T207">_xlfn.IFS(L207&gt;5,"High",L207=5,"mediam",L207&lt;5,"low")</f>
        <v>High</v>
      </c>
      <c r="U207" s="1" t="str">
        <f t="shared" si="20"/>
        <v>High</v>
      </c>
    </row>
    <row r="208" spans="1:21" x14ac:dyDescent="0.3">
      <c r="A208" s="5">
        <v>10207</v>
      </c>
      <c r="B208" s="1">
        <v>1654</v>
      </c>
      <c r="C208" s="2">
        <v>45000</v>
      </c>
      <c r="D208" s="2">
        <v>45006</v>
      </c>
      <c r="E208" s="1" t="s">
        <v>37</v>
      </c>
      <c r="F208" s="1" t="s">
        <v>41</v>
      </c>
      <c r="G208" s="1" t="s">
        <v>24</v>
      </c>
      <c r="H208" s="1" t="s">
        <v>44</v>
      </c>
      <c r="I208" s="1" t="s">
        <v>49</v>
      </c>
      <c r="J208" s="1" t="s">
        <v>51</v>
      </c>
      <c r="K208" s="1" t="s">
        <v>33</v>
      </c>
      <c r="L208" s="1">
        <v>7</v>
      </c>
      <c r="M208" s="1">
        <v>982.56</v>
      </c>
      <c r="N208" s="1">
        <v>10</v>
      </c>
      <c r="O208" s="1">
        <v>6190.13</v>
      </c>
      <c r="P208" s="1">
        <f t="shared" si="16"/>
        <v>6877.92</v>
      </c>
      <c r="Q208" s="10">
        <f t="shared" si="17"/>
        <v>619.01300000000003</v>
      </c>
      <c r="R208" s="11">
        <f t="shared" si="18"/>
        <v>6258.9070000000002</v>
      </c>
      <c r="S208" s="1" t="str">
        <f t="shared" si="19"/>
        <v>High</v>
      </c>
      <c r="T208" s="1" t="str" cm="1">
        <f t="array" ref="T208">_xlfn.IFS(L208&gt;5,"High",L208=5,"mediam",L208&lt;5,"low")</f>
        <v>High</v>
      </c>
      <c r="U208" s="1" t="str">
        <f t="shared" si="20"/>
        <v>High</v>
      </c>
    </row>
    <row r="209" spans="1:21" x14ac:dyDescent="0.3">
      <c r="A209" s="5">
        <v>10208</v>
      </c>
      <c r="B209" s="1">
        <v>1170</v>
      </c>
      <c r="C209" s="2">
        <v>45118</v>
      </c>
      <c r="D209" s="2">
        <v>45123</v>
      </c>
      <c r="E209" s="1" t="s">
        <v>46</v>
      </c>
      <c r="F209" s="1" t="s">
        <v>41</v>
      </c>
      <c r="G209" s="1" t="s">
        <v>24</v>
      </c>
      <c r="H209" s="1" t="s">
        <v>42</v>
      </c>
      <c r="I209" s="1" t="s">
        <v>52</v>
      </c>
      <c r="J209" s="1" t="s">
        <v>53</v>
      </c>
      <c r="K209" s="1" t="s">
        <v>28</v>
      </c>
      <c r="L209" s="1">
        <v>8</v>
      </c>
      <c r="M209" s="1">
        <v>953.07</v>
      </c>
      <c r="N209" s="1">
        <v>20</v>
      </c>
      <c r="O209" s="1">
        <v>6099.65</v>
      </c>
      <c r="P209" s="1">
        <f t="shared" si="16"/>
        <v>7624.56</v>
      </c>
      <c r="Q209" s="10">
        <f t="shared" si="17"/>
        <v>1219.93</v>
      </c>
      <c r="R209" s="11">
        <f t="shared" si="18"/>
        <v>6404.63</v>
      </c>
      <c r="S209" s="1" t="str">
        <f t="shared" si="19"/>
        <v>High</v>
      </c>
      <c r="T209" s="1" t="str" cm="1">
        <f t="array" ref="T209">_xlfn.IFS(L209&gt;5,"High",L209=5,"mediam",L209&lt;5,"low")</f>
        <v>High</v>
      </c>
      <c r="U209" s="1" t="str">
        <f t="shared" si="20"/>
        <v>High</v>
      </c>
    </row>
    <row r="210" spans="1:21" x14ac:dyDescent="0.3">
      <c r="A210" s="5">
        <v>10209</v>
      </c>
      <c r="B210" s="1">
        <v>1540</v>
      </c>
      <c r="C210" s="2">
        <v>45187</v>
      </c>
      <c r="D210" s="2">
        <v>45193</v>
      </c>
      <c r="E210" s="1" t="s">
        <v>40</v>
      </c>
      <c r="F210" s="1" t="s">
        <v>16</v>
      </c>
      <c r="G210" s="1" t="s">
        <v>17</v>
      </c>
      <c r="H210" s="1" t="s">
        <v>42</v>
      </c>
      <c r="I210" s="1" t="s">
        <v>49</v>
      </c>
      <c r="J210" s="1" t="s">
        <v>50</v>
      </c>
      <c r="K210" s="1" t="s">
        <v>45</v>
      </c>
      <c r="L210" s="1">
        <v>8</v>
      </c>
      <c r="M210" s="1">
        <v>1291.1099999999999</v>
      </c>
      <c r="N210" s="1">
        <v>15</v>
      </c>
      <c r="O210" s="1">
        <v>8779.5499999999993</v>
      </c>
      <c r="P210" s="1">
        <f t="shared" si="16"/>
        <v>10328.879999999999</v>
      </c>
      <c r="Q210" s="10">
        <f t="shared" si="17"/>
        <v>1316.9324999999999</v>
      </c>
      <c r="R210" s="11">
        <f t="shared" si="18"/>
        <v>9011.9474999999984</v>
      </c>
      <c r="S210" s="1" t="str">
        <f t="shared" si="19"/>
        <v>High</v>
      </c>
      <c r="T210" s="1" t="str" cm="1">
        <f t="array" ref="T210">_xlfn.IFS(L210&gt;5,"High",L210=5,"mediam",L210&lt;5,"low")</f>
        <v>High</v>
      </c>
      <c r="U210" s="1" t="str">
        <f t="shared" si="20"/>
        <v>High</v>
      </c>
    </row>
    <row r="211" spans="1:21" x14ac:dyDescent="0.3">
      <c r="A211" s="5">
        <v>10210</v>
      </c>
      <c r="B211" s="1">
        <v>1035</v>
      </c>
      <c r="C211" s="2">
        <v>45282</v>
      </c>
      <c r="D211" s="2">
        <v>45284</v>
      </c>
      <c r="E211" s="1" t="s">
        <v>15</v>
      </c>
      <c r="F211" s="1" t="s">
        <v>54</v>
      </c>
      <c r="G211" s="1" t="s">
        <v>30</v>
      </c>
      <c r="H211" s="1" t="s">
        <v>18</v>
      </c>
      <c r="I211" s="1" t="s">
        <v>19</v>
      </c>
      <c r="J211" s="1" t="s">
        <v>20</v>
      </c>
      <c r="K211" s="1" t="s">
        <v>45</v>
      </c>
      <c r="L211" s="1">
        <v>8</v>
      </c>
      <c r="M211" s="1">
        <v>3656.59</v>
      </c>
      <c r="N211" s="1">
        <v>15</v>
      </c>
      <c r="O211" s="1">
        <v>24864.81</v>
      </c>
      <c r="P211" s="1">
        <f t="shared" si="16"/>
        <v>29252.720000000001</v>
      </c>
      <c r="Q211" s="10">
        <f t="shared" si="17"/>
        <v>3729.7215000000001</v>
      </c>
      <c r="R211" s="11">
        <f t="shared" si="18"/>
        <v>25522.998500000002</v>
      </c>
      <c r="S211" s="1" t="str">
        <f t="shared" si="19"/>
        <v>High</v>
      </c>
      <c r="T211" s="1" t="str" cm="1">
        <f t="array" ref="T211">_xlfn.IFS(L211&gt;5,"High",L211=5,"mediam",L211&lt;5,"low")</f>
        <v>High</v>
      </c>
      <c r="U211" s="1" t="str">
        <f t="shared" si="20"/>
        <v>High</v>
      </c>
    </row>
    <row r="212" spans="1:21" x14ac:dyDescent="0.3">
      <c r="A212" s="5">
        <v>10211</v>
      </c>
      <c r="B212" s="1">
        <v>1524</v>
      </c>
      <c r="C212" s="2">
        <v>44996</v>
      </c>
      <c r="D212" s="2">
        <v>45000</v>
      </c>
      <c r="E212" s="1" t="s">
        <v>22</v>
      </c>
      <c r="F212" s="1" t="s">
        <v>23</v>
      </c>
      <c r="G212" s="1" t="s">
        <v>24</v>
      </c>
      <c r="H212" s="1" t="s">
        <v>42</v>
      </c>
      <c r="I212" s="1" t="s">
        <v>49</v>
      </c>
      <c r="J212" s="1" t="s">
        <v>51</v>
      </c>
      <c r="K212" s="1" t="s">
        <v>21</v>
      </c>
      <c r="L212" s="1">
        <v>7</v>
      </c>
      <c r="M212" s="1">
        <v>2257.5500000000002</v>
      </c>
      <c r="N212" s="1">
        <v>10</v>
      </c>
      <c r="O212" s="1">
        <v>14222.56</v>
      </c>
      <c r="P212" s="1">
        <f t="shared" si="16"/>
        <v>15802.850000000002</v>
      </c>
      <c r="Q212" s="10">
        <f t="shared" si="17"/>
        <v>1422.2560000000001</v>
      </c>
      <c r="R212" s="11">
        <f t="shared" si="18"/>
        <v>14380.594000000003</v>
      </c>
      <c r="S212" s="1" t="str">
        <f t="shared" si="19"/>
        <v>High</v>
      </c>
      <c r="T212" s="1" t="str" cm="1">
        <f t="array" ref="T212">_xlfn.IFS(L212&gt;5,"High",L212=5,"mediam",L212&lt;5,"low")</f>
        <v>High</v>
      </c>
      <c r="U212" s="1" t="str">
        <f t="shared" si="20"/>
        <v>High</v>
      </c>
    </row>
    <row r="213" spans="1:21" x14ac:dyDescent="0.3">
      <c r="A213" s="5">
        <v>10212</v>
      </c>
      <c r="B213" s="1">
        <v>1159</v>
      </c>
      <c r="C213" s="2">
        <v>45016</v>
      </c>
      <c r="D213" s="2">
        <v>45019</v>
      </c>
      <c r="E213" s="1" t="s">
        <v>16</v>
      </c>
      <c r="F213" s="1" t="s">
        <v>29</v>
      </c>
      <c r="G213" s="1" t="s">
        <v>30</v>
      </c>
      <c r="H213" s="1" t="s">
        <v>44</v>
      </c>
      <c r="I213" s="1" t="s">
        <v>26</v>
      </c>
      <c r="J213" s="1" t="s">
        <v>61</v>
      </c>
      <c r="K213" s="1" t="s">
        <v>33</v>
      </c>
      <c r="L213" s="1">
        <v>1</v>
      </c>
      <c r="M213" s="1">
        <v>2975.54</v>
      </c>
      <c r="N213" s="1">
        <v>15</v>
      </c>
      <c r="O213" s="1">
        <v>2529.21</v>
      </c>
      <c r="P213" s="1">
        <f t="shared" si="16"/>
        <v>2975.54</v>
      </c>
      <c r="Q213" s="10">
        <f t="shared" si="17"/>
        <v>379.38150000000002</v>
      </c>
      <c r="R213" s="11">
        <f t="shared" si="18"/>
        <v>2596.1585</v>
      </c>
      <c r="S213" s="1" t="str">
        <f t="shared" si="19"/>
        <v>Low</v>
      </c>
      <c r="T213" s="1" t="str" cm="1">
        <f t="array" ref="T213">_xlfn.IFS(L213&gt;5,"High",L213=5,"mediam",L213&lt;5,"low")</f>
        <v>low</v>
      </c>
      <c r="U213" s="1" t="b">
        <f t="shared" si="20"/>
        <v>0</v>
      </c>
    </row>
    <row r="214" spans="1:21" x14ac:dyDescent="0.3">
      <c r="A214" s="5">
        <v>10213</v>
      </c>
      <c r="B214" s="1">
        <v>1838</v>
      </c>
      <c r="C214" s="2">
        <v>45186</v>
      </c>
      <c r="D214" s="2">
        <v>45193</v>
      </c>
      <c r="E214" s="1" t="s">
        <v>15</v>
      </c>
      <c r="F214" s="1" t="s">
        <v>41</v>
      </c>
      <c r="G214" s="1" t="s">
        <v>24</v>
      </c>
      <c r="H214" s="1" t="s">
        <v>42</v>
      </c>
      <c r="I214" s="1" t="s">
        <v>49</v>
      </c>
      <c r="J214" s="1" t="s">
        <v>63</v>
      </c>
      <c r="K214" s="1" t="s">
        <v>21</v>
      </c>
      <c r="L214" s="1">
        <v>4</v>
      </c>
      <c r="M214" s="1">
        <v>1484.25</v>
      </c>
      <c r="N214" s="1">
        <v>20</v>
      </c>
      <c r="O214" s="1">
        <v>4749.6000000000004</v>
      </c>
      <c r="P214" s="1">
        <f t="shared" si="16"/>
        <v>5937</v>
      </c>
      <c r="Q214" s="10">
        <f t="shared" si="17"/>
        <v>949.92000000000007</v>
      </c>
      <c r="R214" s="11">
        <f t="shared" si="18"/>
        <v>4987.08</v>
      </c>
      <c r="S214" s="1" t="str">
        <f t="shared" si="19"/>
        <v>Low</v>
      </c>
      <c r="T214" s="1" t="str" cm="1">
        <f t="array" ref="T214">_xlfn.IFS(L214&gt;5,"High",L214=5,"mediam",L214&lt;5,"low")</f>
        <v>low</v>
      </c>
      <c r="U214" s="1" t="b">
        <f t="shared" si="20"/>
        <v>0</v>
      </c>
    </row>
    <row r="215" spans="1:21" x14ac:dyDescent="0.3">
      <c r="A215" s="5">
        <v>10214</v>
      </c>
      <c r="B215" s="1">
        <v>1698</v>
      </c>
      <c r="C215" s="2">
        <v>45052</v>
      </c>
      <c r="D215" s="2">
        <v>45061</v>
      </c>
      <c r="E215" s="1" t="s">
        <v>37</v>
      </c>
      <c r="F215" s="1" t="s">
        <v>29</v>
      </c>
      <c r="G215" s="1" t="s">
        <v>24</v>
      </c>
      <c r="H215" s="1" t="s">
        <v>44</v>
      </c>
      <c r="I215" s="1" t="s">
        <v>49</v>
      </c>
      <c r="J215" s="1" t="s">
        <v>63</v>
      </c>
      <c r="K215" s="1" t="s">
        <v>47</v>
      </c>
      <c r="L215" s="1">
        <v>4</v>
      </c>
      <c r="M215" s="1">
        <v>1719.71</v>
      </c>
      <c r="N215" s="1">
        <v>15</v>
      </c>
      <c r="O215" s="1">
        <v>5847.01</v>
      </c>
      <c r="P215" s="1">
        <f t="shared" si="16"/>
        <v>6878.84</v>
      </c>
      <c r="Q215" s="10">
        <f t="shared" si="17"/>
        <v>877.05150000000003</v>
      </c>
      <c r="R215" s="11">
        <f t="shared" si="18"/>
        <v>6001.7885000000006</v>
      </c>
      <c r="S215" s="1" t="str">
        <f t="shared" si="19"/>
        <v>Low</v>
      </c>
      <c r="T215" s="1" t="str" cm="1">
        <f t="array" ref="T215">_xlfn.IFS(L215&gt;5,"High",L215=5,"mediam",L215&lt;5,"low")</f>
        <v>low</v>
      </c>
      <c r="U215" s="1" t="b">
        <f t="shared" si="20"/>
        <v>0</v>
      </c>
    </row>
    <row r="216" spans="1:21" x14ac:dyDescent="0.3">
      <c r="A216" s="5">
        <v>10215</v>
      </c>
      <c r="B216" s="1">
        <v>1242</v>
      </c>
      <c r="C216" s="2">
        <v>45157</v>
      </c>
      <c r="D216" s="2">
        <v>45162</v>
      </c>
      <c r="E216" s="1" t="s">
        <v>15</v>
      </c>
      <c r="F216" s="1" t="s">
        <v>16</v>
      </c>
      <c r="G216" s="1" t="s">
        <v>17</v>
      </c>
      <c r="H216" s="1" t="s">
        <v>25</v>
      </c>
      <c r="I216" s="1" t="s">
        <v>26</v>
      </c>
      <c r="J216" s="1" t="s">
        <v>27</v>
      </c>
      <c r="K216" s="1" t="s">
        <v>21</v>
      </c>
      <c r="L216" s="1">
        <v>5</v>
      </c>
      <c r="M216" s="1">
        <v>633.42999999999995</v>
      </c>
      <c r="N216" s="1">
        <v>20</v>
      </c>
      <c r="O216" s="1">
        <v>2533.7199999999998</v>
      </c>
      <c r="P216" s="1">
        <f t="shared" si="16"/>
        <v>3167.1499999999996</v>
      </c>
      <c r="Q216" s="10">
        <f t="shared" si="17"/>
        <v>506.74399999999997</v>
      </c>
      <c r="R216" s="11">
        <f t="shared" si="18"/>
        <v>2660.4059999999995</v>
      </c>
      <c r="S216" s="1" t="str">
        <f t="shared" si="19"/>
        <v>High</v>
      </c>
      <c r="T216" s="1" t="str" cm="1">
        <f t="array" ref="T216">_xlfn.IFS(L216&gt;5,"High",L216=5,"mediam",L216&lt;5,"low")</f>
        <v>mediam</v>
      </c>
      <c r="U216" s="1" t="b">
        <f t="shared" si="20"/>
        <v>0</v>
      </c>
    </row>
    <row r="217" spans="1:21" x14ac:dyDescent="0.3">
      <c r="A217" s="5">
        <v>10216</v>
      </c>
      <c r="B217" s="1">
        <v>1085</v>
      </c>
      <c r="C217" s="2">
        <v>45221</v>
      </c>
      <c r="D217" s="2">
        <v>45227</v>
      </c>
      <c r="E217" s="1" t="s">
        <v>37</v>
      </c>
      <c r="F217" s="1" t="s">
        <v>23</v>
      </c>
      <c r="G217" s="1" t="s">
        <v>24</v>
      </c>
      <c r="H217" s="1" t="s">
        <v>18</v>
      </c>
      <c r="I217" s="1" t="s">
        <v>57</v>
      </c>
      <c r="J217" s="1" t="s">
        <v>67</v>
      </c>
      <c r="K217" s="1" t="s">
        <v>21</v>
      </c>
      <c r="L217" s="1">
        <v>6</v>
      </c>
      <c r="M217" s="1">
        <v>809.49</v>
      </c>
      <c r="N217" s="1">
        <v>5</v>
      </c>
      <c r="O217" s="1">
        <v>4614.09</v>
      </c>
      <c r="P217" s="1">
        <f t="shared" si="16"/>
        <v>4856.9400000000005</v>
      </c>
      <c r="Q217" s="10">
        <f t="shared" si="17"/>
        <v>230.70450000000002</v>
      </c>
      <c r="R217" s="11">
        <f t="shared" si="18"/>
        <v>4626.2355000000007</v>
      </c>
      <c r="S217" s="1" t="str">
        <f t="shared" si="19"/>
        <v>High</v>
      </c>
      <c r="T217" s="1" t="str" cm="1">
        <f t="array" ref="T217">_xlfn.IFS(L217&gt;5,"High",L217=5,"mediam",L217&lt;5,"low")</f>
        <v>High</v>
      </c>
      <c r="U217" s="1" t="str">
        <f t="shared" si="20"/>
        <v>High</v>
      </c>
    </row>
    <row r="218" spans="1:21" x14ac:dyDescent="0.3">
      <c r="A218" s="5">
        <v>10217</v>
      </c>
      <c r="B218" s="1">
        <v>1795</v>
      </c>
      <c r="C218" s="2">
        <v>45055</v>
      </c>
      <c r="D218" s="2">
        <v>45057</v>
      </c>
      <c r="E218" s="1" t="s">
        <v>37</v>
      </c>
      <c r="F218" s="1" t="s">
        <v>41</v>
      </c>
      <c r="G218" s="1" t="s">
        <v>24</v>
      </c>
      <c r="H218" s="1" t="s">
        <v>42</v>
      </c>
      <c r="I218" s="1" t="s">
        <v>49</v>
      </c>
      <c r="J218" s="1" t="s">
        <v>50</v>
      </c>
      <c r="K218" s="1" t="s">
        <v>28</v>
      </c>
      <c r="L218" s="1">
        <v>4</v>
      </c>
      <c r="M218" s="1">
        <v>3335.32</v>
      </c>
      <c r="N218" s="1">
        <v>20</v>
      </c>
      <c r="O218" s="1">
        <v>10673.02</v>
      </c>
      <c r="P218" s="1">
        <f t="shared" si="16"/>
        <v>13341.28</v>
      </c>
      <c r="Q218" s="10">
        <f t="shared" si="17"/>
        <v>2134.6040000000003</v>
      </c>
      <c r="R218" s="11">
        <f t="shared" si="18"/>
        <v>11206.675999999999</v>
      </c>
      <c r="S218" s="1" t="str">
        <f t="shared" si="19"/>
        <v>Low</v>
      </c>
      <c r="T218" s="1" t="str" cm="1">
        <f t="array" ref="T218">_xlfn.IFS(L218&gt;5,"High",L218=5,"mediam",L218&lt;5,"low")</f>
        <v>low</v>
      </c>
      <c r="U218" s="1" t="b">
        <f t="shared" si="20"/>
        <v>0</v>
      </c>
    </row>
    <row r="219" spans="1:21" x14ac:dyDescent="0.3">
      <c r="A219" s="5">
        <v>10218</v>
      </c>
      <c r="B219" s="1">
        <v>1577</v>
      </c>
      <c r="C219" s="2">
        <v>45206</v>
      </c>
      <c r="D219" s="2">
        <v>45209</v>
      </c>
      <c r="E219" s="1" t="s">
        <v>37</v>
      </c>
      <c r="F219" s="1" t="s">
        <v>29</v>
      </c>
      <c r="G219" s="1" t="s">
        <v>17</v>
      </c>
      <c r="H219" s="1" t="s">
        <v>44</v>
      </c>
      <c r="I219" s="1" t="s">
        <v>26</v>
      </c>
      <c r="J219" s="1" t="s">
        <v>69</v>
      </c>
      <c r="K219" s="1" t="s">
        <v>45</v>
      </c>
      <c r="L219" s="1">
        <v>2</v>
      </c>
      <c r="M219" s="1">
        <v>2401.63</v>
      </c>
      <c r="N219" s="1">
        <v>0</v>
      </c>
      <c r="O219" s="1">
        <v>4803.26</v>
      </c>
      <c r="P219" s="1">
        <f t="shared" si="16"/>
        <v>4803.26</v>
      </c>
      <c r="Q219" s="10">
        <f t="shared" si="17"/>
        <v>0</v>
      </c>
      <c r="R219" s="11">
        <f t="shared" si="18"/>
        <v>4803.26</v>
      </c>
      <c r="S219" s="1" t="str">
        <f t="shared" si="19"/>
        <v>Low</v>
      </c>
      <c r="T219" s="1" t="str" cm="1">
        <f t="array" ref="T219">_xlfn.IFS(L219&gt;5,"High",L219=5,"mediam",L219&lt;5,"low")</f>
        <v>low</v>
      </c>
      <c r="U219" s="1" t="b">
        <f t="shared" si="20"/>
        <v>0</v>
      </c>
    </row>
    <row r="220" spans="1:21" x14ac:dyDescent="0.3">
      <c r="A220" s="5">
        <v>10219</v>
      </c>
      <c r="B220" s="1">
        <v>1681</v>
      </c>
      <c r="C220" s="2">
        <v>45239</v>
      </c>
      <c r="D220" s="2">
        <v>45242</v>
      </c>
      <c r="E220" s="1" t="s">
        <v>40</v>
      </c>
      <c r="F220" s="1" t="s">
        <v>54</v>
      </c>
      <c r="G220" s="1" t="s">
        <v>30</v>
      </c>
      <c r="H220" s="1" t="s">
        <v>35</v>
      </c>
      <c r="I220" s="1" t="s">
        <v>52</v>
      </c>
      <c r="J220" s="1" t="s">
        <v>64</v>
      </c>
      <c r="K220" s="1" t="s">
        <v>33</v>
      </c>
      <c r="L220" s="1">
        <v>6</v>
      </c>
      <c r="M220" s="1">
        <v>1449.5</v>
      </c>
      <c r="N220" s="1">
        <v>0</v>
      </c>
      <c r="O220" s="1">
        <v>8697</v>
      </c>
      <c r="P220" s="1">
        <f t="shared" si="16"/>
        <v>8697</v>
      </c>
      <c r="Q220" s="10">
        <f t="shared" si="17"/>
        <v>0</v>
      </c>
      <c r="R220" s="11">
        <f t="shared" si="18"/>
        <v>8697</v>
      </c>
      <c r="S220" s="1" t="str">
        <f t="shared" si="19"/>
        <v>High</v>
      </c>
      <c r="T220" s="1" t="str" cm="1">
        <f t="array" ref="T220">_xlfn.IFS(L220&gt;5,"High",L220=5,"mediam",L220&lt;5,"low")</f>
        <v>High</v>
      </c>
      <c r="U220" s="1" t="str">
        <f t="shared" si="20"/>
        <v>High</v>
      </c>
    </row>
    <row r="221" spans="1:21" x14ac:dyDescent="0.3">
      <c r="A221" s="5">
        <v>10220</v>
      </c>
      <c r="B221" s="1">
        <v>1556</v>
      </c>
      <c r="C221" s="2">
        <v>45026</v>
      </c>
      <c r="D221" s="2">
        <v>45035</v>
      </c>
      <c r="E221" s="1" t="s">
        <v>37</v>
      </c>
      <c r="F221" s="1" t="s">
        <v>16</v>
      </c>
      <c r="G221" s="1" t="s">
        <v>24</v>
      </c>
      <c r="H221" s="1" t="s">
        <v>18</v>
      </c>
      <c r="I221" s="1" t="s">
        <v>19</v>
      </c>
      <c r="J221" s="1" t="s">
        <v>55</v>
      </c>
      <c r="K221" s="1" t="s">
        <v>21</v>
      </c>
      <c r="L221" s="1">
        <v>8</v>
      </c>
      <c r="M221" s="1">
        <v>3240.98</v>
      </c>
      <c r="N221" s="1">
        <v>0</v>
      </c>
      <c r="O221" s="1">
        <v>25927.84</v>
      </c>
      <c r="P221" s="1">
        <f t="shared" si="16"/>
        <v>25927.84</v>
      </c>
      <c r="Q221" s="10">
        <f t="shared" si="17"/>
        <v>0</v>
      </c>
      <c r="R221" s="11">
        <f t="shared" si="18"/>
        <v>25927.84</v>
      </c>
      <c r="S221" s="1" t="str">
        <f t="shared" si="19"/>
        <v>High</v>
      </c>
      <c r="T221" s="1" t="str" cm="1">
        <f t="array" ref="T221">_xlfn.IFS(L221&gt;5,"High",L221=5,"mediam",L221&lt;5,"low")</f>
        <v>High</v>
      </c>
      <c r="U221" s="1" t="str">
        <f t="shared" si="20"/>
        <v>High</v>
      </c>
    </row>
    <row r="222" spans="1:21" x14ac:dyDescent="0.3">
      <c r="A222" s="5">
        <v>10221</v>
      </c>
      <c r="B222" s="1">
        <v>1573</v>
      </c>
      <c r="C222" s="2">
        <v>45252</v>
      </c>
      <c r="D222" s="2">
        <v>45259</v>
      </c>
      <c r="E222" s="1" t="s">
        <v>37</v>
      </c>
      <c r="F222" s="1" t="s">
        <v>23</v>
      </c>
      <c r="G222" s="1" t="s">
        <v>17</v>
      </c>
      <c r="H222" s="1" t="s">
        <v>25</v>
      </c>
      <c r="I222" s="1" t="s">
        <v>19</v>
      </c>
      <c r="J222" s="1" t="s">
        <v>20</v>
      </c>
      <c r="K222" s="1" t="s">
        <v>33</v>
      </c>
      <c r="L222" s="1">
        <v>8</v>
      </c>
      <c r="M222" s="1">
        <v>1099.0999999999999</v>
      </c>
      <c r="N222" s="1">
        <v>10</v>
      </c>
      <c r="O222" s="1">
        <v>7913.52</v>
      </c>
      <c r="P222" s="1">
        <f t="shared" si="16"/>
        <v>8792.7999999999993</v>
      </c>
      <c r="Q222" s="10">
        <f t="shared" si="17"/>
        <v>791.35200000000009</v>
      </c>
      <c r="R222" s="11">
        <f t="shared" si="18"/>
        <v>8001.4479999999994</v>
      </c>
      <c r="S222" s="1" t="str">
        <f t="shared" si="19"/>
        <v>High</v>
      </c>
      <c r="T222" s="1" t="str" cm="1">
        <f t="array" ref="T222">_xlfn.IFS(L222&gt;5,"High",L222=5,"mediam",L222&lt;5,"low")</f>
        <v>High</v>
      </c>
      <c r="U222" s="1" t="str">
        <f t="shared" si="20"/>
        <v>High</v>
      </c>
    </row>
    <row r="223" spans="1:21" x14ac:dyDescent="0.3">
      <c r="A223" s="5">
        <v>10222</v>
      </c>
      <c r="B223" s="1">
        <v>1952</v>
      </c>
      <c r="C223" s="2">
        <v>45223</v>
      </c>
      <c r="D223" s="2">
        <v>45231</v>
      </c>
      <c r="E223" s="1" t="s">
        <v>16</v>
      </c>
      <c r="F223" s="1" t="s">
        <v>16</v>
      </c>
      <c r="G223" s="1" t="s">
        <v>24</v>
      </c>
      <c r="H223" s="1" t="s">
        <v>44</v>
      </c>
      <c r="I223" s="1" t="s">
        <v>49</v>
      </c>
      <c r="J223" s="1" t="s">
        <v>51</v>
      </c>
      <c r="K223" s="1" t="s">
        <v>21</v>
      </c>
      <c r="L223" s="1">
        <v>7</v>
      </c>
      <c r="M223" s="1">
        <v>3907.73</v>
      </c>
      <c r="N223" s="1">
        <v>10</v>
      </c>
      <c r="O223" s="1">
        <v>24618.7</v>
      </c>
      <c r="P223" s="1">
        <f t="shared" si="16"/>
        <v>27354.11</v>
      </c>
      <c r="Q223" s="10">
        <f t="shared" si="17"/>
        <v>2461.8700000000003</v>
      </c>
      <c r="R223" s="11">
        <f t="shared" si="18"/>
        <v>24892.240000000002</v>
      </c>
      <c r="S223" s="1" t="str">
        <f t="shared" si="19"/>
        <v>High</v>
      </c>
      <c r="T223" s="1" t="str" cm="1">
        <f t="array" ref="T223">_xlfn.IFS(L223&gt;5,"High",L223=5,"mediam",L223&lt;5,"low")</f>
        <v>High</v>
      </c>
      <c r="U223" s="1" t="str">
        <f t="shared" si="20"/>
        <v>High</v>
      </c>
    </row>
    <row r="224" spans="1:21" x14ac:dyDescent="0.3">
      <c r="A224" s="5">
        <v>10223</v>
      </c>
      <c r="B224" s="1">
        <v>1645</v>
      </c>
      <c r="C224" s="2">
        <v>45108</v>
      </c>
      <c r="D224" s="2">
        <v>45117</v>
      </c>
      <c r="E224" s="1" t="s">
        <v>46</v>
      </c>
      <c r="F224" s="1" t="s">
        <v>54</v>
      </c>
      <c r="G224" s="1" t="s">
        <v>17</v>
      </c>
      <c r="H224" s="1" t="s">
        <v>25</v>
      </c>
      <c r="I224" s="1" t="s">
        <v>57</v>
      </c>
      <c r="J224" s="1" t="s">
        <v>59</v>
      </c>
      <c r="K224" s="1" t="s">
        <v>47</v>
      </c>
      <c r="L224" s="1">
        <v>6</v>
      </c>
      <c r="M224" s="1">
        <v>1477.55</v>
      </c>
      <c r="N224" s="1">
        <v>10</v>
      </c>
      <c r="O224" s="1">
        <v>7978.77</v>
      </c>
      <c r="P224" s="1">
        <f t="shared" si="16"/>
        <v>8865.2999999999993</v>
      </c>
      <c r="Q224" s="10">
        <f t="shared" si="17"/>
        <v>797.87700000000007</v>
      </c>
      <c r="R224" s="11">
        <f t="shared" si="18"/>
        <v>8067.4229999999989</v>
      </c>
      <c r="S224" s="1" t="str">
        <f t="shared" si="19"/>
        <v>High</v>
      </c>
      <c r="T224" s="1" t="str" cm="1">
        <f t="array" ref="T224">_xlfn.IFS(L224&gt;5,"High",L224=5,"mediam",L224&lt;5,"low")</f>
        <v>High</v>
      </c>
      <c r="U224" s="1" t="str">
        <f t="shared" si="20"/>
        <v>High</v>
      </c>
    </row>
    <row r="225" spans="1:21" x14ac:dyDescent="0.3">
      <c r="A225" s="5">
        <v>10224</v>
      </c>
      <c r="B225" s="1">
        <v>1795</v>
      </c>
      <c r="C225" s="2">
        <v>45100</v>
      </c>
      <c r="D225" s="2">
        <v>45106</v>
      </c>
      <c r="E225" s="1" t="s">
        <v>34</v>
      </c>
      <c r="F225" s="1" t="s">
        <v>23</v>
      </c>
      <c r="G225" s="1" t="s">
        <v>30</v>
      </c>
      <c r="H225" s="1" t="s">
        <v>25</v>
      </c>
      <c r="I225" s="1" t="s">
        <v>57</v>
      </c>
      <c r="J225" s="1" t="s">
        <v>58</v>
      </c>
      <c r="K225" s="1" t="s">
        <v>21</v>
      </c>
      <c r="L225" s="1">
        <v>2</v>
      </c>
      <c r="M225" s="1">
        <v>1448.65</v>
      </c>
      <c r="N225" s="1">
        <v>20</v>
      </c>
      <c r="O225" s="1">
        <v>2317.84</v>
      </c>
      <c r="P225" s="1">
        <f t="shared" si="16"/>
        <v>2897.3</v>
      </c>
      <c r="Q225" s="10">
        <f t="shared" si="17"/>
        <v>463.56800000000004</v>
      </c>
      <c r="R225" s="11">
        <f t="shared" si="18"/>
        <v>2433.732</v>
      </c>
      <c r="S225" s="1" t="str">
        <f t="shared" si="19"/>
        <v>Low</v>
      </c>
      <c r="T225" s="1" t="str" cm="1">
        <f t="array" ref="T225">_xlfn.IFS(L225&gt;5,"High",L225=5,"mediam",L225&lt;5,"low")</f>
        <v>low</v>
      </c>
      <c r="U225" s="1" t="b">
        <f t="shared" si="20"/>
        <v>0</v>
      </c>
    </row>
    <row r="226" spans="1:21" x14ac:dyDescent="0.3">
      <c r="A226" s="5">
        <v>10225</v>
      </c>
      <c r="B226" s="1">
        <v>1027</v>
      </c>
      <c r="C226" s="2">
        <v>45242</v>
      </c>
      <c r="D226" s="2">
        <v>45246</v>
      </c>
      <c r="E226" s="1" t="s">
        <v>46</v>
      </c>
      <c r="F226" s="1" t="s">
        <v>16</v>
      </c>
      <c r="G226" s="1" t="s">
        <v>30</v>
      </c>
      <c r="H226" s="1" t="s">
        <v>42</v>
      </c>
      <c r="I226" s="1" t="s">
        <v>52</v>
      </c>
      <c r="J226" s="1" t="s">
        <v>53</v>
      </c>
      <c r="K226" s="1" t="s">
        <v>28</v>
      </c>
      <c r="L226" s="1">
        <v>7</v>
      </c>
      <c r="M226" s="1">
        <v>1350.86</v>
      </c>
      <c r="N226" s="1">
        <v>10</v>
      </c>
      <c r="O226" s="1">
        <v>8510.42</v>
      </c>
      <c r="P226" s="1">
        <f t="shared" si="16"/>
        <v>9456.0199999999986</v>
      </c>
      <c r="Q226" s="10">
        <f t="shared" si="17"/>
        <v>851.04200000000003</v>
      </c>
      <c r="R226" s="11">
        <f t="shared" si="18"/>
        <v>8604.9779999999992</v>
      </c>
      <c r="S226" s="1" t="str">
        <f t="shared" si="19"/>
        <v>High</v>
      </c>
      <c r="T226" s="1" t="str" cm="1">
        <f t="array" ref="T226">_xlfn.IFS(L226&gt;5,"High",L226=5,"mediam",L226&lt;5,"low")</f>
        <v>High</v>
      </c>
      <c r="U226" s="1" t="str">
        <f t="shared" si="20"/>
        <v>High</v>
      </c>
    </row>
    <row r="227" spans="1:21" x14ac:dyDescent="0.3">
      <c r="A227" s="5">
        <v>10226</v>
      </c>
      <c r="B227" s="1">
        <v>1619</v>
      </c>
      <c r="C227" s="2">
        <v>45290</v>
      </c>
      <c r="D227" s="2">
        <v>45291</v>
      </c>
      <c r="E227" s="1" t="s">
        <v>37</v>
      </c>
      <c r="F227" s="1" t="s">
        <v>38</v>
      </c>
      <c r="G227" s="1" t="s">
        <v>17</v>
      </c>
      <c r="H227" s="1" t="s">
        <v>42</v>
      </c>
      <c r="I227" s="1" t="s">
        <v>49</v>
      </c>
      <c r="J227" s="1" t="s">
        <v>63</v>
      </c>
      <c r="K227" s="1" t="s">
        <v>45</v>
      </c>
      <c r="L227" s="1">
        <v>5</v>
      </c>
      <c r="M227" s="1">
        <v>620.13</v>
      </c>
      <c r="N227" s="1">
        <v>5</v>
      </c>
      <c r="O227" s="1">
        <v>2945.62</v>
      </c>
      <c r="P227" s="1">
        <f t="shared" si="16"/>
        <v>3100.65</v>
      </c>
      <c r="Q227" s="10">
        <f t="shared" si="17"/>
        <v>147.28100000000001</v>
      </c>
      <c r="R227" s="11">
        <f t="shared" si="18"/>
        <v>2953.3690000000001</v>
      </c>
      <c r="S227" s="1" t="str">
        <f t="shared" si="19"/>
        <v>High</v>
      </c>
      <c r="T227" s="1" t="str" cm="1">
        <f t="array" ref="T227">_xlfn.IFS(L227&gt;5,"High",L227=5,"mediam",L227&lt;5,"low")</f>
        <v>mediam</v>
      </c>
      <c r="U227" s="1" t="b">
        <f t="shared" si="20"/>
        <v>0</v>
      </c>
    </row>
    <row r="228" spans="1:21" x14ac:dyDescent="0.3">
      <c r="A228" s="5">
        <v>10227</v>
      </c>
      <c r="B228" s="1">
        <v>1555</v>
      </c>
      <c r="C228" s="2">
        <v>45114</v>
      </c>
      <c r="D228" s="2">
        <v>45122</v>
      </c>
      <c r="E228" s="1" t="s">
        <v>16</v>
      </c>
      <c r="F228" s="1" t="s">
        <v>54</v>
      </c>
      <c r="G228" s="1" t="s">
        <v>17</v>
      </c>
      <c r="H228" s="1" t="s">
        <v>44</v>
      </c>
      <c r="I228" s="1" t="s">
        <v>19</v>
      </c>
      <c r="J228" s="1" t="s">
        <v>55</v>
      </c>
      <c r="K228" s="1" t="s">
        <v>47</v>
      </c>
      <c r="L228" s="1">
        <v>6</v>
      </c>
      <c r="M228" s="1">
        <v>577.88</v>
      </c>
      <c r="N228" s="1">
        <v>0</v>
      </c>
      <c r="O228" s="1">
        <v>3467.28</v>
      </c>
      <c r="P228" s="1">
        <f t="shared" si="16"/>
        <v>3467.2799999999997</v>
      </c>
      <c r="Q228" s="10">
        <f t="shared" si="17"/>
        <v>0</v>
      </c>
      <c r="R228" s="11">
        <f t="shared" si="18"/>
        <v>3467.2799999999997</v>
      </c>
      <c r="S228" s="1" t="str">
        <f t="shared" si="19"/>
        <v>High</v>
      </c>
      <c r="T228" s="1" t="str" cm="1">
        <f t="array" ref="T228">_xlfn.IFS(L228&gt;5,"High",L228=5,"mediam",L228&lt;5,"low")</f>
        <v>High</v>
      </c>
      <c r="U228" s="1" t="str">
        <f t="shared" si="20"/>
        <v>High</v>
      </c>
    </row>
    <row r="229" spans="1:21" x14ac:dyDescent="0.3">
      <c r="A229" s="5">
        <v>10228</v>
      </c>
      <c r="B229" s="1">
        <v>1339</v>
      </c>
      <c r="C229" s="2">
        <v>44983</v>
      </c>
      <c r="D229" s="2">
        <v>44990</v>
      </c>
      <c r="E229" s="1" t="s">
        <v>15</v>
      </c>
      <c r="F229" s="1" t="s">
        <v>54</v>
      </c>
      <c r="G229" s="1" t="s">
        <v>17</v>
      </c>
      <c r="H229" s="1" t="s">
        <v>35</v>
      </c>
      <c r="I229" s="1" t="s">
        <v>57</v>
      </c>
      <c r="J229" s="1" t="s">
        <v>62</v>
      </c>
      <c r="K229" s="1" t="s">
        <v>21</v>
      </c>
      <c r="L229" s="1">
        <v>8</v>
      </c>
      <c r="M229" s="1">
        <v>2645.2</v>
      </c>
      <c r="N229" s="1">
        <v>20</v>
      </c>
      <c r="O229" s="1">
        <v>16929.28</v>
      </c>
      <c r="P229" s="1">
        <f t="shared" si="16"/>
        <v>21161.599999999999</v>
      </c>
      <c r="Q229" s="10">
        <f t="shared" si="17"/>
        <v>3385.8559999999998</v>
      </c>
      <c r="R229" s="11">
        <f t="shared" si="18"/>
        <v>17775.743999999999</v>
      </c>
      <c r="S229" s="1" t="str">
        <f t="shared" si="19"/>
        <v>High</v>
      </c>
      <c r="T229" s="1" t="str" cm="1">
        <f t="array" ref="T229">_xlfn.IFS(L229&gt;5,"High",L229=5,"mediam",L229&lt;5,"low")</f>
        <v>High</v>
      </c>
      <c r="U229" s="1" t="str">
        <f t="shared" si="20"/>
        <v>High</v>
      </c>
    </row>
    <row r="230" spans="1:21" x14ac:dyDescent="0.3">
      <c r="A230" s="5">
        <v>10229</v>
      </c>
      <c r="B230" s="1">
        <v>1797</v>
      </c>
      <c r="C230" s="2">
        <v>44957</v>
      </c>
      <c r="D230" s="2">
        <v>44959</v>
      </c>
      <c r="E230" s="1" t="s">
        <v>16</v>
      </c>
      <c r="F230" s="1" t="s">
        <v>54</v>
      </c>
      <c r="G230" s="1" t="s">
        <v>30</v>
      </c>
      <c r="H230" s="1" t="s">
        <v>44</v>
      </c>
      <c r="I230" s="1" t="s">
        <v>49</v>
      </c>
      <c r="J230" s="1" t="s">
        <v>68</v>
      </c>
      <c r="K230" s="1" t="s">
        <v>33</v>
      </c>
      <c r="L230" s="1">
        <v>8</v>
      </c>
      <c r="M230" s="1">
        <v>3519.2</v>
      </c>
      <c r="N230" s="1">
        <v>0</v>
      </c>
      <c r="O230" s="1">
        <v>28153.599999999999</v>
      </c>
      <c r="P230" s="1">
        <f t="shared" si="16"/>
        <v>28153.599999999999</v>
      </c>
      <c r="Q230" s="10">
        <f t="shared" si="17"/>
        <v>0</v>
      </c>
      <c r="R230" s="11">
        <f t="shared" si="18"/>
        <v>28153.599999999999</v>
      </c>
      <c r="S230" s="1" t="str">
        <f t="shared" si="19"/>
        <v>High</v>
      </c>
      <c r="T230" s="1" t="str" cm="1">
        <f t="array" ref="T230">_xlfn.IFS(L230&gt;5,"High",L230=5,"mediam",L230&lt;5,"low")</f>
        <v>High</v>
      </c>
      <c r="U230" s="1" t="str">
        <f t="shared" si="20"/>
        <v>High</v>
      </c>
    </row>
    <row r="231" spans="1:21" x14ac:dyDescent="0.3">
      <c r="A231" s="5">
        <v>10230</v>
      </c>
      <c r="B231" s="1">
        <v>1957</v>
      </c>
      <c r="C231" s="2">
        <v>45010</v>
      </c>
      <c r="D231" s="2">
        <v>45018</v>
      </c>
      <c r="E231" s="1" t="s">
        <v>37</v>
      </c>
      <c r="F231" s="1" t="s">
        <v>38</v>
      </c>
      <c r="G231" s="1" t="s">
        <v>24</v>
      </c>
      <c r="H231" s="1" t="s">
        <v>35</v>
      </c>
      <c r="I231" s="1" t="s">
        <v>57</v>
      </c>
      <c r="J231" s="1" t="s">
        <v>62</v>
      </c>
      <c r="K231" s="1" t="s">
        <v>47</v>
      </c>
      <c r="L231" s="1">
        <v>3</v>
      </c>
      <c r="M231" s="1">
        <v>3193.5</v>
      </c>
      <c r="N231" s="1">
        <v>10</v>
      </c>
      <c r="O231" s="1">
        <v>8622.4500000000007</v>
      </c>
      <c r="P231" s="1">
        <f t="shared" si="16"/>
        <v>9580.5</v>
      </c>
      <c r="Q231" s="10">
        <f t="shared" si="17"/>
        <v>862.24500000000012</v>
      </c>
      <c r="R231" s="11">
        <f t="shared" si="18"/>
        <v>8718.2549999999992</v>
      </c>
      <c r="S231" s="1" t="str">
        <f t="shared" si="19"/>
        <v>Low</v>
      </c>
      <c r="T231" s="1" t="str" cm="1">
        <f t="array" ref="T231">_xlfn.IFS(L231&gt;5,"High",L231=5,"mediam",L231&lt;5,"low")</f>
        <v>low</v>
      </c>
      <c r="U231" s="1" t="b">
        <f t="shared" si="20"/>
        <v>0</v>
      </c>
    </row>
    <row r="232" spans="1:21" x14ac:dyDescent="0.3">
      <c r="A232" s="5">
        <v>10231</v>
      </c>
      <c r="B232" s="1">
        <v>1330</v>
      </c>
      <c r="C232" s="2">
        <v>45078</v>
      </c>
      <c r="D232" s="2">
        <v>45083</v>
      </c>
      <c r="E232" s="1" t="s">
        <v>16</v>
      </c>
      <c r="F232" s="1" t="s">
        <v>38</v>
      </c>
      <c r="G232" s="1" t="s">
        <v>30</v>
      </c>
      <c r="H232" s="1" t="s">
        <v>25</v>
      </c>
      <c r="I232" s="1" t="s">
        <v>26</v>
      </c>
      <c r="J232" s="1" t="s">
        <v>36</v>
      </c>
      <c r="K232" s="1" t="s">
        <v>47</v>
      </c>
      <c r="L232" s="1">
        <v>7</v>
      </c>
      <c r="M232" s="1">
        <v>693.26</v>
      </c>
      <c r="N232" s="1">
        <v>20</v>
      </c>
      <c r="O232" s="1">
        <v>3882.26</v>
      </c>
      <c r="P232" s="1">
        <f t="shared" si="16"/>
        <v>4852.82</v>
      </c>
      <c r="Q232" s="10">
        <f t="shared" si="17"/>
        <v>776.45200000000011</v>
      </c>
      <c r="R232" s="11">
        <f t="shared" si="18"/>
        <v>4076.3679999999995</v>
      </c>
      <c r="S232" s="1" t="str">
        <f t="shared" si="19"/>
        <v>High</v>
      </c>
      <c r="T232" s="1" t="str" cm="1">
        <f t="array" ref="T232">_xlfn.IFS(L232&gt;5,"High",L232=5,"mediam",L232&lt;5,"low")</f>
        <v>High</v>
      </c>
      <c r="U232" s="1" t="str">
        <f t="shared" si="20"/>
        <v>High</v>
      </c>
    </row>
    <row r="233" spans="1:21" x14ac:dyDescent="0.3">
      <c r="A233" s="5">
        <v>10232</v>
      </c>
      <c r="B233" s="1">
        <v>1639</v>
      </c>
      <c r="C233" s="2">
        <v>44962</v>
      </c>
      <c r="D233" s="2">
        <v>44969</v>
      </c>
      <c r="E233" s="1" t="s">
        <v>22</v>
      </c>
      <c r="F233" s="1" t="s">
        <v>29</v>
      </c>
      <c r="G233" s="1" t="s">
        <v>17</v>
      </c>
      <c r="H233" s="1" t="s">
        <v>18</v>
      </c>
      <c r="I233" s="1" t="s">
        <v>57</v>
      </c>
      <c r="J233" s="1" t="s">
        <v>59</v>
      </c>
      <c r="K233" s="1" t="s">
        <v>21</v>
      </c>
      <c r="L233" s="1">
        <v>1</v>
      </c>
      <c r="M233" s="1">
        <v>2250.4899999999998</v>
      </c>
      <c r="N233" s="1">
        <v>15</v>
      </c>
      <c r="O233" s="1">
        <v>1912.92</v>
      </c>
      <c r="P233" s="1">
        <f t="shared" si="16"/>
        <v>2250.4899999999998</v>
      </c>
      <c r="Q233" s="10">
        <f t="shared" si="17"/>
        <v>286.93799999999999</v>
      </c>
      <c r="R233" s="11">
        <f t="shared" si="18"/>
        <v>1963.5519999999997</v>
      </c>
      <c r="S233" s="1" t="str">
        <f t="shared" si="19"/>
        <v>Low</v>
      </c>
      <c r="T233" s="1" t="str" cm="1">
        <f t="array" ref="T233">_xlfn.IFS(L233&gt;5,"High",L233=5,"mediam",L233&lt;5,"low")</f>
        <v>low</v>
      </c>
      <c r="U233" s="1" t="b">
        <f t="shared" si="20"/>
        <v>0</v>
      </c>
    </row>
    <row r="234" spans="1:21" x14ac:dyDescent="0.3">
      <c r="A234" s="5">
        <v>10233</v>
      </c>
      <c r="B234" s="1">
        <v>1505</v>
      </c>
      <c r="C234" s="2">
        <v>45139</v>
      </c>
      <c r="D234" s="2">
        <v>45143</v>
      </c>
      <c r="E234" s="1" t="s">
        <v>16</v>
      </c>
      <c r="F234" s="1" t="s">
        <v>41</v>
      </c>
      <c r="G234" s="1" t="s">
        <v>17</v>
      </c>
      <c r="H234" s="1" t="s">
        <v>44</v>
      </c>
      <c r="I234" s="1" t="s">
        <v>19</v>
      </c>
      <c r="J234" s="1" t="s">
        <v>55</v>
      </c>
      <c r="K234" s="1" t="s">
        <v>47</v>
      </c>
      <c r="L234" s="1">
        <v>1</v>
      </c>
      <c r="M234" s="1">
        <v>556.53</v>
      </c>
      <c r="N234" s="1">
        <v>5</v>
      </c>
      <c r="O234" s="1">
        <v>528.70000000000005</v>
      </c>
      <c r="P234" s="1">
        <f t="shared" si="16"/>
        <v>556.53</v>
      </c>
      <c r="Q234" s="10">
        <f t="shared" si="17"/>
        <v>26.435000000000002</v>
      </c>
      <c r="R234" s="11">
        <f t="shared" si="18"/>
        <v>530.09500000000003</v>
      </c>
      <c r="S234" s="1" t="str">
        <f t="shared" si="19"/>
        <v>Low</v>
      </c>
      <c r="T234" s="1" t="str" cm="1">
        <f t="array" ref="T234">_xlfn.IFS(L234&gt;5,"High",L234=5,"mediam",L234&lt;5,"low")</f>
        <v>low</v>
      </c>
      <c r="U234" s="1" t="b">
        <f t="shared" si="20"/>
        <v>0</v>
      </c>
    </row>
    <row r="235" spans="1:21" x14ac:dyDescent="0.3">
      <c r="A235" s="5">
        <v>10234</v>
      </c>
      <c r="B235" s="1">
        <v>1347</v>
      </c>
      <c r="C235" s="2">
        <v>45290</v>
      </c>
      <c r="D235" s="2">
        <v>45295</v>
      </c>
      <c r="E235" s="1" t="s">
        <v>37</v>
      </c>
      <c r="F235" s="1" t="s">
        <v>16</v>
      </c>
      <c r="G235" s="1" t="s">
        <v>30</v>
      </c>
      <c r="H235" s="1" t="s">
        <v>44</v>
      </c>
      <c r="I235" s="1" t="s">
        <v>31</v>
      </c>
      <c r="J235" s="1" t="s">
        <v>48</v>
      </c>
      <c r="K235" s="1" t="s">
        <v>33</v>
      </c>
      <c r="L235" s="1">
        <v>7</v>
      </c>
      <c r="M235" s="1">
        <v>324.38</v>
      </c>
      <c r="N235" s="1">
        <v>10</v>
      </c>
      <c r="O235" s="1">
        <v>2043.59</v>
      </c>
      <c r="P235" s="1">
        <f t="shared" si="16"/>
        <v>2270.66</v>
      </c>
      <c r="Q235" s="10">
        <f t="shared" si="17"/>
        <v>204.35900000000001</v>
      </c>
      <c r="R235" s="11">
        <f t="shared" si="18"/>
        <v>2066.3009999999999</v>
      </c>
      <c r="S235" s="1" t="str">
        <f t="shared" si="19"/>
        <v>High</v>
      </c>
      <c r="T235" s="1" t="str" cm="1">
        <f t="array" ref="T235">_xlfn.IFS(L235&gt;5,"High",L235=5,"mediam",L235&lt;5,"low")</f>
        <v>High</v>
      </c>
      <c r="U235" s="1" t="str">
        <f t="shared" si="20"/>
        <v>High</v>
      </c>
    </row>
    <row r="236" spans="1:21" x14ac:dyDescent="0.3">
      <c r="A236" s="5">
        <v>10235</v>
      </c>
      <c r="B236" s="1">
        <v>1472</v>
      </c>
      <c r="C236" s="2">
        <v>45032</v>
      </c>
      <c r="D236" s="2">
        <v>45040</v>
      </c>
      <c r="E236" s="1" t="s">
        <v>40</v>
      </c>
      <c r="F236" s="1" t="s">
        <v>29</v>
      </c>
      <c r="G236" s="1" t="s">
        <v>17</v>
      </c>
      <c r="H236" s="1" t="s">
        <v>35</v>
      </c>
      <c r="I236" s="1" t="s">
        <v>52</v>
      </c>
      <c r="J236" s="1" t="s">
        <v>60</v>
      </c>
      <c r="K236" s="1" t="s">
        <v>47</v>
      </c>
      <c r="L236" s="1">
        <v>9</v>
      </c>
      <c r="M236" s="1">
        <v>2677.09</v>
      </c>
      <c r="N236" s="1">
        <v>10</v>
      </c>
      <c r="O236" s="1">
        <v>21684.43</v>
      </c>
      <c r="P236" s="1">
        <f t="shared" si="16"/>
        <v>24093.81</v>
      </c>
      <c r="Q236" s="10">
        <f t="shared" si="17"/>
        <v>2168.4430000000002</v>
      </c>
      <c r="R236" s="11">
        <f t="shared" si="18"/>
        <v>21925.367000000002</v>
      </c>
      <c r="S236" s="1" t="str">
        <f t="shared" si="19"/>
        <v>High</v>
      </c>
      <c r="T236" s="1" t="str" cm="1">
        <f t="array" ref="T236">_xlfn.IFS(L236&gt;5,"High",L236=5,"mediam",L236&lt;5,"low")</f>
        <v>High</v>
      </c>
      <c r="U236" s="1" t="str">
        <f t="shared" si="20"/>
        <v>High</v>
      </c>
    </row>
    <row r="237" spans="1:21" x14ac:dyDescent="0.3">
      <c r="A237" s="5">
        <v>10236</v>
      </c>
      <c r="B237" s="1">
        <v>1230</v>
      </c>
      <c r="C237" s="2">
        <v>45268</v>
      </c>
      <c r="D237" s="2">
        <v>45269</v>
      </c>
      <c r="E237" s="1" t="s">
        <v>22</v>
      </c>
      <c r="F237" s="1" t="s">
        <v>16</v>
      </c>
      <c r="G237" s="1" t="s">
        <v>30</v>
      </c>
      <c r="H237" s="1" t="s">
        <v>25</v>
      </c>
      <c r="I237" s="1" t="s">
        <v>52</v>
      </c>
      <c r="J237" s="1" t="s">
        <v>60</v>
      </c>
      <c r="K237" s="1" t="s">
        <v>33</v>
      </c>
      <c r="L237" s="1">
        <v>7</v>
      </c>
      <c r="M237" s="1">
        <v>2210.34</v>
      </c>
      <c r="N237" s="1">
        <v>5</v>
      </c>
      <c r="O237" s="1">
        <v>14698.76</v>
      </c>
      <c r="P237" s="1">
        <f t="shared" si="16"/>
        <v>15472.380000000001</v>
      </c>
      <c r="Q237" s="10">
        <f t="shared" si="17"/>
        <v>734.9380000000001</v>
      </c>
      <c r="R237" s="11">
        <f t="shared" si="18"/>
        <v>14737.442000000001</v>
      </c>
      <c r="S237" s="1" t="str">
        <f t="shared" si="19"/>
        <v>High</v>
      </c>
      <c r="T237" s="1" t="str" cm="1">
        <f t="array" ref="T237">_xlfn.IFS(L237&gt;5,"High",L237=5,"mediam",L237&lt;5,"low")</f>
        <v>High</v>
      </c>
      <c r="U237" s="1" t="str">
        <f t="shared" si="20"/>
        <v>High</v>
      </c>
    </row>
    <row r="238" spans="1:21" x14ac:dyDescent="0.3">
      <c r="A238" s="5">
        <v>10237</v>
      </c>
      <c r="B238" s="1">
        <v>1189</v>
      </c>
      <c r="C238" s="2">
        <v>45146</v>
      </c>
      <c r="D238" s="2">
        <v>45147</v>
      </c>
      <c r="E238" s="1" t="s">
        <v>16</v>
      </c>
      <c r="F238" s="1" t="s">
        <v>41</v>
      </c>
      <c r="G238" s="1" t="s">
        <v>17</v>
      </c>
      <c r="H238" s="1" t="s">
        <v>25</v>
      </c>
      <c r="I238" s="1" t="s">
        <v>19</v>
      </c>
      <c r="J238" s="1" t="s">
        <v>20</v>
      </c>
      <c r="K238" s="1" t="s">
        <v>21</v>
      </c>
      <c r="L238" s="1">
        <v>5</v>
      </c>
      <c r="M238" s="1">
        <v>465.79</v>
      </c>
      <c r="N238" s="1">
        <v>5</v>
      </c>
      <c r="O238" s="1">
        <v>2212.5</v>
      </c>
      <c r="P238" s="1">
        <f t="shared" si="16"/>
        <v>2328.9500000000003</v>
      </c>
      <c r="Q238" s="10">
        <f t="shared" si="17"/>
        <v>110.625</v>
      </c>
      <c r="R238" s="11">
        <f t="shared" si="18"/>
        <v>2218.3250000000003</v>
      </c>
      <c r="S238" s="1" t="str">
        <f t="shared" si="19"/>
        <v>High</v>
      </c>
      <c r="T238" s="1" t="str" cm="1">
        <f t="array" ref="T238">_xlfn.IFS(L238&gt;5,"High",L238=5,"mediam",L238&lt;5,"low")</f>
        <v>mediam</v>
      </c>
      <c r="U238" s="1" t="b">
        <f t="shared" si="20"/>
        <v>0</v>
      </c>
    </row>
    <row r="239" spans="1:21" x14ac:dyDescent="0.3">
      <c r="A239" s="5">
        <v>10238</v>
      </c>
      <c r="B239" s="1">
        <v>1224</v>
      </c>
      <c r="C239" s="2">
        <v>45089</v>
      </c>
      <c r="D239" s="2">
        <v>45093</v>
      </c>
      <c r="E239" s="1" t="s">
        <v>34</v>
      </c>
      <c r="F239" s="1" t="s">
        <v>38</v>
      </c>
      <c r="G239" s="1" t="s">
        <v>24</v>
      </c>
      <c r="H239" s="1" t="s">
        <v>35</v>
      </c>
      <c r="I239" s="1" t="s">
        <v>57</v>
      </c>
      <c r="J239" s="1" t="s">
        <v>62</v>
      </c>
      <c r="K239" s="1" t="s">
        <v>45</v>
      </c>
      <c r="L239" s="1">
        <v>8</v>
      </c>
      <c r="M239" s="1">
        <v>284.52</v>
      </c>
      <c r="N239" s="1">
        <v>15</v>
      </c>
      <c r="O239" s="1">
        <v>1934.74</v>
      </c>
      <c r="P239" s="1">
        <f t="shared" si="16"/>
        <v>2276.16</v>
      </c>
      <c r="Q239" s="10">
        <f t="shared" si="17"/>
        <v>290.21100000000001</v>
      </c>
      <c r="R239" s="11">
        <f t="shared" si="18"/>
        <v>1985.9489999999998</v>
      </c>
      <c r="S239" s="1" t="str">
        <f t="shared" si="19"/>
        <v>High</v>
      </c>
      <c r="T239" s="1" t="str" cm="1">
        <f t="array" ref="T239">_xlfn.IFS(L239&gt;5,"High",L239=5,"mediam",L239&lt;5,"low")</f>
        <v>High</v>
      </c>
      <c r="U239" s="1" t="str">
        <f t="shared" si="20"/>
        <v>High</v>
      </c>
    </row>
    <row r="240" spans="1:21" x14ac:dyDescent="0.3">
      <c r="A240" s="5">
        <v>10239</v>
      </c>
      <c r="B240" s="1">
        <v>1384</v>
      </c>
      <c r="C240" s="2">
        <v>45146</v>
      </c>
      <c r="D240" s="2">
        <v>45149</v>
      </c>
      <c r="E240" s="1" t="s">
        <v>34</v>
      </c>
      <c r="F240" s="1" t="s">
        <v>41</v>
      </c>
      <c r="G240" s="1" t="s">
        <v>24</v>
      </c>
      <c r="H240" s="1" t="s">
        <v>25</v>
      </c>
      <c r="I240" s="1" t="s">
        <v>49</v>
      </c>
      <c r="J240" s="1" t="s">
        <v>63</v>
      </c>
      <c r="K240" s="1" t="s">
        <v>47</v>
      </c>
      <c r="L240" s="1">
        <v>2</v>
      </c>
      <c r="M240" s="1">
        <v>3960.56</v>
      </c>
      <c r="N240" s="1">
        <v>10</v>
      </c>
      <c r="O240" s="1">
        <v>7129.01</v>
      </c>
      <c r="P240" s="1">
        <f t="shared" si="16"/>
        <v>7921.12</v>
      </c>
      <c r="Q240" s="10">
        <f t="shared" si="17"/>
        <v>712.90100000000007</v>
      </c>
      <c r="R240" s="11">
        <f t="shared" si="18"/>
        <v>7208.2190000000001</v>
      </c>
      <c r="S240" s="1" t="str">
        <f t="shared" si="19"/>
        <v>Low</v>
      </c>
      <c r="T240" s="1" t="str" cm="1">
        <f t="array" ref="T240">_xlfn.IFS(L240&gt;5,"High",L240=5,"mediam",L240&lt;5,"low")</f>
        <v>low</v>
      </c>
      <c r="U240" s="1" t="b">
        <f t="shared" si="20"/>
        <v>0</v>
      </c>
    </row>
    <row r="241" spans="1:21" x14ac:dyDescent="0.3">
      <c r="A241" s="5">
        <v>10240</v>
      </c>
      <c r="B241" s="1">
        <v>1376</v>
      </c>
      <c r="C241" s="2">
        <v>45196</v>
      </c>
      <c r="D241" s="2">
        <v>45198</v>
      </c>
      <c r="E241" s="1" t="s">
        <v>16</v>
      </c>
      <c r="F241" s="1" t="s">
        <v>38</v>
      </c>
      <c r="G241" s="1" t="s">
        <v>17</v>
      </c>
      <c r="H241" s="1" t="s">
        <v>42</v>
      </c>
      <c r="I241" s="1" t="s">
        <v>57</v>
      </c>
      <c r="J241" s="1" t="s">
        <v>67</v>
      </c>
      <c r="K241" s="1" t="s">
        <v>45</v>
      </c>
      <c r="L241" s="1">
        <v>9</v>
      </c>
      <c r="M241" s="1">
        <v>265.58</v>
      </c>
      <c r="N241" s="1">
        <v>10</v>
      </c>
      <c r="O241" s="1">
        <v>2151.1999999999998</v>
      </c>
      <c r="P241" s="1">
        <f t="shared" si="16"/>
        <v>2390.2199999999998</v>
      </c>
      <c r="Q241" s="10">
        <f t="shared" si="17"/>
        <v>215.12</v>
      </c>
      <c r="R241" s="11">
        <f t="shared" si="18"/>
        <v>2175.1</v>
      </c>
      <c r="S241" s="1" t="str">
        <f t="shared" si="19"/>
        <v>High</v>
      </c>
      <c r="T241" s="1" t="str" cm="1">
        <f t="array" ref="T241">_xlfn.IFS(L241&gt;5,"High",L241=5,"mediam",L241&lt;5,"low")</f>
        <v>High</v>
      </c>
      <c r="U241" s="1" t="str">
        <f t="shared" si="20"/>
        <v>High</v>
      </c>
    </row>
    <row r="242" spans="1:21" x14ac:dyDescent="0.3">
      <c r="A242" s="5">
        <v>10241</v>
      </c>
      <c r="B242" s="1">
        <v>1282</v>
      </c>
      <c r="C242" s="2">
        <v>45046</v>
      </c>
      <c r="D242" s="2">
        <v>45049</v>
      </c>
      <c r="E242" s="1" t="s">
        <v>40</v>
      </c>
      <c r="F242" s="1" t="s">
        <v>41</v>
      </c>
      <c r="G242" s="1" t="s">
        <v>30</v>
      </c>
      <c r="H242" s="1" t="s">
        <v>18</v>
      </c>
      <c r="I242" s="1" t="s">
        <v>19</v>
      </c>
      <c r="J242" s="1" t="s">
        <v>66</v>
      </c>
      <c r="K242" s="1" t="s">
        <v>33</v>
      </c>
      <c r="L242" s="1">
        <v>6</v>
      </c>
      <c r="M242" s="1">
        <v>1861.43</v>
      </c>
      <c r="N242" s="1">
        <v>0</v>
      </c>
      <c r="O242" s="1">
        <v>11168.58</v>
      </c>
      <c r="P242" s="1">
        <f t="shared" si="16"/>
        <v>11168.58</v>
      </c>
      <c r="Q242" s="10">
        <f t="shared" si="17"/>
        <v>0</v>
      </c>
      <c r="R242" s="11">
        <f t="shared" si="18"/>
        <v>11168.58</v>
      </c>
      <c r="S242" s="1" t="str">
        <f t="shared" si="19"/>
        <v>High</v>
      </c>
      <c r="T242" s="1" t="str" cm="1">
        <f t="array" ref="T242">_xlfn.IFS(L242&gt;5,"High",L242=5,"mediam",L242&lt;5,"low")</f>
        <v>High</v>
      </c>
      <c r="U242" s="1" t="str">
        <f t="shared" si="20"/>
        <v>High</v>
      </c>
    </row>
    <row r="243" spans="1:21" x14ac:dyDescent="0.3">
      <c r="A243" s="5">
        <v>10242</v>
      </c>
      <c r="B243" s="1">
        <v>1957</v>
      </c>
      <c r="C243" s="2">
        <v>45262</v>
      </c>
      <c r="D243" s="2">
        <v>45263</v>
      </c>
      <c r="E243" s="1" t="s">
        <v>15</v>
      </c>
      <c r="F243" s="1" t="s">
        <v>29</v>
      </c>
      <c r="G243" s="1" t="s">
        <v>24</v>
      </c>
      <c r="H243" s="1" t="s">
        <v>44</v>
      </c>
      <c r="I243" s="1" t="s">
        <v>52</v>
      </c>
      <c r="J243" s="1" t="s">
        <v>64</v>
      </c>
      <c r="K243" s="1" t="s">
        <v>47</v>
      </c>
      <c r="L243" s="1">
        <v>9</v>
      </c>
      <c r="M243" s="1">
        <v>2092.7800000000002</v>
      </c>
      <c r="N243" s="1">
        <v>20</v>
      </c>
      <c r="O243" s="1">
        <v>15068.02</v>
      </c>
      <c r="P243" s="1">
        <f t="shared" si="16"/>
        <v>18835.02</v>
      </c>
      <c r="Q243" s="10">
        <f t="shared" si="17"/>
        <v>3013.6040000000003</v>
      </c>
      <c r="R243" s="11">
        <f t="shared" si="18"/>
        <v>15821.416000000001</v>
      </c>
      <c r="S243" s="1" t="str">
        <f t="shared" si="19"/>
        <v>High</v>
      </c>
      <c r="T243" s="1" t="str" cm="1">
        <f t="array" ref="T243">_xlfn.IFS(L243&gt;5,"High",L243=5,"mediam",L243&lt;5,"low")</f>
        <v>High</v>
      </c>
      <c r="U243" s="1" t="str">
        <f t="shared" si="20"/>
        <v>High</v>
      </c>
    </row>
    <row r="244" spans="1:21" x14ac:dyDescent="0.3">
      <c r="A244" s="5">
        <v>10243</v>
      </c>
      <c r="B244" s="1">
        <v>1632</v>
      </c>
      <c r="C244" s="2">
        <v>45108</v>
      </c>
      <c r="D244" s="2">
        <v>45109</v>
      </c>
      <c r="E244" s="1" t="s">
        <v>37</v>
      </c>
      <c r="F244" s="1" t="s">
        <v>23</v>
      </c>
      <c r="G244" s="1" t="s">
        <v>30</v>
      </c>
      <c r="H244" s="1" t="s">
        <v>18</v>
      </c>
      <c r="I244" s="1" t="s">
        <v>57</v>
      </c>
      <c r="J244" s="1" t="s">
        <v>59</v>
      </c>
      <c r="K244" s="1" t="s">
        <v>28</v>
      </c>
      <c r="L244" s="1">
        <v>2</v>
      </c>
      <c r="M244" s="1">
        <v>601.53</v>
      </c>
      <c r="N244" s="1">
        <v>20</v>
      </c>
      <c r="O244" s="1">
        <v>962.45</v>
      </c>
      <c r="P244" s="1">
        <f t="shared" si="16"/>
        <v>1203.06</v>
      </c>
      <c r="Q244" s="10">
        <f t="shared" si="17"/>
        <v>192.49</v>
      </c>
      <c r="R244" s="11">
        <f t="shared" si="18"/>
        <v>1010.5699999999999</v>
      </c>
      <c r="S244" s="1" t="str">
        <f t="shared" si="19"/>
        <v>Low</v>
      </c>
      <c r="T244" s="1" t="str" cm="1">
        <f t="array" ref="T244">_xlfn.IFS(L244&gt;5,"High",L244=5,"mediam",L244&lt;5,"low")</f>
        <v>low</v>
      </c>
      <c r="U244" s="1" t="b">
        <f t="shared" si="20"/>
        <v>0</v>
      </c>
    </row>
    <row r="245" spans="1:21" x14ac:dyDescent="0.3">
      <c r="A245" s="5">
        <v>10244</v>
      </c>
      <c r="B245" s="1">
        <v>1627</v>
      </c>
      <c r="C245" s="2">
        <v>45032</v>
      </c>
      <c r="D245" s="2">
        <v>45038</v>
      </c>
      <c r="E245" s="1" t="s">
        <v>34</v>
      </c>
      <c r="F245" s="1" t="s">
        <v>29</v>
      </c>
      <c r="G245" s="1" t="s">
        <v>17</v>
      </c>
      <c r="H245" s="1" t="s">
        <v>44</v>
      </c>
      <c r="I245" s="1" t="s">
        <v>52</v>
      </c>
      <c r="J245" s="1" t="s">
        <v>53</v>
      </c>
      <c r="K245" s="1" t="s">
        <v>45</v>
      </c>
      <c r="L245" s="1">
        <v>3</v>
      </c>
      <c r="M245" s="1">
        <v>800.89</v>
      </c>
      <c r="N245" s="1">
        <v>0</v>
      </c>
      <c r="O245" s="1">
        <v>2402.67</v>
      </c>
      <c r="P245" s="1">
        <f t="shared" si="16"/>
        <v>2402.67</v>
      </c>
      <c r="Q245" s="10">
        <f t="shared" si="17"/>
        <v>0</v>
      </c>
      <c r="R245" s="11">
        <f t="shared" si="18"/>
        <v>2402.67</v>
      </c>
      <c r="S245" s="1" t="str">
        <f t="shared" si="19"/>
        <v>Low</v>
      </c>
      <c r="T245" s="1" t="str" cm="1">
        <f t="array" ref="T245">_xlfn.IFS(L245&gt;5,"High",L245=5,"mediam",L245&lt;5,"low")</f>
        <v>low</v>
      </c>
      <c r="U245" s="1" t="b">
        <f t="shared" si="20"/>
        <v>0</v>
      </c>
    </row>
    <row r="246" spans="1:21" x14ac:dyDescent="0.3">
      <c r="A246" s="5">
        <v>10245</v>
      </c>
      <c r="B246" s="1">
        <v>1972</v>
      </c>
      <c r="C246" s="2">
        <v>45143</v>
      </c>
      <c r="D246" s="2">
        <v>45148</v>
      </c>
      <c r="E246" s="1" t="s">
        <v>15</v>
      </c>
      <c r="F246" s="1" t="s">
        <v>16</v>
      </c>
      <c r="G246" s="1" t="s">
        <v>30</v>
      </c>
      <c r="H246" s="1" t="s">
        <v>42</v>
      </c>
      <c r="I246" s="1" t="s">
        <v>49</v>
      </c>
      <c r="J246" s="1" t="s">
        <v>51</v>
      </c>
      <c r="K246" s="1" t="s">
        <v>47</v>
      </c>
      <c r="L246" s="1">
        <v>8</v>
      </c>
      <c r="M246" s="1">
        <v>1504.45</v>
      </c>
      <c r="N246" s="1">
        <v>20</v>
      </c>
      <c r="O246" s="1">
        <v>9628.48</v>
      </c>
      <c r="P246" s="1">
        <f t="shared" si="16"/>
        <v>12035.6</v>
      </c>
      <c r="Q246" s="10">
        <f t="shared" si="17"/>
        <v>1925.6959999999999</v>
      </c>
      <c r="R246" s="11">
        <f t="shared" si="18"/>
        <v>10109.904</v>
      </c>
      <c r="S246" s="1" t="str">
        <f t="shared" si="19"/>
        <v>High</v>
      </c>
      <c r="T246" s="1" t="str" cm="1">
        <f t="array" ref="T246">_xlfn.IFS(L246&gt;5,"High",L246=5,"mediam",L246&lt;5,"low")</f>
        <v>High</v>
      </c>
      <c r="U246" s="1" t="str">
        <f t="shared" si="20"/>
        <v>High</v>
      </c>
    </row>
    <row r="247" spans="1:21" x14ac:dyDescent="0.3">
      <c r="A247" s="5">
        <v>10246</v>
      </c>
      <c r="B247" s="1">
        <v>1744</v>
      </c>
      <c r="C247" s="2">
        <v>45131</v>
      </c>
      <c r="D247" s="2">
        <v>45139</v>
      </c>
      <c r="E247" s="1" t="s">
        <v>16</v>
      </c>
      <c r="F247" s="1" t="s">
        <v>29</v>
      </c>
      <c r="G247" s="1" t="s">
        <v>24</v>
      </c>
      <c r="H247" s="1" t="s">
        <v>25</v>
      </c>
      <c r="I247" s="1" t="s">
        <v>52</v>
      </c>
      <c r="J247" s="1" t="s">
        <v>53</v>
      </c>
      <c r="K247" s="1" t="s">
        <v>45</v>
      </c>
      <c r="L247" s="1">
        <v>1</v>
      </c>
      <c r="M247" s="1">
        <v>3082.45</v>
      </c>
      <c r="N247" s="1">
        <v>5</v>
      </c>
      <c r="O247" s="1">
        <v>2928.33</v>
      </c>
      <c r="P247" s="1">
        <f t="shared" si="16"/>
        <v>3082.45</v>
      </c>
      <c r="Q247" s="10">
        <f t="shared" si="17"/>
        <v>146.41650000000001</v>
      </c>
      <c r="R247" s="11">
        <f t="shared" si="18"/>
        <v>2936.0335</v>
      </c>
      <c r="S247" s="1" t="str">
        <f t="shared" si="19"/>
        <v>Low</v>
      </c>
      <c r="T247" s="1" t="str" cm="1">
        <f t="array" ref="T247">_xlfn.IFS(L247&gt;5,"High",L247=5,"mediam",L247&lt;5,"low")</f>
        <v>low</v>
      </c>
      <c r="U247" s="1" t="b">
        <f t="shared" si="20"/>
        <v>0</v>
      </c>
    </row>
    <row r="248" spans="1:21" x14ac:dyDescent="0.3">
      <c r="A248" s="5">
        <v>10247</v>
      </c>
      <c r="B248" s="1">
        <v>1258</v>
      </c>
      <c r="C248" s="2">
        <v>44996</v>
      </c>
      <c r="D248" s="2">
        <v>44998</v>
      </c>
      <c r="E248" s="1" t="s">
        <v>15</v>
      </c>
      <c r="F248" s="1" t="s">
        <v>54</v>
      </c>
      <c r="G248" s="1" t="s">
        <v>30</v>
      </c>
      <c r="H248" s="1" t="s">
        <v>35</v>
      </c>
      <c r="I248" s="1" t="s">
        <v>52</v>
      </c>
      <c r="J248" s="1" t="s">
        <v>64</v>
      </c>
      <c r="K248" s="1" t="s">
        <v>47</v>
      </c>
      <c r="L248" s="1">
        <v>7</v>
      </c>
      <c r="M248" s="1">
        <v>2102.27</v>
      </c>
      <c r="N248" s="1">
        <v>20</v>
      </c>
      <c r="O248" s="1">
        <v>11772.71</v>
      </c>
      <c r="P248" s="1">
        <f t="shared" si="16"/>
        <v>14715.89</v>
      </c>
      <c r="Q248" s="10">
        <f t="shared" si="17"/>
        <v>2354.5419999999999</v>
      </c>
      <c r="R248" s="11">
        <f t="shared" si="18"/>
        <v>12361.348</v>
      </c>
      <c r="S248" s="1" t="str">
        <f t="shared" si="19"/>
        <v>High</v>
      </c>
      <c r="T248" s="1" t="str" cm="1">
        <f t="array" ref="T248">_xlfn.IFS(L248&gt;5,"High",L248=5,"mediam",L248&lt;5,"low")</f>
        <v>High</v>
      </c>
      <c r="U248" s="1" t="str">
        <f t="shared" si="20"/>
        <v>High</v>
      </c>
    </row>
    <row r="249" spans="1:21" x14ac:dyDescent="0.3">
      <c r="A249" s="5">
        <v>10248</v>
      </c>
      <c r="B249" s="1">
        <v>1358</v>
      </c>
      <c r="C249" s="2">
        <v>44970</v>
      </c>
      <c r="D249" s="2">
        <v>44974</v>
      </c>
      <c r="E249" s="1" t="s">
        <v>22</v>
      </c>
      <c r="F249" s="1" t="s">
        <v>16</v>
      </c>
      <c r="G249" s="1" t="s">
        <v>30</v>
      </c>
      <c r="H249" s="1" t="s">
        <v>42</v>
      </c>
      <c r="I249" s="1" t="s">
        <v>31</v>
      </c>
      <c r="J249" s="1" t="s">
        <v>39</v>
      </c>
      <c r="K249" s="1" t="s">
        <v>21</v>
      </c>
      <c r="L249" s="1">
        <v>7</v>
      </c>
      <c r="M249" s="1">
        <v>2605.92</v>
      </c>
      <c r="N249" s="1">
        <v>20</v>
      </c>
      <c r="O249" s="1">
        <v>14593.15</v>
      </c>
      <c r="P249" s="1">
        <f t="shared" si="16"/>
        <v>18241.440000000002</v>
      </c>
      <c r="Q249" s="10">
        <f t="shared" si="17"/>
        <v>2918.63</v>
      </c>
      <c r="R249" s="11">
        <f t="shared" si="18"/>
        <v>15322.810000000001</v>
      </c>
      <c r="S249" s="1" t="str">
        <f t="shared" si="19"/>
        <v>High</v>
      </c>
      <c r="T249" s="1" t="str" cm="1">
        <f t="array" ref="T249">_xlfn.IFS(L249&gt;5,"High",L249=5,"mediam",L249&lt;5,"low")</f>
        <v>High</v>
      </c>
      <c r="U249" s="1" t="str">
        <f t="shared" si="20"/>
        <v>High</v>
      </c>
    </row>
    <row r="250" spans="1:21" x14ac:dyDescent="0.3">
      <c r="A250" s="5">
        <v>10249</v>
      </c>
      <c r="B250" s="1">
        <v>1709</v>
      </c>
      <c r="C250" s="2">
        <v>45255</v>
      </c>
      <c r="D250" s="2">
        <v>45263</v>
      </c>
      <c r="E250" s="1" t="s">
        <v>46</v>
      </c>
      <c r="F250" s="1" t="s">
        <v>41</v>
      </c>
      <c r="G250" s="1" t="s">
        <v>17</v>
      </c>
      <c r="H250" s="1" t="s">
        <v>18</v>
      </c>
      <c r="I250" s="1" t="s">
        <v>31</v>
      </c>
      <c r="J250" s="1" t="s">
        <v>65</v>
      </c>
      <c r="K250" s="1" t="s">
        <v>45</v>
      </c>
      <c r="L250" s="1">
        <v>1</v>
      </c>
      <c r="M250" s="1">
        <v>3942.92</v>
      </c>
      <c r="N250" s="1">
        <v>0</v>
      </c>
      <c r="O250" s="1">
        <v>3942.92</v>
      </c>
      <c r="P250" s="1">
        <f t="shared" si="16"/>
        <v>3942.92</v>
      </c>
      <c r="Q250" s="10">
        <f t="shared" si="17"/>
        <v>0</v>
      </c>
      <c r="R250" s="11">
        <f t="shared" si="18"/>
        <v>3942.92</v>
      </c>
      <c r="S250" s="1" t="str">
        <f t="shared" si="19"/>
        <v>Low</v>
      </c>
      <c r="T250" s="1" t="str" cm="1">
        <f t="array" ref="T250">_xlfn.IFS(L250&gt;5,"High",L250=5,"mediam",L250&lt;5,"low")</f>
        <v>low</v>
      </c>
      <c r="U250" s="1" t="b">
        <f t="shared" si="20"/>
        <v>0</v>
      </c>
    </row>
    <row r="251" spans="1:21" x14ac:dyDescent="0.3">
      <c r="A251" s="5">
        <v>10250</v>
      </c>
      <c r="B251" s="1">
        <v>1455</v>
      </c>
      <c r="C251" s="2">
        <v>45227</v>
      </c>
      <c r="D251" s="2">
        <v>45233</v>
      </c>
      <c r="E251" s="1" t="s">
        <v>34</v>
      </c>
      <c r="F251" s="1" t="s">
        <v>16</v>
      </c>
      <c r="G251" s="1" t="s">
        <v>17</v>
      </c>
      <c r="H251" s="1" t="s">
        <v>35</v>
      </c>
      <c r="I251" s="1" t="s">
        <v>26</v>
      </c>
      <c r="J251" s="1" t="s">
        <v>69</v>
      </c>
      <c r="K251" s="1" t="s">
        <v>28</v>
      </c>
      <c r="L251" s="1">
        <v>9</v>
      </c>
      <c r="M251" s="1">
        <v>3106.82</v>
      </c>
      <c r="N251" s="1">
        <v>15</v>
      </c>
      <c r="O251" s="1">
        <v>23767.17</v>
      </c>
      <c r="P251" s="1">
        <f t="shared" si="16"/>
        <v>27961.38</v>
      </c>
      <c r="Q251" s="10">
        <f t="shared" si="17"/>
        <v>3565.0754999999995</v>
      </c>
      <c r="R251" s="11">
        <f t="shared" si="18"/>
        <v>24396.304500000002</v>
      </c>
      <c r="S251" s="1" t="str">
        <f t="shared" si="19"/>
        <v>High</v>
      </c>
      <c r="T251" s="1" t="str" cm="1">
        <f t="array" ref="T251">_xlfn.IFS(L251&gt;5,"High",L251=5,"mediam",L251&lt;5,"low")</f>
        <v>High</v>
      </c>
      <c r="U251" s="1" t="str">
        <f t="shared" si="20"/>
        <v>High</v>
      </c>
    </row>
    <row r="252" spans="1:21" x14ac:dyDescent="0.3">
      <c r="A252" s="5">
        <v>10251</v>
      </c>
      <c r="B252" s="1">
        <v>1410</v>
      </c>
      <c r="C252" s="2">
        <v>45154</v>
      </c>
      <c r="D252" s="2">
        <v>45155</v>
      </c>
      <c r="E252" s="1" t="s">
        <v>16</v>
      </c>
      <c r="F252" s="1" t="s">
        <v>23</v>
      </c>
      <c r="G252" s="1" t="s">
        <v>17</v>
      </c>
      <c r="H252" s="1" t="s">
        <v>25</v>
      </c>
      <c r="I252" s="1" t="s">
        <v>31</v>
      </c>
      <c r="J252" s="1" t="s">
        <v>48</v>
      </c>
      <c r="K252" s="1" t="s">
        <v>28</v>
      </c>
      <c r="L252" s="1">
        <v>8</v>
      </c>
      <c r="M252" s="1">
        <v>1822.29</v>
      </c>
      <c r="N252" s="1">
        <v>20</v>
      </c>
      <c r="O252" s="1">
        <v>11662.66</v>
      </c>
      <c r="P252" s="1">
        <f t="shared" si="16"/>
        <v>14578.32</v>
      </c>
      <c r="Q252" s="10">
        <f t="shared" si="17"/>
        <v>2332.5320000000002</v>
      </c>
      <c r="R252" s="11">
        <f t="shared" si="18"/>
        <v>12245.788</v>
      </c>
      <c r="S252" s="1" t="str">
        <f t="shared" si="19"/>
        <v>High</v>
      </c>
      <c r="T252" s="1" t="str" cm="1">
        <f t="array" ref="T252">_xlfn.IFS(L252&gt;5,"High",L252=5,"mediam",L252&lt;5,"low")</f>
        <v>High</v>
      </c>
      <c r="U252" s="1" t="str">
        <f t="shared" si="20"/>
        <v>High</v>
      </c>
    </row>
    <row r="253" spans="1:21" x14ac:dyDescent="0.3">
      <c r="A253" s="5">
        <v>10252</v>
      </c>
      <c r="B253" s="1">
        <v>1648</v>
      </c>
      <c r="C253" s="2">
        <v>45110</v>
      </c>
      <c r="D253" s="2">
        <v>45114</v>
      </c>
      <c r="E253" s="1" t="s">
        <v>37</v>
      </c>
      <c r="F253" s="1" t="s">
        <v>38</v>
      </c>
      <c r="G253" s="1" t="s">
        <v>24</v>
      </c>
      <c r="H253" s="1" t="s">
        <v>42</v>
      </c>
      <c r="I253" s="1" t="s">
        <v>52</v>
      </c>
      <c r="J253" s="1" t="s">
        <v>60</v>
      </c>
      <c r="K253" s="1" t="s">
        <v>33</v>
      </c>
      <c r="L253" s="1">
        <v>4</v>
      </c>
      <c r="M253" s="1">
        <v>1868.8</v>
      </c>
      <c r="N253" s="1">
        <v>20</v>
      </c>
      <c r="O253" s="1">
        <v>5980.16</v>
      </c>
      <c r="P253" s="1">
        <f t="shared" si="16"/>
        <v>7475.2</v>
      </c>
      <c r="Q253" s="10">
        <f t="shared" si="17"/>
        <v>1196.0319999999999</v>
      </c>
      <c r="R253" s="11">
        <f t="shared" si="18"/>
        <v>6279.1679999999997</v>
      </c>
      <c r="S253" s="1" t="str">
        <f t="shared" si="19"/>
        <v>Low</v>
      </c>
      <c r="T253" s="1" t="str" cm="1">
        <f t="array" ref="T253">_xlfn.IFS(L253&gt;5,"High",L253=5,"mediam",L253&lt;5,"low")</f>
        <v>low</v>
      </c>
      <c r="U253" s="1" t="b">
        <f t="shared" si="20"/>
        <v>0</v>
      </c>
    </row>
    <row r="254" spans="1:21" x14ac:dyDescent="0.3">
      <c r="A254" s="5">
        <v>10253</v>
      </c>
      <c r="B254" s="1">
        <v>1317</v>
      </c>
      <c r="C254" s="2">
        <v>45033</v>
      </c>
      <c r="D254" s="2">
        <v>45034</v>
      </c>
      <c r="E254" s="1" t="s">
        <v>40</v>
      </c>
      <c r="F254" s="1" t="s">
        <v>41</v>
      </c>
      <c r="G254" s="1" t="s">
        <v>24</v>
      </c>
      <c r="H254" s="1" t="s">
        <v>35</v>
      </c>
      <c r="I254" s="1" t="s">
        <v>19</v>
      </c>
      <c r="J254" s="1" t="s">
        <v>20</v>
      </c>
      <c r="K254" s="1" t="s">
        <v>47</v>
      </c>
      <c r="L254" s="1">
        <v>5</v>
      </c>
      <c r="M254" s="1">
        <v>2532.27</v>
      </c>
      <c r="N254" s="1">
        <v>15</v>
      </c>
      <c r="O254" s="1">
        <v>10762.15</v>
      </c>
      <c r="P254" s="1">
        <f t="shared" si="16"/>
        <v>12661.35</v>
      </c>
      <c r="Q254" s="10">
        <f t="shared" si="17"/>
        <v>1614.3225</v>
      </c>
      <c r="R254" s="11">
        <f t="shared" si="18"/>
        <v>11047.0275</v>
      </c>
      <c r="S254" s="1" t="str">
        <f t="shared" si="19"/>
        <v>High</v>
      </c>
      <c r="T254" s="1" t="str" cm="1">
        <f t="array" ref="T254">_xlfn.IFS(L254&gt;5,"High",L254=5,"mediam",L254&lt;5,"low")</f>
        <v>mediam</v>
      </c>
      <c r="U254" s="1" t="b">
        <f t="shared" si="20"/>
        <v>0</v>
      </c>
    </row>
    <row r="255" spans="1:21" x14ac:dyDescent="0.3">
      <c r="A255" s="5">
        <v>10254</v>
      </c>
      <c r="B255" s="1">
        <v>1676</v>
      </c>
      <c r="C255" s="2">
        <v>45010</v>
      </c>
      <c r="D255" s="2">
        <v>45012</v>
      </c>
      <c r="E255" s="1" t="s">
        <v>22</v>
      </c>
      <c r="F255" s="1" t="s">
        <v>16</v>
      </c>
      <c r="G255" s="1" t="s">
        <v>17</v>
      </c>
      <c r="H255" s="1" t="s">
        <v>42</v>
      </c>
      <c r="I255" s="1" t="s">
        <v>52</v>
      </c>
      <c r="J255" s="1" t="s">
        <v>64</v>
      </c>
      <c r="K255" s="1" t="s">
        <v>45</v>
      </c>
      <c r="L255" s="1">
        <v>2</v>
      </c>
      <c r="M255" s="1">
        <v>2711.66</v>
      </c>
      <c r="N255" s="1">
        <v>0</v>
      </c>
      <c r="O255" s="1">
        <v>5423.32</v>
      </c>
      <c r="P255" s="1">
        <f t="shared" si="16"/>
        <v>5423.32</v>
      </c>
      <c r="Q255" s="10">
        <f t="shared" si="17"/>
        <v>0</v>
      </c>
      <c r="R255" s="11">
        <f t="shared" si="18"/>
        <v>5423.32</v>
      </c>
      <c r="S255" s="1" t="str">
        <f t="shared" si="19"/>
        <v>Low</v>
      </c>
      <c r="T255" s="1" t="str" cm="1">
        <f t="array" ref="T255">_xlfn.IFS(L255&gt;5,"High",L255=5,"mediam",L255&lt;5,"low")</f>
        <v>low</v>
      </c>
      <c r="U255" s="1" t="b">
        <f t="shared" si="20"/>
        <v>0</v>
      </c>
    </row>
    <row r="256" spans="1:21" x14ac:dyDescent="0.3">
      <c r="A256" s="5">
        <v>10255</v>
      </c>
      <c r="B256" s="1">
        <v>1224</v>
      </c>
      <c r="C256" s="2">
        <v>45264</v>
      </c>
      <c r="D256" s="2">
        <v>45269</v>
      </c>
      <c r="E256" s="1" t="s">
        <v>16</v>
      </c>
      <c r="F256" s="1" t="s">
        <v>41</v>
      </c>
      <c r="G256" s="1" t="s">
        <v>17</v>
      </c>
      <c r="H256" s="1" t="s">
        <v>42</v>
      </c>
      <c r="I256" s="1" t="s">
        <v>19</v>
      </c>
      <c r="J256" s="1" t="s">
        <v>20</v>
      </c>
      <c r="K256" s="1" t="s">
        <v>33</v>
      </c>
      <c r="L256" s="1">
        <v>9</v>
      </c>
      <c r="M256" s="1">
        <v>2077.7399999999998</v>
      </c>
      <c r="N256" s="1">
        <v>15</v>
      </c>
      <c r="O256" s="1">
        <v>15894.71</v>
      </c>
      <c r="P256" s="1">
        <f t="shared" si="16"/>
        <v>18699.659999999996</v>
      </c>
      <c r="Q256" s="10">
        <f t="shared" si="17"/>
        <v>2384.2064999999998</v>
      </c>
      <c r="R256" s="11">
        <f t="shared" si="18"/>
        <v>16315.453499999996</v>
      </c>
      <c r="S256" s="1" t="str">
        <f t="shared" si="19"/>
        <v>High</v>
      </c>
      <c r="T256" s="1" t="str" cm="1">
        <f t="array" ref="T256">_xlfn.IFS(L256&gt;5,"High",L256=5,"mediam",L256&lt;5,"low")</f>
        <v>High</v>
      </c>
      <c r="U256" s="1" t="str">
        <f t="shared" si="20"/>
        <v>High</v>
      </c>
    </row>
    <row r="257" spans="1:21" x14ac:dyDescent="0.3">
      <c r="A257" s="5">
        <v>10256</v>
      </c>
      <c r="B257" s="1">
        <v>1818</v>
      </c>
      <c r="C257" s="2">
        <v>45176</v>
      </c>
      <c r="D257" s="2">
        <v>45184</v>
      </c>
      <c r="E257" s="1" t="s">
        <v>37</v>
      </c>
      <c r="F257" s="1" t="s">
        <v>41</v>
      </c>
      <c r="G257" s="1" t="s">
        <v>24</v>
      </c>
      <c r="H257" s="1" t="s">
        <v>25</v>
      </c>
      <c r="I257" s="1" t="s">
        <v>19</v>
      </c>
      <c r="J257" s="1" t="s">
        <v>20</v>
      </c>
      <c r="K257" s="1" t="s">
        <v>45</v>
      </c>
      <c r="L257" s="1">
        <v>6</v>
      </c>
      <c r="M257" s="1">
        <v>2632.72</v>
      </c>
      <c r="N257" s="1">
        <v>0</v>
      </c>
      <c r="O257" s="1">
        <v>15796.32</v>
      </c>
      <c r="P257" s="1">
        <f t="shared" si="16"/>
        <v>15796.32</v>
      </c>
      <c r="Q257" s="10">
        <f t="shared" si="17"/>
        <v>0</v>
      </c>
      <c r="R257" s="11">
        <f t="shared" si="18"/>
        <v>15796.32</v>
      </c>
      <c r="S257" s="1" t="str">
        <f t="shared" si="19"/>
        <v>High</v>
      </c>
      <c r="T257" s="1" t="str" cm="1">
        <f t="array" ref="T257">_xlfn.IFS(L257&gt;5,"High",L257=5,"mediam",L257&lt;5,"low")</f>
        <v>High</v>
      </c>
      <c r="U257" s="1" t="str">
        <f t="shared" si="20"/>
        <v>High</v>
      </c>
    </row>
    <row r="258" spans="1:21" x14ac:dyDescent="0.3">
      <c r="A258" s="5">
        <v>10257</v>
      </c>
      <c r="B258" s="1">
        <v>1233</v>
      </c>
      <c r="C258" s="2">
        <v>45289</v>
      </c>
      <c r="D258" s="2">
        <v>45297</v>
      </c>
      <c r="E258" s="1" t="s">
        <v>40</v>
      </c>
      <c r="F258" s="1" t="s">
        <v>41</v>
      </c>
      <c r="G258" s="1" t="s">
        <v>24</v>
      </c>
      <c r="H258" s="1" t="s">
        <v>44</v>
      </c>
      <c r="I258" s="1" t="s">
        <v>31</v>
      </c>
      <c r="J258" s="1" t="s">
        <v>32</v>
      </c>
      <c r="K258" s="1" t="s">
        <v>47</v>
      </c>
      <c r="L258" s="1">
        <v>3</v>
      </c>
      <c r="M258" s="1">
        <v>240.6</v>
      </c>
      <c r="N258" s="1">
        <v>5</v>
      </c>
      <c r="O258" s="1">
        <v>685.71</v>
      </c>
      <c r="P258" s="1">
        <f t="shared" si="16"/>
        <v>721.8</v>
      </c>
      <c r="Q258" s="10">
        <f t="shared" si="17"/>
        <v>34.285500000000006</v>
      </c>
      <c r="R258" s="11">
        <f t="shared" si="18"/>
        <v>687.5145</v>
      </c>
      <c r="S258" s="1" t="str">
        <f t="shared" si="19"/>
        <v>Low</v>
      </c>
      <c r="T258" s="1" t="str" cm="1">
        <f t="array" ref="T258">_xlfn.IFS(L258&gt;5,"High",L258=5,"mediam",L258&lt;5,"low")</f>
        <v>low</v>
      </c>
      <c r="U258" s="1" t="b">
        <f t="shared" si="20"/>
        <v>0</v>
      </c>
    </row>
    <row r="259" spans="1:21" x14ac:dyDescent="0.3">
      <c r="A259" s="5">
        <v>10258</v>
      </c>
      <c r="B259" s="1">
        <v>1683</v>
      </c>
      <c r="C259" s="2">
        <v>44947</v>
      </c>
      <c r="D259" s="2">
        <v>44950</v>
      </c>
      <c r="E259" s="1" t="s">
        <v>40</v>
      </c>
      <c r="F259" s="1" t="s">
        <v>38</v>
      </c>
      <c r="G259" s="1" t="s">
        <v>24</v>
      </c>
      <c r="H259" s="1" t="s">
        <v>35</v>
      </c>
      <c r="I259" s="1" t="s">
        <v>57</v>
      </c>
      <c r="J259" s="1" t="s">
        <v>59</v>
      </c>
      <c r="K259" s="1" t="s">
        <v>28</v>
      </c>
      <c r="L259" s="1">
        <v>7</v>
      </c>
      <c r="M259" s="1">
        <v>1804.05</v>
      </c>
      <c r="N259" s="1">
        <v>0</v>
      </c>
      <c r="O259" s="1">
        <v>12628.35</v>
      </c>
      <c r="P259" s="1">
        <f t="shared" ref="P259:P322" si="21">L259*M259</f>
        <v>12628.35</v>
      </c>
      <c r="Q259" s="10">
        <f t="shared" ref="Q259:Q322" si="22">O259*N259%</f>
        <v>0</v>
      </c>
      <c r="R259" s="11">
        <f t="shared" ref="R259:R322" si="23">P259-Q259</f>
        <v>12628.35</v>
      </c>
      <c r="S259" s="1" t="str">
        <f t="shared" ref="S259:S322" si="24">IF(L259&gt;=5,"High","Low")</f>
        <v>High</v>
      </c>
      <c r="T259" s="1" t="str" cm="1">
        <f t="array" ref="T259">_xlfn.IFS(L259&gt;5,"High",L259=5,"mediam",L259&lt;5,"low")</f>
        <v>High</v>
      </c>
      <c r="U259" s="1" t="str">
        <f t="shared" si="20"/>
        <v>High</v>
      </c>
    </row>
    <row r="260" spans="1:21" x14ac:dyDescent="0.3">
      <c r="A260" s="5">
        <v>10259</v>
      </c>
      <c r="B260" s="1">
        <v>1663</v>
      </c>
      <c r="C260" s="2">
        <v>45122</v>
      </c>
      <c r="D260" s="2">
        <v>45126</v>
      </c>
      <c r="E260" s="1" t="s">
        <v>16</v>
      </c>
      <c r="F260" s="1" t="s">
        <v>29</v>
      </c>
      <c r="G260" s="1" t="s">
        <v>24</v>
      </c>
      <c r="H260" s="1" t="s">
        <v>25</v>
      </c>
      <c r="I260" s="1" t="s">
        <v>49</v>
      </c>
      <c r="J260" s="1" t="s">
        <v>51</v>
      </c>
      <c r="K260" s="1" t="s">
        <v>21</v>
      </c>
      <c r="L260" s="1">
        <v>9</v>
      </c>
      <c r="M260" s="1">
        <v>1223.9100000000001</v>
      </c>
      <c r="N260" s="1">
        <v>5</v>
      </c>
      <c r="O260" s="1">
        <v>10464.43</v>
      </c>
      <c r="P260" s="1">
        <f t="shared" si="21"/>
        <v>11015.19</v>
      </c>
      <c r="Q260" s="10">
        <f t="shared" si="22"/>
        <v>523.22149999999999</v>
      </c>
      <c r="R260" s="11">
        <f t="shared" si="23"/>
        <v>10491.968500000001</v>
      </c>
      <c r="S260" s="1" t="str">
        <f t="shared" si="24"/>
        <v>High</v>
      </c>
      <c r="T260" s="1" t="str" cm="1">
        <f t="array" ref="T260">_xlfn.IFS(L260&gt;5,"High",L260=5,"mediam",L260&lt;5,"low")</f>
        <v>High</v>
      </c>
      <c r="U260" s="1" t="str">
        <f t="shared" si="20"/>
        <v>High</v>
      </c>
    </row>
    <row r="261" spans="1:21" x14ac:dyDescent="0.3">
      <c r="A261" s="5">
        <v>10260</v>
      </c>
      <c r="B261" s="1">
        <v>1974</v>
      </c>
      <c r="C261" s="2">
        <v>45104</v>
      </c>
      <c r="D261" s="2">
        <v>45110</v>
      </c>
      <c r="E261" s="1" t="s">
        <v>22</v>
      </c>
      <c r="F261" s="1" t="s">
        <v>41</v>
      </c>
      <c r="G261" s="1" t="s">
        <v>17</v>
      </c>
      <c r="H261" s="1" t="s">
        <v>42</v>
      </c>
      <c r="I261" s="1" t="s">
        <v>31</v>
      </c>
      <c r="J261" s="1" t="s">
        <v>65</v>
      </c>
      <c r="K261" s="1" t="s">
        <v>28</v>
      </c>
      <c r="L261" s="1">
        <v>3</v>
      </c>
      <c r="M261" s="1">
        <v>647.32000000000005</v>
      </c>
      <c r="N261" s="1">
        <v>5</v>
      </c>
      <c r="O261" s="1">
        <v>1844.86</v>
      </c>
      <c r="P261" s="1">
        <f t="shared" si="21"/>
        <v>1941.96</v>
      </c>
      <c r="Q261" s="10">
        <f t="shared" si="22"/>
        <v>92.242999999999995</v>
      </c>
      <c r="R261" s="11">
        <f t="shared" si="23"/>
        <v>1849.7170000000001</v>
      </c>
      <c r="S261" s="1" t="str">
        <f t="shared" si="24"/>
        <v>Low</v>
      </c>
      <c r="T261" s="1" t="str" cm="1">
        <f t="array" ref="T261">_xlfn.IFS(L261&gt;5,"High",L261=5,"mediam",L261&lt;5,"low")</f>
        <v>low</v>
      </c>
      <c r="U261" s="1" t="b">
        <f t="shared" si="20"/>
        <v>0</v>
      </c>
    </row>
    <row r="262" spans="1:21" x14ac:dyDescent="0.3">
      <c r="A262" s="5">
        <v>10261</v>
      </c>
      <c r="B262" s="1">
        <v>1826</v>
      </c>
      <c r="C262" s="2">
        <v>44933</v>
      </c>
      <c r="D262" s="2">
        <v>44936</v>
      </c>
      <c r="E262" s="1" t="s">
        <v>15</v>
      </c>
      <c r="F262" s="1" t="s">
        <v>54</v>
      </c>
      <c r="G262" s="1" t="s">
        <v>24</v>
      </c>
      <c r="H262" s="1" t="s">
        <v>25</v>
      </c>
      <c r="I262" s="1" t="s">
        <v>31</v>
      </c>
      <c r="J262" s="1" t="s">
        <v>32</v>
      </c>
      <c r="K262" s="1" t="s">
        <v>33</v>
      </c>
      <c r="L262" s="1">
        <v>2</v>
      </c>
      <c r="M262" s="1">
        <v>533.25</v>
      </c>
      <c r="N262" s="1">
        <v>0</v>
      </c>
      <c r="O262" s="1">
        <v>1066.5</v>
      </c>
      <c r="P262" s="1">
        <f t="shared" si="21"/>
        <v>1066.5</v>
      </c>
      <c r="Q262" s="10">
        <f t="shared" si="22"/>
        <v>0</v>
      </c>
      <c r="R262" s="11">
        <f t="shared" si="23"/>
        <v>1066.5</v>
      </c>
      <c r="S262" s="1" t="str">
        <f t="shared" si="24"/>
        <v>Low</v>
      </c>
      <c r="T262" s="1" t="str" cm="1">
        <f t="array" ref="T262">_xlfn.IFS(L262&gt;5,"High",L262=5,"mediam",L262&lt;5,"low")</f>
        <v>low</v>
      </c>
      <c r="U262" s="1" t="b">
        <f t="shared" si="20"/>
        <v>0</v>
      </c>
    </row>
    <row r="263" spans="1:21" x14ac:dyDescent="0.3">
      <c r="A263" s="5">
        <v>10262</v>
      </c>
      <c r="B263" s="1">
        <v>1373</v>
      </c>
      <c r="C263" s="2">
        <v>44996</v>
      </c>
      <c r="D263" s="2">
        <v>44998</v>
      </c>
      <c r="E263" s="1" t="s">
        <v>15</v>
      </c>
      <c r="F263" s="1" t="s">
        <v>23</v>
      </c>
      <c r="G263" s="1" t="s">
        <v>17</v>
      </c>
      <c r="H263" s="1" t="s">
        <v>44</v>
      </c>
      <c r="I263" s="1" t="s">
        <v>57</v>
      </c>
      <c r="J263" s="1" t="s">
        <v>59</v>
      </c>
      <c r="K263" s="1" t="s">
        <v>21</v>
      </c>
      <c r="L263" s="1">
        <v>7</v>
      </c>
      <c r="M263" s="1">
        <v>2472.29</v>
      </c>
      <c r="N263" s="1">
        <v>10</v>
      </c>
      <c r="O263" s="1">
        <v>15575.43</v>
      </c>
      <c r="P263" s="1">
        <f t="shared" si="21"/>
        <v>17306.03</v>
      </c>
      <c r="Q263" s="10">
        <f t="shared" si="22"/>
        <v>1557.5430000000001</v>
      </c>
      <c r="R263" s="11">
        <f t="shared" si="23"/>
        <v>15748.486999999999</v>
      </c>
      <c r="S263" s="1" t="str">
        <f t="shared" si="24"/>
        <v>High</v>
      </c>
      <c r="T263" s="1" t="str" cm="1">
        <f t="array" ref="T263">_xlfn.IFS(L263&gt;5,"High",L263=5,"mediam",L263&lt;5,"low")</f>
        <v>High</v>
      </c>
      <c r="U263" s="1" t="str">
        <f t="shared" si="20"/>
        <v>High</v>
      </c>
    </row>
    <row r="264" spans="1:21" x14ac:dyDescent="0.3">
      <c r="A264" s="5">
        <v>10263</v>
      </c>
      <c r="B264" s="1">
        <v>1671</v>
      </c>
      <c r="C264" s="2">
        <v>45053</v>
      </c>
      <c r="D264" s="2">
        <v>45059</v>
      </c>
      <c r="E264" s="1" t="s">
        <v>40</v>
      </c>
      <c r="F264" s="1" t="s">
        <v>38</v>
      </c>
      <c r="G264" s="1" t="s">
        <v>30</v>
      </c>
      <c r="H264" s="1" t="s">
        <v>35</v>
      </c>
      <c r="I264" s="1" t="s">
        <v>49</v>
      </c>
      <c r="J264" s="1" t="s">
        <v>63</v>
      </c>
      <c r="K264" s="1" t="s">
        <v>33</v>
      </c>
      <c r="L264" s="1">
        <v>7</v>
      </c>
      <c r="M264" s="1">
        <v>2165.86</v>
      </c>
      <c r="N264" s="1">
        <v>0</v>
      </c>
      <c r="O264" s="1">
        <v>15161.02</v>
      </c>
      <c r="P264" s="1">
        <f t="shared" si="21"/>
        <v>15161.02</v>
      </c>
      <c r="Q264" s="10">
        <f t="shared" si="22"/>
        <v>0</v>
      </c>
      <c r="R264" s="11">
        <f t="shared" si="23"/>
        <v>15161.02</v>
      </c>
      <c r="S264" s="1" t="str">
        <f t="shared" si="24"/>
        <v>High</v>
      </c>
      <c r="T264" s="1" t="str" cm="1">
        <f t="array" ref="T264">_xlfn.IFS(L264&gt;5,"High",L264=5,"mediam",L264&lt;5,"low")</f>
        <v>High</v>
      </c>
      <c r="U264" s="1" t="str">
        <f t="shared" si="20"/>
        <v>High</v>
      </c>
    </row>
    <row r="265" spans="1:21" x14ac:dyDescent="0.3">
      <c r="A265" s="5">
        <v>10264</v>
      </c>
      <c r="B265" s="1">
        <v>1607</v>
      </c>
      <c r="C265" s="2">
        <v>45086</v>
      </c>
      <c r="D265" s="2">
        <v>45091</v>
      </c>
      <c r="E265" s="1" t="s">
        <v>15</v>
      </c>
      <c r="F265" s="1" t="s">
        <v>16</v>
      </c>
      <c r="G265" s="1" t="s">
        <v>30</v>
      </c>
      <c r="H265" s="1" t="s">
        <v>44</v>
      </c>
      <c r="I265" s="1" t="s">
        <v>52</v>
      </c>
      <c r="J265" s="1" t="s">
        <v>60</v>
      </c>
      <c r="K265" s="1" t="s">
        <v>47</v>
      </c>
      <c r="L265" s="1">
        <v>4</v>
      </c>
      <c r="M265" s="1">
        <v>1126.3</v>
      </c>
      <c r="N265" s="1">
        <v>20</v>
      </c>
      <c r="O265" s="1">
        <v>3604.16</v>
      </c>
      <c r="P265" s="1">
        <f t="shared" si="21"/>
        <v>4505.2</v>
      </c>
      <c r="Q265" s="10">
        <f t="shared" si="22"/>
        <v>720.83199999999999</v>
      </c>
      <c r="R265" s="11">
        <f t="shared" si="23"/>
        <v>3784.3679999999999</v>
      </c>
      <c r="S265" s="1" t="str">
        <f t="shared" si="24"/>
        <v>Low</v>
      </c>
      <c r="T265" s="1" t="str" cm="1">
        <f t="array" ref="T265">_xlfn.IFS(L265&gt;5,"High",L265=5,"mediam",L265&lt;5,"low")</f>
        <v>low</v>
      </c>
      <c r="U265" s="1" t="b">
        <f t="shared" ref="U265:U328" si="25">IF(L265&gt;5,"High",IF(L265="Mediam","Low"))</f>
        <v>0</v>
      </c>
    </row>
    <row r="266" spans="1:21" x14ac:dyDescent="0.3">
      <c r="A266" s="5">
        <v>10265</v>
      </c>
      <c r="B266" s="1">
        <v>1471</v>
      </c>
      <c r="C266" s="2">
        <v>45174</v>
      </c>
      <c r="D266" s="2">
        <v>45179</v>
      </c>
      <c r="E266" s="1" t="s">
        <v>46</v>
      </c>
      <c r="F266" s="1" t="s">
        <v>38</v>
      </c>
      <c r="G266" s="1" t="s">
        <v>24</v>
      </c>
      <c r="H266" s="1" t="s">
        <v>18</v>
      </c>
      <c r="I266" s="1" t="s">
        <v>26</v>
      </c>
      <c r="J266" s="1" t="s">
        <v>61</v>
      </c>
      <c r="K266" s="1" t="s">
        <v>21</v>
      </c>
      <c r="L266" s="1">
        <v>9</v>
      </c>
      <c r="M266" s="1">
        <v>1963.16</v>
      </c>
      <c r="N266" s="1">
        <v>20</v>
      </c>
      <c r="O266" s="1">
        <v>14134.75</v>
      </c>
      <c r="P266" s="1">
        <f t="shared" si="21"/>
        <v>17668.440000000002</v>
      </c>
      <c r="Q266" s="10">
        <f t="shared" si="22"/>
        <v>2826.9500000000003</v>
      </c>
      <c r="R266" s="11">
        <f t="shared" si="23"/>
        <v>14841.490000000002</v>
      </c>
      <c r="S266" s="1" t="str">
        <f t="shared" si="24"/>
        <v>High</v>
      </c>
      <c r="T266" s="1" t="str" cm="1">
        <f t="array" ref="T266">_xlfn.IFS(L266&gt;5,"High",L266=5,"mediam",L266&lt;5,"low")</f>
        <v>High</v>
      </c>
      <c r="U266" s="1" t="str">
        <f t="shared" si="25"/>
        <v>High</v>
      </c>
    </row>
    <row r="267" spans="1:21" x14ac:dyDescent="0.3">
      <c r="A267" s="5">
        <v>10266</v>
      </c>
      <c r="B267" s="1">
        <v>1232</v>
      </c>
      <c r="C267" s="2">
        <v>45129</v>
      </c>
      <c r="D267" s="2">
        <v>45134</v>
      </c>
      <c r="E267" s="1" t="s">
        <v>40</v>
      </c>
      <c r="F267" s="1" t="s">
        <v>16</v>
      </c>
      <c r="G267" s="1" t="s">
        <v>30</v>
      </c>
      <c r="H267" s="1" t="s">
        <v>35</v>
      </c>
      <c r="I267" s="1" t="s">
        <v>26</v>
      </c>
      <c r="J267" s="1" t="s">
        <v>61</v>
      </c>
      <c r="K267" s="1" t="s">
        <v>33</v>
      </c>
      <c r="L267" s="1">
        <v>8</v>
      </c>
      <c r="M267" s="1">
        <v>2045.09</v>
      </c>
      <c r="N267" s="1">
        <v>10</v>
      </c>
      <c r="O267" s="1">
        <v>14724.65</v>
      </c>
      <c r="P267" s="1">
        <f t="shared" si="21"/>
        <v>16360.72</v>
      </c>
      <c r="Q267" s="10">
        <f t="shared" si="22"/>
        <v>1472.4650000000001</v>
      </c>
      <c r="R267" s="11">
        <f t="shared" si="23"/>
        <v>14888.254999999999</v>
      </c>
      <c r="S267" s="1" t="str">
        <f t="shared" si="24"/>
        <v>High</v>
      </c>
      <c r="T267" s="1" t="str" cm="1">
        <f t="array" ref="T267">_xlfn.IFS(L267&gt;5,"High",L267=5,"mediam",L267&lt;5,"low")</f>
        <v>High</v>
      </c>
      <c r="U267" s="1" t="str">
        <f t="shared" si="25"/>
        <v>High</v>
      </c>
    </row>
    <row r="268" spans="1:21" x14ac:dyDescent="0.3">
      <c r="A268" s="5">
        <v>10267</v>
      </c>
      <c r="B268" s="1">
        <v>1691</v>
      </c>
      <c r="C268" s="2">
        <v>45074</v>
      </c>
      <c r="D268" s="2">
        <v>45079</v>
      </c>
      <c r="E268" s="1" t="s">
        <v>40</v>
      </c>
      <c r="F268" s="1" t="s">
        <v>38</v>
      </c>
      <c r="G268" s="1" t="s">
        <v>30</v>
      </c>
      <c r="H268" s="1" t="s">
        <v>44</v>
      </c>
      <c r="I268" s="1" t="s">
        <v>52</v>
      </c>
      <c r="J268" s="1" t="s">
        <v>53</v>
      </c>
      <c r="K268" s="1" t="s">
        <v>47</v>
      </c>
      <c r="L268" s="1">
        <v>1</v>
      </c>
      <c r="M268" s="1">
        <v>900.78</v>
      </c>
      <c r="N268" s="1">
        <v>5</v>
      </c>
      <c r="O268" s="1">
        <v>855.74</v>
      </c>
      <c r="P268" s="1">
        <f t="shared" si="21"/>
        <v>900.78</v>
      </c>
      <c r="Q268" s="10">
        <f t="shared" si="22"/>
        <v>42.787000000000006</v>
      </c>
      <c r="R268" s="11">
        <f t="shared" si="23"/>
        <v>857.99299999999994</v>
      </c>
      <c r="S268" s="1" t="str">
        <f t="shared" si="24"/>
        <v>Low</v>
      </c>
      <c r="T268" s="1" t="str" cm="1">
        <f t="array" ref="T268">_xlfn.IFS(L268&gt;5,"High",L268=5,"mediam",L268&lt;5,"low")</f>
        <v>low</v>
      </c>
      <c r="U268" s="1" t="b">
        <f t="shared" si="25"/>
        <v>0</v>
      </c>
    </row>
    <row r="269" spans="1:21" x14ac:dyDescent="0.3">
      <c r="A269" s="5">
        <v>10268</v>
      </c>
      <c r="B269" s="1">
        <v>1112</v>
      </c>
      <c r="C269" s="2">
        <v>45069</v>
      </c>
      <c r="D269" s="2">
        <v>45072</v>
      </c>
      <c r="E269" s="1" t="s">
        <v>37</v>
      </c>
      <c r="F269" s="1" t="s">
        <v>16</v>
      </c>
      <c r="G269" s="1" t="s">
        <v>30</v>
      </c>
      <c r="H269" s="1" t="s">
        <v>42</v>
      </c>
      <c r="I269" s="1" t="s">
        <v>31</v>
      </c>
      <c r="J269" s="1" t="s">
        <v>39</v>
      </c>
      <c r="K269" s="1" t="s">
        <v>28</v>
      </c>
      <c r="L269" s="1">
        <v>1</v>
      </c>
      <c r="M269" s="1">
        <v>2660.56</v>
      </c>
      <c r="N269" s="1">
        <v>10</v>
      </c>
      <c r="O269" s="1">
        <v>2394.5</v>
      </c>
      <c r="P269" s="1">
        <f t="shared" si="21"/>
        <v>2660.56</v>
      </c>
      <c r="Q269" s="10">
        <f t="shared" si="22"/>
        <v>239.45000000000002</v>
      </c>
      <c r="R269" s="11">
        <f t="shared" si="23"/>
        <v>2421.11</v>
      </c>
      <c r="S269" s="1" t="str">
        <f t="shared" si="24"/>
        <v>Low</v>
      </c>
      <c r="T269" s="1" t="str" cm="1">
        <f t="array" ref="T269">_xlfn.IFS(L269&gt;5,"High",L269=5,"mediam",L269&lt;5,"low")</f>
        <v>low</v>
      </c>
      <c r="U269" s="1" t="b">
        <f t="shared" si="25"/>
        <v>0</v>
      </c>
    </row>
    <row r="270" spans="1:21" x14ac:dyDescent="0.3">
      <c r="A270" s="5">
        <v>10269</v>
      </c>
      <c r="B270" s="1">
        <v>1829</v>
      </c>
      <c r="C270" s="2">
        <v>45125</v>
      </c>
      <c r="D270" s="2">
        <v>45132</v>
      </c>
      <c r="E270" s="1" t="s">
        <v>15</v>
      </c>
      <c r="F270" s="1" t="s">
        <v>41</v>
      </c>
      <c r="G270" s="1" t="s">
        <v>24</v>
      </c>
      <c r="H270" s="1" t="s">
        <v>35</v>
      </c>
      <c r="I270" s="1" t="s">
        <v>49</v>
      </c>
      <c r="J270" s="1" t="s">
        <v>51</v>
      </c>
      <c r="K270" s="1" t="s">
        <v>47</v>
      </c>
      <c r="L270" s="1">
        <v>5</v>
      </c>
      <c r="M270" s="1">
        <v>3156.54</v>
      </c>
      <c r="N270" s="1">
        <v>20</v>
      </c>
      <c r="O270" s="1">
        <v>12626.16</v>
      </c>
      <c r="P270" s="1">
        <f t="shared" si="21"/>
        <v>15782.7</v>
      </c>
      <c r="Q270" s="10">
        <f t="shared" si="22"/>
        <v>2525.232</v>
      </c>
      <c r="R270" s="11">
        <f t="shared" si="23"/>
        <v>13257.468000000001</v>
      </c>
      <c r="S270" s="1" t="str">
        <f t="shared" si="24"/>
        <v>High</v>
      </c>
      <c r="T270" s="1" t="str" cm="1">
        <f t="array" ref="T270">_xlfn.IFS(L270&gt;5,"High",L270=5,"mediam",L270&lt;5,"low")</f>
        <v>mediam</v>
      </c>
      <c r="U270" s="1" t="b">
        <f t="shared" si="25"/>
        <v>0</v>
      </c>
    </row>
    <row r="271" spans="1:21" x14ac:dyDescent="0.3">
      <c r="A271" s="5">
        <v>10270</v>
      </c>
      <c r="B271" s="1">
        <v>1496</v>
      </c>
      <c r="C271" s="2">
        <v>45080</v>
      </c>
      <c r="D271" s="2">
        <v>45086</v>
      </c>
      <c r="E271" s="1" t="s">
        <v>22</v>
      </c>
      <c r="F271" s="1" t="s">
        <v>29</v>
      </c>
      <c r="G271" s="1" t="s">
        <v>24</v>
      </c>
      <c r="H271" s="1" t="s">
        <v>35</v>
      </c>
      <c r="I271" s="1" t="s">
        <v>31</v>
      </c>
      <c r="J271" s="1" t="s">
        <v>65</v>
      </c>
      <c r="K271" s="1" t="s">
        <v>45</v>
      </c>
      <c r="L271" s="1">
        <v>6</v>
      </c>
      <c r="M271" s="1">
        <v>3197.13</v>
      </c>
      <c r="N271" s="1">
        <v>10</v>
      </c>
      <c r="O271" s="1">
        <v>17264.5</v>
      </c>
      <c r="P271" s="1">
        <f t="shared" si="21"/>
        <v>19182.78</v>
      </c>
      <c r="Q271" s="10">
        <f t="shared" si="22"/>
        <v>1726.45</v>
      </c>
      <c r="R271" s="11">
        <f t="shared" si="23"/>
        <v>17456.329999999998</v>
      </c>
      <c r="S271" s="1" t="str">
        <f t="shared" si="24"/>
        <v>High</v>
      </c>
      <c r="T271" s="1" t="str" cm="1">
        <f t="array" ref="T271">_xlfn.IFS(L271&gt;5,"High",L271=5,"mediam",L271&lt;5,"low")</f>
        <v>High</v>
      </c>
      <c r="U271" s="1" t="str">
        <f t="shared" si="25"/>
        <v>High</v>
      </c>
    </row>
    <row r="272" spans="1:21" x14ac:dyDescent="0.3">
      <c r="A272" s="5">
        <v>10271</v>
      </c>
      <c r="B272" s="1">
        <v>1441</v>
      </c>
      <c r="C272" s="2">
        <v>45068</v>
      </c>
      <c r="D272" s="2">
        <v>45072</v>
      </c>
      <c r="E272" s="1" t="s">
        <v>40</v>
      </c>
      <c r="F272" s="1" t="s">
        <v>16</v>
      </c>
      <c r="G272" s="1" t="s">
        <v>30</v>
      </c>
      <c r="H272" s="1" t="s">
        <v>25</v>
      </c>
      <c r="I272" s="1" t="s">
        <v>19</v>
      </c>
      <c r="J272" s="1" t="s">
        <v>66</v>
      </c>
      <c r="K272" s="1" t="s">
        <v>47</v>
      </c>
      <c r="L272" s="1">
        <v>3</v>
      </c>
      <c r="M272" s="1">
        <v>2469.5100000000002</v>
      </c>
      <c r="N272" s="1">
        <v>0</v>
      </c>
      <c r="O272" s="1">
        <v>7408.53</v>
      </c>
      <c r="P272" s="1">
        <f t="shared" si="21"/>
        <v>7408.5300000000007</v>
      </c>
      <c r="Q272" s="10">
        <f t="shared" si="22"/>
        <v>0</v>
      </c>
      <c r="R272" s="11">
        <f t="shared" si="23"/>
        <v>7408.5300000000007</v>
      </c>
      <c r="S272" s="1" t="str">
        <f t="shared" si="24"/>
        <v>Low</v>
      </c>
      <c r="T272" s="1" t="str" cm="1">
        <f t="array" ref="T272">_xlfn.IFS(L272&gt;5,"High",L272=5,"mediam",L272&lt;5,"low")</f>
        <v>low</v>
      </c>
      <c r="U272" s="1" t="b">
        <f t="shared" si="25"/>
        <v>0</v>
      </c>
    </row>
    <row r="273" spans="1:21" x14ac:dyDescent="0.3">
      <c r="A273" s="5">
        <v>10272</v>
      </c>
      <c r="B273" s="1">
        <v>1563</v>
      </c>
      <c r="C273" s="2">
        <v>45239</v>
      </c>
      <c r="D273" s="2">
        <v>45241</v>
      </c>
      <c r="E273" s="1" t="s">
        <v>22</v>
      </c>
      <c r="F273" s="1" t="s">
        <v>16</v>
      </c>
      <c r="G273" s="1" t="s">
        <v>17</v>
      </c>
      <c r="H273" s="1" t="s">
        <v>42</v>
      </c>
      <c r="I273" s="1" t="s">
        <v>31</v>
      </c>
      <c r="J273" s="1" t="s">
        <v>48</v>
      </c>
      <c r="K273" s="1" t="s">
        <v>47</v>
      </c>
      <c r="L273" s="1">
        <v>9</v>
      </c>
      <c r="M273" s="1">
        <v>2119.81</v>
      </c>
      <c r="N273" s="1">
        <v>10</v>
      </c>
      <c r="O273" s="1">
        <v>17170.46</v>
      </c>
      <c r="P273" s="1">
        <f t="shared" si="21"/>
        <v>19078.29</v>
      </c>
      <c r="Q273" s="10">
        <f t="shared" si="22"/>
        <v>1717.046</v>
      </c>
      <c r="R273" s="11">
        <f t="shared" si="23"/>
        <v>17361.244000000002</v>
      </c>
      <c r="S273" s="1" t="str">
        <f t="shared" si="24"/>
        <v>High</v>
      </c>
      <c r="T273" s="1" t="str" cm="1">
        <f t="array" ref="T273">_xlfn.IFS(L273&gt;5,"High",L273=5,"mediam",L273&lt;5,"low")</f>
        <v>High</v>
      </c>
      <c r="U273" s="1" t="str">
        <f t="shared" si="25"/>
        <v>High</v>
      </c>
    </row>
    <row r="274" spans="1:21" x14ac:dyDescent="0.3">
      <c r="A274" s="5">
        <v>10273</v>
      </c>
      <c r="B274" s="1">
        <v>1267</v>
      </c>
      <c r="C274" s="2">
        <v>45091</v>
      </c>
      <c r="D274" s="2">
        <v>45100</v>
      </c>
      <c r="E274" s="1" t="s">
        <v>46</v>
      </c>
      <c r="F274" s="1" t="s">
        <v>54</v>
      </c>
      <c r="G274" s="1" t="s">
        <v>30</v>
      </c>
      <c r="H274" s="1" t="s">
        <v>18</v>
      </c>
      <c r="I274" s="1" t="s">
        <v>31</v>
      </c>
      <c r="J274" s="1" t="s">
        <v>39</v>
      </c>
      <c r="K274" s="1" t="s">
        <v>45</v>
      </c>
      <c r="L274" s="1">
        <v>6</v>
      </c>
      <c r="M274" s="1">
        <v>384.88</v>
      </c>
      <c r="N274" s="1">
        <v>5</v>
      </c>
      <c r="O274" s="1">
        <v>2193.8200000000002</v>
      </c>
      <c r="P274" s="1">
        <f t="shared" si="21"/>
        <v>2309.2799999999997</v>
      </c>
      <c r="Q274" s="10">
        <f t="shared" si="22"/>
        <v>109.69100000000002</v>
      </c>
      <c r="R274" s="11">
        <f t="shared" si="23"/>
        <v>2199.5889999999999</v>
      </c>
      <c r="S274" s="1" t="str">
        <f t="shared" si="24"/>
        <v>High</v>
      </c>
      <c r="T274" s="1" t="str" cm="1">
        <f t="array" ref="T274">_xlfn.IFS(L274&gt;5,"High",L274=5,"mediam",L274&lt;5,"low")</f>
        <v>High</v>
      </c>
      <c r="U274" s="1" t="str">
        <f t="shared" si="25"/>
        <v>High</v>
      </c>
    </row>
    <row r="275" spans="1:21" x14ac:dyDescent="0.3">
      <c r="A275" s="5">
        <v>10274</v>
      </c>
      <c r="B275" s="1">
        <v>1509</v>
      </c>
      <c r="C275" s="2">
        <v>45240</v>
      </c>
      <c r="D275" s="2">
        <v>45241</v>
      </c>
      <c r="E275" s="1" t="s">
        <v>37</v>
      </c>
      <c r="F275" s="1" t="s">
        <v>16</v>
      </c>
      <c r="G275" s="1" t="s">
        <v>24</v>
      </c>
      <c r="H275" s="1" t="s">
        <v>44</v>
      </c>
      <c r="I275" s="1" t="s">
        <v>52</v>
      </c>
      <c r="J275" s="1" t="s">
        <v>60</v>
      </c>
      <c r="K275" s="1" t="s">
        <v>33</v>
      </c>
      <c r="L275" s="1">
        <v>4</v>
      </c>
      <c r="M275" s="1">
        <v>1258.1500000000001</v>
      </c>
      <c r="N275" s="1">
        <v>0</v>
      </c>
      <c r="O275" s="1">
        <v>5032.6000000000004</v>
      </c>
      <c r="P275" s="1">
        <f t="shared" si="21"/>
        <v>5032.6000000000004</v>
      </c>
      <c r="Q275" s="10">
        <f t="shared" si="22"/>
        <v>0</v>
      </c>
      <c r="R275" s="11">
        <f t="shared" si="23"/>
        <v>5032.6000000000004</v>
      </c>
      <c r="S275" s="1" t="str">
        <f t="shared" si="24"/>
        <v>Low</v>
      </c>
      <c r="T275" s="1" t="str" cm="1">
        <f t="array" ref="T275">_xlfn.IFS(L275&gt;5,"High",L275=5,"mediam",L275&lt;5,"low")</f>
        <v>low</v>
      </c>
      <c r="U275" s="1" t="b">
        <f t="shared" si="25"/>
        <v>0</v>
      </c>
    </row>
    <row r="276" spans="1:21" x14ac:dyDescent="0.3">
      <c r="A276" s="5">
        <v>10275</v>
      </c>
      <c r="B276" s="1">
        <v>1806</v>
      </c>
      <c r="C276" s="2">
        <v>44947</v>
      </c>
      <c r="D276" s="2">
        <v>44951</v>
      </c>
      <c r="E276" s="1" t="s">
        <v>16</v>
      </c>
      <c r="F276" s="1" t="s">
        <v>54</v>
      </c>
      <c r="G276" s="1" t="s">
        <v>24</v>
      </c>
      <c r="H276" s="1" t="s">
        <v>25</v>
      </c>
      <c r="I276" s="1" t="s">
        <v>52</v>
      </c>
      <c r="J276" s="1" t="s">
        <v>64</v>
      </c>
      <c r="K276" s="1" t="s">
        <v>33</v>
      </c>
      <c r="L276" s="1">
        <v>7</v>
      </c>
      <c r="M276" s="1">
        <v>509.1</v>
      </c>
      <c r="N276" s="1">
        <v>15</v>
      </c>
      <c r="O276" s="1">
        <v>3029.14</v>
      </c>
      <c r="P276" s="1">
        <f t="shared" si="21"/>
        <v>3563.7000000000003</v>
      </c>
      <c r="Q276" s="10">
        <f t="shared" si="22"/>
        <v>454.37099999999998</v>
      </c>
      <c r="R276" s="11">
        <f t="shared" si="23"/>
        <v>3109.3290000000002</v>
      </c>
      <c r="S276" s="1" t="str">
        <f t="shared" si="24"/>
        <v>High</v>
      </c>
      <c r="T276" s="1" t="str" cm="1">
        <f t="array" ref="T276">_xlfn.IFS(L276&gt;5,"High",L276=5,"mediam",L276&lt;5,"low")</f>
        <v>High</v>
      </c>
      <c r="U276" s="1" t="str">
        <f t="shared" si="25"/>
        <v>High</v>
      </c>
    </row>
    <row r="277" spans="1:21" x14ac:dyDescent="0.3">
      <c r="A277" s="5">
        <v>10276</v>
      </c>
      <c r="B277" s="1">
        <v>1385</v>
      </c>
      <c r="C277" s="2">
        <v>45008</v>
      </c>
      <c r="D277" s="2">
        <v>45009</v>
      </c>
      <c r="E277" s="1" t="s">
        <v>22</v>
      </c>
      <c r="F277" s="1" t="s">
        <v>23</v>
      </c>
      <c r="G277" s="1" t="s">
        <v>24</v>
      </c>
      <c r="H277" s="1" t="s">
        <v>44</v>
      </c>
      <c r="I277" s="1" t="s">
        <v>52</v>
      </c>
      <c r="J277" s="1" t="s">
        <v>53</v>
      </c>
      <c r="K277" s="1" t="s">
        <v>47</v>
      </c>
      <c r="L277" s="1">
        <v>8</v>
      </c>
      <c r="M277" s="1">
        <v>3860.72</v>
      </c>
      <c r="N277" s="1">
        <v>20</v>
      </c>
      <c r="O277" s="1">
        <v>24708.61</v>
      </c>
      <c r="P277" s="1">
        <f t="shared" si="21"/>
        <v>30885.759999999998</v>
      </c>
      <c r="Q277" s="10">
        <f t="shared" si="22"/>
        <v>4941.7220000000007</v>
      </c>
      <c r="R277" s="11">
        <f t="shared" si="23"/>
        <v>25944.037999999997</v>
      </c>
      <c r="S277" s="1" t="str">
        <f t="shared" si="24"/>
        <v>High</v>
      </c>
      <c r="T277" s="1" t="str" cm="1">
        <f t="array" ref="T277">_xlfn.IFS(L277&gt;5,"High",L277=5,"mediam",L277&lt;5,"low")</f>
        <v>High</v>
      </c>
      <c r="U277" s="1" t="str">
        <f t="shared" si="25"/>
        <v>High</v>
      </c>
    </row>
    <row r="278" spans="1:21" x14ac:dyDescent="0.3">
      <c r="A278" s="5">
        <v>10277</v>
      </c>
      <c r="B278" s="1">
        <v>1386</v>
      </c>
      <c r="C278" s="2">
        <v>44995</v>
      </c>
      <c r="D278" s="2">
        <v>45001</v>
      </c>
      <c r="E278" s="1" t="s">
        <v>40</v>
      </c>
      <c r="F278" s="1" t="s">
        <v>41</v>
      </c>
      <c r="G278" s="1" t="s">
        <v>30</v>
      </c>
      <c r="H278" s="1" t="s">
        <v>18</v>
      </c>
      <c r="I278" s="1" t="s">
        <v>26</v>
      </c>
      <c r="J278" s="1" t="s">
        <v>69</v>
      </c>
      <c r="K278" s="1" t="s">
        <v>45</v>
      </c>
      <c r="L278" s="1">
        <v>9</v>
      </c>
      <c r="M278" s="1">
        <v>670.06</v>
      </c>
      <c r="N278" s="1">
        <v>20</v>
      </c>
      <c r="O278" s="1">
        <v>4824.43</v>
      </c>
      <c r="P278" s="1">
        <f t="shared" si="21"/>
        <v>6030.5399999999991</v>
      </c>
      <c r="Q278" s="10">
        <f t="shared" si="22"/>
        <v>964.88600000000008</v>
      </c>
      <c r="R278" s="11">
        <f t="shared" si="23"/>
        <v>5065.6539999999986</v>
      </c>
      <c r="S278" s="1" t="str">
        <f t="shared" si="24"/>
        <v>High</v>
      </c>
      <c r="T278" s="1" t="str" cm="1">
        <f t="array" ref="T278">_xlfn.IFS(L278&gt;5,"High",L278=5,"mediam",L278&lt;5,"low")</f>
        <v>High</v>
      </c>
      <c r="U278" s="1" t="str">
        <f t="shared" si="25"/>
        <v>High</v>
      </c>
    </row>
    <row r="279" spans="1:21" x14ac:dyDescent="0.3">
      <c r="A279" s="5">
        <v>10278</v>
      </c>
      <c r="B279" s="1">
        <v>1112</v>
      </c>
      <c r="C279" s="2">
        <v>45057</v>
      </c>
      <c r="D279" s="2">
        <v>45061</v>
      </c>
      <c r="E279" s="1" t="s">
        <v>46</v>
      </c>
      <c r="F279" s="1" t="s">
        <v>54</v>
      </c>
      <c r="G279" s="1" t="s">
        <v>17</v>
      </c>
      <c r="H279" s="1" t="s">
        <v>18</v>
      </c>
      <c r="I279" s="1" t="s">
        <v>19</v>
      </c>
      <c r="J279" s="1" t="s">
        <v>43</v>
      </c>
      <c r="K279" s="1" t="s">
        <v>45</v>
      </c>
      <c r="L279" s="1">
        <v>6</v>
      </c>
      <c r="M279" s="1">
        <v>734.34</v>
      </c>
      <c r="N279" s="1">
        <v>10</v>
      </c>
      <c r="O279" s="1">
        <v>3965.44</v>
      </c>
      <c r="P279" s="1">
        <f t="shared" si="21"/>
        <v>4406.04</v>
      </c>
      <c r="Q279" s="10">
        <f t="shared" si="22"/>
        <v>396.54400000000004</v>
      </c>
      <c r="R279" s="11">
        <f t="shared" si="23"/>
        <v>4009.4960000000001</v>
      </c>
      <c r="S279" s="1" t="str">
        <f t="shared" si="24"/>
        <v>High</v>
      </c>
      <c r="T279" s="1" t="str" cm="1">
        <f t="array" ref="T279">_xlfn.IFS(L279&gt;5,"High",L279=5,"mediam",L279&lt;5,"low")</f>
        <v>High</v>
      </c>
      <c r="U279" s="1" t="str">
        <f t="shared" si="25"/>
        <v>High</v>
      </c>
    </row>
    <row r="280" spans="1:21" x14ac:dyDescent="0.3">
      <c r="A280" s="5">
        <v>10279</v>
      </c>
      <c r="B280" s="1">
        <v>1612</v>
      </c>
      <c r="C280" s="2">
        <v>45013</v>
      </c>
      <c r="D280" s="2">
        <v>45018</v>
      </c>
      <c r="E280" s="1" t="s">
        <v>34</v>
      </c>
      <c r="F280" s="1" t="s">
        <v>29</v>
      </c>
      <c r="G280" s="1" t="s">
        <v>24</v>
      </c>
      <c r="H280" s="1" t="s">
        <v>35</v>
      </c>
      <c r="I280" s="1" t="s">
        <v>52</v>
      </c>
      <c r="J280" s="1" t="s">
        <v>60</v>
      </c>
      <c r="K280" s="1" t="s">
        <v>28</v>
      </c>
      <c r="L280" s="1">
        <v>6</v>
      </c>
      <c r="M280" s="1">
        <v>3574.87</v>
      </c>
      <c r="N280" s="1">
        <v>0</v>
      </c>
      <c r="O280" s="1">
        <v>21449.22</v>
      </c>
      <c r="P280" s="1">
        <f t="shared" si="21"/>
        <v>21449.22</v>
      </c>
      <c r="Q280" s="10">
        <f t="shared" si="22"/>
        <v>0</v>
      </c>
      <c r="R280" s="11">
        <f t="shared" si="23"/>
        <v>21449.22</v>
      </c>
      <c r="S280" s="1" t="str">
        <f t="shared" si="24"/>
        <v>High</v>
      </c>
      <c r="T280" s="1" t="str" cm="1">
        <f t="array" ref="T280">_xlfn.IFS(L280&gt;5,"High",L280=5,"mediam",L280&lt;5,"low")</f>
        <v>High</v>
      </c>
      <c r="U280" s="1" t="str">
        <f t="shared" si="25"/>
        <v>High</v>
      </c>
    </row>
    <row r="281" spans="1:21" x14ac:dyDescent="0.3">
      <c r="A281" s="5">
        <v>10280</v>
      </c>
      <c r="B281" s="1">
        <v>1624</v>
      </c>
      <c r="C281" s="2">
        <v>45144</v>
      </c>
      <c r="D281" s="2">
        <v>45149</v>
      </c>
      <c r="E281" s="1" t="s">
        <v>46</v>
      </c>
      <c r="F281" s="1" t="s">
        <v>41</v>
      </c>
      <c r="G281" s="1" t="s">
        <v>24</v>
      </c>
      <c r="H281" s="1" t="s">
        <v>18</v>
      </c>
      <c r="I281" s="1" t="s">
        <v>49</v>
      </c>
      <c r="J281" s="1" t="s">
        <v>68</v>
      </c>
      <c r="K281" s="1" t="s">
        <v>33</v>
      </c>
      <c r="L281" s="1">
        <v>8</v>
      </c>
      <c r="M281" s="1">
        <v>3784.12</v>
      </c>
      <c r="N281" s="1">
        <v>15</v>
      </c>
      <c r="O281" s="1">
        <v>25732.02</v>
      </c>
      <c r="P281" s="1">
        <f t="shared" si="21"/>
        <v>30272.959999999999</v>
      </c>
      <c r="Q281" s="10">
        <f t="shared" si="22"/>
        <v>3859.8029999999999</v>
      </c>
      <c r="R281" s="11">
        <f t="shared" si="23"/>
        <v>26413.156999999999</v>
      </c>
      <c r="S281" s="1" t="str">
        <f t="shared" si="24"/>
        <v>High</v>
      </c>
      <c r="T281" s="1" t="str" cm="1">
        <f t="array" ref="T281">_xlfn.IFS(L281&gt;5,"High",L281=5,"mediam",L281&lt;5,"low")</f>
        <v>High</v>
      </c>
      <c r="U281" s="1" t="str">
        <f t="shared" si="25"/>
        <v>High</v>
      </c>
    </row>
    <row r="282" spans="1:21" x14ac:dyDescent="0.3">
      <c r="A282" s="5">
        <v>10281</v>
      </c>
      <c r="B282" s="1">
        <v>1951</v>
      </c>
      <c r="C282" s="2">
        <v>45231</v>
      </c>
      <c r="D282" s="2">
        <v>45240</v>
      </c>
      <c r="E282" s="1" t="s">
        <v>46</v>
      </c>
      <c r="F282" s="1" t="s">
        <v>54</v>
      </c>
      <c r="G282" s="1" t="s">
        <v>30</v>
      </c>
      <c r="H282" s="1" t="s">
        <v>44</v>
      </c>
      <c r="I282" s="1" t="s">
        <v>26</v>
      </c>
      <c r="J282" s="1" t="s">
        <v>69</v>
      </c>
      <c r="K282" s="1" t="s">
        <v>21</v>
      </c>
      <c r="L282" s="1">
        <v>5</v>
      </c>
      <c r="M282" s="1">
        <v>3098.44</v>
      </c>
      <c r="N282" s="1">
        <v>0</v>
      </c>
      <c r="O282" s="1">
        <v>15492.2</v>
      </c>
      <c r="P282" s="1">
        <f t="shared" si="21"/>
        <v>15492.2</v>
      </c>
      <c r="Q282" s="10">
        <f t="shared" si="22"/>
        <v>0</v>
      </c>
      <c r="R282" s="11">
        <f t="shared" si="23"/>
        <v>15492.2</v>
      </c>
      <c r="S282" s="1" t="str">
        <f t="shared" si="24"/>
        <v>High</v>
      </c>
      <c r="T282" s="1" t="str" cm="1">
        <f t="array" ref="T282">_xlfn.IFS(L282&gt;5,"High",L282=5,"mediam",L282&lt;5,"low")</f>
        <v>mediam</v>
      </c>
      <c r="U282" s="1" t="b">
        <f t="shared" si="25"/>
        <v>0</v>
      </c>
    </row>
    <row r="283" spans="1:21" x14ac:dyDescent="0.3">
      <c r="A283" s="5">
        <v>10282</v>
      </c>
      <c r="B283" s="1">
        <v>1080</v>
      </c>
      <c r="C283" s="2">
        <v>45271</v>
      </c>
      <c r="D283" s="2">
        <v>45272</v>
      </c>
      <c r="E283" s="1" t="s">
        <v>37</v>
      </c>
      <c r="F283" s="1" t="s">
        <v>41</v>
      </c>
      <c r="G283" s="1" t="s">
        <v>17</v>
      </c>
      <c r="H283" s="1" t="s">
        <v>42</v>
      </c>
      <c r="I283" s="1" t="s">
        <v>57</v>
      </c>
      <c r="J283" s="1" t="s">
        <v>67</v>
      </c>
      <c r="K283" s="1" t="s">
        <v>33</v>
      </c>
      <c r="L283" s="1">
        <v>3</v>
      </c>
      <c r="M283" s="1">
        <v>170.81</v>
      </c>
      <c r="N283" s="1">
        <v>20</v>
      </c>
      <c r="O283" s="1">
        <v>409.94</v>
      </c>
      <c r="P283" s="1">
        <f t="shared" si="21"/>
        <v>512.43000000000006</v>
      </c>
      <c r="Q283" s="10">
        <f t="shared" si="22"/>
        <v>81.988</v>
      </c>
      <c r="R283" s="11">
        <f t="shared" si="23"/>
        <v>430.44200000000006</v>
      </c>
      <c r="S283" s="1" t="str">
        <f t="shared" si="24"/>
        <v>Low</v>
      </c>
      <c r="T283" s="1" t="str" cm="1">
        <f t="array" ref="T283">_xlfn.IFS(L283&gt;5,"High",L283=5,"mediam",L283&lt;5,"low")</f>
        <v>low</v>
      </c>
      <c r="U283" s="1" t="b">
        <f t="shared" si="25"/>
        <v>0</v>
      </c>
    </row>
    <row r="284" spans="1:21" x14ac:dyDescent="0.3">
      <c r="A284" s="5">
        <v>10283</v>
      </c>
      <c r="B284" s="1">
        <v>1698</v>
      </c>
      <c r="C284" s="2">
        <v>45267</v>
      </c>
      <c r="D284" s="2">
        <v>45269</v>
      </c>
      <c r="E284" s="1" t="s">
        <v>16</v>
      </c>
      <c r="F284" s="1" t="s">
        <v>41</v>
      </c>
      <c r="G284" s="1" t="s">
        <v>30</v>
      </c>
      <c r="H284" s="1" t="s">
        <v>42</v>
      </c>
      <c r="I284" s="1" t="s">
        <v>49</v>
      </c>
      <c r="J284" s="1" t="s">
        <v>63</v>
      </c>
      <c r="K284" s="1" t="s">
        <v>33</v>
      </c>
      <c r="L284" s="1">
        <v>3</v>
      </c>
      <c r="M284" s="1">
        <v>155.18</v>
      </c>
      <c r="N284" s="1">
        <v>0</v>
      </c>
      <c r="O284" s="1">
        <v>465.54</v>
      </c>
      <c r="P284" s="1">
        <f t="shared" si="21"/>
        <v>465.54</v>
      </c>
      <c r="Q284" s="10">
        <f t="shared" si="22"/>
        <v>0</v>
      </c>
      <c r="R284" s="11">
        <f t="shared" si="23"/>
        <v>465.54</v>
      </c>
      <c r="S284" s="1" t="str">
        <f t="shared" si="24"/>
        <v>Low</v>
      </c>
      <c r="T284" s="1" t="str" cm="1">
        <f t="array" ref="T284">_xlfn.IFS(L284&gt;5,"High",L284=5,"mediam",L284&lt;5,"low")</f>
        <v>low</v>
      </c>
      <c r="U284" s="1" t="b">
        <f t="shared" si="25"/>
        <v>0</v>
      </c>
    </row>
    <row r="285" spans="1:21" x14ac:dyDescent="0.3">
      <c r="A285" s="5">
        <v>10284</v>
      </c>
      <c r="B285" s="1">
        <v>1112</v>
      </c>
      <c r="C285" s="2">
        <v>45087</v>
      </c>
      <c r="D285" s="2">
        <v>45093</v>
      </c>
      <c r="E285" s="1" t="s">
        <v>34</v>
      </c>
      <c r="F285" s="1" t="s">
        <v>41</v>
      </c>
      <c r="G285" s="1" t="s">
        <v>24</v>
      </c>
      <c r="H285" s="1" t="s">
        <v>35</v>
      </c>
      <c r="I285" s="1" t="s">
        <v>49</v>
      </c>
      <c r="J285" s="1" t="s">
        <v>51</v>
      </c>
      <c r="K285" s="1" t="s">
        <v>28</v>
      </c>
      <c r="L285" s="1">
        <v>6</v>
      </c>
      <c r="M285" s="1">
        <v>1605.69</v>
      </c>
      <c r="N285" s="1">
        <v>15</v>
      </c>
      <c r="O285" s="1">
        <v>8189.02</v>
      </c>
      <c r="P285" s="1">
        <f t="shared" si="21"/>
        <v>9634.14</v>
      </c>
      <c r="Q285" s="10">
        <f t="shared" si="22"/>
        <v>1228.3530000000001</v>
      </c>
      <c r="R285" s="11">
        <f t="shared" si="23"/>
        <v>8405.7870000000003</v>
      </c>
      <c r="S285" s="1" t="str">
        <f t="shared" si="24"/>
        <v>High</v>
      </c>
      <c r="T285" s="1" t="str" cm="1">
        <f t="array" ref="T285">_xlfn.IFS(L285&gt;5,"High",L285=5,"mediam",L285&lt;5,"low")</f>
        <v>High</v>
      </c>
      <c r="U285" s="1" t="str">
        <f t="shared" si="25"/>
        <v>High</v>
      </c>
    </row>
    <row r="286" spans="1:21" x14ac:dyDescent="0.3">
      <c r="A286" s="5">
        <v>10285</v>
      </c>
      <c r="B286" s="1">
        <v>1001</v>
      </c>
      <c r="C286" s="2">
        <v>45104</v>
      </c>
      <c r="D286" s="2">
        <v>45109</v>
      </c>
      <c r="E286" s="1" t="s">
        <v>15</v>
      </c>
      <c r="F286" s="1" t="s">
        <v>23</v>
      </c>
      <c r="G286" s="1" t="s">
        <v>17</v>
      </c>
      <c r="H286" s="1" t="s">
        <v>44</v>
      </c>
      <c r="I286" s="1" t="s">
        <v>52</v>
      </c>
      <c r="J286" s="1" t="s">
        <v>56</v>
      </c>
      <c r="K286" s="1" t="s">
        <v>21</v>
      </c>
      <c r="L286" s="1">
        <v>2</v>
      </c>
      <c r="M286" s="1">
        <v>702.07</v>
      </c>
      <c r="N286" s="1">
        <v>10</v>
      </c>
      <c r="O286" s="1">
        <v>1263.73</v>
      </c>
      <c r="P286" s="1">
        <f t="shared" si="21"/>
        <v>1404.14</v>
      </c>
      <c r="Q286" s="10">
        <f t="shared" si="22"/>
        <v>126.373</v>
      </c>
      <c r="R286" s="11">
        <f t="shared" si="23"/>
        <v>1277.7670000000001</v>
      </c>
      <c r="S286" s="1" t="str">
        <f t="shared" si="24"/>
        <v>Low</v>
      </c>
      <c r="T286" s="1" t="str" cm="1">
        <f t="array" ref="T286">_xlfn.IFS(L286&gt;5,"High",L286=5,"mediam",L286&lt;5,"low")</f>
        <v>low</v>
      </c>
      <c r="U286" s="1" t="b">
        <f t="shared" si="25"/>
        <v>0</v>
      </c>
    </row>
    <row r="287" spans="1:21" x14ac:dyDescent="0.3">
      <c r="A287" s="5">
        <v>10286</v>
      </c>
      <c r="B287" s="1">
        <v>1641</v>
      </c>
      <c r="C287" s="2">
        <v>45043</v>
      </c>
      <c r="D287" s="2">
        <v>45050</v>
      </c>
      <c r="E287" s="1" t="s">
        <v>15</v>
      </c>
      <c r="F287" s="1" t="s">
        <v>29</v>
      </c>
      <c r="G287" s="1" t="s">
        <v>17</v>
      </c>
      <c r="H287" s="1" t="s">
        <v>44</v>
      </c>
      <c r="I287" s="1" t="s">
        <v>57</v>
      </c>
      <c r="J287" s="1" t="s">
        <v>58</v>
      </c>
      <c r="K287" s="1" t="s">
        <v>28</v>
      </c>
      <c r="L287" s="1">
        <v>6</v>
      </c>
      <c r="M287" s="1">
        <v>220.79</v>
      </c>
      <c r="N287" s="1">
        <v>5</v>
      </c>
      <c r="O287" s="1">
        <v>1258.5</v>
      </c>
      <c r="P287" s="1">
        <f t="shared" si="21"/>
        <v>1324.74</v>
      </c>
      <c r="Q287" s="10">
        <f t="shared" si="22"/>
        <v>62.925000000000004</v>
      </c>
      <c r="R287" s="11">
        <f t="shared" si="23"/>
        <v>1261.8150000000001</v>
      </c>
      <c r="S287" s="1" t="str">
        <f t="shared" si="24"/>
        <v>High</v>
      </c>
      <c r="T287" s="1" t="str" cm="1">
        <f t="array" ref="T287">_xlfn.IFS(L287&gt;5,"High",L287=5,"mediam",L287&lt;5,"low")</f>
        <v>High</v>
      </c>
      <c r="U287" s="1" t="str">
        <f t="shared" si="25"/>
        <v>High</v>
      </c>
    </row>
    <row r="288" spans="1:21" x14ac:dyDescent="0.3">
      <c r="A288" s="5">
        <v>10287</v>
      </c>
      <c r="B288" s="1">
        <v>1219</v>
      </c>
      <c r="C288" s="2">
        <v>45122</v>
      </c>
      <c r="D288" s="2">
        <v>45125</v>
      </c>
      <c r="E288" s="1" t="s">
        <v>22</v>
      </c>
      <c r="F288" s="1" t="s">
        <v>38</v>
      </c>
      <c r="G288" s="1" t="s">
        <v>24</v>
      </c>
      <c r="H288" s="1" t="s">
        <v>18</v>
      </c>
      <c r="I288" s="1" t="s">
        <v>57</v>
      </c>
      <c r="J288" s="1" t="s">
        <v>67</v>
      </c>
      <c r="K288" s="1" t="s">
        <v>21</v>
      </c>
      <c r="L288" s="1">
        <v>6</v>
      </c>
      <c r="M288" s="1">
        <v>1936.66</v>
      </c>
      <c r="N288" s="1">
        <v>0</v>
      </c>
      <c r="O288" s="1">
        <v>11619.96</v>
      </c>
      <c r="P288" s="1">
        <f t="shared" si="21"/>
        <v>11619.960000000001</v>
      </c>
      <c r="Q288" s="10">
        <f t="shared" si="22"/>
        <v>0</v>
      </c>
      <c r="R288" s="11">
        <f t="shared" si="23"/>
        <v>11619.960000000001</v>
      </c>
      <c r="S288" s="1" t="str">
        <f t="shared" si="24"/>
        <v>High</v>
      </c>
      <c r="T288" s="1" t="str" cm="1">
        <f t="array" ref="T288">_xlfn.IFS(L288&gt;5,"High",L288=5,"mediam",L288&lt;5,"low")</f>
        <v>High</v>
      </c>
      <c r="U288" s="1" t="str">
        <f t="shared" si="25"/>
        <v>High</v>
      </c>
    </row>
    <row r="289" spans="1:21" x14ac:dyDescent="0.3">
      <c r="A289" s="5">
        <v>10288</v>
      </c>
      <c r="B289" s="1">
        <v>1565</v>
      </c>
      <c r="C289" s="2">
        <v>45253</v>
      </c>
      <c r="D289" s="2">
        <v>45256</v>
      </c>
      <c r="E289" s="1" t="s">
        <v>46</v>
      </c>
      <c r="F289" s="1" t="s">
        <v>38</v>
      </c>
      <c r="G289" s="1" t="s">
        <v>17</v>
      </c>
      <c r="H289" s="1" t="s">
        <v>44</v>
      </c>
      <c r="I289" s="1" t="s">
        <v>26</v>
      </c>
      <c r="J289" s="1" t="s">
        <v>36</v>
      </c>
      <c r="K289" s="1" t="s">
        <v>47</v>
      </c>
      <c r="L289" s="1">
        <v>8</v>
      </c>
      <c r="M289" s="1">
        <v>3780.79</v>
      </c>
      <c r="N289" s="1">
        <v>5</v>
      </c>
      <c r="O289" s="1">
        <v>28734</v>
      </c>
      <c r="P289" s="1">
        <f t="shared" si="21"/>
        <v>30246.32</v>
      </c>
      <c r="Q289" s="10">
        <f t="shared" si="22"/>
        <v>1436.7</v>
      </c>
      <c r="R289" s="11">
        <f t="shared" si="23"/>
        <v>28809.62</v>
      </c>
      <c r="S289" s="1" t="str">
        <f t="shared" si="24"/>
        <v>High</v>
      </c>
      <c r="T289" s="1" t="str" cm="1">
        <f t="array" ref="T289">_xlfn.IFS(L289&gt;5,"High",L289=5,"mediam",L289&lt;5,"low")</f>
        <v>High</v>
      </c>
      <c r="U289" s="1" t="str">
        <f t="shared" si="25"/>
        <v>High</v>
      </c>
    </row>
    <row r="290" spans="1:21" x14ac:dyDescent="0.3">
      <c r="A290" s="5">
        <v>10289</v>
      </c>
      <c r="B290" s="1">
        <v>1854</v>
      </c>
      <c r="C290" s="2">
        <v>45012</v>
      </c>
      <c r="D290" s="2">
        <v>45014</v>
      </c>
      <c r="E290" s="1" t="s">
        <v>37</v>
      </c>
      <c r="F290" s="1" t="s">
        <v>54</v>
      </c>
      <c r="G290" s="1" t="s">
        <v>17</v>
      </c>
      <c r="H290" s="1" t="s">
        <v>25</v>
      </c>
      <c r="I290" s="1" t="s">
        <v>57</v>
      </c>
      <c r="J290" s="1" t="s">
        <v>58</v>
      </c>
      <c r="K290" s="1" t="s">
        <v>21</v>
      </c>
      <c r="L290" s="1">
        <v>7</v>
      </c>
      <c r="M290" s="1">
        <v>1396.71</v>
      </c>
      <c r="N290" s="1">
        <v>20</v>
      </c>
      <c r="O290" s="1">
        <v>7821.58</v>
      </c>
      <c r="P290" s="1">
        <f t="shared" si="21"/>
        <v>9776.9700000000012</v>
      </c>
      <c r="Q290" s="10">
        <f t="shared" si="22"/>
        <v>1564.316</v>
      </c>
      <c r="R290" s="11">
        <f t="shared" si="23"/>
        <v>8212.6540000000005</v>
      </c>
      <c r="S290" s="1" t="str">
        <f t="shared" si="24"/>
        <v>High</v>
      </c>
      <c r="T290" s="1" t="str" cm="1">
        <f t="array" ref="T290">_xlfn.IFS(L290&gt;5,"High",L290=5,"mediam",L290&lt;5,"low")</f>
        <v>High</v>
      </c>
      <c r="U290" s="1" t="str">
        <f t="shared" si="25"/>
        <v>High</v>
      </c>
    </row>
    <row r="291" spans="1:21" x14ac:dyDescent="0.3">
      <c r="A291" s="5">
        <v>10290</v>
      </c>
      <c r="B291" s="1">
        <v>1996</v>
      </c>
      <c r="C291" s="2">
        <v>45215</v>
      </c>
      <c r="D291" s="2">
        <v>45218</v>
      </c>
      <c r="E291" s="1" t="s">
        <v>37</v>
      </c>
      <c r="F291" s="1" t="s">
        <v>41</v>
      </c>
      <c r="G291" s="1" t="s">
        <v>30</v>
      </c>
      <c r="H291" s="1" t="s">
        <v>18</v>
      </c>
      <c r="I291" s="1" t="s">
        <v>19</v>
      </c>
      <c r="J291" s="1" t="s">
        <v>20</v>
      </c>
      <c r="K291" s="1" t="s">
        <v>28</v>
      </c>
      <c r="L291" s="1">
        <v>8</v>
      </c>
      <c r="M291" s="1">
        <v>2695.39</v>
      </c>
      <c r="N291" s="1">
        <v>10</v>
      </c>
      <c r="O291" s="1">
        <v>19406.810000000001</v>
      </c>
      <c r="P291" s="1">
        <f t="shared" si="21"/>
        <v>21563.119999999999</v>
      </c>
      <c r="Q291" s="10">
        <f t="shared" si="22"/>
        <v>1940.6810000000003</v>
      </c>
      <c r="R291" s="11">
        <f t="shared" si="23"/>
        <v>19622.438999999998</v>
      </c>
      <c r="S291" s="1" t="str">
        <f t="shared" si="24"/>
        <v>High</v>
      </c>
      <c r="T291" s="1" t="str" cm="1">
        <f t="array" ref="T291">_xlfn.IFS(L291&gt;5,"High",L291=5,"mediam",L291&lt;5,"low")</f>
        <v>High</v>
      </c>
      <c r="U291" s="1" t="str">
        <f t="shared" si="25"/>
        <v>High</v>
      </c>
    </row>
    <row r="292" spans="1:21" x14ac:dyDescent="0.3">
      <c r="A292" s="5">
        <v>10291</v>
      </c>
      <c r="B292" s="1">
        <v>1735</v>
      </c>
      <c r="C292" s="2">
        <v>45007</v>
      </c>
      <c r="D292" s="2">
        <v>45008</v>
      </c>
      <c r="E292" s="1" t="s">
        <v>15</v>
      </c>
      <c r="F292" s="1" t="s">
        <v>54</v>
      </c>
      <c r="G292" s="1" t="s">
        <v>24</v>
      </c>
      <c r="H292" s="1" t="s">
        <v>25</v>
      </c>
      <c r="I292" s="1" t="s">
        <v>52</v>
      </c>
      <c r="J292" s="1" t="s">
        <v>53</v>
      </c>
      <c r="K292" s="1" t="s">
        <v>33</v>
      </c>
      <c r="L292" s="1">
        <v>9</v>
      </c>
      <c r="M292" s="1">
        <v>2661.11</v>
      </c>
      <c r="N292" s="1">
        <v>10</v>
      </c>
      <c r="O292" s="1">
        <v>21554.99</v>
      </c>
      <c r="P292" s="1">
        <f t="shared" si="21"/>
        <v>23949.99</v>
      </c>
      <c r="Q292" s="10">
        <f t="shared" si="22"/>
        <v>2155.4990000000003</v>
      </c>
      <c r="R292" s="11">
        <f t="shared" si="23"/>
        <v>21794.491000000002</v>
      </c>
      <c r="S292" s="1" t="str">
        <f t="shared" si="24"/>
        <v>High</v>
      </c>
      <c r="T292" s="1" t="str" cm="1">
        <f t="array" ref="T292">_xlfn.IFS(L292&gt;5,"High",L292=5,"mediam",L292&lt;5,"low")</f>
        <v>High</v>
      </c>
      <c r="U292" s="1" t="str">
        <f t="shared" si="25"/>
        <v>High</v>
      </c>
    </row>
    <row r="293" spans="1:21" x14ac:dyDescent="0.3">
      <c r="A293" s="5">
        <v>10292</v>
      </c>
      <c r="B293" s="1">
        <v>1224</v>
      </c>
      <c r="C293" s="2">
        <v>45078</v>
      </c>
      <c r="D293" s="2">
        <v>45083</v>
      </c>
      <c r="E293" s="1" t="s">
        <v>22</v>
      </c>
      <c r="F293" s="1" t="s">
        <v>23</v>
      </c>
      <c r="G293" s="1" t="s">
        <v>24</v>
      </c>
      <c r="H293" s="1" t="s">
        <v>35</v>
      </c>
      <c r="I293" s="1" t="s">
        <v>57</v>
      </c>
      <c r="J293" s="1" t="s">
        <v>67</v>
      </c>
      <c r="K293" s="1" t="s">
        <v>21</v>
      </c>
      <c r="L293" s="1">
        <v>6</v>
      </c>
      <c r="M293" s="1">
        <v>1116.6600000000001</v>
      </c>
      <c r="N293" s="1">
        <v>0</v>
      </c>
      <c r="O293" s="1">
        <v>6699.96</v>
      </c>
      <c r="P293" s="1">
        <f t="shared" si="21"/>
        <v>6699.9600000000009</v>
      </c>
      <c r="Q293" s="10">
        <f t="shared" si="22"/>
        <v>0</v>
      </c>
      <c r="R293" s="11">
        <f t="shared" si="23"/>
        <v>6699.9600000000009</v>
      </c>
      <c r="S293" s="1" t="str">
        <f t="shared" si="24"/>
        <v>High</v>
      </c>
      <c r="T293" s="1" t="str" cm="1">
        <f t="array" ref="T293">_xlfn.IFS(L293&gt;5,"High",L293=5,"mediam",L293&lt;5,"low")</f>
        <v>High</v>
      </c>
      <c r="U293" s="1" t="str">
        <f t="shared" si="25"/>
        <v>High</v>
      </c>
    </row>
    <row r="294" spans="1:21" x14ac:dyDescent="0.3">
      <c r="A294" s="5">
        <v>10293</v>
      </c>
      <c r="B294" s="1">
        <v>1384</v>
      </c>
      <c r="C294" s="2">
        <v>44987</v>
      </c>
      <c r="D294" s="2">
        <v>44992</v>
      </c>
      <c r="E294" s="1" t="s">
        <v>22</v>
      </c>
      <c r="F294" s="1" t="s">
        <v>23</v>
      </c>
      <c r="G294" s="1" t="s">
        <v>24</v>
      </c>
      <c r="H294" s="1" t="s">
        <v>42</v>
      </c>
      <c r="I294" s="1" t="s">
        <v>26</v>
      </c>
      <c r="J294" s="1" t="s">
        <v>27</v>
      </c>
      <c r="K294" s="1" t="s">
        <v>21</v>
      </c>
      <c r="L294" s="1">
        <v>3</v>
      </c>
      <c r="M294" s="1">
        <v>2654.14</v>
      </c>
      <c r="N294" s="1">
        <v>10</v>
      </c>
      <c r="O294" s="1">
        <v>7166.18</v>
      </c>
      <c r="P294" s="1">
        <f t="shared" si="21"/>
        <v>7962.42</v>
      </c>
      <c r="Q294" s="10">
        <f t="shared" si="22"/>
        <v>716.61800000000005</v>
      </c>
      <c r="R294" s="11">
        <f t="shared" si="23"/>
        <v>7245.8019999999997</v>
      </c>
      <c r="S294" s="1" t="str">
        <f t="shared" si="24"/>
        <v>Low</v>
      </c>
      <c r="T294" s="1" t="str" cm="1">
        <f t="array" ref="T294">_xlfn.IFS(L294&gt;5,"High",L294=5,"mediam",L294&lt;5,"low")</f>
        <v>low</v>
      </c>
      <c r="U294" s="1" t="b">
        <f t="shared" si="25"/>
        <v>0</v>
      </c>
    </row>
    <row r="295" spans="1:21" x14ac:dyDescent="0.3">
      <c r="A295" s="5">
        <v>10294</v>
      </c>
      <c r="B295" s="1">
        <v>1402</v>
      </c>
      <c r="C295" s="2">
        <v>44987</v>
      </c>
      <c r="D295" s="2">
        <v>44994</v>
      </c>
      <c r="E295" s="1" t="s">
        <v>22</v>
      </c>
      <c r="F295" s="1" t="s">
        <v>16</v>
      </c>
      <c r="G295" s="1" t="s">
        <v>24</v>
      </c>
      <c r="H295" s="1" t="s">
        <v>35</v>
      </c>
      <c r="I295" s="1" t="s">
        <v>19</v>
      </c>
      <c r="J295" s="1" t="s">
        <v>43</v>
      </c>
      <c r="K295" s="1" t="s">
        <v>45</v>
      </c>
      <c r="L295" s="1">
        <v>3</v>
      </c>
      <c r="M295" s="1">
        <v>967.49</v>
      </c>
      <c r="N295" s="1">
        <v>0</v>
      </c>
      <c r="O295" s="1">
        <v>2902.47</v>
      </c>
      <c r="P295" s="1">
        <f t="shared" si="21"/>
        <v>2902.4700000000003</v>
      </c>
      <c r="Q295" s="10">
        <f t="shared" si="22"/>
        <v>0</v>
      </c>
      <c r="R295" s="11">
        <f t="shared" si="23"/>
        <v>2902.4700000000003</v>
      </c>
      <c r="S295" s="1" t="str">
        <f t="shared" si="24"/>
        <v>Low</v>
      </c>
      <c r="T295" s="1" t="str" cm="1">
        <f t="array" ref="T295">_xlfn.IFS(L295&gt;5,"High",L295=5,"mediam",L295&lt;5,"low")</f>
        <v>low</v>
      </c>
      <c r="U295" s="1" t="b">
        <f t="shared" si="25"/>
        <v>0</v>
      </c>
    </row>
    <row r="296" spans="1:21" x14ac:dyDescent="0.3">
      <c r="A296" s="5">
        <v>10295</v>
      </c>
      <c r="B296" s="1">
        <v>1637</v>
      </c>
      <c r="C296" s="2">
        <v>45280</v>
      </c>
      <c r="D296" s="2">
        <v>45284</v>
      </c>
      <c r="E296" s="1" t="s">
        <v>34</v>
      </c>
      <c r="F296" s="1" t="s">
        <v>23</v>
      </c>
      <c r="G296" s="1" t="s">
        <v>24</v>
      </c>
      <c r="H296" s="1" t="s">
        <v>42</v>
      </c>
      <c r="I296" s="1" t="s">
        <v>31</v>
      </c>
      <c r="J296" s="1" t="s">
        <v>48</v>
      </c>
      <c r="K296" s="1" t="s">
        <v>33</v>
      </c>
      <c r="L296" s="1">
        <v>1</v>
      </c>
      <c r="M296" s="1">
        <v>619.73</v>
      </c>
      <c r="N296" s="1">
        <v>0</v>
      </c>
      <c r="O296" s="1">
        <v>619.73</v>
      </c>
      <c r="P296" s="1">
        <f t="shared" si="21"/>
        <v>619.73</v>
      </c>
      <c r="Q296" s="10">
        <f t="shared" si="22"/>
        <v>0</v>
      </c>
      <c r="R296" s="11">
        <f t="shared" si="23"/>
        <v>619.73</v>
      </c>
      <c r="S296" s="1" t="str">
        <f t="shared" si="24"/>
        <v>Low</v>
      </c>
      <c r="T296" s="1" t="str" cm="1">
        <f t="array" ref="T296">_xlfn.IFS(L296&gt;5,"High",L296=5,"mediam",L296&lt;5,"low")</f>
        <v>low</v>
      </c>
      <c r="U296" s="1" t="b">
        <f t="shared" si="25"/>
        <v>0</v>
      </c>
    </row>
    <row r="297" spans="1:21" x14ac:dyDescent="0.3">
      <c r="A297" s="5">
        <v>10296</v>
      </c>
      <c r="B297" s="1">
        <v>1129</v>
      </c>
      <c r="C297" s="2">
        <v>44954</v>
      </c>
      <c r="D297" s="2">
        <v>44957</v>
      </c>
      <c r="E297" s="1" t="s">
        <v>16</v>
      </c>
      <c r="F297" s="1" t="s">
        <v>16</v>
      </c>
      <c r="G297" s="1" t="s">
        <v>17</v>
      </c>
      <c r="H297" s="1" t="s">
        <v>35</v>
      </c>
      <c r="I297" s="1" t="s">
        <v>31</v>
      </c>
      <c r="J297" s="1" t="s">
        <v>48</v>
      </c>
      <c r="K297" s="1" t="s">
        <v>47</v>
      </c>
      <c r="L297" s="1">
        <v>5</v>
      </c>
      <c r="M297" s="1">
        <v>2850.33</v>
      </c>
      <c r="N297" s="1">
        <v>5</v>
      </c>
      <c r="O297" s="1">
        <v>13539.07</v>
      </c>
      <c r="P297" s="1">
        <f t="shared" si="21"/>
        <v>14251.65</v>
      </c>
      <c r="Q297" s="10">
        <f t="shared" si="22"/>
        <v>676.95350000000008</v>
      </c>
      <c r="R297" s="11">
        <f t="shared" si="23"/>
        <v>13574.6965</v>
      </c>
      <c r="S297" s="1" t="str">
        <f t="shared" si="24"/>
        <v>High</v>
      </c>
      <c r="T297" s="1" t="str" cm="1">
        <f t="array" ref="T297">_xlfn.IFS(L297&gt;5,"High",L297=5,"mediam",L297&lt;5,"low")</f>
        <v>mediam</v>
      </c>
      <c r="U297" s="1" t="b">
        <f t="shared" si="25"/>
        <v>0</v>
      </c>
    </row>
    <row r="298" spans="1:21" x14ac:dyDescent="0.3">
      <c r="A298" s="5">
        <v>10297</v>
      </c>
      <c r="B298" s="1">
        <v>1052</v>
      </c>
      <c r="C298" s="2">
        <v>44969</v>
      </c>
      <c r="D298" s="2">
        <v>44970</v>
      </c>
      <c r="E298" s="1" t="s">
        <v>34</v>
      </c>
      <c r="F298" s="1" t="s">
        <v>29</v>
      </c>
      <c r="G298" s="1" t="s">
        <v>30</v>
      </c>
      <c r="H298" s="1" t="s">
        <v>44</v>
      </c>
      <c r="I298" s="1" t="s">
        <v>19</v>
      </c>
      <c r="J298" s="1" t="s">
        <v>20</v>
      </c>
      <c r="K298" s="1" t="s">
        <v>28</v>
      </c>
      <c r="L298" s="1">
        <v>4</v>
      </c>
      <c r="M298" s="1">
        <v>586.75</v>
      </c>
      <c r="N298" s="1">
        <v>10</v>
      </c>
      <c r="O298" s="1">
        <v>2112.3000000000002</v>
      </c>
      <c r="P298" s="1">
        <f t="shared" si="21"/>
        <v>2347</v>
      </c>
      <c r="Q298" s="10">
        <f t="shared" si="22"/>
        <v>211.23000000000002</v>
      </c>
      <c r="R298" s="11">
        <f t="shared" si="23"/>
        <v>2135.77</v>
      </c>
      <c r="S298" s="1" t="str">
        <f t="shared" si="24"/>
        <v>Low</v>
      </c>
      <c r="T298" s="1" t="str" cm="1">
        <f t="array" ref="T298">_xlfn.IFS(L298&gt;5,"High",L298=5,"mediam",L298&lt;5,"low")</f>
        <v>low</v>
      </c>
      <c r="U298" s="1" t="b">
        <f t="shared" si="25"/>
        <v>0</v>
      </c>
    </row>
    <row r="299" spans="1:21" x14ac:dyDescent="0.3">
      <c r="A299" s="5">
        <v>10298</v>
      </c>
      <c r="B299" s="1">
        <v>1683</v>
      </c>
      <c r="C299" s="2">
        <v>45095</v>
      </c>
      <c r="D299" s="2">
        <v>45103</v>
      </c>
      <c r="E299" s="1" t="s">
        <v>40</v>
      </c>
      <c r="F299" s="1" t="s">
        <v>54</v>
      </c>
      <c r="G299" s="1" t="s">
        <v>24</v>
      </c>
      <c r="H299" s="1" t="s">
        <v>25</v>
      </c>
      <c r="I299" s="1" t="s">
        <v>26</v>
      </c>
      <c r="J299" s="1" t="s">
        <v>36</v>
      </c>
      <c r="K299" s="1" t="s">
        <v>47</v>
      </c>
      <c r="L299" s="1">
        <v>9</v>
      </c>
      <c r="M299" s="1">
        <v>3988.1</v>
      </c>
      <c r="N299" s="1">
        <v>0</v>
      </c>
      <c r="O299" s="1">
        <v>35892.9</v>
      </c>
      <c r="P299" s="1">
        <f t="shared" si="21"/>
        <v>35892.9</v>
      </c>
      <c r="Q299" s="10">
        <f t="shared" si="22"/>
        <v>0</v>
      </c>
      <c r="R299" s="11">
        <f t="shared" si="23"/>
        <v>35892.9</v>
      </c>
      <c r="S299" s="1" t="str">
        <f t="shared" si="24"/>
        <v>High</v>
      </c>
      <c r="T299" s="1" t="str" cm="1">
        <f t="array" ref="T299">_xlfn.IFS(L299&gt;5,"High",L299=5,"mediam",L299&lt;5,"low")</f>
        <v>High</v>
      </c>
      <c r="U299" s="1" t="str">
        <f t="shared" si="25"/>
        <v>High</v>
      </c>
    </row>
    <row r="300" spans="1:21" x14ac:dyDescent="0.3">
      <c r="A300" s="5">
        <v>10299</v>
      </c>
      <c r="B300" s="1">
        <v>1729</v>
      </c>
      <c r="C300" s="2">
        <v>45012</v>
      </c>
      <c r="D300" s="2">
        <v>45015</v>
      </c>
      <c r="E300" s="1" t="s">
        <v>40</v>
      </c>
      <c r="F300" s="1" t="s">
        <v>29</v>
      </c>
      <c r="G300" s="1" t="s">
        <v>30</v>
      </c>
      <c r="H300" s="1" t="s">
        <v>42</v>
      </c>
      <c r="I300" s="1" t="s">
        <v>19</v>
      </c>
      <c r="J300" s="1" t="s">
        <v>43</v>
      </c>
      <c r="K300" s="1" t="s">
        <v>33</v>
      </c>
      <c r="L300" s="1">
        <v>9</v>
      </c>
      <c r="M300" s="1">
        <v>856.29</v>
      </c>
      <c r="N300" s="1">
        <v>5</v>
      </c>
      <c r="O300" s="1">
        <v>7321.28</v>
      </c>
      <c r="P300" s="1">
        <f t="shared" si="21"/>
        <v>7706.61</v>
      </c>
      <c r="Q300" s="10">
        <f t="shared" si="22"/>
        <v>366.06400000000002</v>
      </c>
      <c r="R300" s="11">
        <f t="shared" si="23"/>
        <v>7340.5459999999994</v>
      </c>
      <c r="S300" s="1" t="str">
        <f t="shared" si="24"/>
        <v>High</v>
      </c>
      <c r="T300" s="1" t="str" cm="1">
        <f t="array" ref="T300">_xlfn.IFS(L300&gt;5,"High",L300=5,"mediam",L300&lt;5,"low")</f>
        <v>High</v>
      </c>
      <c r="U300" s="1" t="str">
        <f t="shared" si="25"/>
        <v>High</v>
      </c>
    </row>
    <row r="301" spans="1:21" x14ac:dyDescent="0.3">
      <c r="A301" s="5">
        <v>10300</v>
      </c>
      <c r="B301" s="1">
        <v>1671</v>
      </c>
      <c r="C301" s="2">
        <v>45103</v>
      </c>
      <c r="D301" s="2">
        <v>45105</v>
      </c>
      <c r="E301" s="1" t="s">
        <v>16</v>
      </c>
      <c r="F301" s="1" t="s">
        <v>23</v>
      </c>
      <c r="G301" s="1" t="s">
        <v>30</v>
      </c>
      <c r="H301" s="1" t="s">
        <v>18</v>
      </c>
      <c r="I301" s="1" t="s">
        <v>52</v>
      </c>
      <c r="J301" s="1" t="s">
        <v>53</v>
      </c>
      <c r="K301" s="1" t="s">
        <v>21</v>
      </c>
      <c r="L301" s="1">
        <v>5</v>
      </c>
      <c r="M301" s="1">
        <v>2437.4499999999998</v>
      </c>
      <c r="N301" s="1">
        <v>15</v>
      </c>
      <c r="O301" s="1">
        <v>10359.16</v>
      </c>
      <c r="P301" s="1">
        <f t="shared" si="21"/>
        <v>12187.25</v>
      </c>
      <c r="Q301" s="10">
        <f t="shared" si="22"/>
        <v>1553.874</v>
      </c>
      <c r="R301" s="11">
        <f t="shared" si="23"/>
        <v>10633.376</v>
      </c>
      <c r="S301" s="1" t="str">
        <f t="shared" si="24"/>
        <v>High</v>
      </c>
      <c r="T301" s="1" t="str" cm="1">
        <f t="array" ref="T301">_xlfn.IFS(L301&gt;5,"High",L301=5,"mediam",L301&lt;5,"low")</f>
        <v>mediam</v>
      </c>
      <c r="U301" s="1" t="b">
        <f t="shared" si="25"/>
        <v>0</v>
      </c>
    </row>
    <row r="302" spans="1:21" x14ac:dyDescent="0.3">
      <c r="A302" s="5">
        <v>10301</v>
      </c>
      <c r="B302" s="1">
        <v>1709</v>
      </c>
      <c r="C302" s="2">
        <v>44943</v>
      </c>
      <c r="D302" s="2">
        <v>44947</v>
      </c>
      <c r="E302" s="1" t="s">
        <v>15</v>
      </c>
      <c r="F302" s="1" t="s">
        <v>29</v>
      </c>
      <c r="G302" s="1" t="s">
        <v>17</v>
      </c>
      <c r="H302" s="1" t="s">
        <v>25</v>
      </c>
      <c r="I302" s="1" t="s">
        <v>52</v>
      </c>
      <c r="J302" s="1" t="s">
        <v>53</v>
      </c>
      <c r="K302" s="1" t="s">
        <v>21</v>
      </c>
      <c r="L302" s="1">
        <v>4</v>
      </c>
      <c r="M302" s="1">
        <v>1733.79</v>
      </c>
      <c r="N302" s="1">
        <v>5</v>
      </c>
      <c r="O302" s="1">
        <v>6588.4</v>
      </c>
      <c r="P302" s="1">
        <f t="shared" si="21"/>
        <v>6935.16</v>
      </c>
      <c r="Q302" s="10">
        <f t="shared" si="22"/>
        <v>329.42</v>
      </c>
      <c r="R302" s="11">
        <f t="shared" si="23"/>
        <v>6605.74</v>
      </c>
      <c r="S302" s="1" t="str">
        <f t="shared" si="24"/>
        <v>Low</v>
      </c>
      <c r="T302" s="1" t="str" cm="1">
        <f t="array" ref="T302">_xlfn.IFS(L302&gt;5,"High",L302=5,"mediam",L302&lt;5,"low")</f>
        <v>low</v>
      </c>
      <c r="U302" s="1" t="b">
        <f t="shared" si="25"/>
        <v>0</v>
      </c>
    </row>
    <row r="303" spans="1:21" x14ac:dyDescent="0.3">
      <c r="A303" s="5">
        <v>10302</v>
      </c>
      <c r="B303" s="1">
        <v>1415</v>
      </c>
      <c r="C303" s="2">
        <v>45024</v>
      </c>
      <c r="D303" s="2">
        <v>45027</v>
      </c>
      <c r="E303" s="1" t="s">
        <v>16</v>
      </c>
      <c r="F303" s="1" t="s">
        <v>29</v>
      </c>
      <c r="G303" s="1" t="s">
        <v>24</v>
      </c>
      <c r="H303" s="1" t="s">
        <v>18</v>
      </c>
      <c r="I303" s="1" t="s">
        <v>31</v>
      </c>
      <c r="J303" s="1" t="s">
        <v>65</v>
      </c>
      <c r="K303" s="1" t="s">
        <v>33</v>
      </c>
      <c r="L303" s="1">
        <v>7</v>
      </c>
      <c r="M303" s="1">
        <v>636.59</v>
      </c>
      <c r="N303" s="1">
        <v>5</v>
      </c>
      <c r="O303" s="1">
        <v>4233.32</v>
      </c>
      <c r="P303" s="1">
        <f t="shared" si="21"/>
        <v>4456.13</v>
      </c>
      <c r="Q303" s="10">
        <f t="shared" si="22"/>
        <v>211.666</v>
      </c>
      <c r="R303" s="11">
        <f t="shared" si="23"/>
        <v>4244.4639999999999</v>
      </c>
      <c r="S303" s="1" t="str">
        <f t="shared" si="24"/>
        <v>High</v>
      </c>
      <c r="T303" s="1" t="str" cm="1">
        <f t="array" ref="T303">_xlfn.IFS(L303&gt;5,"High",L303=5,"mediam",L303&lt;5,"low")</f>
        <v>High</v>
      </c>
      <c r="U303" s="1" t="str">
        <f t="shared" si="25"/>
        <v>High</v>
      </c>
    </row>
    <row r="304" spans="1:21" x14ac:dyDescent="0.3">
      <c r="A304" s="5">
        <v>10303</v>
      </c>
      <c r="B304" s="1">
        <v>1246</v>
      </c>
      <c r="C304" s="2">
        <v>45124</v>
      </c>
      <c r="D304" s="2">
        <v>45125</v>
      </c>
      <c r="E304" s="1" t="s">
        <v>37</v>
      </c>
      <c r="F304" s="1" t="s">
        <v>29</v>
      </c>
      <c r="G304" s="1" t="s">
        <v>17</v>
      </c>
      <c r="H304" s="1" t="s">
        <v>25</v>
      </c>
      <c r="I304" s="1" t="s">
        <v>57</v>
      </c>
      <c r="J304" s="1" t="s">
        <v>67</v>
      </c>
      <c r="K304" s="1" t="s">
        <v>21</v>
      </c>
      <c r="L304" s="1">
        <v>6</v>
      </c>
      <c r="M304" s="1">
        <v>257.2</v>
      </c>
      <c r="N304" s="1">
        <v>0</v>
      </c>
      <c r="O304" s="1">
        <v>1543.2</v>
      </c>
      <c r="P304" s="1">
        <f t="shared" si="21"/>
        <v>1543.1999999999998</v>
      </c>
      <c r="Q304" s="10">
        <f t="shared" si="22"/>
        <v>0</v>
      </c>
      <c r="R304" s="11">
        <f t="shared" si="23"/>
        <v>1543.1999999999998</v>
      </c>
      <c r="S304" s="1" t="str">
        <f t="shared" si="24"/>
        <v>High</v>
      </c>
      <c r="T304" s="1" t="str" cm="1">
        <f t="array" ref="T304">_xlfn.IFS(L304&gt;5,"High",L304=5,"mediam",L304&lt;5,"low")</f>
        <v>High</v>
      </c>
      <c r="U304" s="1" t="str">
        <f t="shared" si="25"/>
        <v>High</v>
      </c>
    </row>
    <row r="305" spans="1:21" x14ac:dyDescent="0.3">
      <c r="A305" s="5">
        <v>10304</v>
      </c>
      <c r="B305" s="1">
        <v>1835</v>
      </c>
      <c r="C305" s="2">
        <v>45024</v>
      </c>
      <c r="D305" s="2">
        <v>45027</v>
      </c>
      <c r="E305" s="1" t="s">
        <v>40</v>
      </c>
      <c r="F305" s="1" t="s">
        <v>23</v>
      </c>
      <c r="G305" s="1" t="s">
        <v>24</v>
      </c>
      <c r="H305" s="1" t="s">
        <v>25</v>
      </c>
      <c r="I305" s="1" t="s">
        <v>26</v>
      </c>
      <c r="J305" s="1" t="s">
        <v>61</v>
      </c>
      <c r="K305" s="1" t="s">
        <v>21</v>
      </c>
      <c r="L305" s="1">
        <v>4</v>
      </c>
      <c r="M305" s="1">
        <v>2547.52</v>
      </c>
      <c r="N305" s="1">
        <v>20</v>
      </c>
      <c r="O305" s="1">
        <v>8152.06</v>
      </c>
      <c r="P305" s="1">
        <f t="shared" si="21"/>
        <v>10190.08</v>
      </c>
      <c r="Q305" s="10">
        <f t="shared" si="22"/>
        <v>1630.4120000000003</v>
      </c>
      <c r="R305" s="11">
        <f t="shared" si="23"/>
        <v>8559.6679999999997</v>
      </c>
      <c r="S305" s="1" t="str">
        <f t="shared" si="24"/>
        <v>Low</v>
      </c>
      <c r="T305" s="1" t="str" cm="1">
        <f t="array" ref="T305">_xlfn.IFS(L305&gt;5,"High",L305=5,"mediam",L305&lt;5,"low")</f>
        <v>low</v>
      </c>
      <c r="U305" s="1" t="b">
        <f t="shared" si="25"/>
        <v>0</v>
      </c>
    </row>
    <row r="306" spans="1:21" x14ac:dyDescent="0.3">
      <c r="A306" s="5">
        <v>10305</v>
      </c>
      <c r="B306" s="1">
        <v>1438</v>
      </c>
      <c r="C306" s="2">
        <v>44991</v>
      </c>
      <c r="D306" s="2">
        <v>44993</v>
      </c>
      <c r="E306" s="1" t="s">
        <v>46</v>
      </c>
      <c r="F306" s="1" t="s">
        <v>41</v>
      </c>
      <c r="G306" s="1" t="s">
        <v>17</v>
      </c>
      <c r="H306" s="1" t="s">
        <v>35</v>
      </c>
      <c r="I306" s="1" t="s">
        <v>31</v>
      </c>
      <c r="J306" s="1" t="s">
        <v>48</v>
      </c>
      <c r="K306" s="1" t="s">
        <v>21</v>
      </c>
      <c r="L306" s="1">
        <v>2</v>
      </c>
      <c r="M306" s="1">
        <v>3256.02</v>
      </c>
      <c r="N306" s="1">
        <v>20</v>
      </c>
      <c r="O306" s="1">
        <v>5209.63</v>
      </c>
      <c r="P306" s="1">
        <f t="shared" si="21"/>
        <v>6512.04</v>
      </c>
      <c r="Q306" s="10">
        <f t="shared" si="22"/>
        <v>1041.9260000000002</v>
      </c>
      <c r="R306" s="11">
        <f t="shared" si="23"/>
        <v>5470.1139999999996</v>
      </c>
      <c r="S306" s="1" t="str">
        <f t="shared" si="24"/>
        <v>Low</v>
      </c>
      <c r="T306" s="1" t="str" cm="1">
        <f t="array" ref="T306">_xlfn.IFS(L306&gt;5,"High",L306=5,"mediam",L306&lt;5,"low")</f>
        <v>low</v>
      </c>
      <c r="U306" s="1" t="b">
        <f t="shared" si="25"/>
        <v>0</v>
      </c>
    </row>
    <row r="307" spans="1:21" x14ac:dyDescent="0.3">
      <c r="A307" s="5">
        <v>10306</v>
      </c>
      <c r="B307" s="1">
        <v>1202</v>
      </c>
      <c r="C307" s="2">
        <v>45256</v>
      </c>
      <c r="D307" s="2">
        <v>45264</v>
      </c>
      <c r="E307" s="1" t="s">
        <v>46</v>
      </c>
      <c r="F307" s="1" t="s">
        <v>29</v>
      </c>
      <c r="G307" s="1" t="s">
        <v>30</v>
      </c>
      <c r="H307" s="1" t="s">
        <v>42</v>
      </c>
      <c r="I307" s="1" t="s">
        <v>57</v>
      </c>
      <c r="J307" s="1" t="s">
        <v>62</v>
      </c>
      <c r="K307" s="1" t="s">
        <v>28</v>
      </c>
      <c r="L307" s="1">
        <v>1</v>
      </c>
      <c r="M307" s="1">
        <v>3391.76</v>
      </c>
      <c r="N307" s="1">
        <v>20</v>
      </c>
      <c r="O307" s="1">
        <v>2713.41</v>
      </c>
      <c r="P307" s="1">
        <f t="shared" si="21"/>
        <v>3391.76</v>
      </c>
      <c r="Q307" s="10">
        <f t="shared" si="22"/>
        <v>542.68200000000002</v>
      </c>
      <c r="R307" s="11">
        <f t="shared" si="23"/>
        <v>2849.0780000000004</v>
      </c>
      <c r="S307" s="1" t="str">
        <f t="shared" si="24"/>
        <v>Low</v>
      </c>
      <c r="T307" s="1" t="str" cm="1">
        <f t="array" ref="T307">_xlfn.IFS(L307&gt;5,"High",L307=5,"mediam",L307&lt;5,"low")</f>
        <v>low</v>
      </c>
      <c r="U307" s="1" t="b">
        <f t="shared" si="25"/>
        <v>0</v>
      </c>
    </row>
    <row r="308" spans="1:21" x14ac:dyDescent="0.3">
      <c r="A308" s="5">
        <v>10307</v>
      </c>
      <c r="B308" s="1">
        <v>1183</v>
      </c>
      <c r="C308" s="2">
        <v>45267</v>
      </c>
      <c r="D308" s="2">
        <v>45273</v>
      </c>
      <c r="E308" s="1" t="s">
        <v>15</v>
      </c>
      <c r="F308" s="1" t="s">
        <v>16</v>
      </c>
      <c r="G308" s="1" t="s">
        <v>24</v>
      </c>
      <c r="H308" s="1" t="s">
        <v>42</v>
      </c>
      <c r="I308" s="1" t="s">
        <v>57</v>
      </c>
      <c r="J308" s="1" t="s">
        <v>58</v>
      </c>
      <c r="K308" s="1" t="s">
        <v>28</v>
      </c>
      <c r="L308" s="1">
        <v>4</v>
      </c>
      <c r="M308" s="1">
        <v>2008.45</v>
      </c>
      <c r="N308" s="1">
        <v>5</v>
      </c>
      <c r="O308" s="1">
        <v>7632.11</v>
      </c>
      <c r="P308" s="1">
        <f t="shared" si="21"/>
        <v>8033.8</v>
      </c>
      <c r="Q308" s="10">
        <f t="shared" si="22"/>
        <v>381.60550000000001</v>
      </c>
      <c r="R308" s="11">
        <f t="shared" si="23"/>
        <v>7652.1945000000005</v>
      </c>
      <c r="S308" s="1" t="str">
        <f t="shared" si="24"/>
        <v>Low</v>
      </c>
      <c r="T308" s="1" t="str" cm="1">
        <f t="array" ref="T308">_xlfn.IFS(L308&gt;5,"High",L308=5,"mediam",L308&lt;5,"low")</f>
        <v>low</v>
      </c>
      <c r="U308" s="1" t="b">
        <f t="shared" si="25"/>
        <v>0</v>
      </c>
    </row>
    <row r="309" spans="1:21" x14ac:dyDescent="0.3">
      <c r="A309" s="5">
        <v>10308</v>
      </c>
      <c r="B309" s="1">
        <v>1122</v>
      </c>
      <c r="C309" s="2">
        <v>44931</v>
      </c>
      <c r="D309" s="2">
        <v>44940</v>
      </c>
      <c r="E309" s="1" t="s">
        <v>37</v>
      </c>
      <c r="F309" s="1" t="s">
        <v>23</v>
      </c>
      <c r="G309" s="1" t="s">
        <v>30</v>
      </c>
      <c r="H309" s="1" t="s">
        <v>25</v>
      </c>
      <c r="I309" s="1" t="s">
        <v>52</v>
      </c>
      <c r="J309" s="1" t="s">
        <v>53</v>
      </c>
      <c r="K309" s="1" t="s">
        <v>45</v>
      </c>
      <c r="L309" s="1">
        <v>4</v>
      </c>
      <c r="M309" s="1">
        <v>3143.2</v>
      </c>
      <c r="N309" s="1">
        <v>0</v>
      </c>
      <c r="O309" s="1">
        <v>12572.8</v>
      </c>
      <c r="P309" s="1">
        <f t="shared" si="21"/>
        <v>12572.8</v>
      </c>
      <c r="Q309" s="10">
        <f t="shared" si="22"/>
        <v>0</v>
      </c>
      <c r="R309" s="11">
        <f t="shared" si="23"/>
        <v>12572.8</v>
      </c>
      <c r="S309" s="1" t="str">
        <f t="shared" si="24"/>
        <v>Low</v>
      </c>
      <c r="T309" s="1" t="str" cm="1">
        <f t="array" ref="T309">_xlfn.IFS(L309&gt;5,"High",L309=5,"mediam",L309&lt;5,"low")</f>
        <v>low</v>
      </c>
      <c r="U309" s="1" t="b">
        <f t="shared" si="25"/>
        <v>0</v>
      </c>
    </row>
    <row r="310" spans="1:21" x14ac:dyDescent="0.3">
      <c r="A310" s="5">
        <v>10309</v>
      </c>
      <c r="B310" s="1">
        <v>1400</v>
      </c>
      <c r="C310" s="2">
        <v>44928</v>
      </c>
      <c r="D310" s="2">
        <v>44936</v>
      </c>
      <c r="E310" s="1" t="s">
        <v>34</v>
      </c>
      <c r="F310" s="1" t="s">
        <v>29</v>
      </c>
      <c r="G310" s="1" t="s">
        <v>30</v>
      </c>
      <c r="H310" s="1" t="s">
        <v>44</v>
      </c>
      <c r="I310" s="1" t="s">
        <v>49</v>
      </c>
      <c r="J310" s="1" t="s">
        <v>51</v>
      </c>
      <c r="K310" s="1" t="s">
        <v>47</v>
      </c>
      <c r="L310" s="1">
        <v>1</v>
      </c>
      <c r="M310" s="1">
        <v>2740.46</v>
      </c>
      <c r="N310" s="1">
        <v>10</v>
      </c>
      <c r="O310" s="1">
        <v>2466.41</v>
      </c>
      <c r="P310" s="1">
        <f t="shared" si="21"/>
        <v>2740.46</v>
      </c>
      <c r="Q310" s="10">
        <f t="shared" si="22"/>
        <v>246.64099999999999</v>
      </c>
      <c r="R310" s="11">
        <f t="shared" si="23"/>
        <v>2493.819</v>
      </c>
      <c r="S310" s="1" t="str">
        <f t="shared" si="24"/>
        <v>Low</v>
      </c>
      <c r="T310" s="1" t="str" cm="1">
        <f t="array" ref="T310">_xlfn.IFS(L310&gt;5,"High",L310=5,"mediam",L310&lt;5,"low")</f>
        <v>low</v>
      </c>
      <c r="U310" s="1" t="b">
        <f t="shared" si="25"/>
        <v>0</v>
      </c>
    </row>
    <row r="311" spans="1:21" x14ac:dyDescent="0.3">
      <c r="A311" s="5">
        <v>10310</v>
      </c>
      <c r="B311" s="1">
        <v>1766</v>
      </c>
      <c r="C311" s="2">
        <v>44948</v>
      </c>
      <c r="D311" s="2">
        <v>44951</v>
      </c>
      <c r="E311" s="1" t="s">
        <v>37</v>
      </c>
      <c r="F311" s="1" t="s">
        <v>41</v>
      </c>
      <c r="G311" s="1" t="s">
        <v>17</v>
      </c>
      <c r="H311" s="1" t="s">
        <v>44</v>
      </c>
      <c r="I311" s="1" t="s">
        <v>49</v>
      </c>
      <c r="J311" s="1" t="s">
        <v>51</v>
      </c>
      <c r="K311" s="1" t="s">
        <v>33</v>
      </c>
      <c r="L311" s="1">
        <v>6</v>
      </c>
      <c r="M311" s="1">
        <v>2938.38</v>
      </c>
      <c r="N311" s="1">
        <v>5</v>
      </c>
      <c r="O311" s="1">
        <v>16748.77</v>
      </c>
      <c r="P311" s="1">
        <f t="shared" si="21"/>
        <v>17630.28</v>
      </c>
      <c r="Q311" s="10">
        <f t="shared" si="22"/>
        <v>837.43850000000009</v>
      </c>
      <c r="R311" s="11">
        <f t="shared" si="23"/>
        <v>16792.841499999999</v>
      </c>
      <c r="S311" s="1" t="str">
        <f t="shared" si="24"/>
        <v>High</v>
      </c>
      <c r="T311" s="1" t="str" cm="1">
        <f t="array" ref="T311">_xlfn.IFS(L311&gt;5,"High",L311=5,"mediam",L311&lt;5,"low")</f>
        <v>High</v>
      </c>
      <c r="U311" s="1" t="str">
        <f t="shared" si="25"/>
        <v>High</v>
      </c>
    </row>
    <row r="312" spans="1:21" x14ac:dyDescent="0.3">
      <c r="A312" s="5">
        <v>10311</v>
      </c>
      <c r="B312" s="1">
        <v>1293</v>
      </c>
      <c r="C312" s="2">
        <v>45038</v>
      </c>
      <c r="D312" s="2">
        <v>45043</v>
      </c>
      <c r="E312" s="1" t="s">
        <v>46</v>
      </c>
      <c r="F312" s="1" t="s">
        <v>23</v>
      </c>
      <c r="G312" s="1" t="s">
        <v>24</v>
      </c>
      <c r="H312" s="1" t="s">
        <v>18</v>
      </c>
      <c r="I312" s="1" t="s">
        <v>19</v>
      </c>
      <c r="J312" s="1" t="s">
        <v>43</v>
      </c>
      <c r="K312" s="1" t="s">
        <v>33</v>
      </c>
      <c r="L312" s="1">
        <v>4</v>
      </c>
      <c r="M312" s="1">
        <v>2046.51</v>
      </c>
      <c r="N312" s="1">
        <v>5</v>
      </c>
      <c r="O312" s="1">
        <v>7776.74</v>
      </c>
      <c r="P312" s="1">
        <f t="shared" si="21"/>
        <v>8186.04</v>
      </c>
      <c r="Q312" s="10">
        <f t="shared" si="22"/>
        <v>388.83699999999999</v>
      </c>
      <c r="R312" s="11">
        <f t="shared" si="23"/>
        <v>7797.2029999999995</v>
      </c>
      <c r="S312" s="1" t="str">
        <f t="shared" si="24"/>
        <v>Low</v>
      </c>
      <c r="T312" s="1" t="str" cm="1">
        <f t="array" ref="T312">_xlfn.IFS(L312&gt;5,"High",L312=5,"mediam",L312&lt;5,"low")</f>
        <v>low</v>
      </c>
      <c r="U312" s="1" t="b">
        <f t="shared" si="25"/>
        <v>0</v>
      </c>
    </row>
    <row r="313" spans="1:21" x14ac:dyDescent="0.3">
      <c r="A313" s="5">
        <v>10312</v>
      </c>
      <c r="B313" s="1">
        <v>1279</v>
      </c>
      <c r="C313" s="2">
        <v>44983</v>
      </c>
      <c r="D313" s="2">
        <v>44990</v>
      </c>
      <c r="E313" s="1" t="s">
        <v>46</v>
      </c>
      <c r="F313" s="1" t="s">
        <v>38</v>
      </c>
      <c r="G313" s="1" t="s">
        <v>30</v>
      </c>
      <c r="H313" s="1" t="s">
        <v>18</v>
      </c>
      <c r="I313" s="1" t="s">
        <v>52</v>
      </c>
      <c r="J313" s="1" t="s">
        <v>56</v>
      </c>
      <c r="K313" s="1" t="s">
        <v>33</v>
      </c>
      <c r="L313" s="1">
        <v>1</v>
      </c>
      <c r="M313" s="1">
        <v>2588.64</v>
      </c>
      <c r="N313" s="1">
        <v>0</v>
      </c>
      <c r="O313" s="1">
        <v>2588.64</v>
      </c>
      <c r="P313" s="1">
        <f t="shared" si="21"/>
        <v>2588.64</v>
      </c>
      <c r="Q313" s="10">
        <f t="shared" si="22"/>
        <v>0</v>
      </c>
      <c r="R313" s="11">
        <f t="shared" si="23"/>
        <v>2588.64</v>
      </c>
      <c r="S313" s="1" t="str">
        <f t="shared" si="24"/>
        <v>Low</v>
      </c>
      <c r="T313" s="1" t="str" cm="1">
        <f t="array" ref="T313">_xlfn.IFS(L313&gt;5,"High",L313=5,"mediam",L313&lt;5,"low")</f>
        <v>low</v>
      </c>
      <c r="U313" s="1" t="b">
        <f t="shared" si="25"/>
        <v>0</v>
      </c>
    </row>
    <row r="314" spans="1:21" x14ac:dyDescent="0.3">
      <c r="A314" s="5">
        <v>10313</v>
      </c>
      <c r="B314" s="1">
        <v>1836</v>
      </c>
      <c r="C314" s="2">
        <v>44992</v>
      </c>
      <c r="D314" s="2">
        <v>44997</v>
      </c>
      <c r="E314" s="1" t="s">
        <v>40</v>
      </c>
      <c r="F314" s="1" t="s">
        <v>41</v>
      </c>
      <c r="G314" s="1" t="s">
        <v>17</v>
      </c>
      <c r="H314" s="1" t="s">
        <v>35</v>
      </c>
      <c r="I314" s="1" t="s">
        <v>57</v>
      </c>
      <c r="J314" s="1" t="s">
        <v>62</v>
      </c>
      <c r="K314" s="1" t="s">
        <v>45</v>
      </c>
      <c r="L314" s="1">
        <v>1</v>
      </c>
      <c r="M314" s="1">
        <v>3251.27</v>
      </c>
      <c r="N314" s="1">
        <v>15</v>
      </c>
      <c r="O314" s="1">
        <v>2763.58</v>
      </c>
      <c r="P314" s="1">
        <f t="shared" si="21"/>
        <v>3251.27</v>
      </c>
      <c r="Q314" s="10">
        <f t="shared" si="22"/>
        <v>414.53699999999998</v>
      </c>
      <c r="R314" s="11">
        <f t="shared" si="23"/>
        <v>2836.7330000000002</v>
      </c>
      <c r="S314" s="1" t="str">
        <f t="shared" si="24"/>
        <v>Low</v>
      </c>
      <c r="T314" s="1" t="str" cm="1">
        <f t="array" ref="T314">_xlfn.IFS(L314&gt;5,"High",L314=5,"mediam",L314&lt;5,"low")</f>
        <v>low</v>
      </c>
      <c r="U314" s="1" t="b">
        <f t="shared" si="25"/>
        <v>0</v>
      </c>
    </row>
    <row r="315" spans="1:21" x14ac:dyDescent="0.3">
      <c r="A315" s="5">
        <v>10314</v>
      </c>
      <c r="B315" s="1">
        <v>1883</v>
      </c>
      <c r="C315" s="2">
        <v>45256</v>
      </c>
      <c r="D315" s="2">
        <v>45264</v>
      </c>
      <c r="E315" s="1" t="s">
        <v>37</v>
      </c>
      <c r="F315" s="1" t="s">
        <v>16</v>
      </c>
      <c r="G315" s="1" t="s">
        <v>24</v>
      </c>
      <c r="H315" s="1" t="s">
        <v>25</v>
      </c>
      <c r="I315" s="1" t="s">
        <v>26</v>
      </c>
      <c r="J315" s="1" t="s">
        <v>69</v>
      </c>
      <c r="K315" s="1" t="s">
        <v>28</v>
      </c>
      <c r="L315" s="1">
        <v>1</v>
      </c>
      <c r="M315" s="1">
        <v>1681.85</v>
      </c>
      <c r="N315" s="1">
        <v>5</v>
      </c>
      <c r="O315" s="1">
        <v>1597.76</v>
      </c>
      <c r="P315" s="1">
        <f t="shared" si="21"/>
        <v>1681.85</v>
      </c>
      <c r="Q315" s="10">
        <f t="shared" si="22"/>
        <v>79.888000000000005</v>
      </c>
      <c r="R315" s="11">
        <f t="shared" si="23"/>
        <v>1601.962</v>
      </c>
      <c r="S315" s="1" t="str">
        <f t="shared" si="24"/>
        <v>Low</v>
      </c>
      <c r="T315" s="1" t="str" cm="1">
        <f t="array" ref="T315">_xlfn.IFS(L315&gt;5,"High",L315=5,"mediam",L315&lt;5,"low")</f>
        <v>low</v>
      </c>
      <c r="U315" s="1" t="b">
        <f t="shared" si="25"/>
        <v>0</v>
      </c>
    </row>
    <row r="316" spans="1:21" x14ac:dyDescent="0.3">
      <c r="A316" s="5">
        <v>10315</v>
      </c>
      <c r="B316" s="1">
        <v>1609</v>
      </c>
      <c r="C316" s="2">
        <v>45024</v>
      </c>
      <c r="D316" s="2">
        <v>45029</v>
      </c>
      <c r="E316" s="1" t="s">
        <v>37</v>
      </c>
      <c r="F316" s="1" t="s">
        <v>29</v>
      </c>
      <c r="G316" s="1" t="s">
        <v>24</v>
      </c>
      <c r="H316" s="1" t="s">
        <v>18</v>
      </c>
      <c r="I316" s="1" t="s">
        <v>49</v>
      </c>
      <c r="J316" s="1" t="s">
        <v>50</v>
      </c>
      <c r="K316" s="1" t="s">
        <v>45</v>
      </c>
      <c r="L316" s="1">
        <v>8</v>
      </c>
      <c r="M316" s="1">
        <v>3253.02</v>
      </c>
      <c r="N316" s="1">
        <v>15</v>
      </c>
      <c r="O316" s="1">
        <v>22120.54</v>
      </c>
      <c r="P316" s="1">
        <f t="shared" si="21"/>
        <v>26024.16</v>
      </c>
      <c r="Q316" s="10">
        <f t="shared" si="22"/>
        <v>3318.0810000000001</v>
      </c>
      <c r="R316" s="11">
        <f t="shared" si="23"/>
        <v>22706.078999999998</v>
      </c>
      <c r="S316" s="1" t="str">
        <f t="shared" si="24"/>
        <v>High</v>
      </c>
      <c r="T316" s="1" t="str" cm="1">
        <f t="array" ref="T316">_xlfn.IFS(L316&gt;5,"High",L316=5,"mediam",L316&lt;5,"low")</f>
        <v>High</v>
      </c>
      <c r="U316" s="1" t="str">
        <f t="shared" si="25"/>
        <v>High</v>
      </c>
    </row>
    <row r="317" spans="1:21" x14ac:dyDescent="0.3">
      <c r="A317" s="5">
        <v>10316</v>
      </c>
      <c r="B317" s="1">
        <v>1197</v>
      </c>
      <c r="C317" s="2">
        <v>45070</v>
      </c>
      <c r="D317" s="2">
        <v>45071</v>
      </c>
      <c r="E317" s="1" t="s">
        <v>46</v>
      </c>
      <c r="F317" s="1" t="s">
        <v>38</v>
      </c>
      <c r="G317" s="1" t="s">
        <v>30</v>
      </c>
      <c r="H317" s="1" t="s">
        <v>18</v>
      </c>
      <c r="I317" s="1" t="s">
        <v>57</v>
      </c>
      <c r="J317" s="1" t="s">
        <v>58</v>
      </c>
      <c r="K317" s="1" t="s">
        <v>33</v>
      </c>
      <c r="L317" s="1">
        <v>8</v>
      </c>
      <c r="M317" s="1">
        <v>2429.2600000000002</v>
      </c>
      <c r="N317" s="1">
        <v>15</v>
      </c>
      <c r="O317" s="1">
        <v>16518.97</v>
      </c>
      <c r="P317" s="1">
        <f t="shared" si="21"/>
        <v>19434.080000000002</v>
      </c>
      <c r="Q317" s="10">
        <f t="shared" si="22"/>
        <v>2477.8454999999999</v>
      </c>
      <c r="R317" s="11">
        <f t="shared" si="23"/>
        <v>16956.234500000002</v>
      </c>
      <c r="S317" s="1" t="str">
        <f t="shared" si="24"/>
        <v>High</v>
      </c>
      <c r="T317" s="1" t="str" cm="1">
        <f t="array" ref="T317">_xlfn.IFS(L317&gt;5,"High",L317=5,"mediam",L317&lt;5,"low")</f>
        <v>High</v>
      </c>
      <c r="U317" s="1" t="str">
        <f t="shared" si="25"/>
        <v>High</v>
      </c>
    </row>
    <row r="318" spans="1:21" x14ac:dyDescent="0.3">
      <c r="A318" s="5">
        <v>10317</v>
      </c>
      <c r="B318" s="1">
        <v>1981</v>
      </c>
      <c r="C318" s="2">
        <v>45051</v>
      </c>
      <c r="D318" s="2">
        <v>45056</v>
      </c>
      <c r="E318" s="1" t="s">
        <v>34</v>
      </c>
      <c r="F318" s="1" t="s">
        <v>38</v>
      </c>
      <c r="G318" s="1" t="s">
        <v>24</v>
      </c>
      <c r="H318" s="1" t="s">
        <v>25</v>
      </c>
      <c r="I318" s="1" t="s">
        <v>49</v>
      </c>
      <c r="J318" s="1" t="s">
        <v>63</v>
      </c>
      <c r="K318" s="1" t="s">
        <v>47</v>
      </c>
      <c r="L318" s="1">
        <v>2</v>
      </c>
      <c r="M318" s="1">
        <v>788.72</v>
      </c>
      <c r="N318" s="1">
        <v>20</v>
      </c>
      <c r="O318" s="1">
        <v>1261.95</v>
      </c>
      <c r="P318" s="1">
        <f t="shared" si="21"/>
        <v>1577.44</v>
      </c>
      <c r="Q318" s="10">
        <f t="shared" si="22"/>
        <v>252.39000000000001</v>
      </c>
      <c r="R318" s="11">
        <f t="shared" si="23"/>
        <v>1325.05</v>
      </c>
      <c r="S318" s="1" t="str">
        <f t="shared" si="24"/>
        <v>Low</v>
      </c>
      <c r="T318" s="1" t="str" cm="1">
        <f t="array" ref="T318">_xlfn.IFS(L318&gt;5,"High",L318=5,"mediam",L318&lt;5,"low")</f>
        <v>low</v>
      </c>
      <c r="U318" s="1" t="b">
        <f t="shared" si="25"/>
        <v>0</v>
      </c>
    </row>
    <row r="319" spans="1:21" x14ac:dyDescent="0.3">
      <c r="A319" s="5">
        <v>10318</v>
      </c>
      <c r="B319" s="1">
        <v>1906</v>
      </c>
      <c r="C319" s="2">
        <v>45093</v>
      </c>
      <c r="D319" s="2">
        <v>45097</v>
      </c>
      <c r="E319" s="1" t="s">
        <v>15</v>
      </c>
      <c r="F319" s="1" t="s">
        <v>23</v>
      </c>
      <c r="G319" s="1" t="s">
        <v>30</v>
      </c>
      <c r="H319" s="1" t="s">
        <v>35</v>
      </c>
      <c r="I319" s="1" t="s">
        <v>49</v>
      </c>
      <c r="J319" s="1" t="s">
        <v>68</v>
      </c>
      <c r="K319" s="1" t="s">
        <v>21</v>
      </c>
      <c r="L319" s="1">
        <v>7</v>
      </c>
      <c r="M319" s="1">
        <v>245.03</v>
      </c>
      <c r="N319" s="1">
        <v>0</v>
      </c>
      <c r="O319" s="1">
        <v>1715.21</v>
      </c>
      <c r="P319" s="1">
        <f t="shared" si="21"/>
        <v>1715.21</v>
      </c>
      <c r="Q319" s="10">
        <f t="shared" si="22"/>
        <v>0</v>
      </c>
      <c r="R319" s="11">
        <f t="shared" si="23"/>
        <v>1715.21</v>
      </c>
      <c r="S319" s="1" t="str">
        <f t="shared" si="24"/>
        <v>High</v>
      </c>
      <c r="T319" s="1" t="str" cm="1">
        <f t="array" ref="T319">_xlfn.IFS(L319&gt;5,"High",L319=5,"mediam",L319&lt;5,"low")</f>
        <v>High</v>
      </c>
      <c r="U319" s="1" t="str">
        <f t="shared" si="25"/>
        <v>High</v>
      </c>
    </row>
    <row r="320" spans="1:21" x14ac:dyDescent="0.3">
      <c r="A320" s="5">
        <v>10319</v>
      </c>
      <c r="B320" s="1">
        <v>1510</v>
      </c>
      <c r="C320" s="2">
        <v>45012</v>
      </c>
      <c r="D320" s="2">
        <v>45018</v>
      </c>
      <c r="E320" s="1" t="s">
        <v>22</v>
      </c>
      <c r="F320" s="1" t="s">
        <v>38</v>
      </c>
      <c r="G320" s="1" t="s">
        <v>24</v>
      </c>
      <c r="H320" s="1" t="s">
        <v>18</v>
      </c>
      <c r="I320" s="1" t="s">
        <v>49</v>
      </c>
      <c r="J320" s="1" t="s">
        <v>50</v>
      </c>
      <c r="K320" s="1" t="s">
        <v>28</v>
      </c>
      <c r="L320" s="1">
        <v>8</v>
      </c>
      <c r="M320" s="1">
        <v>1546.6</v>
      </c>
      <c r="N320" s="1">
        <v>15</v>
      </c>
      <c r="O320" s="1">
        <v>10516.88</v>
      </c>
      <c r="P320" s="1">
        <f t="shared" si="21"/>
        <v>12372.8</v>
      </c>
      <c r="Q320" s="10">
        <f t="shared" si="22"/>
        <v>1577.5319999999999</v>
      </c>
      <c r="R320" s="11">
        <f t="shared" si="23"/>
        <v>10795.268</v>
      </c>
      <c r="S320" s="1" t="str">
        <f t="shared" si="24"/>
        <v>High</v>
      </c>
      <c r="T320" s="1" t="str" cm="1">
        <f t="array" ref="T320">_xlfn.IFS(L320&gt;5,"High",L320=5,"mediam",L320&lt;5,"low")</f>
        <v>High</v>
      </c>
      <c r="U320" s="1" t="str">
        <f t="shared" si="25"/>
        <v>High</v>
      </c>
    </row>
    <row r="321" spans="1:21" x14ac:dyDescent="0.3">
      <c r="A321" s="5">
        <v>10320</v>
      </c>
      <c r="B321" s="1">
        <v>1751</v>
      </c>
      <c r="C321" s="2">
        <v>45002</v>
      </c>
      <c r="D321" s="2">
        <v>45005</v>
      </c>
      <c r="E321" s="1" t="s">
        <v>15</v>
      </c>
      <c r="F321" s="1" t="s">
        <v>16</v>
      </c>
      <c r="G321" s="1" t="s">
        <v>17</v>
      </c>
      <c r="H321" s="1" t="s">
        <v>35</v>
      </c>
      <c r="I321" s="1" t="s">
        <v>26</v>
      </c>
      <c r="J321" s="1" t="s">
        <v>36</v>
      </c>
      <c r="K321" s="1" t="s">
        <v>28</v>
      </c>
      <c r="L321" s="1">
        <v>8</v>
      </c>
      <c r="M321" s="1">
        <v>2254.7800000000002</v>
      </c>
      <c r="N321" s="1">
        <v>0</v>
      </c>
      <c r="O321" s="1">
        <v>18038.240000000002</v>
      </c>
      <c r="P321" s="1">
        <f t="shared" si="21"/>
        <v>18038.240000000002</v>
      </c>
      <c r="Q321" s="10">
        <f t="shared" si="22"/>
        <v>0</v>
      </c>
      <c r="R321" s="11">
        <f t="shared" si="23"/>
        <v>18038.240000000002</v>
      </c>
      <c r="S321" s="1" t="str">
        <f t="shared" si="24"/>
        <v>High</v>
      </c>
      <c r="T321" s="1" t="str" cm="1">
        <f t="array" ref="T321">_xlfn.IFS(L321&gt;5,"High",L321=5,"mediam",L321&lt;5,"low")</f>
        <v>High</v>
      </c>
      <c r="U321" s="1" t="str">
        <f t="shared" si="25"/>
        <v>High</v>
      </c>
    </row>
    <row r="322" spans="1:21" x14ac:dyDescent="0.3">
      <c r="A322" s="5">
        <v>10321</v>
      </c>
      <c r="B322" s="1">
        <v>1143</v>
      </c>
      <c r="C322" s="2">
        <v>45270</v>
      </c>
      <c r="D322" s="2">
        <v>45275</v>
      </c>
      <c r="E322" s="1" t="s">
        <v>37</v>
      </c>
      <c r="F322" s="1" t="s">
        <v>16</v>
      </c>
      <c r="G322" s="1" t="s">
        <v>30</v>
      </c>
      <c r="H322" s="1" t="s">
        <v>42</v>
      </c>
      <c r="I322" s="1" t="s">
        <v>52</v>
      </c>
      <c r="J322" s="1" t="s">
        <v>60</v>
      </c>
      <c r="K322" s="1" t="s">
        <v>45</v>
      </c>
      <c r="L322" s="1">
        <v>7</v>
      </c>
      <c r="M322" s="1">
        <v>3383.31</v>
      </c>
      <c r="N322" s="1">
        <v>20</v>
      </c>
      <c r="O322" s="1">
        <v>18946.54</v>
      </c>
      <c r="P322" s="1">
        <f t="shared" si="21"/>
        <v>23683.17</v>
      </c>
      <c r="Q322" s="10">
        <f t="shared" si="22"/>
        <v>3789.3080000000004</v>
      </c>
      <c r="R322" s="11">
        <f t="shared" si="23"/>
        <v>19893.861999999997</v>
      </c>
      <c r="S322" s="1" t="str">
        <f t="shared" si="24"/>
        <v>High</v>
      </c>
      <c r="T322" s="1" t="str" cm="1">
        <f t="array" ref="T322">_xlfn.IFS(L322&gt;5,"High",L322=5,"mediam",L322&lt;5,"low")</f>
        <v>High</v>
      </c>
      <c r="U322" s="1" t="str">
        <f t="shared" si="25"/>
        <v>High</v>
      </c>
    </row>
    <row r="323" spans="1:21" x14ac:dyDescent="0.3">
      <c r="A323" s="5">
        <v>10322</v>
      </c>
      <c r="B323" s="1">
        <v>1608</v>
      </c>
      <c r="C323" s="2">
        <v>45220</v>
      </c>
      <c r="D323" s="2">
        <v>45222</v>
      </c>
      <c r="E323" s="1" t="s">
        <v>15</v>
      </c>
      <c r="F323" s="1" t="s">
        <v>54</v>
      </c>
      <c r="G323" s="1" t="s">
        <v>30</v>
      </c>
      <c r="H323" s="1" t="s">
        <v>35</v>
      </c>
      <c r="I323" s="1" t="s">
        <v>26</v>
      </c>
      <c r="J323" s="1" t="s">
        <v>61</v>
      </c>
      <c r="K323" s="1" t="s">
        <v>28</v>
      </c>
      <c r="L323" s="1">
        <v>5</v>
      </c>
      <c r="M323" s="1">
        <v>640.82000000000005</v>
      </c>
      <c r="N323" s="1">
        <v>0</v>
      </c>
      <c r="O323" s="1">
        <v>3204.1</v>
      </c>
      <c r="P323" s="1">
        <f t="shared" ref="P323:P386" si="26">L323*M323</f>
        <v>3204.1000000000004</v>
      </c>
      <c r="Q323" s="10">
        <f t="shared" ref="Q323:Q386" si="27">O323*N323%</f>
        <v>0</v>
      </c>
      <c r="R323" s="11">
        <f t="shared" ref="R323:R386" si="28">P323-Q323</f>
        <v>3204.1000000000004</v>
      </c>
      <c r="S323" s="1" t="str">
        <f t="shared" ref="S323:S386" si="29">IF(L323&gt;=5,"High","Low")</f>
        <v>High</v>
      </c>
      <c r="T323" s="1" t="str" cm="1">
        <f t="array" ref="T323">_xlfn.IFS(L323&gt;5,"High",L323=5,"mediam",L323&lt;5,"low")</f>
        <v>mediam</v>
      </c>
      <c r="U323" s="1" t="b">
        <f t="shared" si="25"/>
        <v>0</v>
      </c>
    </row>
    <row r="324" spans="1:21" x14ac:dyDescent="0.3">
      <c r="A324" s="5">
        <v>10323</v>
      </c>
      <c r="B324" s="1">
        <v>1200</v>
      </c>
      <c r="C324" s="2">
        <v>44985</v>
      </c>
      <c r="D324" s="2">
        <v>44991</v>
      </c>
      <c r="E324" s="1" t="s">
        <v>46</v>
      </c>
      <c r="F324" s="1" t="s">
        <v>16</v>
      </c>
      <c r="G324" s="1" t="s">
        <v>24</v>
      </c>
      <c r="H324" s="1" t="s">
        <v>44</v>
      </c>
      <c r="I324" s="1" t="s">
        <v>31</v>
      </c>
      <c r="J324" s="1" t="s">
        <v>48</v>
      </c>
      <c r="K324" s="1" t="s">
        <v>33</v>
      </c>
      <c r="L324" s="1">
        <v>1</v>
      </c>
      <c r="M324" s="1">
        <v>3230.79</v>
      </c>
      <c r="N324" s="1">
        <v>5</v>
      </c>
      <c r="O324" s="1">
        <v>3069.25</v>
      </c>
      <c r="P324" s="1">
        <f t="shared" si="26"/>
        <v>3230.79</v>
      </c>
      <c r="Q324" s="10">
        <f t="shared" si="27"/>
        <v>153.46250000000001</v>
      </c>
      <c r="R324" s="11">
        <f t="shared" si="28"/>
        <v>3077.3274999999999</v>
      </c>
      <c r="S324" s="1" t="str">
        <f t="shared" si="29"/>
        <v>Low</v>
      </c>
      <c r="T324" s="1" t="str" cm="1">
        <f t="array" ref="T324">_xlfn.IFS(L324&gt;5,"High",L324=5,"mediam",L324&lt;5,"low")</f>
        <v>low</v>
      </c>
      <c r="U324" s="1" t="b">
        <f t="shared" si="25"/>
        <v>0</v>
      </c>
    </row>
    <row r="325" spans="1:21" x14ac:dyDescent="0.3">
      <c r="A325" s="5">
        <v>10324</v>
      </c>
      <c r="B325" s="1">
        <v>1123</v>
      </c>
      <c r="C325" s="2">
        <v>45064</v>
      </c>
      <c r="D325" s="2">
        <v>45070</v>
      </c>
      <c r="E325" s="1" t="s">
        <v>46</v>
      </c>
      <c r="F325" s="1" t="s">
        <v>41</v>
      </c>
      <c r="G325" s="1" t="s">
        <v>24</v>
      </c>
      <c r="H325" s="1" t="s">
        <v>44</v>
      </c>
      <c r="I325" s="1" t="s">
        <v>57</v>
      </c>
      <c r="J325" s="1" t="s">
        <v>58</v>
      </c>
      <c r="K325" s="1" t="s">
        <v>33</v>
      </c>
      <c r="L325" s="1">
        <v>9</v>
      </c>
      <c r="M325" s="1">
        <v>3472.58</v>
      </c>
      <c r="N325" s="1">
        <v>15</v>
      </c>
      <c r="O325" s="1">
        <v>26565.24</v>
      </c>
      <c r="P325" s="1">
        <f t="shared" si="26"/>
        <v>31253.22</v>
      </c>
      <c r="Q325" s="10">
        <f t="shared" si="27"/>
        <v>3984.7860000000001</v>
      </c>
      <c r="R325" s="11">
        <f t="shared" si="28"/>
        <v>27268.434000000001</v>
      </c>
      <c r="S325" s="1" t="str">
        <f t="shared" si="29"/>
        <v>High</v>
      </c>
      <c r="T325" s="1" t="str" cm="1">
        <f t="array" ref="T325">_xlfn.IFS(L325&gt;5,"High",L325=5,"mediam",L325&lt;5,"low")</f>
        <v>High</v>
      </c>
      <c r="U325" s="1" t="str">
        <f t="shared" si="25"/>
        <v>High</v>
      </c>
    </row>
    <row r="326" spans="1:21" x14ac:dyDescent="0.3">
      <c r="A326" s="5">
        <v>10325</v>
      </c>
      <c r="B326" s="1">
        <v>1186</v>
      </c>
      <c r="C326" s="2">
        <v>45025</v>
      </c>
      <c r="D326" s="2">
        <v>45030</v>
      </c>
      <c r="E326" s="1" t="s">
        <v>37</v>
      </c>
      <c r="F326" s="1" t="s">
        <v>38</v>
      </c>
      <c r="G326" s="1" t="s">
        <v>30</v>
      </c>
      <c r="H326" s="1" t="s">
        <v>35</v>
      </c>
      <c r="I326" s="1" t="s">
        <v>52</v>
      </c>
      <c r="J326" s="1" t="s">
        <v>64</v>
      </c>
      <c r="K326" s="1" t="s">
        <v>45</v>
      </c>
      <c r="L326" s="1">
        <v>7</v>
      </c>
      <c r="M326" s="1">
        <v>730.15</v>
      </c>
      <c r="N326" s="1">
        <v>0</v>
      </c>
      <c r="O326" s="1">
        <v>5111.05</v>
      </c>
      <c r="P326" s="1">
        <f t="shared" si="26"/>
        <v>5111.05</v>
      </c>
      <c r="Q326" s="10">
        <f t="shared" si="27"/>
        <v>0</v>
      </c>
      <c r="R326" s="11">
        <f t="shared" si="28"/>
        <v>5111.05</v>
      </c>
      <c r="S326" s="1" t="str">
        <f t="shared" si="29"/>
        <v>High</v>
      </c>
      <c r="T326" s="1" t="str" cm="1">
        <f t="array" ref="T326">_xlfn.IFS(L326&gt;5,"High",L326=5,"mediam",L326&lt;5,"low")</f>
        <v>High</v>
      </c>
      <c r="U326" s="1" t="str">
        <f t="shared" si="25"/>
        <v>High</v>
      </c>
    </row>
    <row r="327" spans="1:21" x14ac:dyDescent="0.3">
      <c r="A327" s="5">
        <v>10326</v>
      </c>
      <c r="B327" s="1">
        <v>1325</v>
      </c>
      <c r="C327" s="2">
        <v>45118</v>
      </c>
      <c r="D327" s="2">
        <v>45124</v>
      </c>
      <c r="E327" s="1" t="s">
        <v>37</v>
      </c>
      <c r="F327" s="1" t="s">
        <v>16</v>
      </c>
      <c r="G327" s="1" t="s">
        <v>24</v>
      </c>
      <c r="H327" s="1" t="s">
        <v>44</v>
      </c>
      <c r="I327" s="1" t="s">
        <v>52</v>
      </c>
      <c r="J327" s="1" t="s">
        <v>60</v>
      </c>
      <c r="K327" s="1" t="s">
        <v>33</v>
      </c>
      <c r="L327" s="1">
        <v>2</v>
      </c>
      <c r="M327" s="1">
        <v>3428.64</v>
      </c>
      <c r="N327" s="1">
        <v>10</v>
      </c>
      <c r="O327" s="1">
        <v>6171.55</v>
      </c>
      <c r="P327" s="1">
        <f t="shared" si="26"/>
        <v>6857.28</v>
      </c>
      <c r="Q327" s="10">
        <f t="shared" si="27"/>
        <v>617.15500000000009</v>
      </c>
      <c r="R327" s="11">
        <f t="shared" si="28"/>
        <v>6240.125</v>
      </c>
      <c r="S327" s="1" t="str">
        <f t="shared" si="29"/>
        <v>Low</v>
      </c>
      <c r="T327" s="1" t="str" cm="1">
        <f t="array" ref="T327">_xlfn.IFS(L327&gt;5,"High",L327=5,"mediam",L327&lt;5,"low")</f>
        <v>low</v>
      </c>
      <c r="U327" s="1" t="b">
        <f t="shared" si="25"/>
        <v>0</v>
      </c>
    </row>
    <row r="328" spans="1:21" x14ac:dyDescent="0.3">
      <c r="A328" s="5">
        <v>10327</v>
      </c>
      <c r="B328" s="1">
        <v>1463</v>
      </c>
      <c r="C328" s="2">
        <v>45169</v>
      </c>
      <c r="D328" s="2">
        <v>45176</v>
      </c>
      <c r="E328" s="1" t="s">
        <v>22</v>
      </c>
      <c r="F328" s="1" t="s">
        <v>23</v>
      </c>
      <c r="G328" s="1" t="s">
        <v>17</v>
      </c>
      <c r="H328" s="1" t="s">
        <v>42</v>
      </c>
      <c r="I328" s="1" t="s">
        <v>52</v>
      </c>
      <c r="J328" s="1" t="s">
        <v>60</v>
      </c>
      <c r="K328" s="1" t="s">
        <v>47</v>
      </c>
      <c r="L328" s="1">
        <v>6</v>
      </c>
      <c r="M328" s="1">
        <v>3967.1</v>
      </c>
      <c r="N328" s="1">
        <v>0</v>
      </c>
      <c r="O328" s="1">
        <v>23802.6</v>
      </c>
      <c r="P328" s="1">
        <f t="shared" si="26"/>
        <v>23802.6</v>
      </c>
      <c r="Q328" s="10">
        <f t="shared" si="27"/>
        <v>0</v>
      </c>
      <c r="R328" s="11">
        <f t="shared" si="28"/>
        <v>23802.6</v>
      </c>
      <c r="S328" s="1" t="str">
        <f t="shared" si="29"/>
        <v>High</v>
      </c>
      <c r="T328" s="1" t="str" cm="1">
        <f t="array" ref="T328">_xlfn.IFS(L328&gt;5,"High",L328=5,"mediam",L328&lt;5,"low")</f>
        <v>High</v>
      </c>
      <c r="U328" s="1" t="str">
        <f t="shared" si="25"/>
        <v>High</v>
      </c>
    </row>
    <row r="329" spans="1:21" x14ac:dyDescent="0.3">
      <c r="A329" s="5">
        <v>10328</v>
      </c>
      <c r="B329" s="1">
        <v>1348</v>
      </c>
      <c r="C329" s="2">
        <v>45245</v>
      </c>
      <c r="D329" s="2">
        <v>45250</v>
      </c>
      <c r="E329" s="1" t="s">
        <v>22</v>
      </c>
      <c r="F329" s="1" t="s">
        <v>54</v>
      </c>
      <c r="G329" s="1" t="s">
        <v>24</v>
      </c>
      <c r="H329" s="1" t="s">
        <v>25</v>
      </c>
      <c r="I329" s="1" t="s">
        <v>52</v>
      </c>
      <c r="J329" s="1" t="s">
        <v>53</v>
      </c>
      <c r="K329" s="1" t="s">
        <v>45</v>
      </c>
      <c r="L329" s="1">
        <v>2</v>
      </c>
      <c r="M329" s="1">
        <v>2948.33</v>
      </c>
      <c r="N329" s="1">
        <v>15</v>
      </c>
      <c r="O329" s="1">
        <v>5012.16</v>
      </c>
      <c r="P329" s="1">
        <f t="shared" si="26"/>
        <v>5896.66</v>
      </c>
      <c r="Q329" s="10">
        <f t="shared" si="27"/>
        <v>751.82399999999996</v>
      </c>
      <c r="R329" s="11">
        <f t="shared" si="28"/>
        <v>5144.8360000000002</v>
      </c>
      <c r="S329" s="1" t="str">
        <f t="shared" si="29"/>
        <v>Low</v>
      </c>
      <c r="T329" s="1" t="str" cm="1">
        <f t="array" ref="T329">_xlfn.IFS(L329&gt;5,"High",L329=5,"mediam",L329&lt;5,"low")</f>
        <v>low</v>
      </c>
      <c r="U329" s="1" t="b">
        <f t="shared" ref="U329:U392" si="30">IF(L329&gt;5,"High",IF(L329="Mediam","Low"))</f>
        <v>0</v>
      </c>
    </row>
    <row r="330" spans="1:21" x14ac:dyDescent="0.3">
      <c r="A330" s="5">
        <v>10329</v>
      </c>
      <c r="B330" s="1">
        <v>1770</v>
      </c>
      <c r="C330" s="2">
        <v>44975</v>
      </c>
      <c r="D330" s="2">
        <v>44976</v>
      </c>
      <c r="E330" s="1" t="s">
        <v>40</v>
      </c>
      <c r="F330" s="1" t="s">
        <v>38</v>
      </c>
      <c r="G330" s="1" t="s">
        <v>17</v>
      </c>
      <c r="H330" s="1" t="s">
        <v>44</v>
      </c>
      <c r="I330" s="1" t="s">
        <v>26</v>
      </c>
      <c r="J330" s="1" t="s">
        <v>27</v>
      </c>
      <c r="K330" s="1" t="s">
        <v>47</v>
      </c>
      <c r="L330" s="1">
        <v>1</v>
      </c>
      <c r="M330" s="1">
        <v>3171.36</v>
      </c>
      <c r="N330" s="1">
        <v>20</v>
      </c>
      <c r="O330" s="1">
        <v>2537.09</v>
      </c>
      <c r="P330" s="1">
        <f t="shared" si="26"/>
        <v>3171.36</v>
      </c>
      <c r="Q330" s="10">
        <f t="shared" si="27"/>
        <v>507.41800000000006</v>
      </c>
      <c r="R330" s="11">
        <f t="shared" si="28"/>
        <v>2663.942</v>
      </c>
      <c r="S330" s="1" t="str">
        <f t="shared" si="29"/>
        <v>Low</v>
      </c>
      <c r="T330" s="1" t="str" cm="1">
        <f t="array" ref="T330">_xlfn.IFS(L330&gt;5,"High",L330=5,"mediam",L330&lt;5,"low")</f>
        <v>low</v>
      </c>
      <c r="U330" s="1" t="b">
        <f t="shared" si="30"/>
        <v>0</v>
      </c>
    </row>
    <row r="331" spans="1:21" x14ac:dyDescent="0.3">
      <c r="A331" s="5">
        <v>10330</v>
      </c>
      <c r="B331" s="1">
        <v>1659</v>
      </c>
      <c r="C331" s="2">
        <v>44958</v>
      </c>
      <c r="D331" s="2">
        <v>44966</v>
      </c>
      <c r="E331" s="1" t="s">
        <v>37</v>
      </c>
      <c r="F331" s="1" t="s">
        <v>54</v>
      </c>
      <c r="G331" s="1" t="s">
        <v>17</v>
      </c>
      <c r="H331" s="1" t="s">
        <v>44</v>
      </c>
      <c r="I331" s="1" t="s">
        <v>52</v>
      </c>
      <c r="J331" s="1" t="s">
        <v>64</v>
      </c>
      <c r="K331" s="1" t="s">
        <v>21</v>
      </c>
      <c r="L331" s="1">
        <v>7</v>
      </c>
      <c r="M331" s="1">
        <v>3978.5</v>
      </c>
      <c r="N331" s="1">
        <v>20</v>
      </c>
      <c r="O331" s="1">
        <v>22279.599999999999</v>
      </c>
      <c r="P331" s="1">
        <f t="shared" si="26"/>
        <v>27849.5</v>
      </c>
      <c r="Q331" s="10">
        <f t="shared" si="27"/>
        <v>4455.92</v>
      </c>
      <c r="R331" s="11">
        <f t="shared" si="28"/>
        <v>23393.58</v>
      </c>
      <c r="S331" s="1" t="str">
        <f t="shared" si="29"/>
        <v>High</v>
      </c>
      <c r="T331" s="1" t="str" cm="1">
        <f t="array" ref="T331">_xlfn.IFS(L331&gt;5,"High",L331=5,"mediam",L331&lt;5,"low")</f>
        <v>High</v>
      </c>
      <c r="U331" s="1" t="str">
        <f t="shared" si="30"/>
        <v>High</v>
      </c>
    </row>
    <row r="332" spans="1:21" x14ac:dyDescent="0.3">
      <c r="A332" s="5">
        <v>10331</v>
      </c>
      <c r="B332" s="1">
        <v>1763</v>
      </c>
      <c r="C332" s="2">
        <v>45203</v>
      </c>
      <c r="D332" s="2">
        <v>45207</v>
      </c>
      <c r="E332" s="1" t="s">
        <v>34</v>
      </c>
      <c r="F332" s="1" t="s">
        <v>38</v>
      </c>
      <c r="G332" s="1" t="s">
        <v>17</v>
      </c>
      <c r="H332" s="1" t="s">
        <v>35</v>
      </c>
      <c r="I332" s="1" t="s">
        <v>19</v>
      </c>
      <c r="J332" s="1" t="s">
        <v>55</v>
      </c>
      <c r="K332" s="1" t="s">
        <v>47</v>
      </c>
      <c r="L332" s="1">
        <v>2</v>
      </c>
      <c r="M332" s="1">
        <v>2481.1</v>
      </c>
      <c r="N332" s="1">
        <v>15</v>
      </c>
      <c r="O332" s="1">
        <v>4217.87</v>
      </c>
      <c r="P332" s="1">
        <f t="shared" si="26"/>
        <v>4962.2</v>
      </c>
      <c r="Q332" s="10">
        <f t="shared" si="27"/>
        <v>632.68049999999994</v>
      </c>
      <c r="R332" s="11">
        <f t="shared" si="28"/>
        <v>4329.5195000000003</v>
      </c>
      <c r="S332" s="1" t="str">
        <f t="shared" si="29"/>
        <v>Low</v>
      </c>
      <c r="T332" s="1" t="str" cm="1">
        <f t="array" ref="T332">_xlfn.IFS(L332&gt;5,"High",L332=5,"mediam",L332&lt;5,"low")</f>
        <v>low</v>
      </c>
      <c r="U332" s="1" t="b">
        <f t="shared" si="30"/>
        <v>0</v>
      </c>
    </row>
    <row r="333" spans="1:21" x14ac:dyDescent="0.3">
      <c r="A333" s="5">
        <v>10332</v>
      </c>
      <c r="B333" s="1">
        <v>1954</v>
      </c>
      <c r="C333" s="2">
        <v>44946</v>
      </c>
      <c r="D333" s="2">
        <v>44955</v>
      </c>
      <c r="E333" s="1" t="s">
        <v>15</v>
      </c>
      <c r="F333" s="1" t="s">
        <v>23</v>
      </c>
      <c r="G333" s="1" t="s">
        <v>17</v>
      </c>
      <c r="H333" s="1" t="s">
        <v>42</v>
      </c>
      <c r="I333" s="1" t="s">
        <v>57</v>
      </c>
      <c r="J333" s="1" t="s">
        <v>67</v>
      </c>
      <c r="K333" s="1" t="s">
        <v>21</v>
      </c>
      <c r="L333" s="1">
        <v>2</v>
      </c>
      <c r="M333" s="1">
        <v>1335.36</v>
      </c>
      <c r="N333" s="1">
        <v>5</v>
      </c>
      <c r="O333" s="1">
        <v>2537.1799999999998</v>
      </c>
      <c r="P333" s="1">
        <f t="shared" si="26"/>
        <v>2670.72</v>
      </c>
      <c r="Q333" s="10">
        <f t="shared" si="27"/>
        <v>126.85899999999999</v>
      </c>
      <c r="R333" s="11">
        <f t="shared" si="28"/>
        <v>2543.8609999999999</v>
      </c>
      <c r="S333" s="1" t="str">
        <f t="shared" si="29"/>
        <v>Low</v>
      </c>
      <c r="T333" s="1" t="str" cm="1">
        <f t="array" ref="T333">_xlfn.IFS(L333&gt;5,"High",L333=5,"mediam",L333&lt;5,"low")</f>
        <v>low</v>
      </c>
      <c r="U333" s="1" t="b">
        <f t="shared" si="30"/>
        <v>0</v>
      </c>
    </row>
    <row r="334" spans="1:21" x14ac:dyDescent="0.3">
      <c r="A334" s="5">
        <v>10333</v>
      </c>
      <c r="B334" s="1">
        <v>1931</v>
      </c>
      <c r="C334" s="2">
        <v>45080</v>
      </c>
      <c r="D334" s="2">
        <v>45086</v>
      </c>
      <c r="E334" s="1" t="s">
        <v>37</v>
      </c>
      <c r="F334" s="1" t="s">
        <v>54</v>
      </c>
      <c r="G334" s="1" t="s">
        <v>17</v>
      </c>
      <c r="H334" s="1" t="s">
        <v>25</v>
      </c>
      <c r="I334" s="1" t="s">
        <v>52</v>
      </c>
      <c r="J334" s="1" t="s">
        <v>60</v>
      </c>
      <c r="K334" s="1" t="s">
        <v>21</v>
      </c>
      <c r="L334" s="1">
        <v>5</v>
      </c>
      <c r="M334" s="1">
        <v>3374.49</v>
      </c>
      <c r="N334" s="1">
        <v>5</v>
      </c>
      <c r="O334" s="1">
        <v>16028.83</v>
      </c>
      <c r="P334" s="1">
        <f t="shared" si="26"/>
        <v>16872.449999999997</v>
      </c>
      <c r="Q334" s="10">
        <f t="shared" si="27"/>
        <v>801.44150000000002</v>
      </c>
      <c r="R334" s="11">
        <f t="shared" si="28"/>
        <v>16071.008499999996</v>
      </c>
      <c r="S334" s="1" t="str">
        <f t="shared" si="29"/>
        <v>High</v>
      </c>
      <c r="T334" s="1" t="str" cm="1">
        <f t="array" ref="T334">_xlfn.IFS(L334&gt;5,"High",L334=5,"mediam",L334&lt;5,"low")</f>
        <v>mediam</v>
      </c>
      <c r="U334" s="1" t="b">
        <f t="shared" si="30"/>
        <v>0</v>
      </c>
    </row>
    <row r="335" spans="1:21" x14ac:dyDescent="0.3">
      <c r="A335" s="5">
        <v>10334</v>
      </c>
      <c r="B335" s="1">
        <v>1402</v>
      </c>
      <c r="C335" s="2">
        <v>44994</v>
      </c>
      <c r="D335" s="2">
        <v>44995</v>
      </c>
      <c r="E335" s="1" t="s">
        <v>16</v>
      </c>
      <c r="F335" s="1" t="s">
        <v>29</v>
      </c>
      <c r="G335" s="1" t="s">
        <v>24</v>
      </c>
      <c r="H335" s="1" t="s">
        <v>35</v>
      </c>
      <c r="I335" s="1" t="s">
        <v>57</v>
      </c>
      <c r="J335" s="1" t="s">
        <v>59</v>
      </c>
      <c r="K335" s="1" t="s">
        <v>47</v>
      </c>
      <c r="L335" s="1">
        <v>5</v>
      </c>
      <c r="M335" s="1">
        <v>2515.77</v>
      </c>
      <c r="N335" s="1">
        <v>20</v>
      </c>
      <c r="O335" s="1">
        <v>10063.08</v>
      </c>
      <c r="P335" s="1">
        <f t="shared" si="26"/>
        <v>12578.85</v>
      </c>
      <c r="Q335" s="10">
        <f t="shared" si="27"/>
        <v>2012.616</v>
      </c>
      <c r="R335" s="11">
        <f t="shared" si="28"/>
        <v>10566.234</v>
      </c>
      <c r="S335" s="1" t="str">
        <f t="shared" si="29"/>
        <v>High</v>
      </c>
      <c r="T335" s="1" t="str" cm="1">
        <f t="array" ref="T335">_xlfn.IFS(L335&gt;5,"High",L335=5,"mediam",L335&lt;5,"low")</f>
        <v>mediam</v>
      </c>
      <c r="U335" s="1" t="b">
        <f t="shared" si="30"/>
        <v>0</v>
      </c>
    </row>
    <row r="336" spans="1:21" x14ac:dyDescent="0.3">
      <c r="A336" s="5">
        <v>10335</v>
      </c>
      <c r="B336" s="1">
        <v>1345</v>
      </c>
      <c r="C336" s="2">
        <v>45140</v>
      </c>
      <c r="D336" s="2">
        <v>45143</v>
      </c>
      <c r="E336" s="1" t="s">
        <v>40</v>
      </c>
      <c r="F336" s="1" t="s">
        <v>41</v>
      </c>
      <c r="G336" s="1" t="s">
        <v>17</v>
      </c>
      <c r="H336" s="1" t="s">
        <v>35</v>
      </c>
      <c r="I336" s="1" t="s">
        <v>19</v>
      </c>
      <c r="J336" s="1" t="s">
        <v>43</v>
      </c>
      <c r="K336" s="1" t="s">
        <v>45</v>
      </c>
      <c r="L336" s="1">
        <v>7</v>
      </c>
      <c r="M336" s="1">
        <v>2387.6</v>
      </c>
      <c r="N336" s="1">
        <v>20</v>
      </c>
      <c r="O336" s="1">
        <v>13370.56</v>
      </c>
      <c r="P336" s="1">
        <f t="shared" si="26"/>
        <v>16713.2</v>
      </c>
      <c r="Q336" s="10">
        <f t="shared" si="27"/>
        <v>2674.1120000000001</v>
      </c>
      <c r="R336" s="11">
        <f t="shared" si="28"/>
        <v>14039.088</v>
      </c>
      <c r="S336" s="1" t="str">
        <f t="shared" si="29"/>
        <v>High</v>
      </c>
      <c r="T336" s="1" t="str" cm="1">
        <f t="array" ref="T336">_xlfn.IFS(L336&gt;5,"High",L336=5,"mediam",L336&lt;5,"low")</f>
        <v>High</v>
      </c>
      <c r="U336" s="1" t="str">
        <f t="shared" si="30"/>
        <v>High</v>
      </c>
    </row>
    <row r="337" spans="1:21" x14ac:dyDescent="0.3">
      <c r="A337" s="5">
        <v>10336</v>
      </c>
      <c r="B337" s="1">
        <v>1962</v>
      </c>
      <c r="C337" s="2">
        <v>45069</v>
      </c>
      <c r="D337" s="2">
        <v>45072</v>
      </c>
      <c r="E337" s="1" t="s">
        <v>16</v>
      </c>
      <c r="F337" s="1" t="s">
        <v>41</v>
      </c>
      <c r="G337" s="1" t="s">
        <v>24</v>
      </c>
      <c r="H337" s="1" t="s">
        <v>42</v>
      </c>
      <c r="I337" s="1" t="s">
        <v>19</v>
      </c>
      <c r="J337" s="1" t="s">
        <v>66</v>
      </c>
      <c r="K337" s="1" t="s">
        <v>33</v>
      </c>
      <c r="L337" s="1">
        <v>1</v>
      </c>
      <c r="M337" s="1">
        <v>1126.5</v>
      </c>
      <c r="N337" s="1">
        <v>15</v>
      </c>
      <c r="O337" s="1">
        <v>957.52</v>
      </c>
      <c r="P337" s="1">
        <f t="shared" si="26"/>
        <v>1126.5</v>
      </c>
      <c r="Q337" s="10">
        <f t="shared" si="27"/>
        <v>143.62799999999999</v>
      </c>
      <c r="R337" s="11">
        <f t="shared" si="28"/>
        <v>982.87200000000007</v>
      </c>
      <c r="S337" s="1" t="str">
        <f t="shared" si="29"/>
        <v>Low</v>
      </c>
      <c r="T337" s="1" t="str" cm="1">
        <f t="array" ref="T337">_xlfn.IFS(L337&gt;5,"High",L337=5,"mediam",L337&lt;5,"low")</f>
        <v>low</v>
      </c>
      <c r="U337" s="1" t="b">
        <f t="shared" si="30"/>
        <v>0</v>
      </c>
    </row>
    <row r="338" spans="1:21" x14ac:dyDescent="0.3">
      <c r="A338" s="5">
        <v>10337</v>
      </c>
      <c r="B338" s="1">
        <v>1510</v>
      </c>
      <c r="C338" s="2">
        <v>45158</v>
      </c>
      <c r="D338" s="2">
        <v>45162</v>
      </c>
      <c r="E338" s="1" t="s">
        <v>46</v>
      </c>
      <c r="F338" s="1" t="s">
        <v>38</v>
      </c>
      <c r="G338" s="1" t="s">
        <v>17</v>
      </c>
      <c r="H338" s="1" t="s">
        <v>25</v>
      </c>
      <c r="I338" s="1" t="s">
        <v>57</v>
      </c>
      <c r="J338" s="1" t="s">
        <v>62</v>
      </c>
      <c r="K338" s="1" t="s">
        <v>33</v>
      </c>
      <c r="L338" s="1">
        <v>8</v>
      </c>
      <c r="M338" s="1">
        <v>3061.89</v>
      </c>
      <c r="N338" s="1">
        <v>5</v>
      </c>
      <c r="O338" s="1">
        <v>23270.36</v>
      </c>
      <c r="P338" s="1">
        <f t="shared" si="26"/>
        <v>24495.119999999999</v>
      </c>
      <c r="Q338" s="10">
        <f t="shared" si="27"/>
        <v>1163.518</v>
      </c>
      <c r="R338" s="11">
        <f t="shared" si="28"/>
        <v>23331.601999999999</v>
      </c>
      <c r="S338" s="1" t="str">
        <f t="shared" si="29"/>
        <v>High</v>
      </c>
      <c r="T338" s="1" t="str" cm="1">
        <f t="array" ref="T338">_xlfn.IFS(L338&gt;5,"High",L338=5,"mediam",L338&lt;5,"low")</f>
        <v>High</v>
      </c>
      <c r="U338" s="1" t="str">
        <f t="shared" si="30"/>
        <v>High</v>
      </c>
    </row>
    <row r="339" spans="1:21" x14ac:dyDescent="0.3">
      <c r="A339" s="5">
        <v>10338</v>
      </c>
      <c r="B339" s="1">
        <v>1146</v>
      </c>
      <c r="C339" s="2">
        <v>45139</v>
      </c>
      <c r="D339" s="2">
        <v>45145</v>
      </c>
      <c r="E339" s="1" t="s">
        <v>22</v>
      </c>
      <c r="F339" s="1" t="s">
        <v>29</v>
      </c>
      <c r="G339" s="1" t="s">
        <v>30</v>
      </c>
      <c r="H339" s="1" t="s">
        <v>42</v>
      </c>
      <c r="I339" s="1" t="s">
        <v>49</v>
      </c>
      <c r="J339" s="1" t="s">
        <v>50</v>
      </c>
      <c r="K339" s="1" t="s">
        <v>21</v>
      </c>
      <c r="L339" s="1">
        <v>3</v>
      </c>
      <c r="M339" s="1">
        <v>464.42</v>
      </c>
      <c r="N339" s="1">
        <v>20</v>
      </c>
      <c r="O339" s="1">
        <v>1114.6099999999999</v>
      </c>
      <c r="P339" s="1">
        <f t="shared" si="26"/>
        <v>1393.26</v>
      </c>
      <c r="Q339" s="10">
        <f t="shared" si="27"/>
        <v>222.922</v>
      </c>
      <c r="R339" s="11">
        <f t="shared" si="28"/>
        <v>1170.338</v>
      </c>
      <c r="S339" s="1" t="str">
        <f t="shared" si="29"/>
        <v>Low</v>
      </c>
      <c r="T339" s="1" t="str" cm="1">
        <f t="array" ref="T339">_xlfn.IFS(L339&gt;5,"High",L339=5,"mediam",L339&lt;5,"low")</f>
        <v>low</v>
      </c>
      <c r="U339" s="1" t="b">
        <f t="shared" si="30"/>
        <v>0</v>
      </c>
    </row>
    <row r="340" spans="1:21" x14ac:dyDescent="0.3">
      <c r="A340" s="5">
        <v>10339</v>
      </c>
      <c r="B340" s="1">
        <v>1147</v>
      </c>
      <c r="C340" s="2">
        <v>45005</v>
      </c>
      <c r="D340" s="2">
        <v>45012</v>
      </c>
      <c r="E340" s="1" t="s">
        <v>15</v>
      </c>
      <c r="F340" s="1" t="s">
        <v>54</v>
      </c>
      <c r="G340" s="1" t="s">
        <v>17</v>
      </c>
      <c r="H340" s="1" t="s">
        <v>25</v>
      </c>
      <c r="I340" s="1" t="s">
        <v>31</v>
      </c>
      <c r="J340" s="1" t="s">
        <v>32</v>
      </c>
      <c r="K340" s="1" t="s">
        <v>21</v>
      </c>
      <c r="L340" s="1">
        <v>4</v>
      </c>
      <c r="M340" s="1">
        <v>3708.51</v>
      </c>
      <c r="N340" s="1">
        <v>5</v>
      </c>
      <c r="O340" s="1">
        <v>14092.34</v>
      </c>
      <c r="P340" s="1">
        <f t="shared" si="26"/>
        <v>14834.04</v>
      </c>
      <c r="Q340" s="10">
        <f t="shared" si="27"/>
        <v>704.61700000000008</v>
      </c>
      <c r="R340" s="11">
        <f t="shared" si="28"/>
        <v>14129.423000000001</v>
      </c>
      <c r="S340" s="1" t="str">
        <f t="shared" si="29"/>
        <v>Low</v>
      </c>
      <c r="T340" s="1" t="str" cm="1">
        <f t="array" ref="T340">_xlfn.IFS(L340&gt;5,"High",L340=5,"mediam",L340&lt;5,"low")</f>
        <v>low</v>
      </c>
      <c r="U340" s="1" t="b">
        <f t="shared" si="30"/>
        <v>0</v>
      </c>
    </row>
    <row r="341" spans="1:21" x14ac:dyDescent="0.3">
      <c r="A341" s="5">
        <v>10340</v>
      </c>
      <c r="B341" s="1">
        <v>1863</v>
      </c>
      <c r="C341" s="2">
        <v>45140</v>
      </c>
      <c r="D341" s="2">
        <v>45144</v>
      </c>
      <c r="E341" s="1" t="s">
        <v>37</v>
      </c>
      <c r="F341" s="1" t="s">
        <v>29</v>
      </c>
      <c r="G341" s="1" t="s">
        <v>30</v>
      </c>
      <c r="H341" s="1" t="s">
        <v>42</v>
      </c>
      <c r="I341" s="1" t="s">
        <v>49</v>
      </c>
      <c r="J341" s="1" t="s">
        <v>50</v>
      </c>
      <c r="K341" s="1" t="s">
        <v>45</v>
      </c>
      <c r="L341" s="1">
        <v>9</v>
      </c>
      <c r="M341" s="1">
        <v>1404.42</v>
      </c>
      <c r="N341" s="1">
        <v>20</v>
      </c>
      <c r="O341" s="1">
        <v>10111.82</v>
      </c>
      <c r="P341" s="1">
        <f t="shared" si="26"/>
        <v>12639.78</v>
      </c>
      <c r="Q341" s="10">
        <f t="shared" si="27"/>
        <v>2022.364</v>
      </c>
      <c r="R341" s="11">
        <f t="shared" si="28"/>
        <v>10617.416000000001</v>
      </c>
      <c r="S341" s="1" t="str">
        <f t="shared" si="29"/>
        <v>High</v>
      </c>
      <c r="T341" s="1" t="str" cm="1">
        <f t="array" ref="T341">_xlfn.IFS(L341&gt;5,"High",L341=5,"mediam",L341&lt;5,"low")</f>
        <v>High</v>
      </c>
      <c r="U341" s="1" t="str">
        <f t="shared" si="30"/>
        <v>High</v>
      </c>
    </row>
    <row r="342" spans="1:21" x14ac:dyDescent="0.3">
      <c r="A342" s="5">
        <v>10341</v>
      </c>
      <c r="B342" s="1">
        <v>1710</v>
      </c>
      <c r="C342" s="2">
        <v>45042</v>
      </c>
      <c r="D342" s="2">
        <v>45048</v>
      </c>
      <c r="E342" s="1" t="s">
        <v>16</v>
      </c>
      <c r="F342" s="1" t="s">
        <v>29</v>
      </c>
      <c r="G342" s="1" t="s">
        <v>17</v>
      </c>
      <c r="H342" s="1" t="s">
        <v>35</v>
      </c>
      <c r="I342" s="1" t="s">
        <v>49</v>
      </c>
      <c r="J342" s="1" t="s">
        <v>51</v>
      </c>
      <c r="K342" s="1" t="s">
        <v>28</v>
      </c>
      <c r="L342" s="1">
        <v>4</v>
      </c>
      <c r="M342" s="1">
        <v>641.92999999999995</v>
      </c>
      <c r="N342" s="1">
        <v>0</v>
      </c>
      <c r="O342" s="1">
        <v>2567.7199999999998</v>
      </c>
      <c r="P342" s="1">
        <f t="shared" si="26"/>
        <v>2567.7199999999998</v>
      </c>
      <c r="Q342" s="10">
        <f t="shared" si="27"/>
        <v>0</v>
      </c>
      <c r="R342" s="11">
        <f t="shared" si="28"/>
        <v>2567.7199999999998</v>
      </c>
      <c r="S342" s="1" t="str">
        <f t="shared" si="29"/>
        <v>Low</v>
      </c>
      <c r="T342" s="1" t="str" cm="1">
        <f t="array" ref="T342">_xlfn.IFS(L342&gt;5,"High",L342=5,"mediam",L342&lt;5,"low")</f>
        <v>low</v>
      </c>
      <c r="U342" s="1" t="b">
        <f t="shared" si="30"/>
        <v>0</v>
      </c>
    </row>
    <row r="343" spans="1:21" x14ac:dyDescent="0.3">
      <c r="A343" s="5">
        <v>10342</v>
      </c>
      <c r="B343" s="1">
        <v>1819</v>
      </c>
      <c r="C343" s="2">
        <v>45018</v>
      </c>
      <c r="D343" s="2">
        <v>45019</v>
      </c>
      <c r="E343" s="1" t="s">
        <v>15</v>
      </c>
      <c r="F343" s="1" t="s">
        <v>54</v>
      </c>
      <c r="G343" s="1" t="s">
        <v>17</v>
      </c>
      <c r="H343" s="1" t="s">
        <v>35</v>
      </c>
      <c r="I343" s="1" t="s">
        <v>26</v>
      </c>
      <c r="J343" s="1" t="s">
        <v>27</v>
      </c>
      <c r="K343" s="1" t="s">
        <v>47</v>
      </c>
      <c r="L343" s="1">
        <v>5</v>
      </c>
      <c r="M343" s="1">
        <v>1853.11</v>
      </c>
      <c r="N343" s="1">
        <v>10</v>
      </c>
      <c r="O343" s="1">
        <v>8338.99</v>
      </c>
      <c r="P343" s="1">
        <f t="shared" si="26"/>
        <v>9265.5499999999993</v>
      </c>
      <c r="Q343" s="10">
        <f t="shared" si="27"/>
        <v>833.899</v>
      </c>
      <c r="R343" s="11">
        <f t="shared" si="28"/>
        <v>8431.6509999999998</v>
      </c>
      <c r="S343" s="1" t="str">
        <f t="shared" si="29"/>
        <v>High</v>
      </c>
      <c r="T343" s="1" t="str" cm="1">
        <f t="array" ref="T343">_xlfn.IFS(L343&gt;5,"High",L343=5,"mediam",L343&lt;5,"low")</f>
        <v>mediam</v>
      </c>
      <c r="U343" s="1" t="b">
        <f t="shared" si="30"/>
        <v>0</v>
      </c>
    </row>
    <row r="344" spans="1:21" x14ac:dyDescent="0.3">
      <c r="A344" s="5">
        <v>10343</v>
      </c>
      <c r="B344" s="1">
        <v>1488</v>
      </c>
      <c r="C344" s="2">
        <v>45196</v>
      </c>
      <c r="D344" s="2">
        <v>45204</v>
      </c>
      <c r="E344" s="1" t="s">
        <v>46</v>
      </c>
      <c r="F344" s="1" t="s">
        <v>23</v>
      </c>
      <c r="G344" s="1" t="s">
        <v>17</v>
      </c>
      <c r="H344" s="1" t="s">
        <v>18</v>
      </c>
      <c r="I344" s="1" t="s">
        <v>49</v>
      </c>
      <c r="J344" s="1" t="s">
        <v>51</v>
      </c>
      <c r="K344" s="1" t="s">
        <v>21</v>
      </c>
      <c r="L344" s="1">
        <v>7</v>
      </c>
      <c r="M344" s="1">
        <v>313.51</v>
      </c>
      <c r="N344" s="1">
        <v>0</v>
      </c>
      <c r="O344" s="1">
        <v>2194.5700000000002</v>
      </c>
      <c r="P344" s="1">
        <f t="shared" si="26"/>
        <v>2194.5699999999997</v>
      </c>
      <c r="Q344" s="10">
        <f t="shared" si="27"/>
        <v>0</v>
      </c>
      <c r="R344" s="11">
        <f t="shared" si="28"/>
        <v>2194.5699999999997</v>
      </c>
      <c r="S344" s="1" t="str">
        <f t="shared" si="29"/>
        <v>High</v>
      </c>
      <c r="T344" s="1" t="str" cm="1">
        <f t="array" ref="T344">_xlfn.IFS(L344&gt;5,"High",L344=5,"mediam",L344&lt;5,"low")</f>
        <v>High</v>
      </c>
      <c r="U344" s="1" t="str">
        <f t="shared" si="30"/>
        <v>High</v>
      </c>
    </row>
    <row r="345" spans="1:21" x14ac:dyDescent="0.3">
      <c r="A345" s="5">
        <v>10344</v>
      </c>
      <c r="B345" s="1">
        <v>1928</v>
      </c>
      <c r="C345" s="2">
        <v>45094</v>
      </c>
      <c r="D345" s="2">
        <v>45101</v>
      </c>
      <c r="E345" s="1" t="s">
        <v>22</v>
      </c>
      <c r="F345" s="1" t="s">
        <v>29</v>
      </c>
      <c r="G345" s="1" t="s">
        <v>30</v>
      </c>
      <c r="H345" s="1" t="s">
        <v>44</v>
      </c>
      <c r="I345" s="1" t="s">
        <v>52</v>
      </c>
      <c r="J345" s="1" t="s">
        <v>56</v>
      </c>
      <c r="K345" s="1" t="s">
        <v>33</v>
      </c>
      <c r="L345" s="1">
        <v>4</v>
      </c>
      <c r="M345" s="1">
        <v>2785.81</v>
      </c>
      <c r="N345" s="1">
        <v>20</v>
      </c>
      <c r="O345" s="1">
        <v>8914.59</v>
      </c>
      <c r="P345" s="1">
        <f t="shared" si="26"/>
        <v>11143.24</v>
      </c>
      <c r="Q345" s="10">
        <f t="shared" si="27"/>
        <v>1782.9180000000001</v>
      </c>
      <c r="R345" s="11">
        <f t="shared" si="28"/>
        <v>9360.3220000000001</v>
      </c>
      <c r="S345" s="1" t="str">
        <f t="shared" si="29"/>
        <v>Low</v>
      </c>
      <c r="T345" s="1" t="str" cm="1">
        <f t="array" ref="T345">_xlfn.IFS(L345&gt;5,"High",L345=5,"mediam",L345&lt;5,"low")</f>
        <v>low</v>
      </c>
      <c r="U345" s="1" t="b">
        <f t="shared" si="30"/>
        <v>0</v>
      </c>
    </row>
    <row r="346" spans="1:21" x14ac:dyDescent="0.3">
      <c r="A346" s="5">
        <v>10345</v>
      </c>
      <c r="B346" s="1">
        <v>1935</v>
      </c>
      <c r="C346" s="2">
        <v>44984</v>
      </c>
      <c r="D346" s="2">
        <v>44993</v>
      </c>
      <c r="E346" s="1" t="s">
        <v>34</v>
      </c>
      <c r="F346" s="1" t="s">
        <v>29</v>
      </c>
      <c r="G346" s="1" t="s">
        <v>30</v>
      </c>
      <c r="H346" s="1" t="s">
        <v>42</v>
      </c>
      <c r="I346" s="1" t="s">
        <v>26</v>
      </c>
      <c r="J346" s="1" t="s">
        <v>36</v>
      </c>
      <c r="K346" s="1" t="s">
        <v>45</v>
      </c>
      <c r="L346" s="1">
        <v>1</v>
      </c>
      <c r="M346" s="1">
        <v>3625.42</v>
      </c>
      <c r="N346" s="1">
        <v>10</v>
      </c>
      <c r="O346" s="1">
        <v>3262.88</v>
      </c>
      <c r="P346" s="1">
        <f t="shared" si="26"/>
        <v>3625.42</v>
      </c>
      <c r="Q346" s="10">
        <f t="shared" si="27"/>
        <v>326.28800000000001</v>
      </c>
      <c r="R346" s="11">
        <f t="shared" si="28"/>
        <v>3299.1320000000001</v>
      </c>
      <c r="S346" s="1" t="str">
        <f t="shared" si="29"/>
        <v>Low</v>
      </c>
      <c r="T346" s="1" t="str" cm="1">
        <f t="array" ref="T346">_xlfn.IFS(L346&gt;5,"High",L346=5,"mediam",L346&lt;5,"low")</f>
        <v>low</v>
      </c>
      <c r="U346" s="1" t="b">
        <f t="shared" si="30"/>
        <v>0</v>
      </c>
    </row>
    <row r="347" spans="1:21" x14ac:dyDescent="0.3">
      <c r="A347" s="5">
        <v>10346</v>
      </c>
      <c r="B347" s="1">
        <v>1639</v>
      </c>
      <c r="C347" s="2">
        <v>45210</v>
      </c>
      <c r="D347" s="2">
        <v>45213</v>
      </c>
      <c r="E347" s="1" t="s">
        <v>40</v>
      </c>
      <c r="F347" s="1" t="s">
        <v>23</v>
      </c>
      <c r="G347" s="1" t="s">
        <v>17</v>
      </c>
      <c r="H347" s="1" t="s">
        <v>18</v>
      </c>
      <c r="I347" s="1" t="s">
        <v>26</v>
      </c>
      <c r="J347" s="1" t="s">
        <v>36</v>
      </c>
      <c r="K347" s="1" t="s">
        <v>47</v>
      </c>
      <c r="L347" s="1">
        <v>9</v>
      </c>
      <c r="M347" s="1">
        <v>3373.46</v>
      </c>
      <c r="N347" s="1">
        <v>10</v>
      </c>
      <c r="O347" s="1">
        <v>27325.03</v>
      </c>
      <c r="P347" s="1">
        <f t="shared" si="26"/>
        <v>30361.14</v>
      </c>
      <c r="Q347" s="10">
        <f t="shared" si="27"/>
        <v>2732.5030000000002</v>
      </c>
      <c r="R347" s="11">
        <f t="shared" si="28"/>
        <v>27628.636999999999</v>
      </c>
      <c r="S347" s="1" t="str">
        <f t="shared" si="29"/>
        <v>High</v>
      </c>
      <c r="T347" s="1" t="str" cm="1">
        <f t="array" ref="T347">_xlfn.IFS(L347&gt;5,"High",L347=5,"mediam",L347&lt;5,"low")</f>
        <v>High</v>
      </c>
      <c r="U347" s="1" t="str">
        <f t="shared" si="30"/>
        <v>High</v>
      </c>
    </row>
    <row r="348" spans="1:21" x14ac:dyDescent="0.3">
      <c r="A348" s="5">
        <v>10347</v>
      </c>
      <c r="B348" s="1">
        <v>1550</v>
      </c>
      <c r="C348" s="2">
        <v>44952</v>
      </c>
      <c r="D348" s="2">
        <v>44954</v>
      </c>
      <c r="E348" s="1" t="s">
        <v>15</v>
      </c>
      <c r="F348" s="1" t="s">
        <v>29</v>
      </c>
      <c r="G348" s="1" t="s">
        <v>24</v>
      </c>
      <c r="H348" s="1" t="s">
        <v>44</v>
      </c>
      <c r="I348" s="1" t="s">
        <v>19</v>
      </c>
      <c r="J348" s="1" t="s">
        <v>20</v>
      </c>
      <c r="K348" s="1" t="s">
        <v>45</v>
      </c>
      <c r="L348" s="1">
        <v>4</v>
      </c>
      <c r="M348" s="1">
        <v>640.37</v>
      </c>
      <c r="N348" s="1">
        <v>20</v>
      </c>
      <c r="O348" s="1">
        <v>2049.1799999999998</v>
      </c>
      <c r="P348" s="1">
        <f t="shared" si="26"/>
        <v>2561.48</v>
      </c>
      <c r="Q348" s="10">
        <f t="shared" si="27"/>
        <v>409.83600000000001</v>
      </c>
      <c r="R348" s="11">
        <f t="shared" si="28"/>
        <v>2151.6440000000002</v>
      </c>
      <c r="S348" s="1" t="str">
        <f t="shared" si="29"/>
        <v>Low</v>
      </c>
      <c r="T348" s="1" t="str" cm="1">
        <f t="array" ref="T348">_xlfn.IFS(L348&gt;5,"High",L348=5,"mediam",L348&lt;5,"low")</f>
        <v>low</v>
      </c>
      <c r="U348" s="1" t="b">
        <f t="shared" si="30"/>
        <v>0</v>
      </c>
    </row>
    <row r="349" spans="1:21" x14ac:dyDescent="0.3">
      <c r="A349" s="5">
        <v>10348</v>
      </c>
      <c r="B349" s="1">
        <v>1337</v>
      </c>
      <c r="C349" s="2">
        <v>44992</v>
      </c>
      <c r="D349" s="2">
        <v>44993</v>
      </c>
      <c r="E349" s="1" t="s">
        <v>15</v>
      </c>
      <c r="F349" s="1" t="s">
        <v>29</v>
      </c>
      <c r="G349" s="1" t="s">
        <v>17</v>
      </c>
      <c r="H349" s="1" t="s">
        <v>42</v>
      </c>
      <c r="I349" s="1" t="s">
        <v>49</v>
      </c>
      <c r="J349" s="1" t="s">
        <v>68</v>
      </c>
      <c r="K349" s="1" t="s">
        <v>47</v>
      </c>
      <c r="L349" s="1">
        <v>9</v>
      </c>
      <c r="M349" s="1">
        <v>636.14</v>
      </c>
      <c r="N349" s="1">
        <v>20</v>
      </c>
      <c r="O349" s="1">
        <v>4580.21</v>
      </c>
      <c r="P349" s="1">
        <f t="shared" si="26"/>
        <v>5725.26</v>
      </c>
      <c r="Q349" s="10">
        <f t="shared" si="27"/>
        <v>916.04200000000003</v>
      </c>
      <c r="R349" s="11">
        <f t="shared" si="28"/>
        <v>4809.2179999999998</v>
      </c>
      <c r="S349" s="1" t="str">
        <f t="shared" si="29"/>
        <v>High</v>
      </c>
      <c r="T349" s="1" t="str" cm="1">
        <f t="array" ref="T349">_xlfn.IFS(L349&gt;5,"High",L349=5,"mediam",L349&lt;5,"low")</f>
        <v>High</v>
      </c>
      <c r="U349" s="1" t="str">
        <f t="shared" si="30"/>
        <v>High</v>
      </c>
    </row>
    <row r="350" spans="1:21" x14ac:dyDescent="0.3">
      <c r="A350" s="5">
        <v>10349</v>
      </c>
      <c r="B350" s="1">
        <v>1871</v>
      </c>
      <c r="C350" s="2">
        <v>45174</v>
      </c>
      <c r="D350" s="2">
        <v>45177</v>
      </c>
      <c r="E350" s="1" t="s">
        <v>34</v>
      </c>
      <c r="F350" s="1" t="s">
        <v>29</v>
      </c>
      <c r="G350" s="1" t="s">
        <v>30</v>
      </c>
      <c r="H350" s="1" t="s">
        <v>25</v>
      </c>
      <c r="I350" s="1" t="s">
        <v>19</v>
      </c>
      <c r="J350" s="1" t="s">
        <v>55</v>
      </c>
      <c r="K350" s="1" t="s">
        <v>47</v>
      </c>
      <c r="L350" s="1">
        <v>6</v>
      </c>
      <c r="M350" s="1">
        <v>3281.72</v>
      </c>
      <c r="N350" s="1">
        <v>5</v>
      </c>
      <c r="O350" s="1">
        <v>18705.8</v>
      </c>
      <c r="P350" s="1">
        <f t="shared" si="26"/>
        <v>19690.32</v>
      </c>
      <c r="Q350" s="10">
        <f t="shared" si="27"/>
        <v>935.29</v>
      </c>
      <c r="R350" s="11">
        <f t="shared" si="28"/>
        <v>18755.03</v>
      </c>
      <c r="S350" s="1" t="str">
        <f t="shared" si="29"/>
        <v>High</v>
      </c>
      <c r="T350" s="1" t="str" cm="1">
        <f t="array" ref="T350">_xlfn.IFS(L350&gt;5,"High",L350=5,"mediam",L350&lt;5,"low")</f>
        <v>High</v>
      </c>
      <c r="U350" s="1" t="str">
        <f t="shared" si="30"/>
        <v>High</v>
      </c>
    </row>
    <row r="351" spans="1:21" x14ac:dyDescent="0.3">
      <c r="A351" s="5">
        <v>10350</v>
      </c>
      <c r="B351" s="1">
        <v>1640</v>
      </c>
      <c r="C351" s="2">
        <v>45180</v>
      </c>
      <c r="D351" s="2">
        <v>45185</v>
      </c>
      <c r="E351" s="1" t="s">
        <v>15</v>
      </c>
      <c r="F351" s="1" t="s">
        <v>41</v>
      </c>
      <c r="G351" s="1" t="s">
        <v>17</v>
      </c>
      <c r="H351" s="1" t="s">
        <v>44</v>
      </c>
      <c r="I351" s="1" t="s">
        <v>57</v>
      </c>
      <c r="J351" s="1" t="s">
        <v>62</v>
      </c>
      <c r="K351" s="1" t="s">
        <v>21</v>
      </c>
      <c r="L351" s="1">
        <v>1</v>
      </c>
      <c r="M351" s="1">
        <v>3708.38</v>
      </c>
      <c r="N351" s="1">
        <v>20</v>
      </c>
      <c r="O351" s="1">
        <v>2966.7</v>
      </c>
      <c r="P351" s="1">
        <f t="shared" si="26"/>
        <v>3708.38</v>
      </c>
      <c r="Q351" s="10">
        <f t="shared" si="27"/>
        <v>593.34</v>
      </c>
      <c r="R351" s="11">
        <f t="shared" si="28"/>
        <v>3115.04</v>
      </c>
      <c r="S351" s="1" t="str">
        <f t="shared" si="29"/>
        <v>Low</v>
      </c>
      <c r="T351" s="1" t="str" cm="1">
        <f t="array" ref="T351">_xlfn.IFS(L351&gt;5,"High",L351=5,"mediam",L351&lt;5,"low")</f>
        <v>low</v>
      </c>
      <c r="U351" s="1" t="b">
        <f t="shared" si="30"/>
        <v>0</v>
      </c>
    </row>
    <row r="352" spans="1:21" x14ac:dyDescent="0.3">
      <c r="A352" s="5">
        <v>10351</v>
      </c>
      <c r="B352" s="1">
        <v>1778</v>
      </c>
      <c r="C352" s="2">
        <v>44970</v>
      </c>
      <c r="D352" s="2">
        <v>44972</v>
      </c>
      <c r="E352" s="1" t="s">
        <v>46</v>
      </c>
      <c r="F352" s="1" t="s">
        <v>16</v>
      </c>
      <c r="G352" s="1" t="s">
        <v>30</v>
      </c>
      <c r="H352" s="1" t="s">
        <v>35</v>
      </c>
      <c r="I352" s="1" t="s">
        <v>31</v>
      </c>
      <c r="J352" s="1" t="s">
        <v>32</v>
      </c>
      <c r="K352" s="1" t="s">
        <v>45</v>
      </c>
      <c r="L352" s="1">
        <v>3</v>
      </c>
      <c r="M352" s="1">
        <v>1923.58</v>
      </c>
      <c r="N352" s="1">
        <v>15</v>
      </c>
      <c r="O352" s="1">
        <v>4905.13</v>
      </c>
      <c r="P352" s="1">
        <f t="shared" si="26"/>
        <v>5770.74</v>
      </c>
      <c r="Q352" s="10">
        <f t="shared" si="27"/>
        <v>735.76949999999999</v>
      </c>
      <c r="R352" s="11">
        <f t="shared" si="28"/>
        <v>5034.9704999999994</v>
      </c>
      <c r="S352" s="1" t="str">
        <f t="shared" si="29"/>
        <v>Low</v>
      </c>
      <c r="T352" s="1" t="str" cm="1">
        <f t="array" ref="T352">_xlfn.IFS(L352&gt;5,"High",L352=5,"mediam",L352&lt;5,"low")</f>
        <v>low</v>
      </c>
      <c r="U352" s="1" t="b">
        <f t="shared" si="30"/>
        <v>0</v>
      </c>
    </row>
    <row r="353" spans="1:21" x14ac:dyDescent="0.3">
      <c r="A353" s="5">
        <v>10352</v>
      </c>
      <c r="B353" s="1">
        <v>1987</v>
      </c>
      <c r="C353" s="2">
        <v>45023</v>
      </c>
      <c r="D353" s="2">
        <v>45026</v>
      </c>
      <c r="E353" s="1" t="s">
        <v>46</v>
      </c>
      <c r="F353" s="1" t="s">
        <v>23</v>
      </c>
      <c r="G353" s="1" t="s">
        <v>30</v>
      </c>
      <c r="H353" s="1" t="s">
        <v>18</v>
      </c>
      <c r="I353" s="1" t="s">
        <v>26</v>
      </c>
      <c r="J353" s="1" t="s">
        <v>36</v>
      </c>
      <c r="K353" s="1" t="s">
        <v>45</v>
      </c>
      <c r="L353" s="1">
        <v>2</v>
      </c>
      <c r="M353" s="1">
        <v>2071.04</v>
      </c>
      <c r="N353" s="1">
        <v>20</v>
      </c>
      <c r="O353" s="1">
        <v>3313.66</v>
      </c>
      <c r="P353" s="1">
        <f t="shared" si="26"/>
        <v>4142.08</v>
      </c>
      <c r="Q353" s="10">
        <f t="shared" si="27"/>
        <v>662.73199999999997</v>
      </c>
      <c r="R353" s="11">
        <f t="shared" si="28"/>
        <v>3479.348</v>
      </c>
      <c r="S353" s="1" t="str">
        <f t="shared" si="29"/>
        <v>Low</v>
      </c>
      <c r="T353" s="1" t="str" cm="1">
        <f t="array" ref="T353">_xlfn.IFS(L353&gt;5,"High",L353=5,"mediam",L353&lt;5,"low")</f>
        <v>low</v>
      </c>
      <c r="U353" s="1" t="b">
        <f t="shared" si="30"/>
        <v>0</v>
      </c>
    </row>
    <row r="354" spans="1:21" x14ac:dyDescent="0.3">
      <c r="A354" s="5">
        <v>10353</v>
      </c>
      <c r="B354" s="1">
        <v>1952</v>
      </c>
      <c r="C354" s="2">
        <v>44968</v>
      </c>
      <c r="D354" s="2">
        <v>44972</v>
      </c>
      <c r="E354" s="1" t="s">
        <v>34</v>
      </c>
      <c r="F354" s="1" t="s">
        <v>29</v>
      </c>
      <c r="G354" s="1" t="s">
        <v>30</v>
      </c>
      <c r="H354" s="1" t="s">
        <v>44</v>
      </c>
      <c r="I354" s="1" t="s">
        <v>57</v>
      </c>
      <c r="J354" s="1" t="s">
        <v>67</v>
      </c>
      <c r="K354" s="1" t="s">
        <v>33</v>
      </c>
      <c r="L354" s="1">
        <v>9</v>
      </c>
      <c r="M354" s="1">
        <v>1375.31</v>
      </c>
      <c r="N354" s="1">
        <v>15</v>
      </c>
      <c r="O354" s="1">
        <v>10521.12</v>
      </c>
      <c r="P354" s="1">
        <f t="shared" si="26"/>
        <v>12377.789999999999</v>
      </c>
      <c r="Q354" s="10">
        <f t="shared" si="27"/>
        <v>1578.1680000000001</v>
      </c>
      <c r="R354" s="11">
        <f t="shared" si="28"/>
        <v>10799.621999999999</v>
      </c>
      <c r="S354" s="1" t="str">
        <f t="shared" si="29"/>
        <v>High</v>
      </c>
      <c r="T354" s="1" t="str" cm="1">
        <f t="array" ref="T354">_xlfn.IFS(L354&gt;5,"High",L354=5,"mediam",L354&lt;5,"low")</f>
        <v>High</v>
      </c>
      <c r="U354" s="1" t="str">
        <f t="shared" si="30"/>
        <v>High</v>
      </c>
    </row>
    <row r="355" spans="1:21" x14ac:dyDescent="0.3">
      <c r="A355" s="5">
        <v>10354</v>
      </c>
      <c r="B355" s="1">
        <v>1472</v>
      </c>
      <c r="C355" s="2">
        <v>45153</v>
      </c>
      <c r="D355" s="2">
        <v>45160</v>
      </c>
      <c r="E355" s="1" t="s">
        <v>40</v>
      </c>
      <c r="F355" s="1" t="s">
        <v>41</v>
      </c>
      <c r="G355" s="1" t="s">
        <v>17</v>
      </c>
      <c r="H355" s="1" t="s">
        <v>44</v>
      </c>
      <c r="I355" s="1" t="s">
        <v>57</v>
      </c>
      <c r="J355" s="1" t="s">
        <v>58</v>
      </c>
      <c r="K355" s="1" t="s">
        <v>33</v>
      </c>
      <c r="L355" s="1">
        <v>1</v>
      </c>
      <c r="M355" s="1">
        <v>3592.92</v>
      </c>
      <c r="N355" s="1">
        <v>20</v>
      </c>
      <c r="O355" s="1">
        <v>2874.34</v>
      </c>
      <c r="P355" s="1">
        <f t="shared" si="26"/>
        <v>3592.92</v>
      </c>
      <c r="Q355" s="10">
        <f t="shared" si="27"/>
        <v>574.86800000000005</v>
      </c>
      <c r="R355" s="11">
        <f t="shared" si="28"/>
        <v>3018.0520000000001</v>
      </c>
      <c r="S355" s="1" t="str">
        <f t="shared" si="29"/>
        <v>Low</v>
      </c>
      <c r="T355" s="1" t="str" cm="1">
        <f t="array" ref="T355">_xlfn.IFS(L355&gt;5,"High",L355=5,"mediam",L355&lt;5,"low")</f>
        <v>low</v>
      </c>
      <c r="U355" s="1" t="b">
        <f t="shared" si="30"/>
        <v>0</v>
      </c>
    </row>
    <row r="356" spans="1:21" x14ac:dyDescent="0.3">
      <c r="A356" s="5">
        <v>10355</v>
      </c>
      <c r="B356" s="1">
        <v>1945</v>
      </c>
      <c r="C356" s="2">
        <v>45188</v>
      </c>
      <c r="D356" s="2">
        <v>45191</v>
      </c>
      <c r="E356" s="1" t="s">
        <v>37</v>
      </c>
      <c r="F356" s="1" t="s">
        <v>23</v>
      </c>
      <c r="G356" s="1" t="s">
        <v>30</v>
      </c>
      <c r="H356" s="1" t="s">
        <v>35</v>
      </c>
      <c r="I356" s="1" t="s">
        <v>52</v>
      </c>
      <c r="J356" s="1" t="s">
        <v>53</v>
      </c>
      <c r="K356" s="1" t="s">
        <v>21</v>
      </c>
      <c r="L356" s="1">
        <v>9</v>
      </c>
      <c r="M356" s="1">
        <v>2632.88</v>
      </c>
      <c r="N356" s="1">
        <v>5</v>
      </c>
      <c r="O356" s="1">
        <v>22511.119999999999</v>
      </c>
      <c r="P356" s="1">
        <f t="shared" si="26"/>
        <v>23695.920000000002</v>
      </c>
      <c r="Q356" s="10">
        <f t="shared" si="27"/>
        <v>1125.556</v>
      </c>
      <c r="R356" s="11">
        <f t="shared" si="28"/>
        <v>22570.364000000001</v>
      </c>
      <c r="S356" s="1" t="str">
        <f t="shared" si="29"/>
        <v>High</v>
      </c>
      <c r="T356" s="1" t="str" cm="1">
        <f t="array" ref="T356">_xlfn.IFS(L356&gt;5,"High",L356=5,"mediam",L356&lt;5,"low")</f>
        <v>High</v>
      </c>
      <c r="U356" s="1" t="str">
        <f t="shared" si="30"/>
        <v>High</v>
      </c>
    </row>
    <row r="357" spans="1:21" x14ac:dyDescent="0.3">
      <c r="A357" s="5">
        <v>10356</v>
      </c>
      <c r="B357" s="1">
        <v>1150</v>
      </c>
      <c r="C357" s="2">
        <v>45093</v>
      </c>
      <c r="D357" s="2">
        <v>45102</v>
      </c>
      <c r="E357" s="1" t="s">
        <v>16</v>
      </c>
      <c r="F357" s="1" t="s">
        <v>38</v>
      </c>
      <c r="G357" s="1" t="s">
        <v>30</v>
      </c>
      <c r="H357" s="1" t="s">
        <v>42</v>
      </c>
      <c r="I357" s="1" t="s">
        <v>31</v>
      </c>
      <c r="J357" s="1" t="s">
        <v>48</v>
      </c>
      <c r="K357" s="1" t="s">
        <v>21</v>
      </c>
      <c r="L357" s="1">
        <v>9</v>
      </c>
      <c r="M357" s="1">
        <v>1259.77</v>
      </c>
      <c r="N357" s="1">
        <v>15</v>
      </c>
      <c r="O357" s="1">
        <v>9637.24</v>
      </c>
      <c r="P357" s="1">
        <f t="shared" si="26"/>
        <v>11337.93</v>
      </c>
      <c r="Q357" s="10">
        <f t="shared" si="27"/>
        <v>1445.586</v>
      </c>
      <c r="R357" s="11">
        <f t="shared" si="28"/>
        <v>9892.344000000001</v>
      </c>
      <c r="S357" s="1" t="str">
        <f t="shared" si="29"/>
        <v>High</v>
      </c>
      <c r="T357" s="1" t="str" cm="1">
        <f t="array" ref="T357">_xlfn.IFS(L357&gt;5,"High",L357=5,"mediam",L357&lt;5,"low")</f>
        <v>High</v>
      </c>
      <c r="U357" s="1" t="str">
        <f t="shared" si="30"/>
        <v>High</v>
      </c>
    </row>
    <row r="358" spans="1:21" x14ac:dyDescent="0.3">
      <c r="A358" s="5">
        <v>10357</v>
      </c>
      <c r="B358" s="1">
        <v>1414</v>
      </c>
      <c r="C358" s="2">
        <v>45205</v>
      </c>
      <c r="D358" s="2">
        <v>45213</v>
      </c>
      <c r="E358" s="1" t="s">
        <v>37</v>
      </c>
      <c r="F358" s="1" t="s">
        <v>38</v>
      </c>
      <c r="G358" s="1" t="s">
        <v>17</v>
      </c>
      <c r="H358" s="1" t="s">
        <v>25</v>
      </c>
      <c r="I358" s="1" t="s">
        <v>57</v>
      </c>
      <c r="J358" s="1" t="s">
        <v>58</v>
      </c>
      <c r="K358" s="1" t="s">
        <v>28</v>
      </c>
      <c r="L358" s="1">
        <v>8</v>
      </c>
      <c r="M358" s="1">
        <v>1300.31</v>
      </c>
      <c r="N358" s="1">
        <v>0</v>
      </c>
      <c r="O358" s="1">
        <v>10402.48</v>
      </c>
      <c r="P358" s="1">
        <f t="shared" si="26"/>
        <v>10402.48</v>
      </c>
      <c r="Q358" s="10">
        <f t="shared" si="27"/>
        <v>0</v>
      </c>
      <c r="R358" s="11">
        <f t="shared" si="28"/>
        <v>10402.48</v>
      </c>
      <c r="S358" s="1" t="str">
        <f t="shared" si="29"/>
        <v>High</v>
      </c>
      <c r="T358" s="1" t="str" cm="1">
        <f t="array" ref="T358">_xlfn.IFS(L358&gt;5,"High",L358=5,"mediam",L358&lt;5,"low")</f>
        <v>High</v>
      </c>
      <c r="U358" s="1" t="str">
        <f t="shared" si="30"/>
        <v>High</v>
      </c>
    </row>
    <row r="359" spans="1:21" x14ac:dyDescent="0.3">
      <c r="A359" s="5">
        <v>10358</v>
      </c>
      <c r="B359" s="1">
        <v>1989</v>
      </c>
      <c r="C359" s="2">
        <v>45015</v>
      </c>
      <c r="D359" s="2">
        <v>45019</v>
      </c>
      <c r="E359" s="1" t="s">
        <v>15</v>
      </c>
      <c r="F359" s="1" t="s">
        <v>29</v>
      </c>
      <c r="G359" s="1" t="s">
        <v>30</v>
      </c>
      <c r="H359" s="1" t="s">
        <v>35</v>
      </c>
      <c r="I359" s="1" t="s">
        <v>57</v>
      </c>
      <c r="J359" s="1" t="s">
        <v>58</v>
      </c>
      <c r="K359" s="1" t="s">
        <v>33</v>
      </c>
      <c r="L359" s="1">
        <v>8</v>
      </c>
      <c r="M359" s="1">
        <v>3581.12</v>
      </c>
      <c r="N359" s="1">
        <v>15</v>
      </c>
      <c r="O359" s="1">
        <v>24351.62</v>
      </c>
      <c r="P359" s="1">
        <f t="shared" si="26"/>
        <v>28648.959999999999</v>
      </c>
      <c r="Q359" s="10">
        <f t="shared" si="27"/>
        <v>3652.7429999999999</v>
      </c>
      <c r="R359" s="11">
        <f t="shared" si="28"/>
        <v>24996.217000000001</v>
      </c>
      <c r="S359" s="1" t="str">
        <f t="shared" si="29"/>
        <v>High</v>
      </c>
      <c r="T359" s="1" t="str" cm="1">
        <f t="array" ref="T359">_xlfn.IFS(L359&gt;5,"High",L359=5,"mediam",L359&lt;5,"low")</f>
        <v>High</v>
      </c>
      <c r="U359" s="1" t="str">
        <f t="shared" si="30"/>
        <v>High</v>
      </c>
    </row>
    <row r="360" spans="1:21" x14ac:dyDescent="0.3">
      <c r="A360" s="5">
        <v>10359</v>
      </c>
      <c r="B360" s="1">
        <v>1297</v>
      </c>
      <c r="C360" s="2">
        <v>45104</v>
      </c>
      <c r="D360" s="2">
        <v>45105</v>
      </c>
      <c r="E360" s="1" t="s">
        <v>16</v>
      </c>
      <c r="F360" s="1" t="s">
        <v>41</v>
      </c>
      <c r="G360" s="1" t="s">
        <v>17</v>
      </c>
      <c r="H360" s="1" t="s">
        <v>25</v>
      </c>
      <c r="I360" s="1" t="s">
        <v>31</v>
      </c>
      <c r="J360" s="1" t="s">
        <v>48</v>
      </c>
      <c r="K360" s="1" t="s">
        <v>47</v>
      </c>
      <c r="L360" s="1">
        <v>1</v>
      </c>
      <c r="M360" s="1">
        <v>202.49</v>
      </c>
      <c r="N360" s="1">
        <v>5</v>
      </c>
      <c r="O360" s="1">
        <v>192.37</v>
      </c>
      <c r="P360" s="1">
        <f t="shared" si="26"/>
        <v>202.49</v>
      </c>
      <c r="Q360" s="10">
        <f t="shared" si="27"/>
        <v>9.6185000000000009</v>
      </c>
      <c r="R360" s="11">
        <f t="shared" si="28"/>
        <v>192.8715</v>
      </c>
      <c r="S360" s="1" t="str">
        <f t="shared" si="29"/>
        <v>Low</v>
      </c>
      <c r="T360" s="1" t="str" cm="1">
        <f t="array" ref="T360">_xlfn.IFS(L360&gt;5,"High",L360=5,"mediam",L360&lt;5,"low")</f>
        <v>low</v>
      </c>
      <c r="U360" s="1" t="b">
        <f t="shared" si="30"/>
        <v>0</v>
      </c>
    </row>
    <row r="361" spans="1:21" x14ac:dyDescent="0.3">
      <c r="A361" s="5">
        <v>10360</v>
      </c>
      <c r="B361" s="1">
        <v>1610</v>
      </c>
      <c r="C361" s="2">
        <v>45123</v>
      </c>
      <c r="D361" s="2">
        <v>45124</v>
      </c>
      <c r="E361" s="1" t="s">
        <v>34</v>
      </c>
      <c r="F361" s="1" t="s">
        <v>41</v>
      </c>
      <c r="G361" s="1" t="s">
        <v>30</v>
      </c>
      <c r="H361" s="1" t="s">
        <v>42</v>
      </c>
      <c r="I361" s="1" t="s">
        <v>31</v>
      </c>
      <c r="J361" s="1" t="s">
        <v>32</v>
      </c>
      <c r="K361" s="1" t="s">
        <v>45</v>
      </c>
      <c r="L361" s="1">
        <v>8</v>
      </c>
      <c r="M361" s="1">
        <v>1392.5</v>
      </c>
      <c r="N361" s="1">
        <v>15</v>
      </c>
      <c r="O361" s="1">
        <v>9469</v>
      </c>
      <c r="P361" s="1">
        <f t="shared" si="26"/>
        <v>11140</v>
      </c>
      <c r="Q361" s="10">
        <f t="shared" si="27"/>
        <v>1420.35</v>
      </c>
      <c r="R361" s="11">
        <f t="shared" si="28"/>
        <v>9719.65</v>
      </c>
      <c r="S361" s="1" t="str">
        <f t="shared" si="29"/>
        <v>High</v>
      </c>
      <c r="T361" s="1" t="str" cm="1">
        <f t="array" ref="T361">_xlfn.IFS(L361&gt;5,"High",L361=5,"mediam",L361&lt;5,"low")</f>
        <v>High</v>
      </c>
      <c r="U361" s="1" t="str">
        <f t="shared" si="30"/>
        <v>High</v>
      </c>
    </row>
    <row r="362" spans="1:21" x14ac:dyDescent="0.3">
      <c r="A362" s="5">
        <v>10361</v>
      </c>
      <c r="B362" s="1">
        <v>1262</v>
      </c>
      <c r="C362" s="2">
        <v>45233</v>
      </c>
      <c r="D362" s="2">
        <v>45234</v>
      </c>
      <c r="E362" s="1" t="s">
        <v>34</v>
      </c>
      <c r="F362" s="1" t="s">
        <v>23</v>
      </c>
      <c r="G362" s="1" t="s">
        <v>24</v>
      </c>
      <c r="H362" s="1" t="s">
        <v>44</v>
      </c>
      <c r="I362" s="1" t="s">
        <v>57</v>
      </c>
      <c r="J362" s="1" t="s">
        <v>59</v>
      </c>
      <c r="K362" s="1" t="s">
        <v>21</v>
      </c>
      <c r="L362" s="1">
        <v>3</v>
      </c>
      <c r="M362" s="1">
        <v>2284.27</v>
      </c>
      <c r="N362" s="1">
        <v>20</v>
      </c>
      <c r="O362" s="1">
        <v>5482.25</v>
      </c>
      <c r="P362" s="1">
        <f t="shared" si="26"/>
        <v>6852.8099999999995</v>
      </c>
      <c r="Q362" s="10">
        <f t="shared" si="27"/>
        <v>1096.45</v>
      </c>
      <c r="R362" s="11">
        <f t="shared" si="28"/>
        <v>5756.36</v>
      </c>
      <c r="S362" s="1" t="str">
        <f t="shared" si="29"/>
        <v>Low</v>
      </c>
      <c r="T362" s="1" t="str" cm="1">
        <f t="array" ref="T362">_xlfn.IFS(L362&gt;5,"High",L362=5,"mediam",L362&lt;5,"low")</f>
        <v>low</v>
      </c>
      <c r="U362" s="1" t="b">
        <f t="shared" si="30"/>
        <v>0</v>
      </c>
    </row>
    <row r="363" spans="1:21" x14ac:dyDescent="0.3">
      <c r="A363" s="5">
        <v>10362</v>
      </c>
      <c r="B363" s="1">
        <v>1763</v>
      </c>
      <c r="C363" s="2">
        <v>45193</v>
      </c>
      <c r="D363" s="2">
        <v>45194</v>
      </c>
      <c r="E363" s="1" t="s">
        <v>40</v>
      </c>
      <c r="F363" s="1" t="s">
        <v>23</v>
      </c>
      <c r="G363" s="1" t="s">
        <v>24</v>
      </c>
      <c r="H363" s="1" t="s">
        <v>25</v>
      </c>
      <c r="I363" s="1" t="s">
        <v>31</v>
      </c>
      <c r="J363" s="1" t="s">
        <v>48</v>
      </c>
      <c r="K363" s="1" t="s">
        <v>45</v>
      </c>
      <c r="L363" s="1">
        <v>7</v>
      </c>
      <c r="M363" s="1">
        <v>720.64</v>
      </c>
      <c r="N363" s="1">
        <v>20</v>
      </c>
      <c r="O363" s="1">
        <v>4035.58</v>
      </c>
      <c r="P363" s="1">
        <f t="shared" si="26"/>
        <v>5044.4799999999996</v>
      </c>
      <c r="Q363" s="10">
        <f t="shared" si="27"/>
        <v>807.11599999999999</v>
      </c>
      <c r="R363" s="11">
        <f t="shared" si="28"/>
        <v>4237.3639999999996</v>
      </c>
      <c r="S363" s="1" t="str">
        <f t="shared" si="29"/>
        <v>High</v>
      </c>
      <c r="T363" s="1" t="str" cm="1">
        <f t="array" ref="T363">_xlfn.IFS(L363&gt;5,"High",L363=5,"mediam",L363&lt;5,"low")</f>
        <v>High</v>
      </c>
      <c r="U363" s="1" t="str">
        <f t="shared" si="30"/>
        <v>High</v>
      </c>
    </row>
    <row r="364" spans="1:21" x14ac:dyDescent="0.3">
      <c r="A364" s="5">
        <v>10363</v>
      </c>
      <c r="B364" s="1">
        <v>1143</v>
      </c>
      <c r="C364" s="2">
        <v>45194</v>
      </c>
      <c r="D364" s="2">
        <v>45202</v>
      </c>
      <c r="E364" s="1" t="s">
        <v>16</v>
      </c>
      <c r="F364" s="1" t="s">
        <v>41</v>
      </c>
      <c r="G364" s="1" t="s">
        <v>30</v>
      </c>
      <c r="H364" s="1" t="s">
        <v>18</v>
      </c>
      <c r="I364" s="1" t="s">
        <v>57</v>
      </c>
      <c r="J364" s="1" t="s">
        <v>62</v>
      </c>
      <c r="K364" s="1" t="s">
        <v>45</v>
      </c>
      <c r="L364" s="1">
        <v>1</v>
      </c>
      <c r="M364" s="1">
        <v>504.58</v>
      </c>
      <c r="N364" s="1">
        <v>5</v>
      </c>
      <c r="O364" s="1">
        <v>479.35</v>
      </c>
      <c r="P364" s="1">
        <f t="shared" si="26"/>
        <v>504.58</v>
      </c>
      <c r="Q364" s="10">
        <f t="shared" si="27"/>
        <v>23.967500000000001</v>
      </c>
      <c r="R364" s="11">
        <f t="shared" si="28"/>
        <v>480.61249999999995</v>
      </c>
      <c r="S364" s="1" t="str">
        <f t="shared" si="29"/>
        <v>Low</v>
      </c>
      <c r="T364" s="1" t="str" cm="1">
        <f t="array" ref="T364">_xlfn.IFS(L364&gt;5,"High",L364=5,"mediam",L364&lt;5,"low")</f>
        <v>low</v>
      </c>
      <c r="U364" s="1" t="b">
        <f t="shared" si="30"/>
        <v>0</v>
      </c>
    </row>
    <row r="365" spans="1:21" x14ac:dyDescent="0.3">
      <c r="A365" s="5">
        <v>10364</v>
      </c>
      <c r="B365" s="1">
        <v>1345</v>
      </c>
      <c r="C365" s="2">
        <v>45000</v>
      </c>
      <c r="D365" s="2">
        <v>45003</v>
      </c>
      <c r="E365" s="1" t="s">
        <v>46</v>
      </c>
      <c r="F365" s="1" t="s">
        <v>23</v>
      </c>
      <c r="G365" s="1" t="s">
        <v>24</v>
      </c>
      <c r="H365" s="1" t="s">
        <v>18</v>
      </c>
      <c r="I365" s="1" t="s">
        <v>57</v>
      </c>
      <c r="J365" s="1" t="s">
        <v>67</v>
      </c>
      <c r="K365" s="1" t="s">
        <v>28</v>
      </c>
      <c r="L365" s="1">
        <v>1</v>
      </c>
      <c r="M365" s="1">
        <v>3288.81</v>
      </c>
      <c r="N365" s="1">
        <v>10</v>
      </c>
      <c r="O365" s="1">
        <v>2959.93</v>
      </c>
      <c r="P365" s="1">
        <f t="shared" si="26"/>
        <v>3288.81</v>
      </c>
      <c r="Q365" s="10">
        <f t="shared" si="27"/>
        <v>295.99299999999999</v>
      </c>
      <c r="R365" s="11">
        <f t="shared" si="28"/>
        <v>2992.817</v>
      </c>
      <c r="S365" s="1" t="str">
        <f t="shared" si="29"/>
        <v>Low</v>
      </c>
      <c r="T365" s="1" t="str" cm="1">
        <f t="array" ref="T365">_xlfn.IFS(L365&gt;5,"High",L365=5,"mediam",L365&lt;5,"low")</f>
        <v>low</v>
      </c>
      <c r="U365" s="1" t="b">
        <f t="shared" si="30"/>
        <v>0</v>
      </c>
    </row>
    <row r="366" spans="1:21" x14ac:dyDescent="0.3">
      <c r="A366" s="5">
        <v>10365</v>
      </c>
      <c r="B366" s="1">
        <v>1623</v>
      </c>
      <c r="C366" s="2">
        <v>44934</v>
      </c>
      <c r="D366" s="2">
        <v>44940</v>
      </c>
      <c r="E366" s="1" t="s">
        <v>16</v>
      </c>
      <c r="F366" s="1" t="s">
        <v>41</v>
      </c>
      <c r="G366" s="1" t="s">
        <v>17</v>
      </c>
      <c r="H366" s="1" t="s">
        <v>35</v>
      </c>
      <c r="I366" s="1" t="s">
        <v>52</v>
      </c>
      <c r="J366" s="1" t="s">
        <v>53</v>
      </c>
      <c r="K366" s="1" t="s">
        <v>33</v>
      </c>
      <c r="L366" s="1">
        <v>5</v>
      </c>
      <c r="M366" s="1">
        <v>3593.46</v>
      </c>
      <c r="N366" s="1">
        <v>20</v>
      </c>
      <c r="O366" s="1">
        <v>14373.84</v>
      </c>
      <c r="P366" s="1">
        <f t="shared" si="26"/>
        <v>17967.3</v>
      </c>
      <c r="Q366" s="10">
        <f t="shared" si="27"/>
        <v>2874.768</v>
      </c>
      <c r="R366" s="11">
        <f t="shared" si="28"/>
        <v>15092.531999999999</v>
      </c>
      <c r="S366" s="1" t="str">
        <f t="shared" si="29"/>
        <v>High</v>
      </c>
      <c r="T366" s="1" t="str" cm="1">
        <f t="array" ref="T366">_xlfn.IFS(L366&gt;5,"High",L366=5,"mediam",L366&lt;5,"low")</f>
        <v>mediam</v>
      </c>
      <c r="U366" s="1" t="b">
        <f t="shared" si="30"/>
        <v>0</v>
      </c>
    </row>
    <row r="367" spans="1:21" x14ac:dyDescent="0.3">
      <c r="A367" s="5">
        <v>10366</v>
      </c>
      <c r="B367" s="1">
        <v>1571</v>
      </c>
      <c r="C367" s="2">
        <v>45223</v>
      </c>
      <c r="D367" s="2">
        <v>45226</v>
      </c>
      <c r="E367" s="1" t="s">
        <v>15</v>
      </c>
      <c r="F367" s="1" t="s">
        <v>16</v>
      </c>
      <c r="G367" s="1" t="s">
        <v>24</v>
      </c>
      <c r="H367" s="1" t="s">
        <v>42</v>
      </c>
      <c r="I367" s="1" t="s">
        <v>49</v>
      </c>
      <c r="J367" s="1" t="s">
        <v>63</v>
      </c>
      <c r="K367" s="1" t="s">
        <v>21</v>
      </c>
      <c r="L367" s="1">
        <v>5</v>
      </c>
      <c r="M367" s="1">
        <v>3320.88</v>
      </c>
      <c r="N367" s="1">
        <v>0</v>
      </c>
      <c r="O367" s="1">
        <v>16604.400000000001</v>
      </c>
      <c r="P367" s="1">
        <f t="shared" si="26"/>
        <v>16604.400000000001</v>
      </c>
      <c r="Q367" s="10">
        <f t="shared" si="27"/>
        <v>0</v>
      </c>
      <c r="R367" s="11">
        <f t="shared" si="28"/>
        <v>16604.400000000001</v>
      </c>
      <c r="S367" s="1" t="str">
        <f t="shared" si="29"/>
        <v>High</v>
      </c>
      <c r="T367" s="1" t="str" cm="1">
        <f t="array" ref="T367">_xlfn.IFS(L367&gt;5,"High",L367=5,"mediam",L367&lt;5,"low")</f>
        <v>mediam</v>
      </c>
      <c r="U367" s="1" t="b">
        <f t="shared" si="30"/>
        <v>0</v>
      </c>
    </row>
    <row r="368" spans="1:21" x14ac:dyDescent="0.3">
      <c r="A368" s="5">
        <v>10367</v>
      </c>
      <c r="B368" s="1">
        <v>1880</v>
      </c>
      <c r="C368" s="2">
        <v>45090</v>
      </c>
      <c r="D368" s="2">
        <v>45095</v>
      </c>
      <c r="E368" s="1" t="s">
        <v>46</v>
      </c>
      <c r="F368" s="1" t="s">
        <v>41</v>
      </c>
      <c r="G368" s="1" t="s">
        <v>30</v>
      </c>
      <c r="H368" s="1" t="s">
        <v>35</v>
      </c>
      <c r="I368" s="1" t="s">
        <v>57</v>
      </c>
      <c r="J368" s="1" t="s">
        <v>62</v>
      </c>
      <c r="K368" s="1" t="s">
        <v>45</v>
      </c>
      <c r="L368" s="1">
        <v>8</v>
      </c>
      <c r="M368" s="1">
        <v>3610.33</v>
      </c>
      <c r="N368" s="1">
        <v>5</v>
      </c>
      <c r="O368" s="1">
        <v>27438.51</v>
      </c>
      <c r="P368" s="1">
        <f t="shared" si="26"/>
        <v>28882.639999999999</v>
      </c>
      <c r="Q368" s="10">
        <f t="shared" si="27"/>
        <v>1371.9255000000001</v>
      </c>
      <c r="R368" s="11">
        <f t="shared" si="28"/>
        <v>27510.714499999998</v>
      </c>
      <c r="S368" s="1" t="str">
        <f t="shared" si="29"/>
        <v>High</v>
      </c>
      <c r="T368" s="1" t="str" cm="1">
        <f t="array" ref="T368">_xlfn.IFS(L368&gt;5,"High",L368=5,"mediam",L368&lt;5,"low")</f>
        <v>High</v>
      </c>
      <c r="U368" s="1" t="str">
        <f t="shared" si="30"/>
        <v>High</v>
      </c>
    </row>
    <row r="369" spans="1:21" x14ac:dyDescent="0.3">
      <c r="A369" s="5">
        <v>10368</v>
      </c>
      <c r="B369" s="1">
        <v>1001</v>
      </c>
      <c r="C369" s="2">
        <v>45011</v>
      </c>
      <c r="D369" s="2">
        <v>45018</v>
      </c>
      <c r="E369" s="1" t="s">
        <v>22</v>
      </c>
      <c r="F369" s="1" t="s">
        <v>38</v>
      </c>
      <c r="G369" s="1" t="s">
        <v>30</v>
      </c>
      <c r="H369" s="1" t="s">
        <v>35</v>
      </c>
      <c r="I369" s="1" t="s">
        <v>19</v>
      </c>
      <c r="J369" s="1" t="s">
        <v>20</v>
      </c>
      <c r="K369" s="1" t="s">
        <v>21</v>
      </c>
      <c r="L369" s="1">
        <v>7</v>
      </c>
      <c r="M369" s="1">
        <v>2279.48</v>
      </c>
      <c r="N369" s="1">
        <v>15</v>
      </c>
      <c r="O369" s="1">
        <v>13562.91</v>
      </c>
      <c r="P369" s="1">
        <f t="shared" si="26"/>
        <v>15956.36</v>
      </c>
      <c r="Q369" s="10">
        <f t="shared" si="27"/>
        <v>2034.4364999999998</v>
      </c>
      <c r="R369" s="11">
        <f t="shared" si="28"/>
        <v>13921.923500000001</v>
      </c>
      <c r="S369" s="1" t="str">
        <f t="shared" si="29"/>
        <v>High</v>
      </c>
      <c r="T369" s="1" t="str" cm="1">
        <f t="array" ref="T369">_xlfn.IFS(L369&gt;5,"High",L369=5,"mediam",L369&lt;5,"low")</f>
        <v>High</v>
      </c>
      <c r="U369" s="1" t="str">
        <f t="shared" si="30"/>
        <v>High</v>
      </c>
    </row>
    <row r="370" spans="1:21" x14ac:dyDescent="0.3">
      <c r="A370" s="5">
        <v>10369</v>
      </c>
      <c r="B370" s="1">
        <v>1896</v>
      </c>
      <c r="C370" s="2">
        <v>44998</v>
      </c>
      <c r="D370" s="2">
        <v>45000</v>
      </c>
      <c r="E370" s="1" t="s">
        <v>22</v>
      </c>
      <c r="F370" s="1" t="s">
        <v>23</v>
      </c>
      <c r="G370" s="1" t="s">
        <v>17</v>
      </c>
      <c r="H370" s="1" t="s">
        <v>35</v>
      </c>
      <c r="I370" s="1" t="s">
        <v>26</v>
      </c>
      <c r="J370" s="1" t="s">
        <v>36</v>
      </c>
      <c r="K370" s="1" t="s">
        <v>47</v>
      </c>
      <c r="L370" s="1">
        <v>8</v>
      </c>
      <c r="M370" s="1">
        <v>3277.19</v>
      </c>
      <c r="N370" s="1">
        <v>15</v>
      </c>
      <c r="O370" s="1">
        <v>22284.89</v>
      </c>
      <c r="P370" s="1">
        <f t="shared" si="26"/>
        <v>26217.52</v>
      </c>
      <c r="Q370" s="10">
        <f t="shared" si="27"/>
        <v>3342.7334999999998</v>
      </c>
      <c r="R370" s="11">
        <f t="shared" si="28"/>
        <v>22874.786500000002</v>
      </c>
      <c r="S370" s="1" t="str">
        <f t="shared" si="29"/>
        <v>High</v>
      </c>
      <c r="T370" s="1" t="str" cm="1">
        <f t="array" ref="T370">_xlfn.IFS(L370&gt;5,"High",L370=5,"mediam",L370&lt;5,"low")</f>
        <v>High</v>
      </c>
      <c r="U370" s="1" t="str">
        <f t="shared" si="30"/>
        <v>High</v>
      </c>
    </row>
    <row r="371" spans="1:21" x14ac:dyDescent="0.3">
      <c r="A371" s="5">
        <v>10370</v>
      </c>
      <c r="B371" s="1">
        <v>1303</v>
      </c>
      <c r="C371" s="2">
        <v>44981</v>
      </c>
      <c r="D371" s="2">
        <v>44987</v>
      </c>
      <c r="E371" s="1" t="s">
        <v>22</v>
      </c>
      <c r="F371" s="1" t="s">
        <v>41</v>
      </c>
      <c r="G371" s="1" t="s">
        <v>30</v>
      </c>
      <c r="H371" s="1" t="s">
        <v>18</v>
      </c>
      <c r="I371" s="1" t="s">
        <v>49</v>
      </c>
      <c r="J371" s="1" t="s">
        <v>63</v>
      </c>
      <c r="K371" s="1" t="s">
        <v>28</v>
      </c>
      <c r="L371" s="1">
        <v>6</v>
      </c>
      <c r="M371" s="1">
        <v>1628.56</v>
      </c>
      <c r="N371" s="1">
        <v>0</v>
      </c>
      <c r="O371" s="1">
        <v>9771.36</v>
      </c>
      <c r="P371" s="1">
        <f t="shared" si="26"/>
        <v>9771.36</v>
      </c>
      <c r="Q371" s="10">
        <f t="shared" si="27"/>
        <v>0</v>
      </c>
      <c r="R371" s="11">
        <f t="shared" si="28"/>
        <v>9771.36</v>
      </c>
      <c r="S371" s="1" t="str">
        <f t="shared" si="29"/>
        <v>High</v>
      </c>
      <c r="T371" s="1" t="str" cm="1">
        <f t="array" ref="T371">_xlfn.IFS(L371&gt;5,"High",L371=5,"mediam",L371&lt;5,"low")</f>
        <v>High</v>
      </c>
      <c r="U371" s="1" t="str">
        <f t="shared" si="30"/>
        <v>High</v>
      </c>
    </row>
    <row r="372" spans="1:21" x14ac:dyDescent="0.3">
      <c r="A372" s="5">
        <v>10371</v>
      </c>
      <c r="B372" s="1">
        <v>1253</v>
      </c>
      <c r="C372" s="2">
        <v>44973</v>
      </c>
      <c r="D372" s="2">
        <v>44979</v>
      </c>
      <c r="E372" s="1" t="s">
        <v>34</v>
      </c>
      <c r="F372" s="1" t="s">
        <v>41</v>
      </c>
      <c r="G372" s="1" t="s">
        <v>17</v>
      </c>
      <c r="H372" s="1" t="s">
        <v>18</v>
      </c>
      <c r="I372" s="1" t="s">
        <v>49</v>
      </c>
      <c r="J372" s="1" t="s">
        <v>68</v>
      </c>
      <c r="K372" s="1" t="s">
        <v>47</v>
      </c>
      <c r="L372" s="1">
        <v>6</v>
      </c>
      <c r="M372" s="1">
        <v>2715.13</v>
      </c>
      <c r="N372" s="1">
        <v>20</v>
      </c>
      <c r="O372" s="1">
        <v>13032.62</v>
      </c>
      <c r="P372" s="1">
        <f t="shared" si="26"/>
        <v>16290.78</v>
      </c>
      <c r="Q372" s="10">
        <f t="shared" si="27"/>
        <v>2606.5240000000003</v>
      </c>
      <c r="R372" s="11">
        <f t="shared" si="28"/>
        <v>13684.256000000001</v>
      </c>
      <c r="S372" s="1" t="str">
        <f t="shared" si="29"/>
        <v>High</v>
      </c>
      <c r="T372" s="1" t="str" cm="1">
        <f t="array" ref="T372">_xlfn.IFS(L372&gt;5,"High",L372=5,"mediam",L372&lt;5,"low")</f>
        <v>High</v>
      </c>
      <c r="U372" s="1" t="str">
        <f t="shared" si="30"/>
        <v>High</v>
      </c>
    </row>
    <row r="373" spans="1:21" x14ac:dyDescent="0.3">
      <c r="A373" s="5">
        <v>10372</v>
      </c>
      <c r="B373" s="1">
        <v>1651</v>
      </c>
      <c r="C373" s="2">
        <v>45164</v>
      </c>
      <c r="D373" s="2">
        <v>45167</v>
      </c>
      <c r="E373" s="1" t="s">
        <v>16</v>
      </c>
      <c r="F373" s="1" t="s">
        <v>23</v>
      </c>
      <c r="G373" s="1" t="s">
        <v>24</v>
      </c>
      <c r="H373" s="1" t="s">
        <v>35</v>
      </c>
      <c r="I373" s="1" t="s">
        <v>49</v>
      </c>
      <c r="J373" s="1" t="s">
        <v>63</v>
      </c>
      <c r="K373" s="1" t="s">
        <v>21</v>
      </c>
      <c r="L373" s="1">
        <v>2</v>
      </c>
      <c r="M373" s="1">
        <v>3957.02</v>
      </c>
      <c r="N373" s="1">
        <v>5</v>
      </c>
      <c r="O373" s="1">
        <v>7518.34</v>
      </c>
      <c r="P373" s="1">
        <f t="shared" si="26"/>
        <v>7914.04</v>
      </c>
      <c r="Q373" s="10">
        <f t="shared" si="27"/>
        <v>375.91700000000003</v>
      </c>
      <c r="R373" s="11">
        <f t="shared" si="28"/>
        <v>7538.1229999999996</v>
      </c>
      <c r="S373" s="1" t="str">
        <f t="shared" si="29"/>
        <v>Low</v>
      </c>
      <c r="T373" s="1" t="str" cm="1">
        <f t="array" ref="T373">_xlfn.IFS(L373&gt;5,"High",L373=5,"mediam",L373&lt;5,"low")</f>
        <v>low</v>
      </c>
      <c r="U373" s="1" t="b">
        <f t="shared" si="30"/>
        <v>0</v>
      </c>
    </row>
    <row r="374" spans="1:21" x14ac:dyDescent="0.3">
      <c r="A374" s="5">
        <v>10373</v>
      </c>
      <c r="B374" s="1">
        <v>1452</v>
      </c>
      <c r="C374" s="2">
        <v>45030</v>
      </c>
      <c r="D374" s="2">
        <v>45036</v>
      </c>
      <c r="E374" s="1" t="s">
        <v>22</v>
      </c>
      <c r="F374" s="1" t="s">
        <v>16</v>
      </c>
      <c r="G374" s="1" t="s">
        <v>24</v>
      </c>
      <c r="H374" s="1" t="s">
        <v>18</v>
      </c>
      <c r="I374" s="1" t="s">
        <v>52</v>
      </c>
      <c r="J374" s="1" t="s">
        <v>53</v>
      </c>
      <c r="K374" s="1" t="s">
        <v>21</v>
      </c>
      <c r="L374" s="1">
        <v>6</v>
      </c>
      <c r="M374" s="1">
        <v>1019.05</v>
      </c>
      <c r="N374" s="1">
        <v>0</v>
      </c>
      <c r="O374" s="1">
        <v>6114.3</v>
      </c>
      <c r="P374" s="1">
        <f t="shared" si="26"/>
        <v>6114.2999999999993</v>
      </c>
      <c r="Q374" s="10">
        <f t="shared" si="27"/>
        <v>0</v>
      </c>
      <c r="R374" s="11">
        <f t="shared" si="28"/>
        <v>6114.2999999999993</v>
      </c>
      <c r="S374" s="1" t="str">
        <f t="shared" si="29"/>
        <v>High</v>
      </c>
      <c r="T374" s="1" t="str" cm="1">
        <f t="array" ref="T374">_xlfn.IFS(L374&gt;5,"High",L374=5,"mediam",L374&lt;5,"low")</f>
        <v>High</v>
      </c>
      <c r="U374" s="1" t="str">
        <f t="shared" si="30"/>
        <v>High</v>
      </c>
    </row>
    <row r="375" spans="1:21" x14ac:dyDescent="0.3">
      <c r="A375" s="5">
        <v>10374</v>
      </c>
      <c r="B375" s="1">
        <v>1036</v>
      </c>
      <c r="C375" s="2">
        <v>45136</v>
      </c>
      <c r="D375" s="2">
        <v>45141</v>
      </c>
      <c r="E375" s="1" t="s">
        <v>37</v>
      </c>
      <c r="F375" s="1" t="s">
        <v>16</v>
      </c>
      <c r="G375" s="1" t="s">
        <v>17</v>
      </c>
      <c r="H375" s="1" t="s">
        <v>42</v>
      </c>
      <c r="I375" s="1" t="s">
        <v>57</v>
      </c>
      <c r="J375" s="1" t="s">
        <v>58</v>
      </c>
      <c r="K375" s="1" t="s">
        <v>33</v>
      </c>
      <c r="L375" s="1">
        <v>5</v>
      </c>
      <c r="M375" s="1">
        <v>1651.11</v>
      </c>
      <c r="N375" s="1">
        <v>20</v>
      </c>
      <c r="O375" s="1">
        <v>6604.44</v>
      </c>
      <c r="P375" s="1">
        <f t="shared" si="26"/>
        <v>8255.5499999999993</v>
      </c>
      <c r="Q375" s="10">
        <f t="shared" si="27"/>
        <v>1320.8879999999999</v>
      </c>
      <c r="R375" s="11">
        <f t="shared" si="28"/>
        <v>6934.6619999999994</v>
      </c>
      <c r="S375" s="1" t="str">
        <f t="shared" si="29"/>
        <v>High</v>
      </c>
      <c r="T375" s="1" t="str" cm="1">
        <f t="array" ref="T375">_xlfn.IFS(L375&gt;5,"High",L375=5,"mediam",L375&lt;5,"low")</f>
        <v>mediam</v>
      </c>
      <c r="U375" s="1" t="b">
        <f t="shared" si="30"/>
        <v>0</v>
      </c>
    </row>
    <row r="376" spans="1:21" x14ac:dyDescent="0.3">
      <c r="A376" s="5">
        <v>10375</v>
      </c>
      <c r="B376" s="1">
        <v>1159</v>
      </c>
      <c r="C376" s="2">
        <v>44968</v>
      </c>
      <c r="D376" s="2">
        <v>44970</v>
      </c>
      <c r="E376" s="1" t="s">
        <v>40</v>
      </c>
      <c r="F376" s="1" t="s">
        <v>23</v>
      </c>
      <c r="G376" s="1" t="s">
        <v>17</v>
      </c>
      <c r="H376" s="1" t="s">
        <v>35</v>
      </c>
      <c r="I376" s="1" t="s">
        <v>52</v>
      </c>
      <c r="J376" s="1" t="s">
        <v>60</v>
      </c>
      <c r="K376" s="1" t="s">
        <v>45</v>
      </c>
      <c r="L376" s="1">
        <v>3</v>
      </c>
      <c r="M376" s="1">
        <v>1998.18</v>
      </c>
      <c r="N376" s="1">
        <v>5</v>
      </c>
      <c r="O376" s="1">
        <v>5694.81</v>
      </c>
      <c r="P376" s="1">
        <f t="shared" si="26"/>
        <v>5994.54</v>
      </c>
      <c r="Q376" s="10">
        <f t="shared" si="27"/>
        <v>284.74050000000005</v>
      </c>
      <c r="R376" s="11">
        <f t="shared" si="28"/>
        <v>5709.7995000000001</v>
      </c>
      <c r="S376" s="1" t="str">
        <f t="shared" si="29"/>
        <v>Low</v>
      </c>
      <c r="T376" s="1" t="str" cm="1">
        <f t="array" ref="T376">_xlfn.IFS(L376&gt;5,"High",L376=5,"mediam",L376&lt;5,"low")</f>
        <v>low</v>
      </c>
      <c r="U376" s="1" t="b">
        <f t="shared" si="30"/>
        <v>0</v>
      </c>
    </row>
    <row r="377" spans="1:21" x14ac:dyDescent="0.3">
      <c r="A377" s="5">
        <v>10376</v>
      </c>
      <c r="B377" s="1">
        <v>1008</v>
      </c>
      <c r="C377" s="2">
        <v>45242</v>
      </c>
      <c r="D377" s="2">
        <v>45251</v>
      </c>
      <c r="E377" s="1" t="s">
        <v>37</v>
      </c>
      <c r="F377" s="1" t="s">
        <v>54</v>
      </c>
      <c r="G377" s="1" t="s">
        <v>30</v>
      </c>
      <c r="H377" s="1" t="s">
        <v>18</v>
      </c>
      <c r="I377" s="1" t="s">
        <v>57</v>
      </c>
      <c r="J377" s="1" t="s">
        <v>59</v>
      </c>
      <c r="K377" s="1" t="s">
        <v>45</v>
      </c>
      <c r="L377" s="1">
        <v>6</v>
      </c>
      <c r="M377" s="1">
        <v>681.36</v>
      </c>
      <c r="N377" s="1">
        <v>15</v>
      </c>
      <c r="O377" s="1">
        <v>3474.94</v>
      </c>
      <c r="P377" s="1">
        <f t="shared" si="26"/>
        <v>4088.16</v>
      </c>
      <c r="Q377" s="10">
        <f t="shared" si="27"/>
        <v>521.24099999999999</v>
      </c>
      <c r="R377" s="11">
        <f t="shared" si="28"/>
        <v>3566.9189999999999</v>
      </c>
      <c r="S377" s="1" t="str">
        <f t="shared" si="29"/>
        <v>High</v>
      </c>
      <c r="T377" s="1" t="str" cm="1">
        <f t="array" ref="T377">_xlfn.IFS(L377&gt;5,"High",L377=5,"mediam",L377&lt;5,"low")</f>
        <v>High</v>
      </c>
      <c r="U377" s="1" t="str">
        <f t="shared" si="30"/>
        <v>High</v>
      </c>
    </row>
    <row r="378" spans="1:21" x14ac:dyDescent="0.3">
      <c r="A378" s="5">
        <v>10377</v>
      </c>
      <c r="B378" s="1">
        <v>1232</v>
      </c>
      <c r="C378" s="2">
        <v>45194</v>
      </c>
      <c r="D378" s="2">
        <v>45202</v>
      </c>
      <c r="E378" s="1" t="s">
        <v>22</v>
      </c>
      <c r="F378" s="1" t="s">
        <v>23</v>
      </c>
      <c r="G378" s="1" t="s">
        <v>24</v>
      </c>
      <c r="H378" s="1" t="s">
        <v>25</v>
      </c>
      <c r="I378" s="1" t="s">
        <v>52</v>
      </c>
      <c r="J378" s="1" t="s">
        <v>56</v>
      </c>
      <c r="K378" s="1" t="s">
        <v>47</v>
      </c>
      <c r="L378" s="1">
        <v>8</v>
      </c>
      <c r="M378" s="1">
        <v>462</v>
      </c>
      <c r="N378" s="1">
        <v>5</v>
      </c>
      <c r="O378" s="1">
        <v>3511.2</v>
      </c>
      <c r="P378" s="1">
        <f t="shared" si="26"/>
        <v>3696</v>
      </c>
      <c r="Q378" s="10">
        <f t="shared" si="27"/>
        <v>175.56</v>
      </c>
      <c r="R378" s="11">
        <f t="shared" si="28"/>
        <v>3520.44</v>
      </c>
      <c r="S378" s="1" t="str">
        <f t="shared" si="29"/>
        <v>High</v>
      </c>
      <c r="T378" s="1" t="str" cm="1">
        <f t="array" ref="T378">_xlfn.IFS(L378&gt;5,"High",L378=5,"mediam",L378&lt;5,"low")</f>
        <v>High</v>
      </c>
      <c r="U378" s="1" t="str">
        <f t="shared" si="30"/>
        <v>High</v>
      </c>
    </row>
    <row r="379" spans="1:21" x14ac:dyDescent="0.3">
      <c r="A379" s="5">
        <v>10378</v>
      </c>
      <c r="B379" s="1">
        <v>1098</v>
      </c>
      <c r="C379" s="2">
        <v>45189</v>
      </c>
      <c r="D379" s="2">
        <v>45192</v>
      </c>
      <c r="E379" s="1" t="s">
        <v>40</v>
      </c>
      <c r="F379" s="1" t="s">
        <v>23</v>
      </c>
      <c r="G379" s="1" t="s">
        <v>17</v>
      </c>
      <c r="H379" s="1" t="s">
        <v>35</v>
      </c>
      <c r="I379" s="1" t="s">
        <v>52</v>
      </c>
      <c r="J379" s="1" t="s">
        <v>64</v>
      </c>
      <c r="K379" s="1" t="s">
        <v>28</v>
      </c>
      <c r="L379" s="1">
        <v>9</v>
      </c>
      <c r="M379" s="1">
        <v>3344.43</v>
      </c>
      <c r="N379" s="1">
        <v>10</v>
      </c>
      <c r="O379" s="1">
        <v>27089.88</v>
      </c>
      <c r="P379" s="1">
        <f t="shared" si="26"/>
        <v>30099.87</v>
      </c>
      <c r="Q379" s="10">
        <f t="shared" si="27"/>
        <v>2708.9880000000003</v>
      </c>
      <c r="R379" s="11">
        <f t="shared" si="28"/>
        <v>27390.881999999998</v>
      </c>
      <c r="S379" s="1" t="str">
        <f t="shared" si="29"/>
        <v>High</v>
      </c>
      <c r="T379" s="1" t="str" cm="1">
        <f t="array" ref="T379">_xlfn.IFS(L379&gt;5,"High",L379=5,"mediam",L379&lt;5,"low")</f>
        <v>High</v>
      </c>
      <c r="U379" s="1" t="str">
        <f t="shared" si="30"/>
        <v>High</v>
      </c>
    </row>
    <row r="380" spans="1:21" x14ac:dyDescent="0.3">
      <c r="A380" s="5">
        <v>10379</v>
      </c>
      <c r="B380" s="1">
        <v>1658</v>
      </c>
      <c r="C380" s="2">
        <v>45262</v>
      </c>
      <c r="D380" s="2">
        <v>45270</v>
      </c>
      <c r="E380" s="1" t="s">
        <v>15</v>
      </c>
      <c r="F380" s="1" t="s">
        <v>16</v>
      </c>
      <c r="G380" s="1" t="s">
        <v>24</v>
      </c>
      <c r="H380" s="1" t="s">
        <v>35</v>
      </c>
      <c r="I380" s="1" t="s">
        <v>26</v>
      </c>
      <c r="J380" s="1" t="s">
        <v>69</v>
      </c>
      <c r="K380" s="1" t="s">
        <v>45</v>
      </c>
      <c r="L380" s="1">
        <v>1</v>
      </c>
      <c r="M380" s="1">
        <v>3910.66</v>
      </c>
      <c r="N380" s="1">
        <v>5</v>
      </c>
      <c r="O380" s="1">
        <v>3715.13</v>
      </c>
      <c r="P380" s="1">
        <f t="shared" si="26"/>
        <v>3910.66</v>
      </c>
      <c r="Q380" s="10">
        <f t="shared" si="27"/>
        <v>185.75650000000002</v>
      </c>
      <c r="R380" s="11">
        <f t="shared" si="28"/>
        <v>3724.9034999999999</v>
      </c>
      <c r="S380" s="1" t="str">
        <f t="shared" si="29"/>
        <v>Low</v>
      </c>
      <c r="T380" s="1" t="str" cm="1">
        <f t="array" ref="T380">_xlfn.IFS(L380&gt;5,"High",L380=5,"mediam",L380&lt;5,"low")</f>
        <v>low</v>
      </c>
      <c r="U380" s="1" t="b">
        <f t="shared" si="30"/>
        <v>0</v>
      </c>
    </row>
    <row r="381" spans="1:21" x14ac:dyDescent="0.3">
      <c r="A381" s="5">
        <v>10380</v>
      </c>
      <c r="B381" s="1">
        <v>1815</v>
      </c>
      <c r="C381" s="2">
        <v>45291</v>
      </c>
      <c r="D381" s="2">
        <v>45300</v>
      </c>
      <c r="E381" s="1" t="s">
        <v>37</v>
      </c>
      <c r="F381" s="1" t="s">
        <v>16</v>
      </c>
      <c r="G381" s="1" t="s">
        <v>17</v>
      </c>
      <c r="H381" s="1" t="s">
        <v>42</v>
      </c>
      <c r="I381" s="1" t="s">
        <v>19</v>
      </c>
      <c r="J381" s="1" t="s">
        <v>55</v>
      </c>
      <c r="K381" s="1" t="s">
        <v>33</v>
      </c>
      <c r="L381" s="1">
        <v>3</v>
      </c>
      <c r="M381" s="1">
        <v>1708.19</v>
      </c>
      <c r="N381" s="1">
        <v>10</v>
      </c>
      <c r="O381" s="1">
        <v>4612.1099999999997</v>
      </c>
      <c r="P381" s="1">
        <f t="shared" si="26"/>
        <v>5124.57</v>
      </c>
      <c r="Q381" s="10">
        <f t="shared" si="27"/>
        <v>461.21100000000001</v>
      </c>
      <c r="R381" s="11">
        <f t="shared" si="28"/>
        <v>4663.3589999999995</v>
      </c>
      <c r="S381" s="1" t="str">
        <f t="shared" si="29"/>
        <v>Low</v>
      </c>
      <c r="T381" s="1" t="str" cm="1">
        <f t="array" ref="T381">_xlfn.IFS(L381&gt;5,"High",L381=5,"mediam",L381&lt;5,"low")</f>
        <v>low</v>
      </c>
      <c r="U381" s="1" t="b">
        <f t="shared" si="30"/>
        <v>0</v>
      </c>
    </row>
    <row r="382" spans="1:21" x14ac:dyDescent="0.3">
      <c r="A382" s="5">
        <v>10381</v>
      </c>
      <c r="B382" s="1">
        <v>1207</v>
      </c>
      <c r="C382" s="2">
        <v>45185</v>
      </c>
      <c r="D382" s="2">
        <v>45188</v>
      </c>
      <c r="E382" s="1" t="s">
        <v>16</v>
      </c>
      <c r="F382" s="1" t="s">
        <v>23</v>
      </c>
      <c r="G382" s="1" t="s">
        <v>24</v>
      </c>
      <c r="H382" s="1" t="s">
        <v>44</v>
      </c>
      <c r="I382" s="1" t="s">
        <v>52</v>
      </c>
      <c r="J382" s="1" t="s">
        <v>56</v>
      </c>
      <c r="K382" s="1" t="s">
        <v>47</v>
      </c>
      <c r="L382" s="1">
        <v>3</v>
      </c>
      <c r="M382" s="1">
        <v>487.45</v>
      </c>
      <c r="N382" s="1">
        <v>5</v>
      </c>
      <c r="O382" s="1">
        <v>1389.23</v>
      </c>
      <c r="P382" s="1">
        <f t="shared" si="26"/>
        <v>1462.35</v>
      </c>
      <c r="Q382" s="10">
        <f t="shared" si="27"/>
        <v>69.461500000000001</v>
      </c>
      <c r="R382" s="11">
        <f t="shared" si="28"/>
        <v>1392.8885</v>
      </c>
      <c r="S382" s="1" t="str">
        <f t="shared" si="29"/>
        <v>Low</v>
      </c>
      <c r="T382" s="1" t="str" cm="1">
        <f t="array" ref="T382">_xlfn.IFS(L382&gt;5,"High",L382=5,"mediam",L382&lt;5,"low")</f>
        <v>low</v>
      </c>
      <c r="U382" s="1" t="b">
        <f t="shared" si="30"/>
        <v>0</v>
      </c>
    </row>
    <row r="383" spans="1:21" x14ac:dyDescent="0.3">
      <c r="A383" s="5">
        <v>10382</v>
      </c>
      <c r="B383" s="1">
        <v>1130</v>
      </c>
      <c r="C383" s="2">
        <v>45209</v>
      </c>
      <c r="D383" s="2">
        <v>45212</v>
      </c>
      <c r="E383" s="1" t="s">
        <v>16</v>
      </c>
      <c r="F383" s="1" t="s">
        <v>23</v>
      </c>
      <c r="G383" s="1" t="s">
        <v>30</v>
      </c>
      <c r="H383" s="1" t="s">
        <v>44</v>
      </c>
      <c r="I383" s="1" t="s">
        <v>26</v>
      </c>
      <c r="J383" s="1" t="s">
        <v>36</v>
      </c>
      <c r="K383" s="1" t="s">
        <v>47</v>
      </c>
      <c r="L383" s="1">
        <v>8</v>
      </c>
      <c r="M383" s="1">
        <v>403.38</v>
      </c>
      <c r="N383" s="1">
        <v>10</v>
      </c>
      <c r="O383" s="1">
        <v>2904.34</v>
      </c>
      <c r="P383" s="1">
        <f t="shared" si="26"/>
        <v>3227.04</v>
      </c>
      <c r="Q383" s="10">
        <f t="shared" si="27"/>
        <v>290.43400000000003</v>
      </c>
      <c r="R383" s="11">
        <f t="shared" si="28"/>
        <v>2936.6059999999998</v>
      </c>
      <c r="S383" s="1" t="str">
        <f t="shared" si="29"/>
        <v>High</v>
      </c>
      <c r="T383" s="1" t="str" cm="1">
        <f t="array" ref="T383">_xlfn.IFS(L383&gt;5,"High",L383=5,"mediam",L383&lt;5,"low")</f>
        <v>High</v>
      </c>
      <c r="U383" s="1" t="str">
        <f t="shared" si="30"/>
        <v>High</v>
      </c>
    </row>
    <row r="384" spans="1:21" x14ac:dyDescent="0.3">
      <c r="A384" s="5">
        <v>10383</v>
      </c>
      <c r="B384" s="1">
        <v>1403</v>
      </c>
      <c r="C384" s="2">
        <v>45040</v>
      </c>
      <c r="D384" s="2">
        <v>45042</v>
      </c>
      <c r="E384" s="1" t="s">
        <v>37</v>
      </c>
      <c r="F384" s="1" t="s">
        <v>23</v>
      </c>
      <c r="G384" s="1" t="s">
        <v>24</v>
      </c>
      <c r="H384" s="1" t="s">
        <v>42</v>
      </c>
      <c r="I384" s="1" t="s">
        <v>31</v>
      </c>
      <c r="J384" s="1" t="s">
        <v>48</v>
      </c>
      <c r="K384" s="1" t="s">
        <v>33</v>
      </c>
      <c r="L384" s="1">
        <v>1</v>
      </c>
      <c r="M384" s="1">
        <v>3581.58</v>
      </c>
      <c r="N384" s="1">
        <v>15</v>
      </c>
      <c r="O384" s="1">
        <v>3044.34</v>
      </c>
      <c r="P384" s="1">
        <f t="shared" si="26"/>
        <v>3581.58</v>
      </c>
      <c r="Q384" s="10">
        <f t="shared" si="27"/>
        <v>456.65100000000001</v>
      </c>
      <c r="R384" s="11">
        <f t="shared" si="28"/>
        <v>3124.9290000000001</v>
      </c>
      <c r="S384" s="1" t="str">
        <f t="shared" si="29"/>
        <v>Low</v>
      </c>
      <c r="T384" s="1" t="str" cm="1">
        <f t="array" ref="T384">_xlfn.IFS(L384&gt;5,"High",L384=5,"mediam",L384&lt;5,"low")</f>
        <v>low</v>
      </c>
      <c r="U384" s="1" t="b">
        <f t="shared" si="30"/>
        <v>0</v>
      </c>
    </row>
    <row r="385" spans="1:21" x14ac:dyDescent="0.3">
      <c r="A385" s="5">
        <v>10384</v>
      </c>
      <c r="B385" s="1">
        <v>1151</v>
      </c>
      <c r="C385" s="2">
        <v>45289</v>
      </c>
      <c r="D385" s="2">
        <v>45297</v>
      </c>
      <c r="E385" s="1" t="s">
        <v>22</v>
      </c>
      <c r="F385" s="1" t="s">
        <v>16</v>
      </c>
      <c r="G385" s="1" t="s">
        <v>24</v>
      </c>
      <c r="H385" s="1" t="s">
        <v>42</v>
      </c>
      <c r="I385" s="1" t="s">
        <v>19</v>
      </c>
      <c r="J385" s="1" t="s">
        <v>55</v>
      </c>
      <c r="K385" s="1" t="s">
        <v>28</v>
      </c>
      <c r="L385" s="1">
        <v>5</v>
      </c>
      <c r="M385" s="1">
        <v>1935.68</v>
      </c>
      <c r="N385" s="1">
        <v>20</v>
      </c>
      <c r="O385" s="1">
        <v>7742.72</v>
      </c>
      <c r="P385" s="1">
        <f t="shared" si="26"/>
        <v>9678.4</v>
      </c>
      <c r="Q385" s="10">
        <f t="shared" si="27"/>
        <v>1548.5440000000001</v>
      </c>
      <c r="R385" s="11">
        <f t="shared" si="28"/>
        <v>8129.8559999999998</v>
      </c>
      <c r="S385" s="1" t="str">
        <f t="shared" si="29"/>
        <v>High</v>
      </c>
      <c r="T385" s="1" t="str" cm="1">
        <f t="array" ref="T385">_xlfn.IFS(L385&gt;5,"High",L385=5,"mediam",L385&lt;5,"low")</f>
        <v>mediam</v>
      </c>
      <c r="U385" s="1" t="b">
        <f t="shared" si="30"/>
        <v>0</v>
      </c>
    </row>
    <row r="386" spans="1:21" x14ac:dyDescent="0.3">
      <c r="A386" s="5">
        <v>10385</v>
      </c>
      <c r="B386" s="1">
        <v>1053</v>
      </c>
      <c r="C386" s="2">
        <v>44966</v>
      </c>
      <c r="D386" s="2">
        <v>44967</v>
      </c>
      <c r="E386" s="1" t="s">
        <v>16</v>
      </c>
      <c r="F386" s="1" t="s">
        <v>23</v>
      </c>
      <c r="G386" s="1" t="s">
        <v>24</v>
      </c>
      <c r="H386" s="1" t="s">
        <v>42</v>
      </c>
      <c r="I386" s="1" t="s">
        <v>52</v>
      </c>
      <c r="J386" s="1" t="s">
        <v>64</v>
      </c>
      <c r="K386" s="1" t="s">
        <v>33</v>
      </c>
      <c r="L386" s="1">
        <v>3</v>
      </c>
      <c r="M386" s="1">
        <v>1382.11</v>
      </c>
      <c r="N386" s="1">
        <v>10</v>
      </c>
      <c r="O386" s="1">
        <v>3731.7</v>
      </c>
      <c r="P386" s="1">
        <f t="shared" si="26"/>
        <v>4146.33</v>
      </c>
      <c r="Q386" s="10">
        <f t="shared" si="27"/>
        <v>373.17</v>
      </c>
      <c r="R386" s="11">
        <f t="shared" si="28"/>
        <v>3773.16</v>
      </c>
      <c r="S386" s="1" t="str">
        <f t="shared" si="29"/>
        <v>Low</v>
      </c>
      <c r="T386" s="1" t="str" cm="1">
        <f t="array" ref="T386">_xlfn.IFS(L386&gt;5,"High",L386=5,"mediam",L386&lt;5,"low")</f>
        <v>low</v>
      </c>
      <c r="U386" s="1" t="b">
        <f t="shared" si="30"/>
        <v>0</v>
      </c>
    </row>
    <row r="387" spans="1:21" x14ac:dyDescent="0.3">
      <c r="A387" s="5">
        <v>10386</v>
      </c>
      <c r="B387" s="1">
        <v>1119</v>
      </c>
      <c r="C387" s="2">
        <v>45146</v>
      </c>
      <c r="D387" s="2">
        <v>45154</v>
      </c>
      <c r="E387" s="1" t="s">
        <v>15</v>
      </c>
      <c r="F387" s="1" t="s">
        <v>23</v>
      </c>
      <c r="G387" s="1" t="s">
        <v>24</v>
      </c>
      <c r="H387" s="1" t="s">
        <v>44</v>
      </c>
      <c r="I387" s="1" t="s">
        <v>49</v>
      </c>
      <c r="J387" s="1" t="s">
        <v>68</v>
      </c>
      <c r="K387" s="1" t="s">
        <v>28</v>
      </c>
      <c r="L387" s="1">
        <v>2</v>
      </c>
      <c r="M387" s="1">
        <v>1984.38</v>
      </c>
      <c r="N387" s="1">
        <v>10</v>
      </c>
      <c r="O387" s="1">
        <v>3571.88</v>
      </c>
      <c r="P387" s="1">
        <f t="shared" ref="P387:P450" si="31">L387*M387</f>
        <v>3968.76</v>
      </c>
      <c r="Q387" s="10">
        <f t="shared" ref="Q387:Q450" si="32">O387*N387%</f>
        <v>357.18800000000005</v>
      </c>
      <c r="R387" s="11">
        <f t="shared" ref="R387:R450" si="33">P387-Q387</f>
        <v>3611.5720000000001</v>
      </c>
      <c r="S387" s="1" t="str">
        <f t="shared" ref="S387:S450" si="34">IF(L387&gt;=5,"High","Low")</f>
        <v>Low</v>
      </c>
      <c r="T387" s="1" t="str" cm="1">
        <f t="array" ref="T387">_xlfn.IFS(L387&gt;5,"High",L387=5,"mediam",L387&lt;5,"low")</f>
        <v>low</v>
      </c>
      <c r="U387" s="1" t="b">
        <f t="shared" si="30"/>
        <v>0</v>
      </c>
    </row>
    <row r="388" spans="1:21" x14ac:dyDescent="0.3">
      <c r="A388" s="5">
        <v>10387</v>
      </c>
      <c r="B388" s="1">
        <v>1672</v>
      </c>
      <c r="C388" s="2">
        <v>45055</v>
      </c>
      <c r="D388" s="2">
        <v>45062</v>
      </c>
      <c r="E388" s="1" t="s">
        <v>46</v>
      </c>
      <c r="F388" s="1" t="s">
        <v>29</v>
      </c>
      <c r="G388" s="1" t="s">
        <v>24</v>
      </c>
      <c r="H388" s="1" t="s">
        <v>42</v>
      </c>
      <c r="I388" s="1" t="s">
        <v>31</v>
      </c>
      <c r="J388" s="1" t="s">
        <v>32</v>
      </c>
      <c r="K388" s="1" t="s">
        <v>33</v>
      </c>
      <c r="L388" s="1">
        <v>8</v>
      </c>
      <c r="M388" s="1">
        <v>1375.47</v>
      </c>
      <c r="N388" s="1">
        <v>15</v>
      </c>
      <c r="O388" s="1">
        <v>9353.2000000000007</v>
      </c>
      <c r="P388" s="1">
        <f t="shared" si="31"/>
        <v>11003.76</v>
      </c>
      <c r="Q388" s="10">
        <f t="shared" si="32"/>
        <v>1402.98</v>
      </c>
      <c r="R388" s="11">
        <f t="shared" si="33"/>
        <v>9600.7800000000007</v>
      </c>
      <c r="S388" s="1" t="str">
        <f t="shared" si="34"/>
        <v>High</v>
      </c>
      <c r="T388" s="1" t="str" cm="1">
        <f t="array" ref="T388">_xlfn.IFS(L388&gt;5,"High",L388=5,"mediam",L388&lt;5,"low")</f>
        <v>High</v>
      </c>
      <c r="U388" s="1" t="str">
        <f t="shared" si="30"/>
        <v>High</v>
      </c>
    </row>
    <row r="389" spans="1:21" x14ac:dyDescent="0.3">
      <c r="A389" s="5">
        <v>10388</v>
      </c>
      <c r="B389" s="1">
        <v>1919</v>
      </c>
      <c r="C389" s="2">
        <v>44934</v>
      </c>
      <c r="D389" s="2">
        <v>44941</v>
      </c>
      <c r="E389" s="1" t="s">
        <v>22</v>
      </c>
      <c r="F389" s="1" t="s">
        <v>54</v>
      </c>
      <c r="G389" s="1" t="s">
        <v>30</v>
      </c>
      <c r="H389" s="1" t="s">
        <v>18</v>
      </c>
      <c r="I389" s="1" t="s">
        <v>31</v>
      </c>
      <c r="J389" s="1" t="s">
        <v>39</v>
      </c>
      <c r="K389" s="1" t="s">
        <v>33</v>
      </c>
      <c r="L389" s="1">
        <v>3</v>
      </c>
      <c r="M389" s="1">
        <v>2032.79</v>
      </c>
      <c r="N389" s="1">
        <v>10</v>
      </c>
      <c r="O389" s="1">
        <v>5488.53</v>
      </c>
      <c r="P389" s="1">
        <f t="shared" si="31"/>
        <v>6098.37</v>
      </c>
      <c r="Q389" s="10">
        <f t="shared" si="32"/>
        <v>548.85299999999995</v>
      </c>
      <c r="R389" s="11">
        <f t="shared" si="33"/>
        <v>5549.5169999999998</v>
      </c>
      <c r="S389" s="1" t="str">
        <f t="shared" si="34"/>
        <v>Low</v>
      </c>
      <c r="T389" s="1" t="str" cm="1">
        <f t="array" ref="T389">_xlfn.IFS(L389&gt;5,"High",L389=5,"mediam",L389&lt;5,"low")</f>
        <v>low</v>
      </c>
      <c r="U389" s="1" t="b">
        <f t="shared" si="30"/>
        <v>0</v>
      </c>
    </row>
    <row r="390" spans="1:21" x14ac:dyDescent="0.3">
      <c r="A390" s="5">
        <v>10389</v>
      </c>
      <c r="B390" s="1">
        <v>1627</v>
      </c>
      <c r="C390" s="2">
        <v>45027</v>
      </c>
      <c r="D390" s="2">
        <v>45030</v>
      </c>
      <c r="E390" s="1" t="s">
        <v>15</v>
      </c>
      <c r="F390" s="1" t="s">
        <v>38</v>
      </c>
      <c r="G390" s="1" t="s">
        <v>17</v>
      </c>
      <c r="H390" s="1" t="s">
        <v>35</v>
      </c>
      <c r="I390" s="1" t="s">
        <v>26</v>
      </c>
      <c r="J390" s="1" t="s">
        <v>69</v>
      </c>
      <c r="K390" s="1" t="s">
        <v>21</v>
      </c>
      <c r="L390" s="1">
        <v>7</v>
      </c>
      <c r="M390" s="1">
        <v>3459.29</v>
      </c>
      <c r="N390" s="1">
        <v>0</v>
      </c>
      <c r="O390" s="1">
        <v>24215.03</v>
      </c>
      <c r="P390" s="1">
        <f t="shared" si="31"/>
        <v>24215.03</v>
      </c>
      <c r="Q390" s="10">
        <f t="shared" si="32"/>
        <v>0</v>
      </c>
      <c r="R390" s="11">
        <f t="shared" si="33"/>
        <v>24215.03</v>
      </c>
      <c r="S390" s="1" t="str">
        <f t="shared" si="34"/>
        <v>High</v>
      </c>
      <c r="T390" s="1" t="str" cm="1">
        <f t="array" ref="T390">_xlfn.IFS(L390&gt;5,"High",L390=5,"mediam",L390&lt;5,"low")</f>
        <v>High</v>
      </c>
      <c r="U390" s="1" t="str">
        <f t="shared" si="30"/>
        <v>High</v>
      </c>
    </row>
    <row r="391" spans="1:21" x14ac:dyDescent="0.3">
      <c r="A391" s="5">
        <v>10390</v>
      </c>
      <c r="B391" s="1">
        <v>1586</v>
      </c>
      <c r="C391" s="2">
        <v>45102</v>
      </c>
      <c r="D391" s="2">
        <v>45103</v>
      </c>
      <c r="E391" s="1" t="s">
        <v>40</v>
      </c>
      <c r="F391" s="1" t="s">
        <v>54</v>
      </c>
      <c r="G391" s="1" t="s">
        <v>24</v>
      </c>
      <c r="H391" s="1" t="s">
        <v>35</v>
      </c>
      <c r="I391" s="1" t="s">
        <v>31</v>
      </c>
      <c r="J391" s="1" t="s">
        <v>48</v>
      </c>
      <c r="K391" s="1" t="s">
        <v>47</v>
      </c>
      <c r="L391" s="1">
        <v>1</v>
      </c>
      <c r="M391" s="1">
        <v>2430.36</v>
      </c>
      <c r="N391" s="1">
        <v>15</v>
      </c>
      <c r="O391" s="1">
        <v>2065.81</v>
      </c>
      <c r="P391" s="1">
        <f t="shared" si="31"/>
        <v>2430.36</v>
      </c>
      <c r="Q391" s="10">
        <f t="shared" si="32"/>
        <v>309.87149999999997</v>
      </c>
      <c r="R391" s="11">
        <f t="shared" si="33"/>
        <v>2120.4885000000004</v>
      </c>
      <c r="S391" s="1" t="str">
        <f t="shared" si="34"/>
        <v>Low</v>
      </c>
      <c r="T391" s="1" t="str" cm="1">
        <f t="array" ref="T391">_xlfn.IFS(L391&gt;5,"High",L391=5,"mediam",L391&lt;5,"low")</f>
        <v>low</v>
      </c>
      <c r="U391" s="1" t="b">
        <f t="shared" si="30"/>
        <v>0</v>
      </c>
    </row>
    <row r="392" spans="1:21" x14ac:dyDescent="0.3">
      <c r="A392" s="5">
        <v>10391</v>
      </c>
      <c r="B392" s="1">
        <v>1624</v>
      </c>
      <c r="C392" s="2">
        <v>45033</v>
      </c>
      <c r="D392" s="2">
        <v>45037</v>
      </c>
      <c r="E392" s="1" t="s">
        <v>15</v>
      </c>
      <c r="F392" s="1" t="s">
        <v>29</v>
      </c>
      <c r="G392" s="1" t="s">
        <v>30</v>
      </c>
      <c r="H392" s="1" t="s">
        <v>25</v>
      </c>
      <c r="I392" s="1" t="s">
        <v>19</v>
      </c>
      <c r="J392" s="1" t="s">
        <v>66</v>
      </c>
      <c r="K392" s="1" t="s">
        <v>33</v>
      </c>
      <c r="L392" s="1">
        <v>6</v>
      </c>
      <c r="M392" s="1">
        <v>2824.42</v>
      </c>
      <c r="N392" s="1">
        <v>0</v>
      </c>
      <c r="O392" s="1">
        <v>16946.52</v>
      </c>
      <c r="P392" s="1">
        <f t="shared" si="31"/>
        <v>16946.52</v>
      </c>
      <c r="Q392" s="10">
        <f t="shared" si="32"/>
        <v>0</v>
      </c>
      <c r="R392" s="11">
        <f t="shared" si="33"/>
        <v>16946.52</v>
      </c>
      <c r="S392" s="1" t="str">
        <f t="shared" si="34"/>
        <v>High</v>
      </c>
      <c r="T392" s="1" t="str" cm="1">
        <f t="array" ref="T392">_xlfn.IFS(L392&gt;5,"High",L392=5,"mediam",L392&lt;5,"low")</f>
        <v>High</v>
      </c>
      <c r="U392" s="1" t="str">
        <f t="shared" si="30"/>
        <v>High</v>
      </c>
    </row>
    <row r="393" spans="1:21" x14ac:dyDescent="0.3">
      <c r="A393" s="5">
        <v>10392</v>
      </c>
      <c r="B393" s="1">
        <v>1967</v>
      </c>
      <c r="C393" s="2">
        <v>45027</v>
      </c>
      <c r="D393" s="2">
        <v>45036</v>
      </c>
      <c r="E393" s="1" t="s">
        <v>22</v>
      </c>
      <c r="F393" s="1" t="s">
        <v>38</v>
      </c>
      <c r="G393" s="1" t="s">
        <v>24</v>
      </c>
      <c r="H393" s="1" t="s">
        <v>25</v>
      </c>
      <c r="I393" s="1" t="s">
        <v>52</v>
      </c>
      <c r="J393" s="1" t="s">
        <v>60</v>
      </c>
      <c r="K393" s="1" t="s">
        <v>33</v>
      </c>
      <c r="L393" s="1">
        <v>3</v>
      </c>
      <c r="M393" s="1">
        <v>1553.98</v>
      </c>
      <c r="N393" s="1">
        <v>15</v>
      </c>
      <c r="O393" s="1">
        <v>3962.65</v>
      </c>
      <c r="P393" s="1">
        <f t="shared" si="31"/>
        <v>4661.9400000000005</v>
      </c>
      <c r="Q393" s="10">
        <f t="shared" si="32"/>
        <v>594.39750000000004</v>
      </c>
      <c r="R393" s="11">
        <f t="shared" si="33"/>
        <v>4067.5425000000005</v>
      </c>
      <c r="S393" s="1" t="str">
        <f t="shared" si="34"/>
        <v>Low</v>
      </c>
      <c r="T393" s="1" t="str" cm="1">
        <f t="array" ref="T393">_xlfn.IFS(L393&gt;5,"High",L393=5,"mediam",L393&lt;5,"low")</f>
        <v>low</v>
      </c>
      <c r="U393" s="1" t="b">
        <f t="shared" ref="U393:U456" si="35">IF(L393&gt;5,"High",IF(L393="Mediam","Low"))</f>
        <v>0</v>
      </c>
    </row>
    <row r="394" spans="1:21" x14ac:dyDescent="0.3">
      <c r="A394" s="5">
        <v>10393</v>
      </c>
      <c r="B394" s="1">
        <v>1419</v>
      </c>
      <c r="C394" s="2">
        <v>45186</v>
      </c>
      <c r="D394" s="2">
        <v>45191</v>
      </c>
      <c r="E394" s="1" t="s">
        <v>40</v>
      </c>
      <c r="F394" s="1" t="s">
        <v>23</v>
      </c>
      <c r="G394" s="1" t="s">
        <v>24</v>
      </c>
      <c r="H394" s="1" t="s">
        <v>35</v>
      </c>
      <c r="I394" s="1" t="s">
        <v>52</v>
      </c>
      <c r="J394" s="1" t="s">
        <v>60</v>
      </c>
      <c r="K394" s="1" t="s">
        <v>45</v>
      </c>
      <c r="L394" s="1">
        <v>8</v>
      </c>
      <c r="M394" s="1">
        <v>2993.25</v>
      </c>
      <c r="N394" s="1">
        <v>10</v>
      </c>
      <c r="O394" s="1">
        <v>21551.4</v>
      </c>
      <c r="P394" s="1">
        <f t="shared" si="31"/>
        <v>23946</v>
      </c>
      <c r="Q394" s="10">
        <f t="shared" si="32"/>
        <v>2155.1400000000003</v>
      </c>
      <c r="R394" s="11">
        <f t="shared" si="33"/>
        <v>21790.86</v>
      </c>
      <c r="S394" s="1" t="str">
        <f t="shared" si="34"/>
        <v>High</v>
      </c>
      <c r="T394" s="1" t="str" cm="1">
        <f t="array" ref="T394">_xlfn.IFS(L394&gt;5,"High",L394=5,"mediam",L394&lt;5,"low")</f>
        <v>High</v>
      </c>
      <c r="U394" s="1" t="str">
        <f t="shared" si="35"/>
        <v>High</v>
      </c>
    </row>
    <row r="395" spans="1:21" x14ac:dyDescent="0.3">
      <c r="A395" s="5">
        <v>10394</v>
      </c>
      <c r="B395" s="1">
        <v>1421</v>
      </c>
      <c r="C395" s="2">
        <v>45172</v>
      </c>
      <c r="D395" s="2">
        <v>45173</v>
      </c>
      <c r="E395" s="1" t="s">
        <v>22</v>
      </c>
      <c r="F395" s="1" t="s">
        <v>29</v>
      </c>
      <c r="G395" s="1" t="s">
        <v>17</v>
      </c>
      <c r="H395" s="1" t="s">
        <v>18</v>
      </c>
      <c r="I395" s="1" t="s">
        <v>49</v>
      </c>
      <c r="J395" s="1" t="s">
        <v>50</v>
      </c>
      <c r="K395" s="1" t="s">
        <v>47</v>
      </c>
      <c r="L395" s="1">
        <v>6</v>
      </c>
      <c r="M395" s="1">
        <v>2716.48</v>
      </c>
      <c r="N395" s="1">
        <v>0</v>
      </c>
      <c r="O395" s="1">
        <v>16298.88</v>
      </c>
      <c r="P395" s="1">
        <f t="shared" si="31"/>
        <v>16298.880000000001</v>
      </c>
      <c r="Q395" s="10">
        <f t="shared" si="32"/>
        <v>0</v>
      </c>
      <c r="R395" s="11">
        <f t="shared" si="33"/>
        <v>16298.880000000001</v>
      </c>
      <c r="S395" s="1" t="str">
        <f t="shared" si="34"/>
        <v>High</v>
      </c>
      <c r="T395" s="1" t="str" cm="1">
        <f t="array" ref="T395">_xlfn.IFS(L395&gt;5,"High",L395=5,"mediam",L395&lt;5,"low")</f>
        <v>High</v>
      </c>
      <c r="U395" s="1" t="str">
        <f t="shared" si="35"/>
        <v>High</v>
      </c>
    </row>
    <row r="396" spans="1:21" x14ac:dyDescent="0.3">
      <c r="A396" s="5">
        <v>10395</v>
      </c>
      <c r="B396" s="1">
        <v>1103</v>
      </c>
      <c r="C396" s="2">
        <v>45201</v>
      </c>
      <c r="D396" s="2">
        <v>45206</v>
      </c>
      <c r="E396" s="1" t="s">
        <v>16</v>
      </c>
      <c r="F396" s="1" t="s">
        <v>23</v>
      </c>
      <c r="G396" s="1" t="s">
        <v>24</v>
      </c>
      <c r="H396" s="1" t="s">
        <v>44</v>
      </c>
      <c r="I396" s="1" t="s">
        <v>26</v>
      </c>
      <c r="J396" s="1" t="s">
        <v>36</v>
      </c>
      <c r="K396" s="1" t="s">
        <v>45</v>
      </c>
      <c r="L396" s="1">
        <v>2</v>
      </c>
      <c r="M396" s="1">
        <v>610.30999999999995</v>
      </c>
      <c r="N396" s="1">
        <v>10</v>
      </c>
      <c r="O396" s="1">
        <v>1098.56</v>
      </c>
      <c r="P396" s="1">
        <f t="shared" si="31"/>
        <v>1220.6199999999999</v>
      </c>
      <c r="Q396" s="10">
        <f t="shared" si="32"/>
        <v>109.85599999999999</v>
      </c>
      <c r="R396" s="11">
        <f t="shared" si="33"/>
        <v>1110.7639999999999</v>
      </c>
      <c r="S396" s="1" t="str">
        <f t="shared" si="34"/>
        <v>Low</v>
      </c>
      <c r="T396" s="1" t="str" cm="1">
        <f t="array" ref="T396">_xlfn.IFS(L396&gt;5,"High",L396=5,"mediam",L396&lt;5,"low")</f>
        <v>low</v>
      </c>
      <c r="U396" s="1" t="b">
        <f t="shared" si="35"/>
        <v>0</v>
      </c>
    </row>
    <row r="397" spans="1:21" x14ac:dyDescent="0.3">
      <c r="A397" s="5">
        <v>10396</v>
      </c>
      <c r="B397" s="1">
        <v>1851</v>
      </c>
      <c r="C397" s="2">
        <v>44958</v>
      </c>
      <c r="D397" s="2">
        <v>44966</v>
      </c>
      <c r="E397" s="1" t="s">
        <v>46</v>
      </c>
      <c r="F397" s="1" t="s">
        <v>16</v>
      </c>
      <c r="G397" s="1" t="s">
        <v>30</v>
      </c>
      <c r="H397" s="1" t="s">
        <v>44</v>
      </c>
      <c r="I397" s="1" t="s">
        <v>49</v>
      </c>
      <c r="J397" s="1" t="s">
        <v>51</v>
      </c>
      <c r="K397" s="1" t="s">
        <v>47</v>
      </c>
      <c r="L397" s="1">
        <v>6</v>
      </c>
      <c r="M397" s="1">
        <v>2354.67</v>
      </c>
      <c r="N397" s="1">
        <v>15</v>
      </c>
      <c r="O397" s="1">
        <v>12008.82</v>
      </c>
      <c r="P397" s="1">
        <f t="shared" si="31"/>
        <v>14128.02</v>
      </c>
      <c r="Q397" s="10">
        <f t="shared" si="32"/>
        <v>1801.3229999999999</v>
      </c>
      <c r="R397" s="11">
        <f t="shared" si="33"/>
        <v>12326.697</v>
      </c>
      <c r="S397" s="1" t="str">
        <f t="shared" si="34"/>
        <v>High</v>
      </c>
      <c r="T397" s="1" t="str" cm="1">
        <f t="array" ref="T397">_xlfn.IFS(L397&gt;5,"High",L397=5,"mediam",L397&lt;5,"low")</f>
        <v>High</v>
      </c>
      <c r="U397" s="1" t="str">
        <f t="shared" si="35"/>
        <v>High</v>
      </c>
    </row>
    <row r="398" spans="1:21" x14ac:dyDescent="0.3">
      <c r="A398" s="5">
        <v>10397</v>
      </c>
      <c r="B398" s="1">
        <v>1253</v>
      </c>
      <c r="C398" s="2">
        <v>45063</v>
      </c>
      <c r="D398" s="2">
        <v>45071</v>
      </c>
      <c r="E398" s="1" t="s">
        <v>22</v>
      </c>
      <c r="F398" s="1" t="s">
        <v>41</v>
      </c>
      <c r="G398" s="1" t="s">
        <v>30</v>
      </c>
      <c r="H398" s="1" t="s">
        <v>18</v>
      </c>
      <c r="I398" s="1" t="s">
        <v>31</v>
      </c>
      <c r="J398" s="1" t="s">
        <v>39</v>
      </c>
      <c r="K398" s="1" t="s">
        <v>45</v>
      </c>
      <c r="L398" s="1">
        <v>7</v>
      </c>
      <c r="M398" s="1">
        <v>1138.46</v>
      </c>
      <c r="N398" s="1">
        <v>10</v>
      </c>
      <c r="O398" s="1">
        <v>7172.3</v>
      </c>
      <c r="P398" s="1">
        <f t="shared" si="31"/>
        <v>7969.22</v>
      </c>
      <c r="Q398" s="10">
        <f t="shared" si="32"/>
        <v>717.23</v>
      </c>
      <c r="R398" s="11">
        <f t="shared" si="33"/>
        <v>7251.99</v>
      </c>
      <c r="S398" s="1" t="str">
        <f t="shared" si="34"/>
        <v>High</v>
      </c>
      <c r="T398" s="1" t="str" cm="1">
        <f t="array" ref="T398">_xlfn.IFS(L398&gt;5,"High",L398=5,"mediam",L398&lt;5,"low")</f>
        <v>High</v>
      </c>
      <c r="U398" s="1" t="str">
        <f t="shared" si="35"/>
        <v>High</v>
      </c>
    </row>
    <row r="399" spans="1:21" x14ac:dyDescent="0.3">
      <c r="A399" s="5">
        <v>10398</v>
      </c>
      <c r="B399" s="1">
        <v>1226</v>
      </c>
      <c r="C399" s="2">
        <v>44938</v>
      </c>
      <c r="D399" s="2">
        <v>44943</v>
      </c>
      <c r="E399" s="1" t="s">
        <v>22</v>
      </c>
      <c r="F399" s="1" t="s">
        <v>29</v>
      </c>
      <c r="G399" s="1" t="s">
        <v>17</v>
      </c>
      <c r="H399" s="1" t="s">
        <v>44</v>
      </c>
      <c r="I399" s="1" t="s">
        <v>49</v>
      </c>
      <c r="J399" s="1" t="s">
        <v>63</v>
      </c>
      <c r="K399" s="1" t="s">
        <v>33</v>
      </c>
      <c r="L399" s="1">
        <v>5</v>
      </c>
      <c r="M399" s="1">
        <v>3245.77</v>
      </c>
      <c r="N399" s="1">
        <v>0</v>
      </c>
      <c r="O399" s="1">
        <v>16228.85</v>
      </c>
      <c r="P399" s="1">
        <f t="shared" si="31"/>
        <v>16228.85</v>
      </c>
      <c r="Q399" s="10">
        <f t="shared" si="32"/>
        <v>0</v>
      </c>
      <c r="R399" s="11">
        <f t="shared" si="33"/>
        <v>16228.85</v>
      </c>
      <c r="S399" s="1" t="str">
        <f t="shared" si="34"/>
        <v>High</v>
      </c>
      <c r="T399" s="1" t="str" cm="1">
        <f t="array" ref="T399">_xlfn.IFS(L399&gt;5,"High",L399=5,"mediam",L399&lt;5,"low")</f>
        <v>mediam</v>
      </c>
      <c r="U399" s="1" t="b">
        <f t="shared" si="35"/>
        <v>0</v>
      </c>
    </row>
    <row r="400" spans="1:21" x14ac:dyDescent="0.3">
      <c r="A400" s="5">
        <v>10399</v>
      </c>
      <c r="B400" s="1">
        <v>1111</v>
      </c>
      <c r="C400" s="2">
        <v>45228</v>
      </c>
      <c r="D400" s="2">
        <v>45237</v>
      </c>
      <c r="E400" s="1" t="s">
        <v>16</v>
      </c>
      <c r="F400" s="1" t="s">
        <v>16</v>
      </c>
      <c r="G400" s="1" t="s">
        <v>24</v>
      </c>
      <c r="H400" s="1" t="s">
        <v>42</v>
      </c>
      <c r="I400" s="1" t="s">
        <v>19</v>
      </c>
      <c r="J400" s="1" t="s">
        <v>43</v>
      </c>
      <c r="K400" s="1" t="s">
        <v>33</v>
      </c>
      <c r="L400" s="1">
        <v>3</v>
      </c>
      <c r="M400" s="1">
        <v>1789.86</v>
      </c>
      <c r="N400" s="1">
        <v>0</v>
      </c>
      <c r="O400" s="1">
        <v>5369.58</v>
      </c>
      <c r="P400" s="1">
        <f t="shared" si="31"/>
        <v>5369.58</v>
      </c>
      <c r="Q400" s="10">
        <f t="shared" si="32"/>
        <v>0</v>
      </c>
      <c r="R400" s="11">
        <f t="shared" si="33"/>
        <v>5369.58</v>
      </c>
      <c r="S400" s="1" t="str">
        <f t="shared" si="34"/>
        <v>Low</v>
      </c>
      <c r="T400" s="1" t="str" cm="1">
        <f t="array" ref="T400">_xlfn.IFS(L400&gt;5,"High",L400=5,"mediam",L400&lt;5,"low")</f>
        <v>low</v>
      </c>
      <c r="U400" s="1" t="b">
        <f t="shared" si="35"/>
        <v>0</v>
      </c>
    </row>
    <row r="401" spans="1:21" x14ac:dyDescent="0.3">
      <c r="A401" s="5">
        <v>10400</v>
      </c>
      <c r="B401" s="1">
        <v>1509</v>
      </c>
      <c r="C401" s="2">
        <v>44942</v>
      </c>
      <c r="D401" s="2">
        <v>44943</v>
      </c>
      <c r="E401" s="1" t="s">
        <v>34</v>
      </c>
      <c r="F401" s="1" t="s">
        <v>29</v>
      </c>
      <c r="G401" s="1" t="s">
        <v>30</v>
      </c>
      <c r="H401" s="1" t="s">
        <v>35</v>
      </c>
      <c r="I401" s="1" t="s">
        <v>52</v>
      </c>
      <c r="J401" s="1" t="s">
        <v>60</v>
      </c>
      <c r="K401" s="1" t="s">
        <v>21</v>
      </c>
      <c r="L401" s="1">
        <v>4</v>
      </c>
      <c r="M401" s="1">
        <v>3979.53</v>
      </c>
      <c r="N401" s="1">
        <v>10</v>
      </c>
      <c r="O401" s="1">
        <v>14326.31</v>
      </c>
      <c r="P401" s="1">
        <f t="shared" si="31"/>
        <v>15918.12</v>
      </c>
      <c r="Q401" s="10">
        <f t="shared" si="32"/>
        <v>1432.6310000000001</v>
      </c>
      <c r="R401" s="11">
        <f t="shared" si="33"/>
        <v>14485.489000000001</v>
      </c>
      <c r="S401" s="1" t="str">
        <f t="shared" si="34"/>
        <v>Low</v>
      </c>
      <c r="T401" s="1" t="str" cm="1">
        <f t="array" ref="T401">_xlfn.IFS(L401&gt;5,"High",L401=5,"mediam",L401&lt;5,"low")</f>
        <v>low</v>
      </c>
      <c r="U401" s="1" t="b">
        <f t="shared" si="35"/>
        <v>0</v>
      </c>
    </row>
    <row r="402" spans="1:21" x14ac:dyDescent="0.3">
      <c r="A402" s="5">
        <v>10401</v>
      </c>
      <c r="B402" s="1">
        <v>1472</v>
      </c>
      <c r="C402" s="2">
        <v>45055</v>
      </c>
      <c r="D402" s="2">
        <v>45059</v>
      </c>
      <c r="E402" s="1" t="s">
        <v>16</v>
      </c>
      <c r="F402" s="1" t="s">
        <v>29</v>
      </c>
      <c r="G402" s="1" t="s">
        <v>24</v>
      </c>
      <c r="H402" s="1" t="s">
        <v>35</v>
      </c>
      <c r="I402" s="1" t="s">
        <v>31</v>
      </c>
      <c r="J402" s="1" t="s">
        <v>48</v>
      </c>
      <c r="K402" s="1" t="s">
        <v>45</v>
      </c>
      <c r="L402" s="1">
        <v>4</v>
      </c>
      <c r="M402" s="1">
        <v>506.13</v>
      </c>
      <c r="N402" s="1">
        <v>5</v>
      </c>
      <c r="O402" s="1">
        <v>1923.29</v>
      </c>
      <c r="P402" s="1">
        <f t="shared" si="31"/>
        <v>2024.52</v>
      </c>
      <c r="Q402" s="10">
        <f t="shared" si="32"/>
        <v>96.164500000000004</v>
      </c>
      <c r="R402" s="11">
        <f t="shared" si="33"/>
        <v>1928.3554999999999</v>
      </c>
      <c r="S402" s="1" t="str">
        <f t="shared" si="34"/>
        <v>Low</v>
      </c>
      <c r="T402" s="1" t="str" cm="1">
        <f t="array" ref="T402">_xlfn.IFS(L402&gt;5,"High",L402=5,"mediam",L402&lt;5,"low")</f>
        <v>low</v>
      </c>
      <c r="U402" s="1" t="b">
        <f t="shared" si="35"/>
        <v>0</v>
      </c>
    </row>
    <row r="403" spans="1:21" x14ac:dyDescent="0.3">
      <c r="A403" s="5">
        <v>10402</v>
      </c>
      <c r="B403" s="1">
        <v>1098</v>
      </c>
      <c r="C403" s="2">
        <v>44989</v>
      </c>
      <c r="D403" s="2">
        <v>44992</v>
      </c>
      <c r="E403" s="1" t="s">
        <v>40</v>
      </c>
      <c r="F403" s="1" t="s">
        <v>16</v>
      </c>
      <c r="G403" s="1" t="s">
        <v>24</v>
      </c>
      <c r="H403" s="1" t="s">
        <v>18</v>
      </c>
      <c r="I403" s="1" t="s">
        <v>49</v>
      </c>
      <c r="J403" s="1" t="s">
        <v>51</v>
      </c>
      <c r="K403" s="1" t="s">
        <v>28</v>
      </c>
      <c r="L403" s="1">
        <v>6</v>
      </c>
      <c r="M403" s="1">
        <v>3154.34</v>
      </c>
      <c r="N403" s="1">
        <v>15</v>
      </c>
      <c r="O403" s="1">
        <v>16087.13</v>
      </c>
      <c r="P403" s="1">
        <f t="shared" si="31"/>
        <v>18926.04</v>
      </c>
      <c r="Q403" s="10">
        <f t="shared" si="32"/>
        <v>2413.0694999999996</v>
      </c>
      <c r="R403" s="11">
        <f t="shared" si="33"/>
        <v>16512.970500000003</v>
      </c>
      <c r="S403" s="1" t="str">
        <f t="shared" si="34"/>
        <v>High</v>
      </c>
      <c r="T403" s="1" t="str" cm="1">
        <f t="array" ref="T403">_xlfn.IFS(L403&gt;5,"High",L403=5,"mediam",L403&lt;5,"low")</f>
        <v>High</v>
      </c>
      <c r="U403" s="1" t="str">
        <f t="shared" si="35"/>
        <v>High</v>
      </c>
    </row>
    <row r="404" spans="1:21" x14ac:dyDescent="0.3">
      <c r="A404" s="5">
        <v>10403</v>
      </c>
      <c r="B404" s="1">
        <v>1152</v>
      </c>
      <c r="C404" s="2">
        <v>45035</v>
      </c>
      <c r="D404" s="2">
        <v>45037</v>
      </c>
      <c r="E404" s="1" t="s">
        <v>16</v>
      </c>
      <c r="F404" s="1" t="s">
        <v>38</v>
      </c>
      <c r="G404" s="1" t="s">
        <v>24</v>
      </c>
      <c r="H404" s="1" t="s">
        <v>44</v>
      </c>
      <c r="I404" s="1" t="s">
        <v>26</v>
      </c>
      <c r="J404" s="1" t="s">
        <v>36</v>
      </c>
      <c r="K404" s="1" t="s">
        <v>21</v>
      </c>
      <c r="L404" s="1">
        <v>1</v>
      </c>
      <c r="M404" s="1">
        <v>2743.75</v>
      </c>
      <c r="N404" s="1">
        <v>15</v>
      </c>
      <c r="O404" s="1">
        <v>2332.19</v>
      </c>
      <c r="P404" s="1">
        <f t="shared" si="31"/>
        <v>2743.75</v>
      </c>
      <c r="Q404" s="10">
        <f t="shared" si="32"/>
        <v>349.82850000000002</v>
      </c>
      <c r="R404" s="11">
        <f t="shared" si="33"/>
        <v>2393.9214999999999</v>
      </c>
      <c r="S404" s="1" t="str">
        <f t="shared" si="34"/>
        <v>Low</v>
      </c>
      <c r="T404" s="1" t="str" cm="1">
        <f t="array" ref="T404">_xlfn.IFS(L404&gt;5,"High",L404=5,"mediam",L404&lt;5,"low")</f>
        <v>low</v>
      </c>
      <c r="U404" s="1" t="b">
        <f t="shared" si="35"/>
        <v>0</v>
      </c>
    </row>
    <row r="405" spans="1:21" x14ac:dyDescent="0.3">
      <c r="A405" s="5">
        <v>10404</v>
      </c>
      <c r="B405" s="1">
        <v>1860</v>
      </c>
      <c r="C405" s="2">
        <v>44947</v>
      </c>
      <c r="D405" s="2">
        <v>44955</v>
      </c>
      <c r="E405" s="1" t="s">
        <v>16</v>
      </c>
      <c r="F405" s="1" t="s">
        <v>54</v>
      </c>
      <c r="G405" s="1" t="s">
        <v>17</v>
      </c>
      <c r="H405" s="1" t="s">
        <v>25</v>
      </c>
      <c r="I405" s="1" t="s">
        <v>19</v>
      </c>
      <c r="J405" s="1" t="s">
        <v>66</v>
      </c>
      <c r="K405" s="1" t="s">
        <v>45</v>
      </c>
      <c r="L405" s="1">
        <v>4</v>
      </c>
      <c r="M405" s="1">
        <v>3104.87</v>
      </c>
      <c r="N405" s="1">
        <v>10</v>
      </c>
      <c r="O405" s="1">
        <v>11177.53</v>
      </c>
      <c r="P405" s="1">
        <f t="shared" si="31"/>
        <v>12419.48</v>
      </c>
      <c r="Q405" s="10">
        <f t="shared" si="32"/>
        <v>1117.7530000000002</v>
      </c>
      <c r="R405" s="11">
        <f t="shared" si="33"/>
        <v>11301.726999999999</v>
      </c>
      <c r="S405" s="1" t="str">
        <f t="shared" si="34"/>
        <v>Low</v>
      </c>
      <c r="T405" s="1" t="str" cm="1">
        <f t="array" ref="T405">_xlfn.IFS(L405&gt;5,"High",L405=5,"mediam",L405&lt;5,"low")</f>
        <v>low</v>
      </c>
      <c r="U405" s="1" t="b">
        <f t="shared" si="35"/>
        <v>0</v>
      </c>
    </row>
    <row r="406" spans="1:21" x14ac:dyDescent="0.3">
      <c r="A406" s="5">
        <v>10405</v>
      </c>
      <c r="B406" s="1">
        <v>1913</v>
      </c>
      <c r="C406" s="2">
        <v>45084</v>
      </c>
      <c r="D406" s="2">
        <v>45091</v>
      </c>
      <c r="E406" s="1" t="s">
        <v>46</v>
      </c>
      <c r="F406" s="1" t="s">
        <v>23</v>
      </c>
      <c r="G406" s="1" t="s">
        <v>24</v>
      </c>
      <c r="H406" s="1" t="s">
        <v>25</v>
      </c>
      <c r="I406" s="1" t="s">
        <v>19</v>
      </c>
      <c r="J406" s="1" t="s">
        <v>66</v>
      </c>
      <c r="K406" s="1" t="s">
        <v>45</v>
      </c>
      <c r="L406" s="1">
        <v>4</v>
      </c>
      <c r="M406" s="1">
        <v>1333.99</v>
      </c>
      <c r="N406" s="1">
        <v>5</v>
      </c>
      <c r="O406" s="1">
        <v>5069.16</v>
      </c>
      <c r="P406" s="1">
        <f t="shared" si="31"/>
        <v>5335.96</v>
      </c>
      <c r="Q406" s="10">
        <f t="shared" si="32"/>
        <v>253.458</v>
      </c>
      <c r="R406" s="11">
        <f t="shared" si="33"/>
        <v>5082.5020000000004</v>
      </c>
      <c r="S406" s="1" t="str">
        <f t="shared" si="34"/>
        <v>Low</v>
      </c>
      <c r="T406" s="1" t="str" cm="1">
        <f t="array" ref="T406">_xlfn.IFS(L406&gt;5,"High",L406=5,"mediam",L406&lt;5,"low")</f>
        <v>low</v>
      </c>
      <c r="U406" s="1" t="b">
        <f t="shared" si="35"/>
        <v>0</v>
      </c>
    </row>
    <row r="407" spans="1:21" x14ac:dyDescent="0.3">
      <c r="A407" s="5">
        <v>10406</v>
      </c>
      <c r="B407" s="1">
        <v>1895</v>
      </c>
      <c r="C407" s="2">
        <v>45195</v>
      </c>
      <c r="D407" s="2">
        <v>45204</v>
      </c>
      <c r="E407" s="1" t="s">
        <v>16</v>
      </c>
      <c r="F407" s="1" t="s">
        <v>29</v>
      </c>
      <c r="G407" s="1" t="s">
        <v>30</v>
      </c>
      <c r="H407" s="1" t="s">
        <v>44</v>
      </c>
      <c r="I407" s="1" t="s">
        <v>49</v>
      </c>
      <c r="J407" s="1" t="s">
        <v>51</v>
      </c>
      <c r="K407" s="1" t="s">
        <v>21</v>
      </c>
      <c r="L407" s="1">
        <v>1</v>
      </c>
      <c r="M407" s="1">
        <v>2044.41</v>
      </c>
      <c r="N407" s="1">
        <v>0</v>
      </c>
      <c r="O407" s="1">
        <v>2044.41</v>
      </c>
      <c r="P407" s="1">
        <f t="shared" si="31"/>
        <v>2044.41</v>
      </c>
      <c r="Q407" s="10">
        <f t="shared" si="32"/>
        <v>0</v>
      </c>
      <c r="R407" s="11">
        <f t="shared" si="33"/>
        <v>2044.41</v>
      </c>
      <c r="S407" s="1" t="str">
        <f t="shared" si="34"/>
        <v>Low</v>
      </c>
      <c r="T407" s="1" t="str" cm="1">
        <f t="array" ref="T407">_xlfn.IFS(L407&gt;5,"High",L407=5,"mediam",L407&lt;5,"low")</f>
        <v>low</v>
      </c>
      <c r="U407" s="1" t="b">
        <f t="shared" si="35"/>
        <v>0</v>
      </c>
    </row>
    <row r="408" spans="1:21" x14ac:dyDescent="0.3">
      <c r="A408" s="5">
        <v>10407</v>
      </c>
      <c r="B408" s="1">
        <v>1877</v>
      </c>
      <c r="C408" s="2">
        <v>45088</v>
      </c>
      <c r="D408" s="2">
        <v>45090</v>
      </c>
      <c r="E408" s="1" t="s">
        <v>22</v>
      </c>
      <c r="F408" s="1" t="s">
        <v>23</v>
      </c>
      <c r="G408" s="1" t="s">
        <v>24</v>
      </c>
      <c r="H408" s="1" t="s">
        <v>25</v>
      </c>
      <c r="I408" s="1" t="s">
        <v>52</v>
      </c>
      <c r="J408" s="1" t="s">
        <v>53</v>
      </c>
      <c r="K408" s="1" t="s">
        <v>33</v>
      </c>
      <c r="L408" s="1">
        <v>9</v>
      </c>
      <c r="M408" s="1">
        <v>3216.56</v>
      </c>
      <c r="N408" s="1">
        <v>20</v>
      </c>
      <c r="O408" s="1">
        <v>23159.23</v>
      </c>
      <c r="P408" s="1">
        <f t="shared" si="31"/>
        <v>28949.040000000001</v>
      </c>
      <c r="Q408" s="10">
        <f t="shared" si="32"/>
        <v>4631.8460000000005</v>
      </c>
      <c r="R408" s="11">
        <f t="shared" si="33"/>
        <v>24317.194</v>
      </c>
      <c r="S408" s="1" t="str">
        <f t="shared" si="34"/>
        <v>High</v>
      </c>
      <c r="T408" s="1" t="str" cm="1">
        <f t="array" ref="T408">_xlfn.IFS(L408&gt;5,"High",L408=5,"mediam",L408&lt;5,"low")</f>
        <v>High</v>
      </c>
      <c r="U408" s="1" t="str">
        <f t="shared" si="35"/>
        <v>High</v>
      </c>
    </row>
    <row r="409" spans="1:21" x14ac:dyDescent="0.3">
      <c r="A409" s="5">
        <v>10408</v>
      </c>
      <c r="B409" s="1">
        <v>1337</v>
      </c>
      <c r="C409" s="2">
        <v>45186</v>
      </c>
      <c r="D409" s="2">
        <v>45190</v>
      </c>
      <c r="E409" s="1" t="s">
        <v>46</v>
      </c>
      <c r="F409" s="1" t="s">
        <v>41</v>
      </c>
      <c r="G409" s="1" t="s">
        <v>30</v>
      </c>
      <c r="H409" s="1" t="s">
        <v>18</v>
      </c>
      <c r="I409" s="1" t="s">
        <v>49</v>
      </c>
      <c r="J409" s="1" t="s">
        <v>63</v>
      </c>
      <c r="K409" s="1" t="s">
        <v>45</v>
      </c>
      <c r="L409" s="1">
        <v>4</v>
      </c>
      <c r="M409" s="1">
        <v>1045.28</v>
      </c>
      <c r="N409" s="1">
        <v>20</v>
      </c>
      <c r="O409" s="1">
        <v>3344.9</v>
      </c>
      <c r="P409" s="1">
        <f t="shared" si="31"/>
        <v>4181.12</v>
      </c>
      <c r="Q409" s="10">
        <f t="shared" si="32"/>
        <v>668.98</v>
      </c>
      <c r="R409" s="11">
        <f t="shared" si="33"/>
        <v>3512.14</v>
      </c>
      <c r="S409" s="1" t="str">
        <f t="shared" si="34"/>
        <v>Low</v>
      </c>
      <c r="T409" s="1" t="str" cm="1">
        <f t="array" ref="T409">_xlfn.IFS(L409&gt;5,"High",L409=5,"mediam",L409&lt;5,"low")</f>
        <v>low</v>
      </c>
      <c r="U409" s="1" t="b">
        <f t="shared" si="35"/>
        <v>0</v>
      </c>
    </row>
    <row r="410" spans="1:21" x14ac:dyDescent="0.3">
      <c r="A410" s="5">
        <v>10409</v>
      </c>
      <c r="B410" s="1">
        <v>1705</v>
      </c>
      <c r="C410" s="2">
        <v>45028</v>
      </c>
      <c r="D410" s="2">
        <v>45034</v>
      </c>
      <c r="E410" s="1" t="s">
        <v>37</v>
      </c>
      <c r="F410" s="1" t="s">
        <v>16</v>
      </c>
      <c r="G410" s="1" t="s">
        <v>24</v>
      </c>
      <c r="H410" s="1" t="s">
        <v>18</v>
      </c>
      <c r="I410" s="1" t="s">
        <v>31</v>
      </c>
      <c r="J410" s="1" t="s">
        <v>39</v>
      </c>
      <c r="K410" s="1" t="s">
        <v>33</v>
      </c>
      <c r="L410" s="1">
        <v>7</v>
      </c>
      <c r="M410" s="1">
        <v>1020.23</v>
      </c>
      <c r="N410" s="1">
        <v>10</v>
      </c>
      <c r="O410" s="1">
        <v>6427.45</v>
      </c>
      <c r="P410" s="1">
        <f t="shared" si="31"/>
        <v>7141.6100000000006</v>
      </c>
      <c r="Q410" s="10">
        <f t="shared" si="32"/>
        <v>642.745</v>
      </c>
      <c r="R410" s="11">
        <f t="shared" si="33"/>
        <v>6498.8650000000007</v>
      </c>
      <c r="S410" s="1" t="str">
        <f t="shared" si="34"/>
        <v>High</v>
      </c>
      <c r="T410" s="1" t="str" cm="1">
        <f t="array" ref="T410">_xlfn.IFS(L410&gt;5,"High",L410=5,"mediam",L410&lt;5,"low")</f>
        <v>High</v>
      </c>
      <c r="U410" s="1" t="str">
        <f t="shared" si="35"/>
        <v>High</v>
      </c>
    </row>
    <row r="411" spans="1:21" x14ac:dyDescent="0.3">
      <c r="A411" s="5">
        <v>10410</v>
      </c>
      <c r="B411" s="1">
        <v>1821</v>
      </c>
      <c r="C411" s="2">
        <v>45149</v>
      </c>
      <c r="D411" s="2">
        <v>45152</v>
      </c>
      <c r="E411" s="1" t="s">
        <v>34</v>
      </c>
      <c r="F411" s="1" t="s">
        <v>23</v>
      </c>
      <c r="G411" s="1" t="s">
        <v>30</v>
      </c>
      <c r="H411" s="1" t="s">
        <v>44</v>
      </c>
      <c r="I411" s="1" t="s">
        <v>49</v>
      </c>
      <c r="J411" s="1" t="s">
        <v>50</v>
      </c>
      <c r="K411" s="1" t="s">
        <v>21</v>
      </c>
      <c r="L411" s="1">
        <v>3</v>
      </c>
      <c r="M411" s="1">
        <v>2271.5500000000002</v>
      </c>
      <c r="N411" s="1">
        <v>5</v>
      </c>
      <c r="O411" s="1">
        <v>6473.92</v>
      </c>
      <c r="P411" s="1">
        <f t="shared" si="31"/>
        <v>6814.6500000000005</v>
      </c>
      <c r="Q411" s="10">
        <f t="shared" si="32"/>
        <v>323.69600000000003</v>
      </c>
      <c r="R411" s="11">
        <f t="shared" si="33"/>
        <v>6490.9540000000006</v>
      </c>
      <c r="S411" s="1" t="str">
        <f t="shared" si="34"/>
        <v>Low</v>
      </c>
      <c r="T411" s="1" t="str" cm="1">
        <f t="array" ref="T411">_xlfn.IFS(L411&gt;5,"High",L411=5,"mediam",L411&lt;5,"low")</f>
        <v>low</v>
      </c>
      <c r="U411" s="1" t="b">
        <f t="shared" si="35"/>
        <v>0</v>
      </c>
    </row>
    <row r="412" spans="1:21" x14ac:dyDescent="0.3">
      <c r="A412" s="5">
        <v>10411</v>
      </c>
      <c r="B412" s="1">
        <v>1162</v>
      </c>
      <c r="C412" s="2">
        <v>44985</v>
      </c>
      <c r="D412" s="2">
        <v>44993</v>
      </c>
      <c r="E412" s="1" t="s">
        <v>46</v>
      </c>
      <c r="F412" s="1" t="s">
        <v>16</v>
      </c>
      <c r="G412" s="1" t="s">
        <v>30</v>
      </c>
      <c r="H412" s="1" t="s">
        <v>25</v>
      </c>
      <c r="I412" s="1" t="s">
        <v>19</v>
      </c>
      <c r="J412" s="1" t="s">
        <v>43</v>
      </c>
      <c r="K412" s="1" t="s">
        <v>33</v>
      </c>
      <c r="L412" s="1">
        <v>3</v>
      </c>
      <c r="M412" s="1">
        <v>2165.7199999999998</v>
      </c>
      <c r="N412" s="1">
        <v>5</v>
      </c>
      <c r="O412" s="1">
        <v>6172.3</v>
      </c>
      <c r="P412" s="1">
        <f t="shared" si="31"/>
        <v>6497.16</v>
      </c>
      <c r="Q412" s="10">
        <f t="shared" si="32"/>
        <v>308.61500000000001</v>
      </c>
      <c r="R412" s="11">
        <f t="shared" si="33"/>
        <v>6188.5450000000001</v>
      </c>
      <c r="S412" s="1" t="str">
        <f t="shared" si="34"/>
        <v>Low</v>
      </c>
      <c r="T412" s="1" t="str" cm="1">
        <f t="array" ref="T412">_xlfn.IFS(L412&gt;5,"High",L412=5,"mediam",L412&lt;5,"low")</f>
        <v>low</v>
      </c>
      <c r="U412" s="1" t="b">
        <f t="shared" si="35"/>
        <v>0</v>
      </c>
    </row>
    <row r="413" spans="1:21" x14ac:dyDescent="0.3">
      <c r="A413" s="5">
        <v>10412</v>
      </c>
      <c r="B413" s="1">
        <v>1719</v>
      </c>
      <c r="C413" s="2">
        <v>45173</v>
      </c>
      <c r="D413" s="2">
        <v>45176</v>
      </c>
      <c r="E413" s="1" t="s">
        <v>40</v>
      </c>
      <c r="F413" s="1" t="s">
        <v>23</v>
      </c>
      <c r="G413" s="1" t="s">
        <v>24</v>
      </c>
      <c r="H413" s="1" t="s">
        <v>18</v>
      </c>
      <c r="I413" s="1" t="s">
        <v>49</v>
      </c>
      <c r="J413" s="1" t="s">
        <v>63</v>
      </c>
      <c r="K413" s="1" t="s">
        <v>47</v>
      </c>
      <c r="L413" s="1">
        <v>8</v>
      </c>
      <c r="M413" s="1">
        <v>1236.71</v>
      </c>
      <c r="N413" s="1">
        <v>15</v>
      </c>
      <c r="O413" s="1">
        <v>8409.6299999999992</v>
      </c>
      <c r="P413" s="1">
        <f t="shared" si="31"/>
        <v>9893.68</v>
      </c>
      <c r="Q413" s="10">
        <f t="shared" si="32"/>
        <v>1261.4444999999998</v>
      </c>
      <c r="R413" s="11">
        <f t="shared" si="33"/>
        <v>8632.2355000000007</v>
      </c>
      <c r="S413" s="1" t="str">
        <f t="shared" si="34"/>
        <v>High</v>
      </c>
      <c r="T413" s="1" t="str" cm="1">
        <f t="array" ref="T413">_xlfn.IFS(L413&gt;5,"High",L413=5,"mediam",L413&lt;5,"low")</f>
        <v>High</v>
      </c>
      <c r="U413" s="1" t="str">
        <f t="shared" si="35"/>
        <v>High</v>
      </c>
    </row>
    <row r="414" spans="1:21" x14ac:dyDescent="0.3">
      <c r="A414" s="5">
        <v>10413</v>
      </c>
      <c r="B414" s="1">
        <v>1956</v>
      </c>
      <c r="C414" s="2">
        <v>45054</v>
      </c>
      <c r="D414" s="2">
        <v>45056</v>
      </c>
      <c r="E414" s="1" t="s">
        <v>37</v>
      </c>
      <c r="F414" s="1" t="s">
        <v>54</v>
      </c>
      <c r="G414" s="1" t="s">
        <v>24</v>
      </c>
      <c r="H414" s="1" t="s">
        <v>18</v>
      </c>
      <c r="I414" s="1" t="s">
        <v>52</v>
      </c>
      <c r="J414" s="1" t="s">
        <v>53</v>
      </c>
      <c r="K414" s="1" t="s">
        <v>28</v>
      </c>
      <c r="L414" s="1">
        <v>8</v>
      </c>
      <c r="M414" s="1">
        <v>1297.5899999999999</v>
      </c>
      <c r="N414" s="1">
        <v>0</v>
      </c>
      <c r="O414" s="1">
        <v>10380.719999999999</v>
      </c>
      <c r="P414" s="1">
        <f t="shared" si="31"/>
        <v>10380.719999999999</v>
      </c>
      <c r="Q414" s="10">
        <f t="shared" si="32"/>
        <v>0</v>
      </c>
      <c r="R414" s="11">
        <f t="shared" si="33"/>
        <v>10380.719999999999</v>
      </c>
      <c r="S414" s="1" t="str">
        <f t="shared" si="34"/>
        <v>High</v>
      </c>
      <c r="T414" s="1" t="str" cm="1">
        <f t="array" ref="T414">_xlfn.IFS(L414&gt;5,"High",L414=5,"mediam",L414&lt;5,"low")</f>
        <v>High</v>
      </c>
      <c r="U414" s="1" t="str">
        <f t="shared" si="35"/>
        <v>High</v>
      </c>
    </row>
    <row r="415" spans="1:21" x14ac:dyDescent="0.3">
      <c r="A415" s="5">
        <v>10414</v>
      </c>
      <c r="B415" s="1">
        <v>1680</v>
      </c>
      <c r="C415" s="2">
        <v>45209</v>
      </c>
      <c r="D415" s="2">
        <v>45212</v>
      </c>
      <c r="E415" s="1" t="s">
        <v>46</v>
      </c>
      <c r="F415" s="1" t="s">
        <v>54</v>
      </c>
      <c r="G415" s="1" t="s">
        <v>30</v>
      </c>
      <c r="H415" s="1" t="s">
        <v>42</v>
      </c>
      <c r="I415" s="1" t="s">
        <v>26</v>
      </c>
      <c r="J415" s="1" t="s">
        <v>36</v>
      </c>
      <c r="K415" s="1" t="s">
        <v>45</v>
      </c>
      <c r="L415" s="1">
        <v>1</v>
      </c>
      <c r="M415" s="1">
        <v>1219.7</v>
      </c>
      <c r="N415" s="1">
        <v>5</v>
      </c>
      <c r="O415" s="1">
        <v>1158.71</v>
      </c>
      <c r="P415" s="1">
        <f t="shared" si="31"/>
        <v>1219.7</v>
      </c>
      <c r="Q415" s="10">
        <f t="shared" si="32"/>
        <v>57.935500000000005</v>
      </c>
      <c r="R415" s="11">
        <f t="shared" si="33"/>
        <v>1161.7645</v>
      </c>
      <c r="S415" s="1" t="str">
        <f t="shared" si="34"/>
        <v>Low</v>
      </c>
      <c r="T415" s="1" t="str" cm="1">
        <f t="array" ref="T415">_xlfn.IFS(L415&gt;5,"High",L415=5,"mediam",L415&lt;5,"low")</f>
        <v>low</v>
      </c>
      <c r="U415" s="1" t="b">
        <f t="shared" si="35"/>
        <v>0</v>
      </c>
    </row>
    <row r="416" spans="1:21" x14ac:dyDescent="0.3">
      <c r="A416" s="5">
        <v>10415</v>
      </c>
      <c r="B416" s="1">
        <v>1995</v>
      </c>
      <c r="C416" s="2">
        <v>45251</v>
      </c>
      <c r="D416" s="2">
        <v>45257</v>
      </c>
      <c r="E416" s="1" t="s">
        <v>46</v>
      </c>
      <c r="F416" s="1" t="s">
        <v>54</v>
      </c>
      <c r="G416" s="1" t="s">
        <v>17</v>
      </c>
      <c r="H416" s="1" t="s">
        <v>42</v>
      </c>
      <c r="I416" s="1" t="s">
        <v>57</v>
      </c>
      <c r="J416" s="1" t="s">
        <v>67</v>
      </c>
      <c r="K416" s="1" t="s">
        <v>28</v>
      </c>
      <c r="L416" s="1">
        <v>2</v>
      </c>
      <c r="M416" s="1">
        <v>3120.32</v>
      </c>
      <c r="N416" s="1">
        <v>20</v>
      </c>
      <c r="O416" s="1">
        <v>4992.51</v>
      </c>
      <c r="P416" s="1">
        <f t="shared" si="31"/>
        <v>6240.64</v>
      </c>
      <c r="Q416" s="10">
        <f t="shared" si="32"/>
        <v>998.50200000000007</v>
      </c>
      <c r="R416" s="11">
        <f t="shared" si="33"/>
        <v>5242.1379999999999</v>
      </c>
      <c r="S416" s="1" t="str">
        <f t="shared" si="34"/>
        <v>Low</v>
      </c>
      <c r="T416" s="1" t="str" cm="1">
        <f t="array" ref="T416">_xlfn.IFS(L416&gt;5,"High",L416=5,"mediam",L416&lt;5,"low")</f>
        <v>low</v>
      </c>
      <c r="U416" s="1" t="b">
        <f t="shared" si="35"/>
        <v>0</v>
      </c>
    </row>
    <row r="417" spans="1:21" x14ac:dyDescent="0.3">
      <c r="A417" s="5">
        <v>10416</v>
      </c>
      <c r="B417" s="1">
        <v>1160</v>
      </c>
      <c r="C417" s="2">
        <v>44951</v>
      </c>
      <c r="D417" s="2">
        <v>44953</v>
      </c>
      <c r="E417" s="1" t="s">
        <v>34</v>
      </c>
      <c r="F417" s="1" t="s">
        <v>54</v>
      </c>
      <c r="G417" s="1" t="s">
        <v>24</v>
      </c>
      <c r="H417" s="1" t="s">
        <v>18</v>
      </c>
      <c r="I417" s="1" t="s">
        <v>49</v>
      </c>
      <c r="J417" s="1" t="s">
        <v>63</v>
      </c>
      <c r="K417" s="1" t="s">
        <v>33</v>
      </c>
      <c r="L417" s="1">
        <v>8</v>
      </c>
      <c r="M417" s="1">
        <v>2659.82</v>
      </c>
      <c r="N417" s="1">
        <v>0</v>
      </c>
      <c r="O417" s="1">
        <v>21278.560000000001</v>
      </c>
      <c r="P417" s="1">
        <f t="shared" si="31"/>
        <v>21278.560000000001</v>
      </c>
      <c r="Q417" s="10">
        <f t="shared" si="32"/>
        <v>0</v>
      </c>
      <c r="R417" s="11">
        <f t="shared" si="33"/>
        <v>21278.560000000001</v>
      </c>
      <c r="S417" s="1" t="str">
        <f t="shared" si="34"/>
        <v>High</v>
      </c>
      <c r="T417" s="1" t="str" cm="1">
        <f t="array" ref="T417">_xlfn.IFS(L417&gt;5,"High",L417=5,"mediam",L417&lt;5,"low")</f>
        <v>High</v>
      </c>
      <c r="U417" s="1" t="str">
        <f t="shared" si="35"/>
        <v>High</v>
      </c>
    </row>
    <row r="418" spans="1:21" x14ac:dyDescent="0.3">
      <c r="A418" s="5">
        <v>10417</v>
      </c>
      <c r="B418" s="1">
        <v>1579</v>
      </c>
      <c r="C418" s="2">
        <v>45057</v>
      </c>
      <c r="D418" s="2">
        <v>45065</v>
      </c>
      <c r="E418" s="1" t="s">
        <v>22</v>
      </c>
      <c r="F418" s="1" t="s">
        <v>54</v>
      </c>
      <c r="G418" s="1" t="s">
        <v>17</v>
      </c>
      <c r="H418" s="1" t="s">
        <v>44</v>
      </c>
      <c r="I418" s="1" t="s">
        <v>52</v>
      </c>
      <c r="J418" s="1" t="s">
        <v>64</v>
      </c>
      <c r="K418" s="1" t="s">
        <v>45</v>
      </c>
      <c r="L418" s="1">
        <v>1</v>
      </c>
      <c r="M418" s="1">
        <v>3354.81</v>
      </c>
      <c r="N418" s="1">
        <v>0</v>
      </c>
      <c r="O418" s="1">
        <v>3354.81</v>
      </c>
      <c r="P418" s="1">
        <f t="shared" si="31"/>
        <v>3354.81</v>
      </c>
      <c r="Q418" s="10">
        <f t="shared" si="32"/>
        <v>0</v>
      </c>
      <c r="R418" s="11">
        <f t="shared" si="33"/>
        <v>3354.81</v>
      </c>
      <c r="S418" s="1" t="str">
        <f t="shared" si="34"/>
        <v>Low</v>
      </c>
      <c r="T418" s="1" t="str" cm="1">
        <f t="array" ref="T418">_xlfn.IFS(L418&gt;5,"High",L418=5,"mediam",L418&lt;5,"low")</f>
        <v>low</v>
      </c>
      <c r="U418" s="1" t="b">
        <f t="shared" si="35"/>
        <v>0</v>
      </c>
    </row>
    <row r="419" spans="1:21" x14ac:dyDescent="0.3">
      <c r="A419" s="5">
        <v>10418</v>
      </c>
      <c r="B419" s="1">
        <v>1800</v>
      </c>
      <c r="C419" s="2">
        <v>45279</v>
      </c>
      <c r="D419" s="2">
        <v>45280</v>
      </c>
      <c r="E419" s="1" t="s">
        <v>40</v>
      </c>
      <c r="F419" s="1" t="s">
        <v>54</v>
      </c>
      <c r="G419" s="1" t="s">
        <v>24</v>
      </c>
      <c r="H419" s="1" t="s">
        <v>35</v>
      </c>
      <c r="I419" s="1" t="s">
        <v>52</v>
      </c>
      <c r="J419" s="1" t="s">
        <v>56</v>
      </c>
      <c r="K419" s="1" t="s">
        <v>33</v>
      </c>
      <c r="L419" s="1">
        <v>8</v>
      </c>
      <c r="M419" s="1">
        <v>3905.57</v>
      </c>
      <c r="N419" s="1">
        <v>10</v>
      </c>
      <c r="O419" s="1">
        <v>28120.1</v>
      </c>
      <c r="P419" s="1">
        <f t="shared" si="31"/>
        <v>31244.560000000001</v>
      </c>
      <c r="Q419" s="10">
        <f t="shared" si="32"/>
        <v>2812.01</v>
      </c>
      <c r="R419" s="11">
        <f t="shared" si="33"/>
        <v>28432.550000000003</v>
      </c>
      <c r="S419" s="1" t="str">
        <f t="shared" si="34"/>
        <v>High</v>
      </c>
      <c r="T419" s="1" t="str" cm="1">
        <f t="array" ref="T419">_xlfn.IFS(L419&gt;5,"High",L419=5,"mediam",L419&lt;5,"low")</f>
        <v>High</v>
      </c>
      <c r="U419" s="1" t="str">
        <f t="shared" si="35"/>
        <v>High</v>
      </c>
    </row>
    <row r="420" spans="1:21" x14ac:dyDescent="0.3">
      <c r="A420" s="5">
        <v>10419</v>
      </c>
      <c r="B420" s="1">
        <v>1397</v>
      </c>
      <c r="C420" s="2">
        <v>45122</v>
      </c>
      <c r="D420" s="2">
        <v>45129</v>
      </c>
      <c r="E420" s="1" t="s">
        <v>15</v>
      </c>
      <c r="F420" s="1" t="s">
        <v>16</v>
      </c>
      <c r="G420" s="1" t="s">
        <v>24</v>
      </c>
      <c r="H420" s="1" t="s">
        <v>35</v>
      </c>
      <c r="I420" s="1" t="s">
        <v>26</v>
      </c>
      <c r="J420" s="1" t="s">
        <v>27</v>
      </c>
      <c r="K420" s="1" t="s">
        <v>47</v>
      </c>
      <c r="L420" s="1">
        <v>8</v>
      </c>
      <c r="M420" s="1">
        <v>1975.53</v>
      </c>
      <c r="N420" s="1">
        <v>5</v>
      </c>
      <c r="O420" s="1">
        <v>15014.03</v>
      </c>
      <c r="P420" s="1">
        <f t="shared" si="31"/>
        <v>15804.24</v>
      </c>
      <c r="Q420" s="10">
        <f t="shared" si="32"/>
        <v>750.70150000000012</v>
      </c>
      <c r="R420" s="11">
        <f t="shared" si="33"/>
        <v>15053.538499999999</v>
      </c>
      <c r="S420" s="1" t="str">
        <f t="shared" si="34"/>
        <v>High</v>
      </c>
      <c r="T420" s="1" t="str" cm="1">
        <f t="array" ref="T420">_xlfn.IFS(L420&gt;5,"High",L420=5,"mediam",L420&lt;5,"low")</f>
        <v>High</v>
      </c>
      <c r="U420" s="1" t="str">
        <f t="shared" si="35"/>
        <v>High</v>
      </c>
    </row>
    <row r="421" spans="1:21" x14ac:dyDescent="0.3">
      <c r="A421" s="5">
        <v>10420</v>
      </c>
      <c r="B421" s="1">
        <v>1276</v>
      </c>
      <c r="C421" s="2">
        <v>45207</v>
      </c>
      <c r="D421" s="2">
        <v>45209</v>
      </c>
      <c r="E421" s="1" t="s">
        <v>15</v>
      </c>
      <c r="F421" s="1" t="s">
        <v>29</v>
      </c>
      <c r="G421" s="1" t="s">
        <v>24</v>
      </c>
      <c r="H421" s="1" t="s">
        <v>18</v>
      </c>
      <c r="I421" s="1" t="s">
        <v>19</v>
      </c>
      <c r="J421" s="1" t="s">
        <v>66</v>
      </c>
      <c r="K421" s="1" t="s">
        <v>21</v>
      </c>
      <c r="L421" s="1">
        <v>2</v>
      </c>
      <c r="M421" s="1">
        <v>406.77</v>
      </c>
      <c r="N421" s="1">
        <v>10</v>
      </c>
      <c r="O421" s="1">
        <v>732.19</v>
      </c>
      <c r="P421" s="1">
        <f t="shared" si="31"/>
        <v>813.54</v>
      </c>
      <c r="Q421" s="10">
        <f t="shared" si="32"/>
        <v>73.219000000000008</v>
      </c>
      <c r="R421" s="11">
        <f t="shared" si="33"/>
        <v>740.32099999999991</v>
      </c>
      <c r="S421" s="1" t="str">
        <f t="shared" si="34"/>
        <v>Low</v>
      </c>
      <c r="T421" s="1" t="str" cm="1">
        <f t="array" ref="T421">_xlfn.IFS(L421&gt;5,"High",L421=5,"mediam",L421&lt;5,"low")</f>
        <v>low</v>
      </c>
      <c r="U421" s="1" t="b">
        <f t="shared" si="35"/>
        <v>0</v>
      </c>
    </row>
    <row r="422" spans="1:21" x14ac:dyDescent="0.3">
      <c r="A422" s="5">
        <v>10421</v>
      </c>
      <c r="B422" s="1">
        <v>1815</v>
      </c>
      <c r="C422" s="2">
        <v>45080</v>
      </c>
      <c r="D422" s="2">
        <v>45086</v>
      </c>
      <c r="E422" s="1" t="s">
        <v>46</v>
      </c>
      <c r="F422" s="1" t="s">
        <v>23</v>
      </c>
      <c r="G422" s="1" t="s">
        <v>24</v>
      </c>
      <c r="H422" s="1" t="s">
        <v>18</v>
      </c>
      <c r="I422" s="1" t="s">
        <v>52</v>
      </c>
      <c r="J422" s="1" t="s">
        <v>64</v>
      </c>
      <c r="K422" s="1" t="s">
        <v>45</v>
      </c>
      <c r="L422" s="1">
        <v>4</v>
      </c>
      <c r="M422" s="1">
        <v>335.16</v>
      </c>
      <c r="N422" s="1">
        <v>5</v>
      </c>
      <c r="O422" s="1">
        <v>1273.6099999999999</v>
      </c>
      <c r="P422" s="1">
        <f t="shared" si="31"/>
        <v>1340.64</v>
      </c>
      <c r="Q422" s="10">
        <f t="shared" si="32"/>
        <v>63.680499999999995</v>
      </c>
      <c r="R422" s="11">
        <f t="shared" si="33"/>
        <v>1276.9595000000002</v>
      </c>
      <c r="S422" s="1" t="str">
        <f t="shared" si="34"/>
        <v>Low</v>
      </c>
      <c r="T422" s="1" t="str" cm="1">
        <f t="array" ref="T422">_xlfn.IFS(L422&gt;5,"High",L422=5,"mediam",L422&lt;5,"low")</f>
        <v>low</v>
      </c>
      <c r="U422" s="1" t="b">
        <f t="shared" si="35"/>
        <v>0</v>
      </c>
    </row>
    <row r="423" spans="1:21" x14ac:dyDescent="0.3">
      <c r="A423" s="5">
        <v>10422</v>
      </c>
      <c r="B423" s="1">
        <v>1915</v>
      </c>
      <c r="C423" s="2">
        <v>45059</v>
      </c>
      <c r="D423" s="2">
        <v>45061</v>
      </c>
      <c r="E423" s="1" t="s">
        <v>16</v>
      </c>
      <c r="F423" s="1" t="s">
        <v>54</v>
      </c>
      <c r="G423" s="1" t="s">
        <v>17</v>
      </c>
      <c r="H423" s="1" t="s">
        <v>18</v>
      </c>
      <c r="I423" s="1" t="s">
        <v>52</v>
      </c>
      <c r="J423" s="1" t="s">
        <v>64</v>
      </c>
      <c r="K423" s="1" t="s">
        <v>47</v>
      </c>
      <c r="L423" s="1">
        <v>6</v>
      </c>
      <c r="M423" s="1">
        <v>1288.31</v>
      </c>
      <c r="N423" s="1">
        <v>15</v>
      </c>
      <c r="O423" s="1">
        <v>6570.38</v>
      </c>
      <c r="P423" s="1">
        <f t="shared" si="31"/>
        <v>7729.86</v>
      </c>
      <c r="Q423" s="10">
        <f t="shared" si="32"/>
        <v>985.55700000000002</v>
      </c>
      <c r="R423" s="11">
        <f t="shared" si="33"/>
        <v>6744.3029999999999</v>
      </c>
      <c r="S423" s="1" t="str">
        <f t="shared" si="34"/>
        <v>High</v>
      </c>
      <c r="T423" s="1" t="str" cm="1">
        <f t="array" ref="T423">_xlfn.IFS(L423&gt;5,"High",L423=5,"mediam",L423&lt;5,"low")</f>
        <v>High</v>
      </c>
      <c r="U423" s="1" t="str">
        <f t="shared" si="35"/>
        <v>High</v>
      </c>
    </row>
    <row r="424" spans="1:21" x14ac:dyDescent="0.3">
      <c r="A424" s="5">
        <v>10423</v>
      </c>
      <c r="B424" s="1">
        <v>1503</v>
      </c>
      <c r="C424" s="2">
        <v>45153</v>
      </c>
      <c r="D424" s="2">
        <v>45155</v>
      </c>
      <c r="E424" s="1" t="s">
        <v>40</v>
      </c>
      <c r="F424" s="1" t="s">
        <v>16</v>
      </c>
      <c r="G424" s="1" t="s">
        <v>24</v>
      </c>
      <c r="H424" s="1" t="s">
        <v>44</v>
      </c>
      <c r="I424" s="1" t="s">
        <v>52</v>
      </c>
      <c r="J424" s="1" t="s">
        <v>60</v>
      </c>
      <c r="K424" s="1" t="s">
        <v>47</v>
      </c>
      <c r="L424" s="1">
        <v>9</v>
      </c>
      <c r="M424" s="1">
        <v>3740.3</v>
      </c>
      <c r="N424" s="1">
        <v>10</v>
      </c>
      <c r="O424" s="1">
        <v>30296.43</v>
      </c>
      <c r="P424" s="1">
        <f t="shared" si="31"/>
        <v>33662.700000000004</v>
      </c>
      <c r="Q424" s="10">
        <f t="shared" si="32"/>
        <v>3029.643</v>
      </c>
      <c r="R424" s="11">
        <f t="shared" si="33"/>
        <v>30633.057000000004</v>
      </c>
      <c r="S424" s="1" t="str">
        <f t="shared" si="34"/>
        <v>High</v>
      </c>
      <c r="T424" s="1" t="str" cm="1">
        <f t="array" ref="T424">_xlfn.IFS(L424&gt;5,"High",L424=5,"mediam",L424&lt;5,"low")</f>
        <v>High</v>
      </c>
      <c r="U424" s="1" t="str">
        <f t="shared" si="35"/>
        <v>High</v>
      </c>
    </row>
    <row r="425" spans="1:21" x14ac:dyDescent="0.3">
      <c r="A425" s="5">
        <v>10424</v>
      </c>
      <c r="B425" s="1">
        <v>1895</v>
      </c>
      <c r="C425" s="2">
        <v>45115</v>
      </c>
      <c r="D425" s="2">
        <v>45123</v>
      </c>
      <c r="E425" s="1" t="s">
        <v>37</v>
      </c>
      <c r="F425" s="1" t="s">
        <v>16</v>
      </c>
      <c r="G425" s="1" t="s">
        <v>30</v>
      </c>
      <c r="H425" s="1" t="s">
        <v>42</v>
      </c>
      <c r="I425" s="1" t="s">
        <v>52</v>
      </c>
      <c r="J425" s="1" t="s">
        <v>56</v>
      </c>
      <c r="K425" s="1" t="s">
        <v>45</v>
      </c>
      <c r="L425" s="1">
        <v>8</v>
      </c>
      <c r="M425" s="1">
        <v>2164.37</v>
      </c>
      <c r="N425" s="1">
        <v>10</v>
      </c>
      <c r="O425" s="1">
        <v>15583.46</v>
      </c>
      <c r="P425" s="1">
        <f t="shared" si="31"/>
        <v>17314.96</v>
      </c>
      <c r="Q425" s="10">
        <f t="shared" si="32"/>
        <v>1558.346</v>
      </c>
      <c r="R425" s="11">
        <f t="shared" si="33"/>
        <v>15756.614</v>
      </c>
      <c r="S425" s="1" t="str">
        <f t="shared" si="34"/>
        <v>High</v>
      </c>
      <c r="T425" s="1" t="str" cm="1">
        <f t="array" ref="T425">_xlfn.IFS(L425&gt;5,"High",L425=5,"mediam",L425&lt;5,"low")</f>
        <v>High</v>
      </c>
      <c r="U425" s="1" t="str">
        <f t="shared" si="35"/>
        <v>High</v>
      </c>
    </row>
    <row r="426" spans="1:21" x14ac:dyDescent="0.3">
      <c r="A426" s="5">
        <v>10425</v>
      </c>
      <c r="B426" s="1">
        <v>1391</v>
      </c>
      <c r="C426" s="2">
        <v>45191</v>
      </c>
      <c r="D426" s="2">
        <v>45193</v>
      </c>
      <c r="E426" s="1" t="s">
        <v>16</v>
      </c>
      <c r="F426" s="1" t="s">
        <v>16</v>
      </c>
      <c r="G426" s="1" t="s">
        <v>30</v>
      </c>
      <c r="H426" s="1" t="s">
        <v>18</v>
      </c>
      <c r="I426" s="1" t="s">
        <v>31</v>
      </c>
      <c r="J426" s="1" t="s">
        <v>39</v>
      </c>
      <c r="K426" s="1" t="s">
        <v>33</v>
      </c>
      <c r="L426" s="1">
        <v>8</v>
      </c>
      <c r="M426" s="1">
        <v>1196.3800000000001</v>
      </c>
      <c r="N426" s="1">
        <v>20</v>
      </c>
      <c r="O426" s="1">
        <v>7656.83</v>
      </c>
      <c r="P426" s="1">
        <f t="shared" si="31"/>
        <v>9571.0400000000009</v>
      </c>
      <c r="Q426" s="10">
        <f t="shared" si="32"/>
        <v>1531.366</v>
      </c>
      <c r="R426" s="11">
        <f t="shared" si="33"/>
        <v>8039.6740000000009</v>
      </c>
      <c r="S426" s="1" t="str">
        <f t="shared" si="34"/>
        <v>High</v>
      </c>
      <c r="T426" s="1" t="str" cm="1">
        <f t="array" ref="T426">_xlfn.IFS(L426&gt;5,"High",L426=5,"mediam",L426&lt;5,"low")</f>
        <v>High</v>
      </c>
      <c r="U426" s="1" t="str">
        <f t="shared" si="35"/>
        <v>High</v>
      </c>
    </row>
    <row r="427" spans="1:21" x14ac:dyDescent="0.3">
      <c r="A427" s="5">
        <v>10426</v>
      </c>
      <c r="B427" s="1">
        <v>1134</v>
      </c>
      <c r="C427" s="2">
        <v>45060</v>
      </c>
      <c r="D427" s="2">
        <v>45067</v>
      </c>
      <c r="E427" s="1" t="s">
        <v>16</v>
      </c>
      <c r="F427" s="1" t="s">
        <v>29</v>
      </c>
      <c r="G427" s="1" t="s">
        <v>17</v>
      </c>
      <c r="H427" s="1" t="s">
        <v>18</v>
      </c>
      <c r="I427" s="1" t="s">
        <v>31</v>
      </c>
      <c r="J427" s="1" t="s">
        <v>32</v>
      </c>
      <c r="K427" s="1" t="s">
        <v>47</v>
      </c>
      <c r="L427" s="1">
        <v>7</v>
      </c>
      <c r="M427" s="1">
        <v>1686.79</v>
      </c>
      <c r="N427" s="1">
        <v>10</v>
      </c>
      <c r="O427" s="1">
        <v>10626.78</v>
      </c>
      <c r="P427" s="1">
        <f t="shared" si="31"/>
        <v>11807.529999999999</v>
      </c>
      <c r="Q427" s="10">
        <f t="shared" si="32"/>
        <v>1062.6780000000001</v>
      </c>
      <c r="R427" s="11">
        <f t="shared" si="33"/>
        <v>10744.851999999999</v>
      </c>
      <c r="S427" s="1" t="str">
        <f t="shared" si="34"/>
        <v>High</v>
      </c>
      <c r="T427" s="1" t="str" cm="1">
        <f t="array" ref="T427">_xlfn.IFS(L427&gt;5,"High",L427=5,"mediam",L427&lt;5,"low")</f>
        <v>High</v>
      </c>
      <c r="U427" s="1" t="str">
        <f t="shared" si="35"/>
        <v>High</v>
      </c>
    </row>
    <row r="428" spans="1:21" x14ac:dyDescent="0.3">
      <c r="A428" s="5">
        <v>10427</v>
      </c>
      <c r="B428" s="1">
        <v>1194</v>
      </c>
      <c r="C428" s="2">
        <v>45137</v>
      </c>
      <c r="D428" s="2">
        <v>45140</v>
      </c>
      <c r="E428" s="1" t="s">
        <v>40</v>
      </c>
      <c r="F428" s="1" t="s">
        <v>23</v>
      </c>
      <c r="G428" s="1" t="s">
        <v>24</v>
      </c>
      <c r="H428" s="1" t="s">
        <v>25</v>
      </c>
      <c r="I428" s="1" t="s">
        <v>19</v>
      </c>
      <c r="J428" s="1" t="s">
        <v>55</v>
      </c>
      <c r="K428" s="1" t="s">
        <v>28</v>
      </c>
      <c r="L428" s="1">
        <v>9</v>
      </c>
      <c r="M428" s="1">
        <v>2454.59</v>
      </c>
      <c r="N428" s="1">
        <v>5</v>
      </c>
      <c r="O428" s="1">
        <v>20986.74</v>
      </c>
      <c r="P428" s="1">
        <f t="shared" si="31"/>
        <v>22091.31</v>
      </c>
      <c r="Q428" s="10">
        <f t="shared" si="32"/>
        <v>1049.3370000000002</v>
      </c>
      <c r="R428" s="11">
        <f t="shared" si="33"/>
        <v>21041.973000000002</v>
      </c>
      <c r="S428" s="1" t="str">
        <f t="shared" si="34"/>
        <v>High</v>
      </c>
      <c r="T428" s="1" t="str" cm="1">
        <f t="array" ref="T428">_xlfn.IFS(L428&gt;5,"High",L428=5,"mediam",L428&lt;5,"low")</f>
        <v>High</v>
      </c>
      <c r="U428" s="1" t="str">
        <f t="shared" si="35"/>
        <v>High</v>
      </c>
    </row>
    <row r="429" spans="1:21" x14ac:dyDescent="0.3">
      <c r="A429" s="5">
        <v>10428</v>
      </c>
      <c r="B429" s="1">
        <v>1400</v>
      </c>
      <c r="C429" s="2">
        <v>44986</v>
      </c>
      <c r="D429" s="2">
        <v>44994</v>
      </c>
      <c r="E429" s="1" t="s">
        <v>22</v>
      </c>
      <c r="F429" s="1" t="s">
        <v>29</v>
      </c>
      <c r="G429" s="1" t="s">
        <v>30</v>
      </c>
      <c r="H429" s="1" t="s">
        <v>44</v>
      </c>
      <c r="I429" s="1" t="s">
        <v>49</v>
      </c>
      <c r="J429" s="1" t="s">
        <v>51</v>
      </c>
      <c r="K429" s="1" t="s">
        <v>47</v>
      </c>
      <c r="L429" s="1">
        <v>2</v>
      </c>
      <c r="M429" s="1">
        <v>2663.86</v>
      </c>
      <c r="N429" s="1">
        <v>20</v>
      </c>
      <c r="O429" s="1">
        <v>4262.18</v>
      </c>
      <c r="P429" s="1">
        <f t="shared" si="31"/>
        <v>5327.72</v>
      </c>
      <c r="Q429" s="10">
        <f t="shared" si="32"/>
        <v>852.43600000000015</v>
      </c>
      <c r="R429" s="11">
        <f t="shared" si="33"/>
        <v>4475.2839999999997</v>
      </c>
      <c r="S429" s="1" t="str">
        <f t="shared" si="34"/>
        <v>Low</v>
      </c>
      <c r="T429" s="1" t="str" cm="1">
        <f t="array" ref="T429">_xlfn.IFS(L429&gt;5,"High",L429=5,"mediam",L429&lt;5,"low")</f>
        <v>low</v>
      </c>
      <c r="U429" s="1" t="b">
        <f t="shared" si="35"/>
        <v>0</v>
      </c>
    </row>
    <row r="430" spans="1:21" x14ac:dyDescent="0.3">
      <c r="A430" s="5">
        <v>10429</v>
      </c>
      <c r="B430" s="1">
        <v>1639</v>
      </c>
      <c r="C430" s="2">
        <v>45290</v>
      </c>
      <c r="D430" s="2">
        <v>45297</v>
      </c>
      <c r="E430" s="1" t="s">
        <v>46</v>
      </c>
      <c r="F430" s="1" t="s">
        <v>38</v>
      </c>
      <c r="G430" s="1" t="s">
        <v>17</v>
      </c>
      <c r="H430" s="1" t="s">
        <v>18</v>
      </c>
      <c r="I430" s="1" t="s">
        <v>52</v>
      </c>
      <c r="J430" s="1" t="s">
        <v>56</v>
      </c>
      <c r="K430" s="1" t="s">
        <v>33</v>
      </c>
      <c r="L430" s="1">
        <v>3</v>
      </c>
      <c r="M430" s="1">
        <v>742.59</v>
      </c>
      <c r="N430" s="1">
        <v>10</v>
      </c>
      <c r="O430" s="1">
        <v>2004.99</v>
      </c>
      <c r="P430" s="1">
        <f t="shared" si="31"/>
        <v>2227.77</v>
      </c>
      <c r="Q430" s="10">
        <f t="shared" si="32"/>
        <v>200.49900000000002</v>
      </c>
      <c r="R430" s="11">
        <f t="shared" si="33"/>
        <v>2027.271</v>
      </c>
      <c r="S430" s="1" t="str">
        <f t="shared" si="34"/>
        <v>Low</v>
      </c>
      <c r="T430" s="1" t="str" cm="1">
        <f t="array" ref="T430">_xlfn.IFS(L430&gt;5,"High",L430=5,"mediam",L430&lt;5,"low")</f>
        <v>low</v>
      </c>
      <c r="U430" s="1" t="b">
        <f t="shared" si="35"/>
        <v>0</v>
      </c>
    </row>
    <row r="431" spans="1:21" x14ac:dyDescent="0.3">
      <c r="A431" s="5">
        <v>10430</v>
      </c>
      <c r="B431" s="1">
        <v>1032</v>
      </c>
      <c r="C431" s="2">
        <v>45290</v>
      </c>
      <c r="D431" s="2">
        <v>45298</v>
      </c>
      <c r="E431" s="1" t="s">
        <v>46</v>
      </c>
      <c r="F431" s="1" t="s">
        <v>16</v>
      </c>
      <c r="G431" s="1" t="s">
        <v>24</v>
      </c>
      <c r="H431" s="1" t="s">
        <v>25</v>
      </c>
      <c r="I431" s="1" t="s">
        <v>26</v>
      </c>
      <c r="J431" s="1" t="s">
        <v>69</v>
      </c>
      <c r="K431" s="1" t="s">
        <v>33</v>
      </c>
      <c r="L431" s="1">
        <v>8</v>
      </c>
      <c r="M431" s="1">
        <v>3911.57</v>
      </c>
      <c r="N431" s="1">
        <v>10</v>
      </c>
      <c r="O431" s="1">
        <v>28163.3</v>
      </c>
      <c r="P431" s="1">
        <f t="shared" si="31"/>
        <v>31292.560000000001</v>
      </c>
      <c r="Q431" s="10">
        <f t="shared" si="32"/>
        <v>2816.33</v>
      </c>
      <c r="R431" s="11">
        <f t="shared" si="33"/>
        <v>28476.230000000003</v>
      </c>
      <c r="S431" s="1" t="str">
        <f t="shared" si="34"/>
        <v>High</v>
      </c>
      <c r="T431" s="1" t="str" cm="1">
        <f t="array" ref="T431">_xlfn.IFS(L431&gt;5,"High",L431=5,"mediam",L431&lt;5,"low")</f>
        <v>High</v>
      </c>
      <c r="U431" s="1" t="str">
        <f t="shared" si="35"/>
        <v>High</v>
      </c>
    </row>
    <row r="432" spans="1:21" x14ac:dyDescent="0.3">
      <c r="A432" s="5">
        <v>10431</v>
      </c>
      <c r="B432" s="1">
        <v>1687</v>
      </c>
      <c r="C432" s="2">
        <v>45139</v>
      </c>
      <c r="D432" s="2">
        <v>45146</v>
      </c>
      <c r="E432" s="1" t="s">
        <v>46</v>
      </c>
      <c r="F432" s="1" t="s">
        <v>38</v>
      </c>
      <c r="G432" s="1" t="s">
        <v>30</v>
      </c>
      <c r="H432" s="1" t="s">
        <v>35</v>
      </c>
      <c r="I432" s="1" t="s">
        <v>49</v>
      </c>
      <c r="J432" s="1" t="s">
        <v>51</v>
      </c>
      <c r="K432" s="1" t="s">
        <v>28</v>
      </c>
      <c r="L432" s="1">
        <v>6</v>
      </c>
      <c r="M432" s="1">
        <v>2247.37</v>
      </c>
      <c r="N432" s="1">
        <v>15</v>
      </c>
      <c r="O432" s="1">
        <v>11461.59</v>
      </c>
      <c r="P432" s="1">
        <f t="shared" si="31"/>
        <v>13484.22</v>
      </c>
      <c r="Q432" s="10">
        <f t="shared" si="32"/>
        <v>1719.2384999999999</v>
      </c>
      <c r="R432" s="11">
        <f t="shared" si="33"/>
        <v>11764.9815</v>
      </c>
      <c r="S432" s="1" t="str">
        <f t="shared" si="34"/>
        <v>High</v>
      </c>
      <c r="T432" s="1" t="str" cm="1">
        <f t="array" ref="T432">_xlfn.IFS(L432&gt;5,"High",L432=5,"mediam",L432&lt;5,"low")</f>
        <v>High</v>
      </c>
      <c r="U432" s="1" t="str">
        <f t="shared" si="35"/>
        <v>High</v>
      </c>
    </row>
    <row r="433" spans="1:21" x14ac:dyDescent="0.3">
      <c r="A433" s="5">
        <v>10432</v>
      </c>
      <c r="B433" s="1">
        <v>1459</v>
      </c>
      <c r="C433" s="2">
        <v>45142</v>
      </c>
      <c r="D433" s="2">
        <v>45148</v>
      </c>
      <c r="E433" s="1" t="s">
        <v>46</v>
      </c>
      <c r="F433" s="1" t="s">
        <v>41</v>
      </c>
      <c r="G433" s="1" t="s">
        <v>30</v>
      </c>
      <c r="H433" s="1" t="s">
        <v>18</v>
      </c>
      <c r="I433" s="1" t="s">
        <v>26</v>
      </c>
      <c r="J433" s="1" t="s">
        <v>61</v>
      </c>
      <c r="K433" s="1" t="s">
        <v>47</v>
      </c>
      <c r="L433" s="1">
        <v>9</v>
      </c>
      <c r="M433" s="1">
        <v>672.4</v>
      </c>
      <c r="N433" s="1">
        <v>10</v>
      </c>
      <c r="O433" s="1">
        <v>5446.44</v>
      </c>
      <c r="P433" s="1">
        <f t="shared" si="31"/>
        <v>6051.5999999999995</v>
      </c>
      <c r="Q433" s="10">
        <f t="shared" si="32"/>
        <v>544.64400000000001</v>
      </c>
      <c r="R433" s="11">
        <f t="shared" si="33"/>
        <v>5506.9559999999992</v>
      </c>
      <c r="S433" s="1" t="str">
        <f t="shared" si="34"/>
        <v>High</v>
      </c>
      <c r="T433" s="1" t="str" cm="1">
        <f t="array" ref="T433">_xlfn.IFS(L433&gt;5,"High",L433=5,"mediam",L433&lt;5,"low")</f>
        <v>High</v>
      </c>
      <c r="U433" s="1" t="str">
        <f t="shared" si="35"/>
        <v>High</v>
      </c>
    </row>
    <row r="434" spans="1:21" x14ac:dyDescent="0.3">
      <c r="A434" s="5">
        <v>10433</v>
      </c>
      <c r="B434" s="1">
        <v>1954</v>
      </c>
      <c r="C434" s="2">
        <v>45152</v>
      </c>
      <c r="D434" s="2">
        <v>45159</v>
      </c>
      <c r="E434" s="1" t="s">
        <v>15</v>
      </c>
      <c r="F434" s="1" t="s">
        <v>54</v>
      </c>
      <c r="G434" s="1" t="s">
        <v>17</v>
      </c>
      <c r="H434" s="1" t="s">
        <v>18</v>
      </c>
      <c r="I434" s="1" t="s">
        <v>49</v>
      </c>
      <c r="J434" s="1" t="s">
        <v>51</v>
      </c>
      <c r="K434" s="1" t="s">
        <v>33</v>
      </c>
      <c r="L434" s="1">
        <v>4</v>
      </c>
      <c r="M434" s="1">
        <v>3590.5</v>
      </c>
      <c r="N434" s="1">
        <v>0</v>
      </c>
      <c r="O434" s="1">
        <v>14362</v>
      </c>
      <c r="P434" s="1">
        <f t="shared" si="31"/>
        <v>14362</v>
      </c>
      <c r="Q434" s="10">
        <f t="shared" si="32"/>
        <v>0</v>
      </c>
      <c r="R434" s="11">
        <f t="shared" si="33"/>
        <v>14362</v>
      </c>
      <c r="S434" s="1" t="str">
        <f t="shared" si="34"/>
        <v>Low</v>
      </c>
      <c r="T434" s="1" t="str" cm="1">
        <f t="array" ref="T434">_xlfn.IFS(L434&gt;5,"High",L434=5,"mediam",L434&lt;5,"low")</f>
        <v>low</v>
      </c>
      <c r="U434" s="1" t="b">
        <f t="shared" si="35"/>
        <v>0</v>
      </c>
    </row>
    <row r="435" spans="1:21" x14ac:dyDescent="0.3">
      <c r="A435" s="5">
        <v>10434</v>
      </c>
      <c r="B435" s="1">
        <v>1882</v>
      </c>
      <c r="C435" s="2">
        <v>45057</v>
      </c>
      <c r="D435" s="2">
        <v>45062</v>
      </c>
      <c r="E435" s="1" t="s">
        <v>46</v>
      </c>
      <c r="F435" s="1" t="s">
        <v>54</v>
      </c>
      <c r="G435" s="1" t="s">
        <v>24</v>
      </c>
      <c r="H435" s="1" t="s">
        <v>25</v>
      </c>
      <c r="I435" s="1" t="s">
        <v>19</v>
      </c>
      <c r="J435" s="1" t="s">
        <v>20</v>
      </c>
      <c r="K435" s="1" t="s">
        <v>45</v>
      </c>
      <c r="L435" s="1">
        <v>8</v>
      </c>
      <c r="M435" s="1">
        <v>437.36</v>
      </c>
      <c r="N435" s="1">
        <v>20</v>
      </c>
      <c r="O435" s="1">
        <v>2799.1</v>
      </c>
      <c r="P435" s="1">
        <f t="shared" si="31"/>
        <v>3498.88</v>
      </c>
      <c r="Q435" s="10">
        <f t="shared" si="32"/>
        <v>559.82000000000005</v>
      </c>
      <c r="R435" s="11">
        <f t="shared" si="33"/>
        <v>2939.06</v>
      </c>
      <c r="S435" s="1" t="str">
        <f t="shared" si="34"/>
        <v>High</v>
      </c>
      <c r="T435" s="1" t="str" cm="1">
        <f t="array" ref="T435">_xlfn.IFS(L435&gt;5,"High",L435=5,"mediam",L435&lt;5,"low")</f>
        <v>High</v>
      </c>
      <c r="U435" s="1" t="str">
        <f t="shared" si="35"/>
        <v>High</v>
      </c>
    </row>
    <row r="436" spans="1:21" x14ac:dyDescent="0.3">
      <c r="A436" s="5">
        <v>10435</v>
      </c>
      <c r="B436" s="1">
        <v>1469</v>
      </c>
      <c r="C436" s="2">
        <v>45002</v>
      </c>
      <c r="D436" s="2">
        <v>45009</v>
      </c>
      <c r="E436" s="1" t="s">
        <v>15</v>
      </c>
      <c r="F436" s="1" t="s">
        <v>29</v>
      </c>
      <c r="G436" s="1" t="s">
        <v>24</v>
      </c>
      <c r="H436" s="1" t="s">
        <v>44</v>
      </c>
      <c r="I436" s="1" t="s">
        <v>52</v>
      </c>
      <c r="J436" s="1" t="s">
        <v>56</v>
      </c>
      <c r="K436" s="1" t="s">
        <v>21</v>
      </c>
      <c r="L436" s="1">
        <v>3</v>
      </c>
      <c r="M436" s="1">
        <v>3644.78</v>
      </c>
      <c r="N436" s="1">
        <v>0</v>
      </c>
      <c r="O436" s="1">
        <v>10934.34</v>
      </c>
      <c r="P436" s="1">
        <f t="shared" si="31"/>
        <v>10934.34</v>
      </c>
      <c r="Q436" s="10">
        <f t="shared" si="32"/>
        <v>0</v>
      </c>
      <c r="R436" s="11">
        <f t="shared" si="33"/>
        <v>10934.34</v>
      </c>
      <c r="S436" s="1" t="str">
        <f t="shared" si="34"/>
        <v>Low</v>
      </c>
      <c r="T436" s="1" t="str" cm="1">
        <f t="array" ref="T436">_xlfn.IFS(L436&gt;5,"High",L436=5,"mediam",L436&lt;5,"low")</f>
        <v>low</v>
      </c>
      <c r="U436" s="1" t="b">
        <f t="shared" si="35"/>
        <v>0</v>
      </c>
    </row>
    <row r="437" spans="1:21" x14ac:dyDescent="0.3">
      <c r="A437" s="5">
        <v>10436</v>
      </c>
      <c r="B437" s="1">
        <v>1374</v>
      </c>
      <c r="C437" s="2">
        <v>45212</v>
      </c>
      <c r="D437" s="2">
        <v>45213</v>
      </c>
      <c r="E437" s="1" t="s">
        <v>15</v>
      </c>
      <c r="F437" s="1" t="s">
        <v>23</v>
      </c>
      <c r="G437" s="1" t="s">
        <v>30</v>
      </c>
      <c r="H437" s="1" t="s">
        <v>18</v>
      </c>
      <c r="I437" s="1" t="s">
        <v>52</v>
      </c>
      <c r="J437" s="1" t="s">
        <v>60</v>
      </c>
      <c r="K437" s="1" t="s">
        <v>21</v>
      </c>
      <c r="L437" s="1">
        <v>3</v>
      </c>
      <c r="M437" s="1">
        <v>3986.78</v>
      </c>
      <c r="N437" s="1">
        <v>20</v>
      </c>
      <c r="O437" s="1">
        <v>9568.27</v>
      </c>
      <c r="P437" s="1">
        <f t="shared" si="31"/>
        <v>11960.34</v>
      </c>
      <c r="Q437" s="10">
        <f t="shared" si="32"/>
        <v>1913.6540000000002</v>
      </c>
      <c r="R437" s="11">
        <f t="shared" si="33"/>
        <v>10046.686</v>
      </c>
      <c r="S437" s="1" t="str">
        <f t="shared" si="34"/>
        <v>Low</v>
      </c>
      <c r="T437" s="1" t="str" cm="1">
        <f t="array" ref="T437">_xlfn.IFS(L437&gt;5,"High",L437=5,"mediam",L437&lt;5,"low")</f>
        <v>low</v>
      </c>
      <c r="U437" s="1" t="b">
        <f t="shared" si="35"/>
        <v>0</v>
      </c>
    </row>
    <row r="438" spans="1:21" x14ac:dyDescent="0.3">
      <c r="A438" s="5">
        <v>10437</v>
      </c>
      <c r="B438" s="1">
        <v>1021</v>
      </c>
      <c r="C438" s="2">
        <v>45203</v>
      </c>
      <c r="D438" s="2">
        <v>45204</v>
      </c>
      <c r="E438" s="1" t="s">
        <v>22</v>
      </c>
      <c r="F438" s="1" t="s">
        <v>38</v>
      </c>
      <c r="G438" s="1" t="s">
        <v>30</v>
      </c>
      <c r="H438" s="1" t="s">
        <v>35</v>
      </c>
      <c r="I438" s="1" t="s">
        <v>57</v>
      </c>
      <c r="J438" s="1" t="s">
        <v>62</v>
      </c>
      <c r="K438" s="1" t="s">
        <v>21</v>
      </c>
      <c r="L438" s="1">
        <v>8</v>
      </c>
      <c r="M438" s="1">
        <v>2846.66</v>
      </c>
      <c r="N438" s="1">
        <v>15</v>
      </c>
      <c r="O438" s="1">
        <v>19357.29</v>
      </c>
      <c r="P438" s="1">
        <f t="shared" si="31"/>
        <v>22773.279999999999</v>
      </c>
      <c r="Q438" s="10">
        <f t="shared" si="32"/>
        <v>2903.5934999999999</v>
      </c>
      <c r="R438" s="11">
        <f t="shared" si="33"/>
        <v>19869.6865</v>
      </c>
      <c r="S438" s="1" t="str">
        <f t="shared" si="34"/>
        <v>High</v>
      </c>
      <c r="T438" s="1" t="str" cm="1">
        <f t="array" ref="T438">_xlfn.IFS(L438&gt;5,"High",L438=5,"mediam",L438&lt;5,"low")</f>
        <v>High</v>
      </c>
      <c r="U438" s="1" t="str">
        <f t="shared" si="35"/>
        <v>High</v>
      </c>
    </row>
    <row r="439" spans="1:21" x14ac:dyDescent="0.3">
      <c r="A439" s="5">
        <v>10438</v>
      </c>
      <c r="B439" s="1">
        <v>1749</v>
      </c>
      <c r="C439" s="2">
        <v>45082</v>
      </c>
      <c r="D439" s="2">
        <v>45091</v>
      </c>
      <c r="E439" s="1" t="s">
        <v>46</v>
      </c>
      <c r="F439" s="1" t="s">
        <v>23</v>
      </c>
      <c r="G439" s="1" t="s">
        <v>30</v>
      </c>
      <c r="H439" s="1" t="s">
        <v>18</v>
      </c>
      <c r="I439" s="1" t="s">
        <v>26</v>
      </c>
      <c r="J439" s="1" t="s">
        <v>61</v>
      </c>
      <c r="K439" s="1" t="s">
        <v>47</v>
      </c>
      <c r="L439" s="1">
        <v>5</v>
      </c>
      <c r="M439" s="1">
        <v>3116.22</v>
      </c>
      <c r="N439" s="1">
        <v>10</v>
      </c>
      <c r="O439" s="1">
        <v>14022.99</v>
      </c>
      <c r="P439" s="1">
        <f t="shared" si="31"/>
        <v>15581.099999999999</v>
      </c>
      <c r="Q439" s="10">
        <f t="shared" si="32"/>
        <v>1402.299</v>
      </c>
      <c r="R439" s="11">
        <f t="shared" si="33"/>
        <v>14178.800999999999</v>
      </c>
      <c r="S439" s="1" t="str">
        <f t="shared" si="34"/>
        <v>High</v>
      </c>
      <c r="T439" s="1" t="str" cm="1">
        <f t="array" ref="T439">_xlfn.IFS(L439&gt;5,"High",L439=5,"mediam",L439&lt;5,"low")</f>
        <v>mediam</v>
      </c>
      <c r="U439" s="1" t="b">
        <f t="shared" si="35"/>
        <v>0</v>
      </c>
    </row>
    <row r="440" spans="1:21" x14ac:dyDescent="0.3">
      <c r="A440" s="5">
        <v>10439</v>
      </c>
      <c r="B440" s="1">
        <v>1669</v>
      </c>
      <c r="C440" s="2">
        <v>45174</v>
      </c>
      <c r="D440" s="2">
        <v>45179</v>
      </c>
      <c r="E440" s="1" t="s">
        <v>34</v>
      </c>
      <c r="F440" s="1" t="s">
        <v>29</v>
      </c>
      <c r="G440" s="1" t="s">
        <v>24</v>
      </c>
      <c r="H440" s="1" t="s">
        <v>35</v>
      </c>
      <c r="I440" s="1" t="s">
        <v>49</v>
      </c>
      <c r="J440" s="1" t="s">
        <v>51</v>
      </c>
      <c r="K440" s="1" t="s">
        <v>28</v>
      </c>
      <c r="L440" s="1">
        <v>3</v>
      </c>
      <c r="M440" s="1">
        <v>1448.62</v>
      </c>
      <c r="N440" s="1">
        <v>10</v>
      </c>
      <c r="O440" s="1">
        <v>3911.27</v>
      </c>
      <c r="P440" s="1">
        <f t="shared" si="31"/>
        <v>4345.8599999999997</v>
      </c>
      <c r="Q440" s="10">
        <f t="shared" si="32"/>
        <v>391.12700000000001</v>
      </c>
      <c r="R440" s="11">
        <f t="shared" si="33"/>
        <v>3954.7329999999997</v>
      </c>
      <c r="S440" s="1" t="str">
        <f t="shared" si="34"/>
        <v>Low</v>
      </c>
      <c r="T440" s="1" t="str" cm="1">
        <f t="array" ref="T440">_xlfn.IFS(L440&gt;5,"High",L440=5,"mediam",L440&lt;5,"low")</f>
        <v>low</v>
      </c>
      <c r="U440" s="1" t="b">
        <f t="shared" si="35"/>
        <v>0</v>
      </c>
    </row>
    <row r="441" spans="1:21" x14ac:dyDescent="0.3">
      <c r="A441" s="5">
        <v>10440</v>
      </c>
      <c r="B441" s="1">
        <v>1037</v>
      </c>
      <c r="C441" s="2">
        <v>45144</v>
      </c>
      <c r="D441" s="2">
        <v>45149</v>
      </c>
      <c r="E441" s="1" t="s">
        <v>37</v>
      </c>
      <c r="F441" s="1" t="s">
        <v>54</v>
      </c>
      <c r="G441" s="1" t="s">
        <v>17</v>
      </c>
      <c r="H441" s="1" t="s">
        <v>42</v>
      </c>
      <c r="I441" s="1" t="s">
        <v>49</v>
      </c>
      <c r="J441" s="1" t="s">
        <v>50</v>
      </c>
      <c r="K441" s="1" t="s">
        <v>33</v>
      </c>
      <c r="L441" s="1">
        <v>1</v>
      </c>
      <c r="M441" s="1">
        <v>3775.07</v>
      </c>
      <c r="N441" s="1">
        <v>10</v>
      </c>
      <c r="O441" s="1">
        <v>3397.56</v>
      </c>
      <c r="P441" s="1">
        <f t="shared" si="31"/>
        <v>3775.07</v>
      </c>
      <c r="Q441" s="10">
        <f t="shared" si="32"/>
        <v>339.75600000000003</v>
      </c>
      <c r="R441" s="11">
        <f t="shared" si="33"/>
        <v>3435.3140000000003</v>
      </c>
      <c r="S441" s="1" t="str">
        <f t="shared" si="34"/>
        <v>Low</v>
      </c>
      <c r="T441" s="1" t="str" cm="1">
        <f t="array" ref="T441">_xlfn.IFS(L441&gt;5,"High",L441=5,"mediam",L441&lt;5,"low")</f>
        <v>low</v>
      </c>
      <c r="U441" s="1" t="b">
        <f t="shared" si="35"/>
        <v>0</v>
      </c>
    </row>
    <row r="442" spans="1:21" x14ac:dyDescent="0.3">
      <c r="A442" s="5">
        <v>10441</v>
      </c>
      <c r="B442" s="1">
        <v>1229</v>
      </c>
      <c r="C442" s="2">
        <v>45116</v>
      </c>
      <c r="D442" s="2">
        <v>45119</v>
      </c>
      <c r="E442" s="1" t="s">
        <v>16</v>
      </c>
      <c r="F442" s="1" t="s">
        <v>23</v>
      </c>
      <c r="G442" s="1" t="s">
        <v>17</v>
      </c>
      <c r="H442" s="1" t="s">
        <v>42</v>
      </c>
      <c r="I442" s="1" t="s">
        <v>31</v>
      </c>
      <c r="J442" s="1" t="s">
        <v>65</v>
      </c>
      <c r="K442" s="1" t="s">
        <v>45</v>
      </c>
      <c r="L442" s="1">
        <v>3</v>
      </c>
      <c r="M442" s="1">
        <v>2189.4</v>
      </c>
      <c r="N442" s="1">
        <v>20</v>
      </c>
      <c r="O442" s="1">
        <v>5254.56</v>
      </c>
      <c r="P442" s="1">
        <f t="shared" si="31"/>
        <v>6568.2000000000007</v>
      </c>
      <c r="Q442" s="10">
        <f t="shared" si="32"/>
        <v>1050.912</v>
      </c>
      <c r="R442" s="11">
        <f t="shared" si="33"/>
        <v>5517.2880000000005</v>
      </c>
      <c r="S442" s="1" t="str">
        <f t="shared" si="34"/>
        <v>Low</v>
      </c>
      <c r="T442" s="1" t="str" cm="1">
        <f t="array" ref="T442">_xlfn.IFS(L442&gt;5,"High",L442=5,"mediam",L442&lt;5,"low")</f>
        <v>low</v>
      </c>
      <c r="U442" s="1" t="b">
        <f t="shared" si="35"/>
        <v>0</v>
      </c>
    </row>
    <row r="443" spans="1:21" x14ac:dyDescent="0.3">
      <c r="A443" s="5">
        <v>10442</v>
      </c>
      <c r="B443" s="1">
        <v>1364</v>
      </c>
      <c r="C443" s="2">
        <v>45089</v>
      </c>
      <c r="D443" s="2">
        <v>45094</v>
      </c>
      <c r="E443" s="1" t="s">
        <v>15</v>
      </c>
      <c r="F443" s="1" t="s">
        <v>23</v>
      </c>
      <c r="G443" s="1" t="s">
        <v>24</v>
      </c>
      <c r="H443" s="1" t="s">
        <v>35</v>
      </c>
      <c r="I443" s="1" t="s">
        <v>57</v>
      </c>
      <c r="J443" s="1" t="s">
        <v>58</v>
      </c>
      <c r="K443" s="1" t="s">
        <v>45</v>
      </c>
      <c r="L443" s="1">
        <v>9</v>
      </c>
      <c r="M443" s="1">
        <v>2969.7</v>
      </c>
      <c r="N443" s="1">
        <v>10</v>
      </c>
      <c r="O443" s="1">
        <v>24054.57</v>
      </c>
      <c r="P443" s="1">
        <f t="shared" si="31"/>
        <v>26727.3</v>
      </c>
      <c r="Q443" s="10">
        <f t="shared" si="32"/>
        <v>2405.4569999999999</v>
      </c>
      <c r="R443" s="11">
        <f t="shared" si="33"/>
        <v>24321.843000000001</v>
      </c>
      <c r="S443" s="1" t="str">
        <f t="shared" si="34"/>
        <v>High</v>
      </c>
      <c r="T443" s="1" t="str" cm="1">
        <f t="array" ref="T443">_xlfn.IFS(L443&gt;5,"High",L443=5,"mediam",L443&lt;5,"low")</f>
        <v>High</v>
      </c>
      <c r="U443" s="1" t="str">
        <f t="shared" si="35"/>
        <v>High</v>
      </c>
    </row>
    <row r="444" spans="1:21" x14ac:dyDescent="0.3">
      <c r="A444" s="5">
        <v>10443</v>
      </c>
      <c r="B444" s="1">
        <v>1562</v>
      </c>
      <c r="C444" s="2">
        <v>45106</v>
      </c>
      <c r="D444" s="2">
        <v>45109</v>
      </c>
      <c r="E444" s="1" t="s">
        <v>40</v>
      </c>
      <c r="F444" s="1" t="s">
        <v>54</v>
      </c>
      <c r="G444" s="1" t="s">
        <v>17</v>
      </c>
      <c r="H444" s="1" t="s">
        <v>44</v>
      </c>
      <c r="I444" s="1" t="s">
        <v>31</v>
      </c>
      <c r="J444" s="1" t="s">
        <v>65</v>
      </c>
      <c r="K444" s="1" t="s">
        <v>47</v>
      </c>
      <c r="L444" s="1">
        <v>5</v>
      </c>
      <c r="M444" s="1">
        <v>3707.81</v>
      </c>
      <c r="N444" s="1">
        <v>0</v>
      </c>
      <c r="O444" s="1">
        <v>18539.05</v>
      </c>
      <c r="P444" s="1">
        <f t="shared" si="31"/>
        <v>18539.05</v>
      </c>
      <c r="Q444" s="10">
        <f t="shared" si="32"/>
        <v>0</v>
      </c>
      <c r="R444" s="11">
        <f t="shared" si="33"/>
        <v>18539.05</v>
      </c>
      <c r="S444" s="1" t="str">
        <f t="shared" si="34"/>
        <v>High</v>
      </c>
      <c r="T444" s="1" t="str" cm="1">
        <f t="array" ref="T444">_xlfn.IFS(L444&gt;5,"High",L444=5,"mediam",L444&lt;5,"low")</f>
        <v>mediam</v>
      </c>
      <c r="U444" s="1" t="b">
        <f t="shared" si="35"/>
        <v>0</v>
      </c>
    </row>
    <row r="445" spans="1:21" x14ac:dyDescent="0.3">
      <c r="A445" s="5">
        <v>10444</v>
      </c>
      <c r="B445" s="1">
        <v>1437</v>
      </c>
      <c r="C445" s="2">
        <v>44960</v>
      </c>
      <c r="D445" s="2">
        <v>44969</v>
      </c>
      <c r="E445" s="1" t="s">
        <v>40</v>
      </c>
      <c r="F445" s="1" t="s">
        <v>38</v>
      </c>
      <c r="G445" s="1" t="s">
        <v>30</v>
      </c>
      <c r="H445" s="1" t="s">
        <v>18</v>
      </c>
      <c r="I445" s="1" t="s">
        <v>31</v>
      </c>
      <c r="J445" s="1" t="s">
        <v>32</v>
      </c>
      <c r="K445" s="1" t="s">
        <v>21</v>
      </c>
      <c r="L445" s="1">
        <v>2</v>
      </c>
      <c r="M445" s="1">
        <v>3904.44</v>
      </c>
      <c r="N445" s="1">
        <v>10</v>
      </c>
      <c r="O445" s="1">
        <v>7027.99</v>
      </c>
      <c r="P445" s="1">
        <f t="shared" si="31"/>
        <v>7808.88</v>
      </c>
      <c r="Q445" s="10">
        <f t="shared" si="32"/>
        <v>702.79899999999998</v>
      </c>
      <c r="R445" s="11">
        <f t="shared" si="33"/>
        <v>7106.0810000000001</v>
      </c>
      <c r="S445" s="1" t="str">
        <f t="shared" si="34"/>
        <v>Low</v>
      </c>
      <c r="T445" s="1" t="str" cm="1">
        <f t="array" ref="T445">_xlfn.IFS(L445&gt;5,"High",L445=5,"mediam",L445&lt;5,"low")</f>
        <v>low</v>
      </c>
      <c r="U445" s="1" t="b">
        <f t="shared" si="35"/>
        <v>0</v>
      </c>
    </row>
    <row r="446" spans="1:21" x14ac:dyDescent="0.3">
      <c r="A446" s="5">
        <v>10445</v>
      </c>
      <c r="B446" s="1">
        <v>1775</v>
      </c>
      <c r="C446" s="2">
        <v>44967</v>
      </c>
      <c r="D446" s="2">
        <v>44976</v>
      </c>
      <c r="E446" s="1" t="s">
        <v>37</v>
      </c>
      <c r="F446" s="1" t="s">
        <v>54</v>
      </c>
      <c r="G446" s="1" t="s">
        <v>17</v>
      </c>
      <c r="H446" s="1" t="s">
        <v>18</v>
      </c>
      <c r="I446" s="1" t="s">
        <v>31</v>
      </c>
      <c r="J446" s="1" t="s">
        <v>48</v>
      </c>
      <c r="K446" s="1" t="s">
        <v>47</v>
      </c>
      <c r="L446" s="1">
        <v>7</v>
      </c>
      <c r="M446" s="1">
        <v>3357.84</v>
      </c>
      <c r="N446" s="1">
        <v>15</v>
      </c>
      <c r="O446" s="1">
        <v>19979.150000000001</v>
      </c>
      <c r="P446" s="1">
        <f t="shared" si="31"/>
        <v>23504.880000000001</v>
      </c>
      <c r="Q446" s="10">
        <f t="shared" si="32"/>
        <v>2996.8724999999999</v>
      </c>
      <c r="R446" s="11">
        <f t="shared" si="33"/>
        <v>20508.0075</v>
      </c>
      <c r="S446" s="1" t="str">
        <f t="shared" si="34"/>
        <v>High</v>
      </c>
      <c r="T446" s="1" t="str" cm="1">
        <f t="array" ref="T446">_xlfn.IFS(L446&gt;5,"High",L446=5,"mediam",L446&lt;5,"low")</f>
        <v>High</v>
      </c>
      <c r="U446" s="1" t="str">
        <f t="shared" si="35"/>
        <v>High</v>
      </c>
    </row>
    <row r="447" spans="1:21" x14ac:dyDescent="0.3">
      <c r="A447" s="5">
        <v>10446</v>
      </c>
      <c r="B447" s="1">
        <v>1282</v>
      </c>
      <c r="C447" s="2">
        <v>45233</v>
      </c>
      <c r="D447" s="2">
        <v>45239</v>
      </c>
      <c r="E447" s="1" t="s">
        <v>40</v>
      </c>
      <c r="F447" s="1" t="s">
        <v>23</v>
      </c>
      <c r="G447" s="1" t="s">
        <v>17</v>
      </c>
      <c r="H447" s="1" t="s">
        <v>42</v>
      </c>
      <c r="I447" s="1" t="s">
        <v>26</v>
      </c>
      <c r="J447" s="1" t="s">
        <v>27</v>
      </c>
      <c r="K447" s="1" t="s">
        <v>28</v>
      </c>
      <c r="L447" s="1">
        <v>2</v>
      </c>
      <c r="M447" s="1">
        <v>1316.62</v>
      </c>
      <c r="N447" s="1">
        <v>0</v>
      </c>
      <c r="O447" s="1">
        <v>2633.24</v>
      </c>
      <c r="P447" s="1">
        <f t="shared" si="31"/>
        <v>2633.24</v>
      </c>
      <c r="Q447" s="10">
        <f t="shared" si="32"/>
        <v>0</v>
      </c>
      <c r="R447" s="11">
        <f t="shared" si="33"/>
        <v>2633.24</v>
      </c>
      <c r="S447" s="1" t="str">
        <f t="shared" si="34"/>
        <v>Low</v>
      </c>
      <c r="T447" s="1" t="str" cm="1">
        <f t="array" ref="T447">_xlfn.IFS(L447&gt;5,"High",L447=5,"mediam",L447&lt;5,"low")</f>
        <v>low</v>
      </c>
      <c r="U447" s="1" t="b">
        <f t="shared" si="35"/>
        <v>0</v>
      </c>
    </row>
    <row r="448" spans="1:21" x14ac:dyDescent="0.3">
      <c r="A448" s="5">
        <v>10447</v>
      </c>
      <c r="B448" s="1">
        <v>1026</v>
      </c>
      <c r="C448" s="2">
        <v>45264</v>
      </c>
      <c r="D448" s="2">
        <v>45265</v>
      </c>
      <c r="E448" s="1" t="s">
        <v>34</v>
      </c>
      <c r="F448" s="1" t="s">
        <v>38</v>
      </c>
      <c r="G448" s="1" t="s">
        <v>17</v>
      </c>
      <c r="H448" s="1" t="s">
        <v>35</v>
      </c>
      <c r="I448" s="1" t="s">
        <v>26</v>
      </c>
      <c r="J448" s="1" t="s">
        <v>69</v>
      </c>
      <c r="K448" s="1" t="s">
        <v>28</v>
      </c>
      <c r="L448" s="1">
        <v>4</v>
      </c>
      <c r="M448" s="1">
        <v>3871.21</v>
      </c>
      <c r="N448" s="1">
        <v>10</v>
      </c>
      <c r="O448" s="1">
        <v>13936.36</v>
      </c>
      <c r="P448" s="1">
        <f t="shared" si="31"/>
        <v>15484.84</v>
      </c>
      <c r="Q448" s="10">
        <f t="shared" si="32"/>
        <v>1393.6360000000002</v>
      </c>
      <c r="R448" s="11">
        <f t="shared" si="33"/>
        <v>14091.204</v>
      </c>
      <c r="S448" s="1" t="str">
        <f t="shared" si="34"/>
        <v>Low</v>
      </c>
      <c r="T448" s="1" t="str" cm="1">
        <f t="array" ref="T448">_xlfn.IFS(L448&gt;5,"High",L448=5,"mediam",L448&lt;5,"low")</f>
        <v>low</v>
      </c>
      <c r="U448" s="1" t="b">
        <f t="shared" si="35"/>
        <v>0</v>
      </c>
    </row>
    <row r="449" spans="1:21" x14ac:dyDescent="0.3">
      <c r="A449" s="5">
        <v>10448</v>
      </c>
      <c r="B449" s="1">
        <v>1225</v>
      </c>
      <c r="C449" s="2">
        <v>45240</v>
      </c>
      <c r="D449" s="2">
        <v>45247</v>
      </c>
      <c r="E449" s="1" t="s">
        <v>40</v>
      </c>
      <c r="F449" s="1" t="s">
        <v>38</v>
      </c>
      <c r="G449" s="1" t="s">
        <v>30</v>
      </c>
      <c r="H449" s="1" t="s">
        <v>18</v>
      </c>
      <c r="I449" s="1" t="s">
        <v>19</v>
      </c>
      <c r="J449" s="1" t="s">
        <v>20</v>
      </c>
      <c r="K449" s="1" t="s">
        <v>33</v>
      </c>
      <c r="L449" s="1">
        <v>7</v>
      </c>
      <c r="M449" s="1">
        <v>2568.2600000000002</v>
      </c>
      <c r="N449" s="1">
        <v>10</v>
      </c>
      <c r="O449" s="1">
        <v>16180.04</v>
      </c>
      <c r="P449" s="1">
        <f t="shared" si="31"/>
        <v>17977.82</v>
      </c>
      <c r="Q449" s="10">
        <f t="shared" si="32"/>
        <v>1618.0040000000001</v>
      </c>
      <c r="R449" s="11">
        <f t="shared" si="33"/>
        <v>16359.815999999999</v>
      </c>
      <c r="S449" s="1" t="str">
        <f t="shared" si="34"/>
        <v>High</v>
      </c>
      <c r="T449" s="1" t="str" cm="1">
        <f t="array" ref="T449">_xlfn.IFS(L449&gt;5,"High",L449=5,"mediam",L449&lt;5,"low")</f>
        <v>High</v>
      </c>
      <c r="U449" s="1" t="str">
        <f t="shared" si="35"/>
        <v>High</v>
      </c>
    </row>
    <row r="450" spans="1:21" x14ac:dyDescent="0.3">
      <c r="A450" s="5">
        <v>10449</v>
      </c>
      <c r="B450" s="1">
        <v>1276</v>
      </c>
      <c r="C450" s="2">
        <v>45001</v>
      </c>
      <c r="D450" s="2">
        <v>45008</v>
      </c>
      <c r="E450" s="1" t="s">
        <v>16</v>
      </c>
      <c r="F450" s="1" t="s">
        <v>54</v>
      </c>
      <c r="G450" s="1" t="s">
        <v>24</v>
      </c>
      <c r="H450" s="1" t="s">
        <v>18</v>
      </c>
      <c r="I450" s="1" t="s">
        <v>19</v>
      </c>
      <c r="J450" s="1" t="s">
        <v>66</v>
      </c>
      <c r="K450" s="1" t="s">
        <v>33</v>
      </c>
      <c r="L450" s="1">
        <v>4</v>
      </c>
      <c r="M450" s="1">
        <v>3732.97</v>
      </c>
      <c r="N450" s="1">
        <v>5</v>
      </c>
      <c r="O450" s="1">
        <v>14185.29</v>
      </c>
      <c r="P450" s="1">
        <f t="shared" si="31"/>
        <v>14931.88</v>
      </c>
      <c r="Q450" s="10">
        <f t="shared" si="32"/>
        <v>709.26450000000011</v>
      </c>
      <c r="R450" s="11">
        <f t="shared" si="33"/>
        <v>14222.6155</v>
      </c>
      <c r="S450" s="1" t="str">
        <f t="shared" si="34"/>
        <v>Low</v>
      </c>
      <c r="T450" s="1" t="str" cm="1">
        <f t="array" ref="T450">_xlfn.IFS(L450&gt;5,"High",L450=5,"mediam",L450&lt;5,"low")</f>
        <v>low</v>
      </c>
      <c r="U450" s="1" t="b">
        <f t="shared" si="35"/>
        <v>0</v>
      </c>
    </row>
    <row r="451" spans="1:21" x14ac:dyDescent="0.3">
      <c r="A451" s="5">
        <v>10450</v>
      </c>
      <c r="B451" s="1">
        <v>1797</v>
      </c>
      <c r="C451" s="2">
        <v>45205</v>
      </c>
      <c r="D451" s="2">
        <v>45209</v>
      </c>
      <c r="E451" s="1" t="s">
        <v>16</v>
      </c>
      <c r="F451" s="1" t="s">
        <v>23</v>
      </c>
      <c r="G451" s="1" t="s">
        <v>30</v>
      </c>
      <c r="H451" s="1" t="s">
        <v>44</v>
      </c>
      <c r="I451" s="1" t="s">
        <v>31</v>
      </c>
      <c r="J451" s="1" t="s">
        <v>32</v>
      </c>
      <c r="K451" s="1" t="s">
        <v>28</v>
      </c>
      <c r="L451" s="1">
        <v>7</v>
      </c>
      <c r="M451" s="1">
        <v>2753</v>
      </c>
      <c r="N451" s="1">
        <v>20</v>
      </c>
      <c r="O451" s="1">
        <v>15416.8</v>
      </c>
      <c r="P451" s="1">
        <f t="shared" ref="P451:P500" si="36">L451*M451</f>
        <v>19271</v>
      </c>
      <c r="Q451" s="10">
        <f t="shared" ref="Q451:Q501" si="37">O451*N451%</f>
        <v>3083.36</v>
      </c>
      <c r="R451" s="11">
        <f t="shared" ref="R451:R501" si="38">P451-Q451</f>
        <v>16187.64</v>
      </c>
      <c r="S451" s="1" t="str">
        <f t="shared" ref="S451:S501" si="39">IF(L451&gt;=5,"High","Low")</f>
        <v>High</v>
      </c>
      <c r="T451" s="1" t="str" cm="1">
        <f t="array" ref="T451">_xlfn.IFS(L451&gt;5,"High",L451=5,"mediam",L451&lt;5,"low")</f>
        <v>High</v>
      </c>
      <c r="U451" s="1" t="str">
        <f t="shared" si="35"/>
        <v>High</v>
      </c>
    </row>
    <row r="452" spans="1:21" x14ac:dyDescent="0.3">
      <c r="A452" s="5">
        <v>10451</v>
      </c>
      <c r="B452" s="1">
        <v>1608</v>
      </c>
      <c r="C452" s="2">
        <v>45102</v>
      </c>
      <c r="D452" s="2">
        <v>45110</v>
      </c>
      <c r="E452" s="1" t="s">
        <v>15</v>
      </c>
      <c r="F452" s="1" t="s">
        <v>29</v>
      </c>
      <c r="G452" s="1" t="s">
        <v>24</v>
      </c>
      <c r="H452" s="1" t="s">
        <v>25</v>
      </c>
      <c r="I452" s="1" t="s">
        <v>57</v>
      </c>
      <c r="J452" s="1" t="s">
        <v>59</v>
      </c>
      <c r="K452" s="1" t="s">
        <v>28</v>
      </c>
      <c r="L452" s="1">
        <v>7</v>
      </c>
      <c r="M452" s="1">
        <v>1332.87</v>
      </c>
      <c r="N452" s="1">
        <v>0</v>
      </c>
      <c r="O452" s="1">
        <v>9330.09</v>
      </c>
      <c r="P452" s="1">
        <f t="shared" si="36"/>
        <v>9330.09</v>
      </c>
      <c r="Q452" s="10">
        <f t="shared" si="37"/>
        <v>0</v>
      </c>
      <c r="R452" s="11">
        <f t="shared" si="38"/>
        <v>9330.09</v>
      </c>
      <c r="S452" s="1" t="str">
        <f t="shared" si="39"/>
        <v>High</v>
      </c>
      <c r="T452" s="1" t="str" cm="1">
        <f t="array" ref="T452">_xlfn.IFS(L452&gt;5,"High",L452=5,"mediam",L452&lt;5,"low")</f>
        <v>High</v>
      </c>
      <c r="U452" s="1" t="str">
        <f t="shared" si="35"/>
        <v>High</v>
      </c>
    </row>
    <row r="453" spans="1:21" x14ac:dyDescent="0.3">
      <c r="A453" s="5">
        <v>10452</v>
      </c>
      <c r="B453" s="1">
        <v>1283</v>
      </c>
      <c r="C453" s="2">
        <v>45076</v>
      </c>
      <c r="D453" s="2">
        <v>45082</v>
      </c>
      <c r="E453" s="1" t="s">
        <v>46</v>
      </c>
      <c r="F453" s="1" t="s">
        <v>23</v>
      </c>
      <c r="G453" s="1" t="s">
        <v>24</v>
      </c>
      <c r="H453" s="1" t="s">
        <v>42</v>
      </c>
      <c r="I453" s="1" t="s">
        <v>49</v>
      </c>
      <c r="J453" s="1" t="s">
        <v>68</v>
      </c>
      <c r="K453" s="1" t="s">
        <v>28</v>
      </c>
      <c r="L453" s="1">
        <v>1</v>
      </c>
      <c r="M453" s="1">
        <v>1574.59</v>
      </c>
      <c r="N453" s="1">
        <v>5</v>
      </c>
      <c r="O453" s="1">
        <v>1495.86</v>
      </c>
      <c r="P453" s="1">
        <f t="shared" si="36"/>
        <v>1574.59</v>
      </c>
      <c r="Q453" s="10">
        <f t="shared" si="37"/>
        <v>74.792999999999992</v>
      </c>
      <c r="R453" s="11">
        <f t="shared" si="38"/>
        <v>1499.797</v>
      </c>
      <c r="S453" s="1" t="str">
        <f t="shared" si="39"/>
        <v>Low</v>
      </c>
      <c r="T453" s="1" t="str" cm="1">
        <f t="array" ref="T453">_xlfn.IFS(L453&gt;5,"High",L453=5,"mediam",L453&lt;5,"low")</f>
        <v>low</v>
      </c>
      <c r="U453" s="1" t="b">
        <f t="shared" si="35"/>
        <v>0</v>
      </c>
    </row>
    <row r="454" spans="1:21" x14ac:dyDescent="0.3">
      <c r="A454" s="5">
        <v>10453</v>
      </c>
      <c r="B454" s="1">
        <v>1878</v>
      </c>
      <c r="C454" s="2">
        <v>45199</v>
      </c>
      <c r="D454" s="2">
        <v>45203</v>
      </c>
      <c r="E454" s="1" t="s">
        <v>22</v>
      </c>
      <c r="F454" s="1" t="s">
        <v>16</v>
      </c>
      <c r="G454" s="1" t="s">
        <v>24</v>
      </c>
      <c r="H454" s="1" t="s">
        <v>42</v>
      </c>
      <c r="I454" s="1" t="s">
        <v>26</v>
      </c>
      <c r="J454" s="1" t="s">
        <v>27</v>
      </c>
      <c r="K454" s="1" t="s">
        <v>47</v>
      </c>
      <c r="L454" s="1">
        <v>6</v>
      </c>
      <c r="M454" s="1">
        <v>2269.3200000000002</v>
      </c>
      <c r="N454" s="1">
        <v>15</v>
      </c>
      <c r="O454" s="1">
        <v>11573.53</v>
      </c>
      <c r="P454" s="1">
        <f t="shared" si="36"/>
        <v>13615.920000000002</v>
      </c>
      <c r="Q454" s="10">
        <f t="shared" si="37"/>
        <v>1736.0295000000001</v>
      </c>
      <c r="R454" s="11">
        <f t="shared" si="38"/>
        <v>11879.890500000001</v>
      </c>
      <c r="S454" s="1" t="str">
        <f t="shared" si="39"/>
        <v>High</v>
      </c>
      <c r="T454" s="1" t="str" cm="1">
        <f t="array" ref="T454">_xlfn.IFS(L454&gt;5,"High",L454=5,"mediam",L454&lt;5,"low")</f>
        <v>High</v>
      </c>
      <c r="U454" s="1" t="str">
        <f t="shared" si="35"/>
        <v>High</v>
      </c>
    </row>
    <row r="455" spans="1:21" x14ac:dyDescent="0.3">
      <c r="A455" s="5">
        <v>10454</v>
      </c>
      <c r="B455" s="1">
        <v>1959</v>
      </c>
      <c r="C455" s="2">
        <v>45251</v>
      </c>
      <c r="D455" s="2">
        <v>45255</v>
      </c>
      <c r="E455" s="1" t="s">
        <v>34</v>
      </c>
      <c r="F455" s="1" t="s">
        <v>41</v>
      </c>
      <c r="G455" s="1" t="s">
        <v>17</v>
      </c>
      <c r="H455" s="1" t="s">
        <v>25</v>
      </c>
      <c r="I455" s="1" t="s">
        <v>57</v>
      </c>
      <c r="J455" s="1" t="s">
        <v>58</v>
      </c>
      <c r="K455" s="1" t="s">
        <v>28</v>
      </c>
      <c r="L455" s="1">
        <v>9</v>
      </c>
      <c r="M455" s="1">
        <v>3191.56</v>
      </c>
      <c r="N455" s="1">
        <v>20</v>
      </c>
      <c r="O455" s="1">
        <v>22979.23</v>
      </c>
      <c r="P455" s="1">
        <f t="shared" si="36"/>
        <v>28724.04</v>
      </c>
      <c r="Q455" s="10">
        <f t="shared" si="37"/>
        <v>4595.8460000000005</v>
      </c>
      <c r="R455" s="11">
        <f t="shared" si="38"/>
        <v>24128.194</v>
      </c>
      <c r="S455" s="1" t="str">
        <f t="shared" si="39"/>
        <v>High</v>
      </c>
      <c r="T455" s="1" t="str" cm="1">
        <f t="array" ref="T455">_xlfn.IFS(L455&gt;5,"High",L455=5,"mediam",L455&lt;5,"low")</f>
        <v>High</v>
      </c>
      <c r="U455" s="1" t="str">
        <f t="shared" si="35"/>
        <v>High</v>
      </c>
    </row>
    <row r="456" spans="1:21" x14ac:dyDescent="0.3">
      <c r="A456" s="5">
        <v>10455</v>
      </c>
      <c r="B456" s="1">
        <v>1480</v>
      </c>
      <c r="C456" s="2">
        <v>45034</v>
      </c>
      <c r="D456" s="2">
        <v>45036</v>
      </c>
      <c r="E456" s="1" t="s">
        <v>15</v>
      </c>
      <c r="F456" s="1" t="s">
        <v>29</v>
      </c>
      <c r="G456" s="1" t="s">
        <v>17</v>
      </c>
      <c r="H456" s="1" t="s">
        <v>18</v>
      </c>
      <c r="I456" s="1" t="s">
        <v>52</v>
      </c>
      <c r="J456" s="1" t="s">
        <v>64</v>
      </c>
      <c r="K456" s="1" t="s">
        <v>45</v>
      </c>
      <c r="L456" s="1">
        <v>2</v>
      </c>
      <c r="M456" s="1">
        <v>1374.23</v>
      </c>
      <c r="N456" s="1">
        <v>0</v>
      </c>
      <c r="O456" s="1">
        <v>2748.46</v>
      </c>
      <c r="P456" s="1">
        <f t="shared" si="36"/>
        <v>2748.46</v>
      </c>
      <c r="Q456" s="10">
        <f t="shared" si="37"/>
        <v>0</v>
      </c>
      <c r="R456" s="11">
        <f t="shared" si="38"/>
        <v>2748.46</v>
      </c>
      <c r="S456" s="1" t="str">
        <f t="shared" si="39"/>
        <v>Low</v>
      </c>
      <c r="T456" s="1" t="str" cm="1">
        <f t="array" ref="T456">_xlfn.IFS(L456&gt;5,"High",L456=5,"mediam",L456&lt;5,"low")</f>
        <v>low</v>
      </c>
      <c r="U456" s="1" t="b">
        <f t="shared" si="35"/>
        <v>0</v>
      </c>
    </row>
    <row r="457" spans="1:21" x14ac:dyDescent="0.3">
      <c r="A457" s="5">
        <v>10456</v>
      </c>
      <c r="B457" s="1">
        <v>1452</v>
      </c>
      <c r="C457" s="2">
        <v>45065</v>
      </c>
      <c r="D457" s="2">
        <v>45067</v>
      </c>
      <c r="E457" s="1" t="s">
        <v>34</v>
      </c>
      <c r="F457" s="1" t="s">
        <v>38</v>
      </c>
      <c r="G457" s="1" t="s">
        <v>24</v>
      </c>
      <c r="H457" s="1" t="s">
        <v>44</v>
      </c>
      <c r="I457" s="1" t="s">
        <v>26</v>
      </c>
      <c r="J457" s="1" t="s">
        <v>27</v>
      </c>
      <c r="K457" s="1" t="s">
        <v>21</v>
      </c>
      <c r="L457" s="1">
        <v>3</v>
      </c>
      <c r="M457" s="1">
        <v>2381.96</v>
      </c>
      <c r="N457" s="1">
        <v>10</v>
      </c>
      <c r="O457" s="1">
        <v>6431.29</v>
      </c>
      <c r="P457" s="1">
        <f t="shared" si="36"/>
        <v>7145.88</v>
      </c>
      <c r="Q457" s="10">
        <f t="shared" si="37"/>
        <v>643.12900000000002</v>
      </c>
      <c r="R457" s="11">
        <f t="shared" si="38"/>
        <v>6502.7510000000002</v>
      </c>
      <c r="S457" s="1" t="str">
        <f t="shared" si="39"/>
        <v>Low</v>
      </c>
      <c r="T457" s="1" t="str" cm="1">
        <f t="array" ref="T457">_xlfn.IFS(L457&gt;5,"High",L457=5,"mediam",L457&lt;5,"low")</f>
        <v>low</v>
      </c>
      <c r="U457" s="1" t="b">
        <f t="shared" ref="U457:U501" si="40">IF(L457&gt;5,"High",IF(L457="Mediam","Low"))</f>
        <v>0</v>
      </c>
    </row>
    <row r="458" spans="1:21" x14ac:dyDescent="0.3">
      <c r="A458" s="5">
        <v>10457</v>
      </c>
      <c r="B458" s="1">
        <v>1828</v>
      </c>
      <c r="C458" s="2">
        <v>45276</v>
      </c>
      <c r="D458" s="2">
        <v>45280</v>
      </c>
      <c r="E458" s="1" t="s">
        <v>46</v>
      </c>
      <c r="F458" s="1" t="s">
        <v>29</v>
      </c>
      <c r="G458" s="1" t="s">
        <v>24</v>
      </c>
      <c r="H458" s="1" t="s">
        <v>44</v>
      </c>
      <c r="I458" s="1" t="s">
        <v>26</v>
      </c>
      <c r="J458" s="1" t="s">
        <v>27</v>
      </c>
      <c r="K458" s="1" t="s">
        <v>28</v>
      </c>
      <c r="L458" s="1">
        <v>5</v>
      </c>
      <c r="M458" s="1">
        <v>1480.66</v>
      </c>
      <c r="N458" s="1">
        <v>0</v>
      </c>
      <c r="O458" s="1">
        <v>7403.3</v>
      </c>
      <c r="P458" s="1">
        <f t="shared" si="36"/>
        <v>7403.3</v>
      </c>
      <c r="Q458" s="10">
        <f t="shared" si="37"/>
        <v>0</v>
      </c>
      <c r="R458" s="11">
        <f t="shared" si="38"/>
        <v>7403.3</v>
      </c>
      <c r="S458" s="1" t="str">
        <f t="shared" si="39"/>
        <v>High</v>
      </c>
      <c r="T458" s="1" t="str" cm="1">
        <f t="array" ref="T458">_xlfn.IFS(L458&gt;5,"High",L458=5,"mediam",L458&lt;5,"low")</f>
        <v>mediam</v>
      </c>
      <c r="U458" s="1" t="b">
        <f t="shared" si="40"/>
        <v>0</v>
      </c>
    </row>
    <row r="459" spans="1:21" x14ac:dyDescent="0.3">
      <c r="A459" s="5">
        <v>10458</v>
      </c>
      <c r="B459" s="1">
        <v>1815</v>
      </c>
      <c r="C459" s="2">
        <v>45197</v>
      </c>
      <c r="D459" s="2">
        <v>45202</v>
      </c>
      <c r="E459" s="1" t="s">
        <v>40</v>
      </c>
      <c r="F459" s="1" t="s">
        <v>38</v>
      </c>
      <c r="G459" s="1" t="s">
        <v>17</v>
      </c>
      <c r="H459" s="1" t="s">
        <v>42</v>
      </c>
      <c r="I459" s="1" t="s">
        <v>19</v>
      </c>
      <c r="J459" s="1" t="s">
        <v>55</v>
      </c>
      <c r="K459" s="1" t="s">
        <v>21</v>
      </c>
      <c r="L459" s="1">
        <v>9</v>
      </c>
      <c r="M459" s="1">
        <v>3290.71</v>
      </c>
      <c r="N459" s="1">
        <v>10</v>
      </c>
      <c r="O459" s="1">
        <v>26654.75</v>
      </c>
      <c r="P459" s="1">
        <f t="shared" si="36"/>
        <v>29616.39</v>
      </c>
      <c r="Q459" s="10">
        <f t="shared" si="37"/>
        <v>2665.4750000000004</v>
      </c>
      <c r="R459" s="11">
        <f t="shared" si="38"/>
        <v>26950.915000000001</v>
      </c>
      <c r="S459" s="1" t="str">
        <f t="shared" si="39"/>
        <v>High</v>
      </c>
      <c r="T459" s="1" t="str" cm="1">
        <f t="array" ref="T459">_xlfn.IFS(L459&gt;5,"High",L459=5,"mediam",L459&lt;5,"low")</f>
        <v>High</v>
      </c>
      <c r="U459" s="1" t="str">
        <f t="shared" si="40"/>
        <v>High</v>
      </c>
    </row>
    <row r="460" spans="1:21" x14ac:dyDescent="0.3">
      <c r="A460" s="5">
        <v>10459</v>
      </c>
      <c r="B460" s="1">
        <v>1658</v>
      </c>
      <c r="C460" s="2">
        <v>45273</v>
      </c>
      <c r="D460" s="2">
        <v>45281</v>
      </c>
      <c r="E460" s="1" t="s">
        <v>40</v>
      </c>
      <c r="F460" s="1" t="s">
        <v>38</v>
      </c>
      <c r="G460" s="1" t="s">
        <v>30</v>
      </c>
      <c r="H460" s="1" t="s">
        <v>44</v>
      </c>
      <c r="I460" s="1" t="s">
        <v>49</v>
      </c>
      <c r="J460" s="1" t="s">
        <v>63</v>
      </c>
      <c r="K460" s="1" t="s">
        <v>47</v>
      </c>
      <c r="L460" s="1">
        <v>4</v>
      </c>
      <c r="M460" s="1">
        <v>1946.9</v>
      </c>
      <c r="N460" s="1">
        <v>20</v>
      </c>
      <c r="O460" s="1">
        <v>6230.08</v>
      </c>
      <c r="P460" s="1">
        <f t="shared" si="36"/>
        <v>7787.6</v>
      </c>
      <c r="Q460" s="10">
        <f t="shared" si="37"/>
        <v>1246.0160000000001</v>
      </c>
      <c r="R460" s="11">
        <f t="shared" si="38"/>
        <v>6541.5840000000007</v>
      </c>
      <c r="S460" s="1" t="str">
        <f t="shared" si="39"/>
        <v>Low</v>
      </c>
      <c r="T460" s="1" t="str" cm="1">
        <f t="array" ref="T460">_xlfn.IFS(L460&gt;5,"High",L460=5,"mediam",L460&lt;5,"low")</f>
        <v>low</v>
      </c>
      <c r="U460" s="1" t="b">
        <f t="shared" si="40"/>
        <v>0</v>
      </c>
    </row>
    <row r="461" spans="1:21" x14ac:dyDescent="0.3">
      <c r="A461" s="5">
        <v>10460</v>
      </c>
      <c r="B461" s="1">
        <v>1515</v>
      </c>
      <c r="C461" s="2">
        <v>45215</v>
      </c>
      <c r="D461" s="2">
        <v>45221</v>
      </c>
      <c r="E461" s="1" t="s">
        <v>22</v>
      </c>
      <c r="F461" s="1" t="s">
        <v>29</v>
      </c>
      <c r="G461" s="1" t="s">
        <v>24</v>
      </c>
      <c r="H461" s="1" t="s">
        <v>25</v>
      </c>
      <c r="I461" s="1" t="s">
        <v>49</v>
      </c>
      <c r="J461" s="1" t="s">
        <v>50</v>
      </c>
      <c r="K461" s="1" t="s">
        <v>21</v>
      </c>
      <c r="L461" s="1">
        <v>1</v>
      </c>
      <c r="M461" s="1">
        <v>445.38</v>
      </c>
      <c r="N461" s="1">
        <v>10</v>
      </c>
      <c r="O461" s="1">
        <v>400.84</v>
      </c>
      <c r="P461" s="1">
        <f t="shared" si="36"/>
        <v>445.38</v>
      </c>
      <c r="Q461" s="10">
        <f t="shared" si="37"/>
        <v>40.084000000000003</v>
      </c>
      <c r="R461" s="11">
        <f t="shared" si="38"/>
        <v>405.29599999999999</v>
      </c>
      <c r="S461" s="1" t="str">
        <f t="shared" si="39"/>
        <v>Low</v>
      </c>
      <c r="T461" s="1" t="str" cm="1">
        <f t="array" ref="T461">_xlfn.IFS(L461&gt;5,"High",L461=5,"mediam",L461&lt;5,"low")</f>
        <v>low</v>
      </c>
      <c r="U461" s="1" t="b">
        <f t="shared" si="40"/>
        <v>0</v>
      </c>
    </row>
    <row r="462" spans="1:21" x14ac:dyDescent="0.3">
      <c r="A462" s="5">
        <v>10461</v>
      </c>
      <c r="B462" s="1">
        <v>1546</v>
      </c>
      <c r="C462" s="2">
        <v>45138</v>
      </c>
      <c r="D462" s="2">
        <v>45142</v>
      </c>
      <c r="E462" s="1" t="s">
        <v>46</v>
      </c>
      <c r="F462" s="1" t="s">
        <v>38</v>
      </c>
      <c r="G462" s="1" t="s">
        <v>30</v>
      </c>
      <c r="H462" s="1" t="s">
        <v>18</v>
      </c>
      <c r="I462" s="1" t="s">
        <v>52</v>
      </c>
      <c r="J462" s="1" t="s">
        <v>64</v>
      </c>
      <c r="K462" s="1" t="s">
        <v>47</v>
      </c>
      <c r="L462" s="1">
        <v>4</v>
      </c>
      <c r="M462" s="1">
        <v>789.3</v>
      </c>
      <c r="N462" s="1">
        <v>15</v>
      </c>
      <c r="O462" s="1">
        <v>2683.62</v>
      </c>
      <c r="P462" s="1">
        <f t="shared" si="36"/>
        <v>3157.2</v>
      </c>
      <c r="Q462" s="10">
        <f t="shared" si="37"/>
        <v>402.54299999999995</v>
      </c>
      <c r="R462" s="11">
        <f t="shared" si="38"/>
        <v>2754.6569999999997</v>
      </c>
      <c r="S462" s="1" t="str">
        <f t="shared" si="39"/>
        <v>Low</v>
      </c>
      <c r="T462" s="1" t="str" cm="1">
        <f t="array" ref="T462">_xlfn.IFS(L462&gt;5,"High",L462=5,"mediam",L462&lt;5,"low")</f>
        <v>low</v>
      </c>
      <c r="U462" s="1" t="b">
        <f t="shared" si="40"/>
        <v>0</v>
      </c>
    </row>
    <row r="463" spans="1:21" x14ac:dyDescent="0.3">
      <c r="A463" s="5">
        <v>10462</v>
      </c>
      <c r="B463" s="1">
        <v>1191</v>
      </c>
      <c r="C463" s="2">
        <v>45198</v>
      </c>
      <c r="D463" s="2">
        <v>45205</v>
      </c>
      <c r="E463" s="1" t="s">
        <v>15</v>
      </c>
      <c r="F463" s="1" t="s">
        <v>38</v>
      </c>
      <c r="G463" s="1" t="s">
        <v>17</v>
      </c>
      <c r="H463" s="1" t="s">
        <v>25</v>
      </c>
      <c r="I463" s="1" t="s">
        <v>52</v>
      </c>
      <c r="J463" s="1" t="s">
        <v>64</v>
      </c>
      <c r="K463" s="1" t="s">
        <v>45</v>
      </c>
      <c r="L463" s="1">
        <v>6</v>
      </c>
      <c r="M463" s="1">
        <v>385.25</v>
      </c>
      <c r="N463" s="1">
        <v>10</v>
      </c>
      <c r="O463" s="1">
        <v>2080.35</v>
      </c>
      <c r="P463" s="1">
        <f t="shared" si="36"/>
        <v>2311.5</v>
      </c>
      <c r="Q463" s="10">
        <f t="shared" si="37"/>
        <v>208.035</v>
      </c>
      <c r="R463" s="11">
        <f t="shared" si="38"/>
        <v>2103.4650000000001</v>
      </c>
      <c r="S463" s="1" t="str">
        <f t="shared" si="39"/>
        <v>High</v>
      </c>
      <c r="T463" s="1" t="str" cm="1">
        <f t="array" ref="T463">_xlfn.IFS(L463&gt;5,"High",L463=5,"mediam",L463&lt;5,"low")</f>
        <v>High</v>
      </c>
      <c r="U463" s="1" t="str">
        <f t="shared" si="40"/>
        <v>High</v>
      </c>
    </row>
    <row r="464" spans="1:21" x14ac:dyDescent="0.3">
      <c r="A464" s="5">
        <v>10463</v>
      </c>
      <c r="B464" s="1">
        <v>1048</v>
      </c>
      <c r="C464" s="2">
        <v>44992</v>
      </c>
      <c r="D464" s="2">
        <v>45000</v>
      </c>
      <c r="E464" s="1" t="s">
        <v>22</v>
      </c>
      <c r="F464" s="1" t="s">
        <v>16</v>
      </c>
      <c r="G464" s="1" t="s">
        <v>24</v>
      </c>
      <c r="H464" s="1" t="s">
        <v>35</v>
      </c>
      <c r="I464" s="1" t="s">
        <v>26</v>
      </c>
      <c r="J464" s="1" t="s">
        <v>36</v>
      </c>
      <c r="K464" s="1" t="s">
        <v>47</v>
      </c>
      <c r="L464" s="1">
        <v>5</v>
      </c>
      <c r="M464" s="1">
        <v>2072.3200000000002</v>
      </c>
      <c r="N464" s="1">
        <v>15</v>
      </c>
      <c r="O464" s="1">
        <v>8807.36</v>
      </c>
      <c r="P464" s="1">
        <f t="shared" si="36"/>
        <v>10361.6</v>
      </c>
      <c r="Q464" s="10">
        <f t="shared" si="37"/>
        <v>1321.104</v>
      </c>
      <c r="R464" s="11">
        <f t="shared" si="38"/>
        <v>9040.496000000001</v>
      </c>
      <c r="S464" s="1" t="str">
        <f t="shared" si="39"/>
        <v>High</v>
      </c>
      <c r="T464" s="1" t="str" cm="1">
        <f t="array" ref="T464">_xlfn.IFS(L464&gt;5,"High",L464=5,"mediam",L464&lt;5,"low")</f>
        <v>mediam</v>
      </c>
      <c r="U464" s="1" t="b">
        <f t="shared" si="40"/>
        <v>0</v>
      </c>
    </row>
    <row r="465" spans="1:21" x14ac:dyDescent="0.3">
      <c r="A465" s="5">
        <v>10464</v>
      </c>
      <c r="B465" s="1">
        <v>1511</v>
      </c>
      <c r="C465" s="2">
        <v>45174</v>
      </c>
      <c r="D465" s="2">
        <v>45176</v>
      </c>
      <c r="E465" s="1" t="s">
        <v>46</v>
      </c>
      <c r="F465" s="1" t="s">
        <v>23</v>
      </c>
      <c r="G465" s="1" t="s">
        <v>30</v>
      </c>
      <c r="H465" s="1" t="s">
        <v>42</v>
      </c>
      <c r="I465" s="1" t="s">
        <v>31</v>
      </c>
      <c r="J465" s="1" t="s">
        <v>65</v>
      </c>
      <c r="K465" s="1" t="s">
        <v>47</v>
      </c>
      <c r="L465" s="1">
        <v>1</v>
      </c>
      <c r="M465" s="1">
        <v>559.4</v>
      </c>
      <c r="N465" s="1">
        <v>20</v>
      </c>
      <c r="O465" s="1">
        <v>447.52</v>
      </c>
      <c r="P465" s="1">
        <f t="shared" si="36"/>
        <v>559.4</v>
      </c>
      <c r="Q465" s="10">
        <f t="shared" si="37"/>
        <v>89.504000000000005</v>
      </c>
      <c r="R465" s="11">
        <f t="shared" si="38"/>
        <v>469.89599999999996</v>
      </c>
      <c r="S465" s="1" t="str">
        <f t="shared" si="39"/>
        <v>Low</v>
      </c>
      <c r="T465" s="1" t="str" cm="1">
        <f t="array" ref="T465">_xlfn.IFS(L465&gt;5,"High",L465=5,"mediam",L465&lt;5,"low")</f>
        <v>low</v>
      </c>
      <c r="U465" s="1" t="b">
        <f t="shared" si="40"/>
        <v>0</v>
      </c>
    </row>
    <row r="466" spans="1:21" x14ac:dyDescent="0.3">
      <c r="A466" s="5">
        <v>10465</v>
      </c>
      <c r="B466" s="1">
        <v>1016</v>
      </c>
      <c r="C466" s="2">
        <v>45082</v>
      </c>
      <c r="D466" s="2">
        <v>45089</v>
      </c>
      <c r="E466" s="1" t="s">
        <v>37</v>
      </c>
      <c r="F466" s="1" t="s">
        <v>23</v>
      </c>
      <c r="G466" s="1" t="s">
        <v>30</v>
      </c>
      <c r="H466" s="1" t="s">
        <v>44</v>
      </c>
      <c r="I466" s="1" t="s">
        <v>19</v>
      </c>
      <c r="J466" s="1" t="s">
        <v>43</v>
      </c>
      <c r="K466" s="1" t="s">
        <v>33</v>
      </c>
      <c r="L466" s="1">
        <v>4</v>
      </c>
      <c r="M466" s="1">
        <v>589.44000000000005</v>
      </c>
      <c r="N466" s="1">
        <v>20</v>
      </c>
      <c r="O466" s="1">
        <v>1886.21</v>
      </c>
      <c r="P466" s="1">
        <f t="shared" si="36"/>
        <v>2357.7600000000002</v>
      </c>
      <c r="Q466" s="10">
        <f t="shared" si="37"/>
        <v>377.24200000000002</v>
      </c>
      <c r="R466" s="11">
        <f t="shared" si="38"/>
        <v>1980.5180000000003</v>
      </c>
      <c r="S466" s="1" t="str">
        <f t="shared" si="39"/>
        <v>Low</v>
      </c>
      <c r="T466" s="1" t="str" cm="1">
        <f t="array" ref="T466">_xlfn.IFS(L466&gt;5,"High",L466=5,"mediam",L466&lt;5,"low")</f>
        <v>low</v>
      </c>
      <c r="U466" s="1" t="b">
        <f t="shared" si="40"/>
        <v>0</v>
      </c>
    </row>
    <row r="467" spans="1:21" x14ac:dyDescent="0.3">
      <c r="A467" s="5">
        <v>10466</v>
      </c>
      <c r="B467" s="1">
        <v>1171</v>
      </c>
      <c r="C467" s="2">
        <v>44973</v>
      </c>
      <c r="D467" s="2">
        <v>44975</v>
      </c>
      <c r="E467" s="1" t="s">
        <v>16</v>
      </c>
      <c r="F467" s="1" t="s">
        <v>41</v>
      </c>
      <c r="G467" s="1" t="s">
        <v>30</v>
      </c>
      <c r="H467" s="1" t="s">
        <v>35</v>
      </c>
      <c r="I467" s="1" t="s">
        <v>19</v>
      </c>
      <c r="J467" s="1" t="s">
        <v>43</v>
      </c>
      <c r="K467" s="1" t="s">
        <v>28</v>
      </c>
      <c r="L467" s="1">
        <v>6</v>
      </c>
      <c r="M467" s="1">
        <v>3773.04</v>
      </c>
      <c r="N467" s="1">
        <v>0</v>
      </c>
      <c r="O467" s="1">
        <v>22638.240000000002</v>
      </c>
      <c r="P467" s="1">
        <f t="shared" si="36"/>
        <v>22638.239999999998</v>
      </c>
      <c r="Q467" s="10">
        <f t="shared" si="37"/>
        <v>0</v>
      </c>
      <c r="R467" s="11">
        <f t="shared" si="38"/>
        <v>22638.239999999998</v>
      </c>
      <c r="S467" s="1" t="str">
        <f t="shared" si="39"/>
        <v>High</v>
      </c>
      <c r="T467" s="1" t="str" cm="1">
        <f t="array" ref="T467">_xlfn.IFS(L467&gt;5,"High",L467=5,"mediam",L467&lt;5,"low")</f>
        <v>High</v>
      </c>
      <c r="U467" s="1" t="str">
        <f t="shared" si="40"/>
        <v>High</v>
      </c>
    </row>
    <row r="468" spans="1:21" x14ac:dyDescent="0.3">
      <c r="A468" s="5">
        <v>10467</v>
      </c>
      <c r="B468" s="1">
        <v>1219</v>
      </c>
      <c r="C468" s="2">
        <v>45127</v>
      </c>
      <c r="D468" s="2">
        <v>45129</v>
      </c>
      <c r="E468" s="1" t="s">
        <v>22</v>
      </c>
      <c r="F468" s="1" t="s">
        <v>41</v>
      </c>
      <c r="G468" s="1" t="s">
        <v>17</v>
      </c>
      <c r="H468" s="1" t="s">
        <v>44</v>
      </c>
      <c r="I468" s="1" t="s">
        <v>26</v>
      </c>
      <c r="J468" s="1" t="s">
        <v>69</v>
      </c>
      <c r="K468" s="1" t="s">
        <v>28</v>
      </c>
      <c r="L468" s="1">
        <v>4</v>
      </c>
      <c r="M468" s="1">
        <v>3509.72</v>
      </c>
      <c r="N468" s="1">
        <v>15</v>
      </c>
      <c r="O468" s="1">
        <v>11933.05</v>
      </c>
      <c r="P468" s="1">
        <f t="shared" si="36"/>
        <v>14038.88</v>
      </c>
      <c r="Q468" s="10">
        <f t="shared" si="37"/>
        <v>1789.9574999999998</v>
      </c>
      <c r="R468" s="11">
        <f t="shared" si="38"/>
        <v>12248.922499999999</v>
      </c>
      <c r="S468" s="1" t="str">
        <f t="shared" si="39"/>
        <v>Low</v>
      </c>
      <c r="T468" s="1" t="str" cm="1">
        <f t="array" ref="T468">_xlfn.IFS(L468&gt;5,"High",L468=5,"mediam",L468&lt;5,"low")</f>
        <v>low</v>
      </c>
      <c r="U468" s="1" t="b">
        <f t="shared" si="40"/>
        <v>0</v>
      </c>
    </row>
    <row r="469" spans="1:21" x14ac:dyDescent="0.3">
      <c r="A469" s="5">
        <v>10468</v>
      </c>
      <c r="B469" s="1">
        <v>1157</v>
      </c>
      <c r="C469" s="2">
        <v>45074</v>
      </c>
      <c r="D469" s="2">
        <v>45082</v>
      </c>
      <c r="E469" s="1" t="s">
        <v>22</v>
      </c>
      <c r="F469" s="1" t="s">
        <v>16</v>
      </c>
      <c r="G469" s="1" t="s">
        <v>17</v>
      </c>
      <c r="H469" s="1" t="s">
        <v>18</v>
      </c>
      <c r="I469" s="1" t="s">
        <v>57</v>
      </c>
      <c r="J469" s="1" t="s">
        <v>59</v>
      </c>
      <c r="K469" s="1" t="s">
        <v>45</v>
      </c>
      <c r="L469" s="1">
        <v>9</v>
      </c>
      <c r="M469" s="1">
        <v>1890.53</v>
      </c>
      <c r="N469" s="1">
        <v>15</v>
      </c>
      <c r="O469" s="1">
        <v>14462.55</v>
      </c>
      <c r="P469" s="1">
        <f t="shared" si="36"/>
        <v>17014.77</v>
      </c>
      <c r="Q469" s="10">
        <f t="shared" si="37"/>
        <v>2169.3824999999997</v>
      </c>
      <c r="R469" s="11">
        <f t="shared" si="38"/>
        <v>14845.387500000001</v>
      </c>
      <c r="S469" s="1" t="str">
        <f t="shared" si="39"/>
        <v>High</v>
      </c>
      <c r="T469" s="1" t="str" cm="1">
        <f t="array" ref="T469">_xlfn.IFS(L469&gt;5,"High",L469=5,"mediam",L469&lt;5,"low")</f>
        <v>High</v>
      </c>
      <c r="U469" s="1" t="str">
        <f t="shared" si="40"/>
        <v>High</v>
      </c>
    </row>
    <row r="470" spans="1:21" x14ac:dyDescent="0.3">
      <c r="A470" s="5">
        <v>10469</v>
      </c>
      <c r="B470" s="1">
        <v>1476</v>
      </c>
      <c r="C470" s="2">
        <v>45050</v>
      </c>
      <c r="D470" s="2">
        <v>45052</v>
      </c>
      <c r="E470" s="1" t="s">
        <v>15</v>
      </c>
      <c r="F470" s="1" t="s">
        <v>41</v>
      </c>
      <c r="G470" s="1" t="s">
        <v>30</v>
      </c>
      <c r="H470" s="1" t="s">
        <v>18</v>
      </c>
      <c r="I470" s="1" t="s">
        <v>31</v>
      </c>
      <c r="J470" s="1" t="s">
        <v>48</v>
      </c>
      <c r="K470" s="1" t="s">
        <v>45</v>
      </c>
      <c r="L470" s="1">
        <v>5</v>
      </c>
      <c r="M470" s="1">
        <v>3945.35</v>
      </c>
      <c r="N470" s="1">
        <v>5</v>
      </c>
      <c r="O470" s="1">
        <v>18740.41</v>
      </c>
      <c r="P470" s="1">
        <f t="shared" si="36"/>
        <v>19726.75</v>
      </c>
      <c r="Q470" s="10">
        <f t="shared" si="37"/>
        <v>937.02050000000008</v>
      </c>
      <c r="R470" s="11">
        <f t="shared" si="38"/>
        <v>18789.729500000001</v>
      </c>
      <c r="S470" s="1" t="str">
        <f t="shared" si="39"/>
        <v>High</v>
      </c>
      <c r="T470" s="1" t="str" cm="1">
        <f t="array" ref="T470">_xlfn.IFS(L470&gt;5,"High",L470=5,"mediam",L470&lt;5,"low")</f>
        <v>mediam</v>
      </c>
      <c r="U470" s="1" t="b">
        <f t="shared" si="40"/>
        <v>0</v>
      </c>
    </row>
    <row r="471" spans="1:21" x14ac:dyDescent="0.3">
      <c r="A471" s="5">
        <v>10470</v>
      </c>
      <c r="B471" s="1">
        <v>1045</v>
      </c>
      <c r="C471" s="2">
        <v>44927</v>
      </c>
      <c r="D471" s="2">
        <v>44936</v>
      </c>
      <c r="E471" s="1" t="s">
        <v>34</v>
      </c>
      <c r="F471" s="1" t="s">
        <v>29</v>
      </c>
      <c r="G471" s="1" t="s">
        <v>30</v>
      </c>
      <c r="H471" s="1" t="s">
        <v>18</v>
      </c>
      <c r="I471" s="1" t="s">
        <v>26</v>
      </c>
      <c r="J471" s="1" t="s">
        <v>36</v>
      </c>
      <c r="K471" s="1" t="s">
        <v>28</v>
      </c>
      <c r="L471" s="1">
        <v>8</v>
      </c>
      <c r="M471" s="1">
        <v>150.72</v>
      </c>
      <c r="N471" s="1">
        <v>5</v>
      </c>
      <c r="O471" s="1">
        <v>1145.47</v>
      </c>
      <c r="P471" s="1">
        <f t="shared" si="36"/>
        <v>1205.76</v>
      </c>
      <c r="Q471" s="10">
        <f t="shared" si="37"/>
        <v>57.273500000000006</v>
      </c>
      <c r="R471" s="11">
        <f t="shared" si="38"/>
        <v>1148.4865</v>
      </c>
      <c r="S471" s="1" t="str">
        <f t="shared" si="39"/>
        <v>High</v>
      </c>
      <c r="T471" s="1" t="str" cm="1">
        <f t="array" ref="T471">_xlfn.IFS(L471&gt;5,"High",L471=5,"mediam",L471&lt;5,"low")</f>
        <v>High</v>
      </c>
      <c r="U471" s="1" t="str">
        <f t="shared" si="40"/>
        <v>High</v>
      </c>
    </row>
    <row r="472" spans="1:21" x14ac:dyDescent="0.3">
      <c r="A472" s="5">
        <v>10471</v>
      </c>
      <c r="B472" s="1">
        <v>1372</v>
      </c>
      <c r="C472" s="2">
        <v>45173</v>
      </c>
      <c r="D472" s="2">
        <v>45174</v>
      </c>
      <c r="E472" s="1" t="s">
        <v>37</v>
      </c>
      <c r="F472" s="1" t="s">
        <v>54</v>
      </c>
      <c r="G472" s="1" t="s">
        <v>17</v>
      </c>
      <c r="H472" s="1" t="s">
        <v>44</v>
      </c>
      <c r="I472" s="1" t="s">
        <v>31</v>
      </c>
      <c r="J472" s="1" t="s">
        <v>48</v>
      </c>
      <c r="K472" s="1" t="s">
        <v>33</v>
      </c>
      <c r="L472" s="1">
        <v>9</v>
      </c>
      <c r="M472" s="1">
        <v>2513.8200000000002</v>
      </c>
      <c r="N472" s="1">
        <v>5</v>
      </c>
      <c r="O472" s="1">
        <v>21493.16</v>
      </c>
      <c r="P472" s="1">
        <f t="shared" si="36"/>
        <v>22624.38</v>
      </c>
      <c r="Q472" s="10">
        <f t="shared" si="37"/>
        <v>1074.6580000000001</v>
      </c>
      <c r="R472" s="11">
        <f t="shared" si="38"/>
        <v>21549.722000000002</v>
      </c>
      <c r="S472" s="1" t="str">
        <f t="shared" si="39"/>
        <v>High</v>
      </c>
      <c r="T472" s="1" t="str" cm="1">
        <f t="array" ref="T472">_xlfn.IFS(L472&gt;5,"High",L472=5,"mediam",L472&lt;5,"low")</f>
        <v>High</v>
      </c>
      <c r="U472" s="1" t="str">
        <f t="shared" si="40"/>
        <v>High</v>
      </c>
    </row>
    <row r="473" spans="1:21" x14ac:dyDescent="0.3">
      <c r="A473" s="5">
        <v>10472</v>
      </c>
      <c r="B473" s="1">
        <v>1517</v>
      </c>
      <c r="C473" s="2">
        <v>45269</v>
      </c>
      <c r="D473" s="2">
        <v>45278</v>
      </c>
      <c r="E473" s="1" t="s">
        <v>15</v>
      </c>
      <c r="F473" s="1" t="s">
        <v>54</v>
      </c>
      <c r="G473" s="1" t="s">
        <v>30</v>
      </c>
      <c r="H473" s="1" t="s">
        <v>35</v>
      </c>
      <c r="I473" s="1" t="s">
        <v>31</v>
      </c>
      <c r="J473" s="1" t="s">
        <v>48</v>
      </c>
      <c r="K473" s="1" t="s">
        <v>28</v>
      </c>
      <c r="L473" s="1">
        <v>5</v>
      </c>
      <c r="M473" s="1">
        <v>2523.25</v>
      </c>
      <c r="N473" s="1">
        <v>10</v>
      </c>
      <c r="O473" s="1">
        <v>11354.63</v>
      </c>
      <c r="P473" s="1">
        <f t="shared" si="36"/>
        <v>12616.25</v>
      </c>
      <c r="Q473" s="10">
        <f t="shared" si="37"/>
        <v>1135.463</v>
      </c>
      <c r="R473" s="11">
        <f t="shared" si="38"/>
        <v>11480.787</v>
      </c>
      <c r="S473" s="1" t="str">
        <f t="shared" si="39"/>
        <v>High</v>
      </c>
      <c r="T473" s="1" t="str" cm="1">
        <f t="array" ref="T473">_xlfn.IFS(L473&gt;5,"High",L473=5,"mediam",L473&lt;5,"low")</f>
        <v>mediam</v>
      </c>
      <c r="U473" s="1" t="b">
        <f t="shared" si="40"/>
        <v>0</v>
      </c>
    </row>
    <row r="474" spans="1:21" x14ac:dyDescent="0.3">
      <c r="A474" s="5">
        <v>10473</v>
      </c>
      <c r="B474" s="1">
        <v>1098</v>
      </c>
      <c r="C474" s="2">
        <v>45054</v>
      </c>
      <c r="D474" s="2">
        <v>45055</v>
      </c>
      <c r="E474" s="1" t="s">
        <v>46</v>
      </c>
      <c r="F474" s="1" t="s">
        <v>54</v>
      </c>
      <c r="G474" s="1" t="s">
        <v>30</v>
      </c>
      <c r="H474" s="1" t="s">
        <v>18</v>
      </c>
      <c r="I474" s="1" t="s">
        <v>31</v>
      </c>
      <c r="J474" s="1" t="s">
        <v>48</v>
      </c>
      <c r="K474" s="1" t="s">
        <v>33</v>
      </c>
      <c r="L474" s="1">
        <v>6</v>
      </c>
      <c r="M474" s="1">
        <v>1911.16</v>
      </c>
      <c r="N474" s="1">
        <v>5</v>
      </c>
      <c r="O474" s="1">
        <v>10893.61</v>
      </c>
      <c r="P474" s="1">
        <f t="shared" si="36"/>
        <v>11466.960000000001</v>
      </c>
      <c r="Q474" s="10">
        <f t="shared" si="37"/>
        <v>544.68050000000005</v>
      </c>
      <c r="R474" s="11">
        <f t="shared" si="38"/>
        <v>10922.279500000001</v>
      </c>
      <c r="S474" s="1" t="str">
        <f t="shared" si="39"/>
        <v>High</v>
      </c>
      <c r="T474" s="1" t="str" cm="1">
        <f t="array" ref="T474">_xlfn.IFS(L474&gt;5,"High",L474=5,"mediam",L474&lt;5,"low")</f>
        <v>High</v>
      </c>
      <c r="U474" s="1" t="str">
        <f t="shared" si="40"/>
        <v>High</v>
      </c>
    </row>
    <row r="475" spans="1:21" x14ac:dyDescent="0.3">
      <c r="A475" s="5">
        <v>10474</v>
      </c>
      <c r="B475" s="1">
        <v>1891</v>
      </c>
      <c r="C475" s="2">
        <v>45117</v>
      </c>
      <c r="D475" s="2">
        <v>45119</v>
      </c>
      <c r="E475" s="1" t="s">
        <v>46</v>
      </c>
      <c r="F475" s="1" t="s">
        <v>16</v>
      </c>
      <c r="G475" s="1" t="s">
        <v>17</v>
      </c>
      <c r="H475" s="1" t="s">
        <v>35</v>
      </c>
      <c r="I475" s="1" t="s">
        <v>26</v>
      </c>
      <c r="J475" s="1" t="s">
        <v>27</v>
      </c>
      <c r="K475" s="1" t="s">
        <v>45</v>
      </c>
      <c r="L475" s="1">
        <v>1</v>
      </c>
      <c r="M475" s="1">
        <v>1678.25</v>
      </c>
      <c r="N475" s="1">
        <v>15</v>
      </c>
      <c r="O475" s="1">
        <v>1426.51</v>
      </c>
      <c r="P475" s="1">
        <f t="shared" si="36"/>
        <v>1678.25</v>
      </c>
      <c r="Q475" s="10">
        <f t="shared" si="37"/>
        <v>213.97649999999999</v>
      </c>
      <c r="R475" s="11">
        <f t="shared" si="38"/>
        <v>1464.2735</v>
      </c>
      <c r="S475" s="1" t="str">
        <f t="shared" si="39"/>
        <v>Low</v>
      </c>
      <c r="T475" s="1" t="str" cm="1">
        <f t="array" ref="T475">_xlfn.IFS(L475&gt;5,"High",L475=5,"mediam",L475&lt;5,"low")</f>
        <v>low</v>
      </c>
      <c r="U475" s="1" t="b">
        <f t="shared" si="40"/>
        <v>0</v>
      </c>
    </row>
    <row r="476" spans="1:21" x14ac:dyDescent="0.3">
      <c r="A476" s="5">
        <v>10475</v>
      </c>
      <c r="B476" s="1">
        <v>1744</v>
      </c>
      <c r="C476" s="2">
        <v>44993</v>
      </c>
      <c r="D476" s="2">
        <v>44999</v>
      </c>
      <c r="E476" s="1" t="s">
        <v>46</v>
      </c>
      <c r="F476" s="1" t="s">
        <v>16</v>
      </c>
      <c r="G476" s="1" t="s">
        <v>30</v>
      </c>
      <c r="H476" s="1" t="s">
        <v>44</v>
      </c>
      <c r="I476" s="1" t="s">
        <v>19</v>
      </c>
      <c r="J476" s="1" t="s">
        <v>55</v>
      </c>
      <c r="K476" s="1" t="s">
        <v>21</v>
      </c>
      <c r="L476" s="1">
        <v>7</v>
      </c>
      <c r="M476" s="1">
        <v>1903.23</v>
      </c>
      <c r="N476" s="1">
        <v>10</v>
      </c>
      <c r="O476" s="1">
        <v>11990.35</v>
      </c>
      <c r="P476" s="1">
        <f t="shared" si="36"/>
        <v>13322.61</v>
      </c>
      <c r="Q476" s="10">
        <f t="shared" si="37"/>
        <v>1199.0350000000001</v>
      </c>
      <c r="R476" s="11">
        <f t="shared" si="38"/>
        <v>12123.575000000001</v>
      </c>
      <c r="S476" s="1" t="str">
        <f t="shared" si="39"/>
        <v>High</v>
      </c>
      <c r="T476" s="1" t="str" cm="1">
        <f t="array" ref="T476">_xlfn.IFS(L476&gt;5,"High",L476=5,"mediam",L476&lt;5,"low")</f>
        <v>High</v>
      </c>
      <c r="U476" s="1" t="str">
        <f t="shared" si="40"/>
        <v>High</v>
      </c>
    </row>
    <row r="477" spans="1:21" x14ac:dyDescent="0.3">
      <c r="A477" s="5">
        <v>10476</v>
      </c>
      <c r="B477" s="1">
        <v>1036</v>
      </c>
      <c r="C477" s="2">
        <v>44930</v>
      </c>
      <c r="D477" s="2">
        <v>44936</v>
      </c>
      <c r="E477" s="1" t="s">
        <v>46</v>
      </c>
      <c r="F477" s="1" t="s">
        <v>38</v>
      </c>
      <c r="G477" s="1" t="s">
        <v>30</v>
      </c>
      <c r="H477" s="1" t="s">
        <v>35</v>
      </c>
      <c r="I477" s="1" t="s">
        <v>19</v>
      </c>
      <c r="J477" s="1" t="s">
        <v>20</v>
      </c>
      <c r="K477" s="1" t="s">
        <v>45</v>
      </c>
      <c r="L477" s="1">
        <v>4</v>
      </c>
      <c r="M477" s="1">
        <v>1747.6</v>
      </c>
      <c r="N477" s="1">
        <v>20</v>
      </c>
      <c r="O477" s="1">
        <v>5592.32</v>
      </c>
      <c r="P477" s="1">
        <f t="shared" si="36"/>
        <v>6990.4</v>
      </c>
      <c r="Q477" s="10">
        <f t="shared" si="37"/>
        <v>1118.4639999999999</v>
      </c>
      <c r="R477" s="11">
        <f t="shared" si="38"/>
        <v>5871.9359999999997</v>
      </c>
      <c r="S477" s="1" t="str">
        <f t="shared" si="39"/>
        <v>Low</v>
      </c>
      <c r="T477" s="1" t="str" cm="1">
        <f t="array" ref="T477">_xlfn.IFS(L477&gt;5,"High",L477=5,"mediam",L477&lt;5,"low")</f>
        <v>low</v>
      </c>
      <c r="U477" s="1" t="b">
        <f t="shared" si="40"/>
        <v>0</v>
      </c>
    </row>
    <row r="478" spans="1:21" x14ac:dyDescent="0.3">
      <c r="A478" s="5">
        <v>10477</v>
      </c>
      <c r="B478" s="1">
        <v>1279</v>
      </c>
      <c r="C478" s="2">
        <v>45229</v>
      </c>
      <c r="D478" s="2">
        <v>45230</v>
      </c>
      <c r="E478" s="1" t="s">
        <v>34</v>
      </c>
      <c r="F478" s="1" t="s">
        <v>54</v>
      </c>
      <c r="G478" s="1" t="s">
        <v>30</v>
      </c>
      <c r="H478" s="1" t="s">
        <v>44</v>
      </c>
      <c r="I478" s="1" t="s">
        <v>31</v>
      </c>
      <c r="J478" s="1" t="s">
        <v>48</v>
      </c>
      <c r="K478" s="1" t="s">
        <v>45</v>
      </c>
      <c r="L478" s="1">
        <v>2</v>
      </c>
      <c r="M478" s="1">
        <v>2962.4</v>
      </c>
      <c r="N478" s="1">
        <v>0</v>
      </c>
      <c r="O478" s="1">
        <v>5924.8</v>
      </c>
      <c r="P478" s="1">
        <f t="shared" si="36"/>
        <v>5924.8</v>
      </c>
      <c r="Q478" s="10">
        <f t="shared" si="37"/>
        <v>0</v>
      </c>
      <c r="R478" s="11">
        <f t="shared" si="38"/>
        <v>5924.8</v>
      </c>
      <c r="S478" s="1" t="str">
        <f t="shared" si="39"/>
        <v>Low</v>
      </c>
      <c r="T478" s="1" t="str" cm="1">
        <f t="array" ref="T478">_xlfn.IFS(L478&gt;5,"High",L478=5,"mediam",L478&lt;5,"low")</f>
        <v>low</v>
      </c>
      <c r="U478" s="1" t="b">
        <f t="shared" si="40"/>
        <v>0</v>
      </c>
    </row>
    <row r="479" spans="1:21" x14ac:dyDescent="0.3">
      <c r="A479" s="5">
        <v>10478</v>
      </c>
      <c r="B479" s="1">
        <v>1348</v>
      </c>
      <c r="C479" s="2">
        <v>45220</v>
      </c>
      <c r="D479" s="2">
        <v>45227</v>
      </c>
      <c r="E479" s="1" t="s">
        <v>37</v>
      </c>
      <c r="F479" s="1" t="s">
        <v>29</v>
      </c>
      <c r="G479" s="1" t="s">
        <v>17</v>
      </c>
      <c r="H479" s="1" t="s">
        <v>44</v>
      </c>
      <c r="I479" s="1" t="s">
        <v>57</v>
      </c>
      <c r="J479" s="1" t="s">
        <v>62</v>
      </c>
      <c r="K479" s="1" t="s">
        <v>47</v>
      </c>
      <c r="L479" s="1">
        <v>5</v>
      </c>
      <c r="M479" s="1">
        <v>671.12</v>
      </c>
      <c r="N479" s="1">
        <v>5</v>
      </c>
      <c r="O479" s="1">
        <v>3187.82</v>
      </c>
      <c r="P479" s="1">
        <f t="shared" si="36"/>
        <v>3355.6</v>
      </c>
      <c r="Q479" s="10">
        <f t="shared" si="37"/>
        <v>159.39100000000002</v>
      </c>
      <c r="R479" s="11">
        <f t="shared" si="38"/>
        <v>3196.2089999999998</v>
      </c>
      <c r="S479" s="1" t="str">
        <f t="shared" si="39"/>
        <v>High</v>
      </c>
      <c r="T479" s="1" t="str" cm="1">
        <f t="array" ref="T479">_xlfn.IFS(L479&gt;5,"High",L479=5,"mediam",L479&lt;5,"low")</f>
        <v>mediam</v>
      </c>
      <c r="U479" s="1" t="b">
        <f t="shared" si="40"/>
        <v>0</v>
      </c>
    </row>
    <row r="480" spans="1:21" x14ac:dyDescent="0.3">
      <c r="A480" s="5">
        <v>10479</v>
      </c>
      <c r="B480" s="1">
        <v>1496</v>
      </c>
      <c r="C480" s="2">
        <v>45069</v>
      </c>
      <c r="D480" s="2">
        <v>45077</v>
      </c>
      <c r="E480" s="1" t="s">
        <v>40</v>
      </c>
      <c r="F480" s="1" t="s">
        <v>41</v>
      </c>
      <c r="G480" s="1" t="s">
        <v>30</v>
      </c>
      <c r="H480" s="1" t="s">
        <v>42</v>
      </c>
      <c r="I480" s="1" t="s">
        <v>49</v>
      </c>
      <c r="J480" s="1" t="s">
        <v>68</v>
      </c>
      <c r="K480" s="1" t="s">
        <v>47</v>
      </c>
      <c r="L480" s="1">
        <v>3</v>
      </c>
      <c r="M480" s="1">
        <v>910.91</v>
      </c>
      <c r="N480" s="1">
        <v>20</v>
      </c>
      <c r="O480" s="1">
        <v>2186.1799999999998</v>
      </c>
      <c r="P480" s="1">
        <f t="shared" si="36"/>
        <v>2732.73</v>
      </c>
      <c r="Q480" s="10">
        <f t="shared" si="37"/>
        <v>437.23599999999999</v>
      </c>
      <c r="R480" s="11">
        <f t="shared" si="38"/>
        <v>2295.4940000000001</v>
      </c>
      <c r="S480" s="1" t="str">
        <f t="shared" si="39"/>
        <v>Low</v>
      </c>
      <c r="T480" s="1" t="str" cm="1">
        <f t="array" ref="T480">_xlfn.IFS(L480&gt;5,"High",L480=5,"mediam",L480&lt;5,"low")</f>
        <v>low</v>
      </c>
      <c r="U480" s="1" t="b">
        <f t="shared" si="40"/>
        <v>0</v>
      </c>
    </row>
    <row r="481" spans="1:21" x14ac:dyDescent="0.3">
      <c r="A481" s="5">
        <v>10480</v>
      </c>
      <c r="B481" s="1">
        <v>1301</v>
      </c>
      <c r="C481" s="2">
        <v>45117</v>
      </c>
      <c r="D481" s="2">
        <v>45119</v>
      </c>
      <c r="E481" s="1" t="s">
        <v>16</v>
      </c>
      <c r="F481" s="1" t="s">
        <v>29</v>
      </c>
      <c r="G481" s="1" t="s">
        <v>17</v>
      </c>
      <c r="H481" s="1" t="s">
        <v>44</v>
      </c>
      <c r="I481" s="1" t="s">
        <v>26</v>
      </c>
      <c r="J481" s="1" t="s">
        <v>36</v>
      </c>
      <c r="K481" s="1" t="s">
        <v>47</v>
      </c>
      <c r="L481" s="1">
        <v>6</v>
      </c>
      <c r="M481" s="1">
        <v>845</v>
      </c>
      <c r="N481" s="1">
        <v>15</v>
      </c>
      <c r="O481" s="1">
        <v>4309.5</v>
      </c>
      <c r="P481" s="1">
        <f t="shared" si="36"/>
        <v>5070</v>
      </c>
      <c r="Q481" s="10">
        <f t="shared" si="37"/>
        <v>646.42499999999995</v>
      </c>
      <c r="R481" s="11">
        <f t="shared" si="38"/>
        <v>4423.5749999999998</v>
      </c>
      <c r="S481" s="1" t="str">
        <f t="shared" si="39"/>
        <v>High</v>
      </c>
      <c r="T481" s="1" t="str" cm="1">
        <f t="array" ref="T481">_xlfn.IFS(L481&gt;5,"High",L481=5,"mediam",L481&lt;5,"low")</f>
        <v>High</v>
      </c>
      <c r="U481" s="1" t="str">
        <f t="shared" si="40"/>
        <v>High</v>
      </c>
    </row>
    <row r="482" spans="1:21" x14ac:dyDescent="0.3">
      <c r="A482" s="5">
        <v>10481</v>
      </c>
      <c r="B482" s="1">
        <v>1180</v>
      </c>
      <c r="C482" s="2">
        <v>44947</v>
      </c>
      <c r="D482" s="2">
        <v>44955</v>
      </c>
      <c r="E482" s="1" t="s">
        <v>34</v>
      </c>
      <c r="F482" s="1" t="s">
        <v>41</v>
      </c>
      <c r="G482" s="1" t="s">
        <v>17</v>
      </c>
      <c r="H482" s="1" t="s">
        <v>44</v>
      </c>
      <c r="I482" s="1" t="s">
        <v>49</v>
      </c>
      <c r="J482" s="1" t="s">
        <v>50</v>
      </c>
      <c r="K482" s="1" t="s">
        <v>47</v>
      </c>
      <c r="L482" s="1">
        <v>8</v>
      </c>
      <c r="M482" s="1">
        <v>1160.51</v>
      </c>
      <c r="N482" s="1">
        <v>0</v>
      </c>
      <c r="O482" s="1">
        <v>9284.08</v>
      </c>
      <c r="P482" s="1">
        <f t="shared" si="36"/>
        <v>9284.08</v>
      </c>
      <c r="Q482" s="10">
        <f t="shared" si="37"/>
        <v>0</v>
      </c>
      <c r="R482" s="11">
        <f t="shared" si="38"/>
        <v>9284.08</v>
      </c>
      <c r="S482" s="1" t="str">
        <f t="shared" si="39"/>
        <v>High</v>
      </c>
      <c r="T482" s="1" t="str" cm="1">
        <f t="array" ref="T482">_xlfn.IFS(L482&gt;5,"High",L482=5,"mediam",L482&lt;5,"low")</f>
        <v>High</v>
      </c>
      <c r="U482" s="1" t="str">
        <f t="shared" si="40"/>
        <v>High</v>
      </c>
    </row>
    <row r="483" spans="1:21" x14ac:dyDescent="0.3">
      <c r="A483" s="5">
        <v>10482</v>
      </c>
      <c r="B483" s="1">
        <v>1606</v>
      </c>
      <c r="C483" s="2">
        <v>45153</v>
      </c>
      <c r="D483" s="2">
        <v>45162</v>
      </c>
      <c r="E483" s="1" t="s">
        <v>34</v>
      </c>
      <c r="F483" s="1" t="s">
        <v>54</v>
      </c>
      <c r="G483" s="1" t="s">
        <v>24</v>
      </c>
      <c r="H483" s="1" t="s">
        <v>25</v>
      </c>
      <c r="I483" s="1" t="s">
        <v>57</v>
      </c>
      <c r="J483" s="1" t="s">
        <v>67</v>
      </c>
      <c r="K483" s="1" t="s">
        <v>33</v>
      </c>
      <c r="L483" s="1">
        <v>7</v>
      </c>
      <c r="M483" s="1">
        <v>2172.2399999999998</v>
      </c>
      <c r="N483" s="1">
        <v>20</v>
      </c>
      <c r="O483" s="1">
        <v>12164.54</v>
      </c>
      <c r="P483" s="1">
        <f t="shared" si="36"/>
        <v>15205.679999999998</v>
      </c>
      <c r="Q483" s="10">
        <f t="shared" si="37"/>
        <v>2432.9080000000004</v>
      </c>
      <c r="R483" s="11">
        <f t="shared" si="38"/>
        <v>12772.771999999997</v>
      </c>
      <c r="S483" s="1" t="str">
        <f t="shared" si="39"/>
        <v>High</v>
      </c>
      <c r="T483" s="1" t="str" cm="1">
        <f t="array" ref="T483">_xlfn.IFS(L483&gt;5,"High",L483=5,"mediam",L483&lt;5,"low")</f>
        <v>High</v>
      </c>
      <c r="U483" s="1" t="str">
        <f t="shared" si="40"/>
        <v>High</v>
      </c>
    </row>
    <row r="484" spans="1:21" x14ac:dyDescent="0.3">
      <c r="A484" s="5">
        <v>10483</v>
      </c>
      <c r="B484" s="1">
        <v>1098</v>
      </c>
      <c r="C484" s="2">
        <v>45239</v>
      </c>
      <c r="D484" s="2">
        <v>45245</v>
      </c>
      <c r="E484" s="1" t="s">
        <v>40</v>
      </c>
      <c r="F484" s="1" t="s">
        <v>54</v>
      </c>
      <c r="G484" s="1" t="s">
        <v>24</v>
      </c>
      <c r="H484" s="1" t="s">
        <v>18</v>
      </c>
      <c r="I484" s="1" t="s">
        <v>26</v>
      </c>
      <c r="J484" s="1" t="s">
        <v>61</v>
      </c>
      <c r="K484" s="1" t="s">
        <v>28</v>
      </c>
      <c r="L484" s="1">
        <v>3</v>
      </c>
      <c r="M484" s="1">
        <v>578.15</v>
      </c>
      <c r="N484" s="1">
        <v>0</v>
      </c>
      <c r="O484" s="1">
        <v>1734.45</v>
      </c>
      <c r="P484" s="1">
        <f t="shared" si="36"/>
        <v>1734.4499999999998</v>
      </c>
      <c r="Q484" s="10">
        <f t="shared" si="37"/>
        <v>0</v>
      </c>
      <c r="R484" s="11">
        <f t="shared" si="38"/>
        <v>1734.4499999999998</v>
      </c>
      <c r="S484" s="1" t="str">
        <f t="shared" si="39"/>
        <v>Low</v>
      </c>
      <c r="T484" s="1" t="str" cm="1">
        <f t="array" ref="T484">_xlfn.IFS(L484&gt;5,"High",L484=5,"mediam",L484&lt;5,"low")</f>
        <v>low</v>
      </c>
      <c r="U484" s="1" t="b">
        <f t="shared" si="40"/>
        <v>0</v>
      </c>
    </row>
    <row r="485" spans="1:21" x14ac:dyDescent="0.3">
      <c r="A485" s="5">
        <v>10484</v>
      </c>
      <c r="B485" s="1">
        <v>1699</v>
      </c>
      <c r="C485" s="2">
        <v>45043</v>
      </c>
      <c r="D485" s="2">
        <v>45048</v>
      </c>
      <c r="E485" s="1" t="s">
        <v>40</v>
      </c>
      <c r="F485" s="1" t="s">
        <v>54</v>
      </c>
      <c r="G485" s="1" t="s">
        <v>30</v>
      </c>
      <c r="H485" s="1" t="s">
        <v>42</v>
      </c>
      <c r="I485" s="1" t="s">
        <v>31</v>
      </c>
      <c r="J485" s="1" t="s">
        <v>65</v>
      </c>
      <c r="K485" s="1" t="s">
        <v>21</v>
      </c>
      <c r="L485" s="1">
        <v>8</v>
      </c>
      <c r="M485" s="1">
        <v>3492.45</v>
      </c>
      <c r="N485" s="1">
        <v>5</v>
      </c>
      <c r="O485" s="1">
        <v>26542.62</v>
      </c>
      <c r="P485" s="1">
        <f t="shared" si="36"/>
        <v>27939.599999999999</v>
      </c>
      <c r="Q485" s="10">
        <f t="shared" si="37"/>
        <v>1327.1310000000001</v>
      </c>
      <c r="R485" s="11">
        <f t="shared" si="38"/>
        <v>26612.468999999997</v>
      </c>
      <c r="S485" s="1" t="str">
        <f t="shared" si="39"/>
        <v>High</v>
      </c>
      <c r="T485" s="1" t="str" cm="1">
        <f t="array" ref="T485">_xlfn.IFS(L485&gt;5,"High",L485=5,"mediam",L485&lt;5,"low")</f>
        <v>High</v>
      </c>
      <c r="U485" s="1" t="str">
        <f t="shared" si="40"/>
        <v>High</v>
      </c>
    </row>
    <row r="486" spans="1:21" x14ac:dyDescent="0.3">
      <c r="A486" s="5">
        <v>10485</v>
      </c>
      <c r="B486" s="1">
        <v>1992</v>
      </c>
      <c r="C486" s="2">
        <v>45228</v>
      </c>
      <c r="D486" s="2">
        <v>45237</v>
      </c>
      <c r="E486" s="1" t="s">
        <v>16</v>
      </c>
      <c r="F486" s="1" t="s">
        <v>16</v>
      </c>
      <c r="G486" s="1" t="s">
        <v>17</v>
      </c>
      <c r="H486" s="1" t="s">
        <v>42</v>
      </c>
      <c r="I486" s="1" t="s">
        <v>19</v>
      </c>
      <c r="J486" s="1" t="s">
        <v>43</v>
      </c>
      <c r="K486" s="1" t="s">
        <v>45</v>
      </c>
      <c r="L486" s="1">
        <v>2</v>
      </c>
      <c r="M486" s="1">
        <v>1294.8399999999999</v>
      </c>
      <c r="N486" s="1">
        <v>15</v>
      </c>
      <c r="O486" s="1">
        <v>2201.23</v>
      </c>
      <c r="P486" s="1">
        <f t="shared" si="36"/>
        <v>2589.6799999999998</v>
      </c>
      <c r="Q486" s="10">
        <f t="shared" si="37"/>
        <v>330.18450000000001</v>
      </c>
      <c r="R486" s="11">
        <f t="shared" si="38"/>
        <v>2259.4955</v>
      </c>
      <c r="S486" s="1" t="str">
        <f t="shared" si="39"/>
        <v>Low</v>
      </c>
      <c r="T486" s="1" t="str" cm="1">
        <f t="array" ref="T486">_xlfn.IFS(L486&gt;5,"High",L486=5,"mediam",L486&lt;5,"low")</f>
        <v>low</v>
      </c>
      <c r="U486" s="1" t="b">
        <f t="shared" si="40"/>
        <v>0</v>
      </c>
    </row>
    <row r="487" spans="1:21" x14ac:dyDescent="0.3">
      <c r="A487" s="5">
        <v>10486</v>
      </c>
      <c r="B487" s="1">
        <v>1115</v>
      </c>
      <c r="C487" s="2">
        <v>45068</v>
      </c>
      <c r="D487" s="2">
        <v>45077</v>
      </c>
      <c r="E487" s="1" t="s">
        <v>16</v>
      </c>
      <c r="F487" s="1" t="s">
        <v>41</v>
      </c>
      <c r="G487" s="1" t="s">
        <v>24</v>
      </c>
      <c r="H487" s="1" t="s">
        <v>42</v>
      </c>
      <c r="I487" s="1" t="s">
        <v>49</v>
      </c>
      <c r="J487" s="1" t="s">
        <v>63</v>
      </c>
      <c r="K487" s="1" t="s">
        <v>33</v>
      </c>
      <c r="L487" s="1">
        <v>9</v>
      </c>
      <c r="M487" s="1">
        <v>775.77</v>
      </c>
      <c r="N487" s="1">
        <v>0</v>
      </c>
      <c r="O487" s="1">
        <v>6981.93</v>
      </c>
      <c r="P487" s="1">
        <f t="shared" si="36"/>
        <v>6981.93</v>
      </c>
      <c r="Q487" s="10">
        <f t="shared" si="37"/>
        <v>0</v>
      </c>
      <c r="R487" s="11">
        <f t="shared" si="38"/>
        <v>6981.93</v>
      </c>
      <c r="S487" s="1" t="str">
        <f t="shared" si="39"/>
        <v>High</v>
      </c>
      <c r="T487" s="1" t="str" cm="1">
        <f t="array" ref="T487">_xlfn.IFS(L487&gt;5,"High",L487=5,"mediam",L487&lt;5,"low")</f>
        <v>High</v>
      </c>
      <c r="U487" s="1" t="str">
        <f t="shared" si="40"/>
        <v>High</v>
      </c>
    </row>
    <row r="488" spans="1:21" x14ac:dyDescent="0.3">
      <c r="A488" s="5">
        <v>10487</v>
      </c>
      <c r="B488" s="1">
        <v>1190</v>
      </c>
      <c r="C488" s="2">
        <v>44965</v>
      </c>
      <c r="D488" s="2">
        <v>44966</v>
      </c>
      <c r="E488" s="1" t="s">
        <v>40</v>
      </c>
      <c r="F488" s="1" t="s">
        <v>16</v>
      </c>
      <c r="G488" s="1" t="s">
        <v>30</v>
      </c>
      <c r="H488" s="1" t="s">
        <v>25</v>
      </c>
      <c r="I488" s="1" t="s">
        <v>52</v>
      </c>
      <c r="J488" s="1" t="s">
        <v>53</v>
      </c>
      <c r="K488" s="1" t="s">
        <v>21</v>
      </c>
      <c r="L488" s="1">
        <v>4</v>
      </c>
      <c r="M488" s="1">
        <v>2751.14</v>
      </c>
      <c r="N488" s="1">
        <v>20</v>
      </c>
      <c r="O488" s="1">
        <v>8803.65</v>
      </c>
      <c r="P488" s="1">
        <f t="shared" si="36"/>
        <v>11004.56</v>
      </c>
      <c r="Q488" s="10">
        <f t="shared" si="37"/>
        <v>1760.73</v>
      </c>
      <c r="R488" s="11">
        <f t="shared" si="38"/>
        <v>9243.83</v>
      </c>
      <c r="S488" s="1" t="str">
        <f t="shared" si="39"/>
        <v>Low</v>
      </c>
      <c r="T488" s="1" t="str" cm="1">
        <f t="array" ref="T488">_xlfn.IFS(L488&gt;5,"High",L488=5,"mediam",L488&lt;5,"low")</f>
        <v>low</v>
      </c>
      <c r="U488" s="1" t="b">
        <f t="shared" si="40"/>
        <v>0</v>
      </c>
    </row>
    <row r="489" spans="1:21" x14ac:dyDescent="0.3">
      <c r="A489" s="5">
        <v>10488</v>
      </c>
      <c r="B489" s="1">
        <v>1252</v>
      </c>
      <c r="C489" s="2">
        <v>45281</v>
      </c>
      <c r="D489" s="2">
        <v>45284</v>
      </c>
      <c r="E489" s="1" t="s">
        <v>46</v>
      </c>
      <c r="F489" s="1" t="s">
        <v>16</v>
      </c>
      <c r="G489" s="1" t="s">
        <v>24</v>
      </c>
      <c r="H489" s="1" t="s">
        <v>44</v>
      </c>
      <c r="I489" s="1" t="s">
        <v>52</v>
      </c>
      <c r="J489" s="1" t="s">
        <v>60</v>
      </c>
      <c r="K489" s="1" t="s">
        <v>33</v>
      </c>
      <c r="L489" s="1">
        <v>1</v>
      </c>
      <c r="M489" s="1">
        <v>296.63</v>
      </c>
      <c r="N489" s="1">
        <v>5</v>
      </c>
      <c r="O489" s="1">
        <v>281.8</v>
      </c>
      <c r="P489" s="1">
        <f t="shared" si="36"/>
        <v>296.63</v>
      </c>
      <c r="Q489" s="10">
        <f t="shared" si="37"/>
        <v>14.090000000000002</v>
      </c>
      <c r="R489" s="11">
        <f t="shared" si="38"/>
        <v>282.54000000000002</v>
      </c>
      <c r="S489" s="1" t="str">
        <f t="shared" si="39"/>
        <v>Low</v>
      </c>
      <c r="T489" s="1" t="str" cm="1">
        <f t="array" ref="T489">_xlfn.IFS(L489&gt;5,"High",L489=5,"mediam",L489&lt;5,"low")</f>
        <v>low</v>
      </c>
      <c r="U489" s="1" t="b">
        <f t="shared" si="40"/>
        <v>0</v>
      </c>
    </row>
    <row r="490" spans="1:21" x14ac:dyDescent="0.3">
      <c r="A490" s="5">
        <v>10489</v>
      </c>
      <c r="B490" s="1">
        <v>1980</v>
      </c>
      <c r="C490" s="2">
        <v>45178</v>
      </c>
      <c r="D490" s="2">
        <v>45187</v>
      </c>
      <c r="E490" s="1" t="s">
        <v>34</v>
      </c>
      <c r="F490" s="1" t="s">
        <v>23</v>
      </c>
      <c r="G490" s="1" t="s">
        <v>24</v>
      </c>
      <c r="H490" s="1" t="s">
        <v>18</v>
      </c>
      <c r="I490" s="1" t="s">
        <v>57</v>
      </c>
      <c r="J490" s="1" t="s">
        <v>62</v>
      </c>
      <c r="K490" s="1" t="s">
        <v>33</v>
      </c>
      <c r="L490" s="1">
        <v>8</v>
      </c>
      <c r="M490" s="1">
        <v>2536.88</v>
      </c>
      <c r="N490" s="1">
        <v>5</v>
      </c>
      <c r="O490" s="1">
        <v>19280.29</v>
      </c>
      <c r="P490" s="1">
        <f t="shared" si="36"/>
        <v>20295.04</v>
      </c>
      <c r="Q490" s="10">
        <f t="shared" si="37"/>
        <v>964.01450000000011</v>
      </c>
      <c r="R490" s="11">
        <f t="shared" si="38"/>
        <v>19331.0255</v>
      </c>
      <c r="S490" s="1" t="str">
        <f t="shared" si="39"/>
        <v>High</v>
      </c>
      <c r="T490" s="1" t="str" cm="1">
        <f t="array" ref="T490">_xlfn.IFS(L490&gt;5,"High",L490=5,"mediam",L490&lt;5,"low")</f>
        <v>High</v>
      </c>
      <c r="U490" s="1" t="str">
        <f t="shared" si="40"/>
        <v>High</v>
      </c>
    </row>
    <row r="491" spans="1:21" x14ac:dyDescent="0.3">
      <c r="A491" s="5">
        <v>10490</v>
      </c>
      <c r="B491" s="1">
        <v>1927</v>
      </c>
      <c r="C491" s="2">
        <v>45259</v>
      </c>
      <c r="D491" s="2">
        <v>45261</v>
      </c>
      <c r="E491" s="1" t="s">
        <v>15</v>
      </c>
      <c r="F491" s="1" t="s">
        <v>29</v>
      </c>
      <c r="G491" s="1" t="s">
        <v>17</v>
      </c>
      <c r="H491" s="1" t="s">
        <v>35</v>
      </c>
      <c r="I491" s="1" t="s">
        <v>31</v>
      </c>
      <c r="J491" s="1" t="s">
        <v>32</v>
      </c>
      <c r="K491" s="1" t="s">
        <v>45</v>
      </c>
      <c r="L491" s="1">
        <v>7</v>
      </c>
      <c r="M491" s="1">
        <v>2838.06</v>
      </c>
      <c r="N491" s="1">
        <v>20</v>
      </c>
      <c r="O491" s="1">
        <v>15893.14</v>
      </c>
      <c r="P491" s="1">
        <f t="shared" si="36"/>
        <v>19866.419999999998</v>
      </c>
      <c r="Q491" s="10">
        <f t="shared" si="37"/>
        <v>3178.6280000000002</v>
      </c>
      <c r="R491" s="11">
        <f t="shared" si="38"/>
        <v>16687.791999999998</v>
      </c>
      <c r="S491" s="1" t="str">
        <f t="shared" si="39"/>
        <v>High</v>
      </c>
      <c r="T491" s="1" t="str" cm="1">
        <f t="array" ref="T491">_xlfn.IFS(L491&gt;5,"High",L491=5,"mediam",L491&lt;5,"low")</f>
        <v>High</v>
      </c>
      <c r="U491" s="1" t="str">
        <f t="shared" si="40"/>
        <v>High</v>
      </c>
    </row>
    <row r="492" spans="1:21" x14ac:dyDescent="0.3">
      <c r="A492" s="5">
        <v>10491</v>
      </c>
      <c r="B492" s="1">
        <v>1982</v>
      </c>
      <c r="C492" s="2">
        <v>45133</v>
      </c>
      <c r="D492" s="2">
        <v>45137</v>
      </c>
      <c r="E492" s="1" t="s">
        <v>16</v>
      </c>
      <c r="F492" s="1" t="s">
        <v>29</v>
      </c>
      <c r="G492" s="1" t="s">
        <v>17</v>
      </c>
      <c r="H492" s="1" t="s">
        <v>44</v>
      </c>
      <c r="I492" s="1" t="s">
        <v>49</v>
      </c>
      <c r="J492" s="1" t="s">
        <v>63</v>
      </c>
      <c r="K492" s="1" t="s">
        <v>28</v>
      </c>
      <c r="L492" s="1">
        <v>5</v>
      </c>
      <c r="M492" s="1">
        <v>977.43</v>
      </c>
      <c r="N492" s="1">
        <v>20</v>
      </c>
      <c r="O492" s="1">
        <v>3909.72</v>
      </c>
      <c r="P492" s="1">
        <f t="shared" si="36"/>
        <v>4887.1499999999996</v>
      </c>
      <c r="Q492" s="10">
        <f t="shared" si="37"/>
        <v>781.94399999999996</v>
      </c>
      <c r="R492" s="11">
        <f t="shared" si="38"/>
        <v>4105.2060000000001</v>
      </c>
      <c r="S492" s="1" t="str">
        <f t="shared" si="39"/>
        <v>High</v>
      </c>
      <c r="T492" s="1" t="str" cm="1">
        <f t="array" ref="T492">_xlfn.IFS(L492&gt;5,"High",L492=5,"mediam",L492&lt;5,"low")</f>
        <v>mediam</v>
      </c>
      <c r="U492" s="1" t="b">
        <f t="shared" si="40"/>
        <v>0</v>
      </c>
    </row>
    <row r="493" spans="1:21" x14ac:dyDescent="0.3">
      <c r="A493" s="5">
        <v>10492</v>
      </c>
      <c r="B493" s="1">
        <v>1160</v>
      </c>
      <c r="C493" s="2">
        <v>45136</v>
      </c>
      <c r="D493" s="2">
        <v>45140</v>
      </c>
      <c r="E493" s="1" t="s">
        <v>16</v>
      </c>
      <c r="F493" s="1" t="s">
        <v>38</v>
      </c>
      <c r="G493" s="1" t="s">
        <v>24</v>
      </c>
      <c r="H493" s="1" t="s">
        <v>25</v>
      </c>
      <c r="I493" s="1" t="s">
        <v>31</v>
      </c>
      <c r="J493" s="1" t="s">
        <v>32</v>
      </c>
      <c r="K493" s="1" t="s">
        <v>47</v>
      </c>
      <c r="L493" s="1">
        <v>5</v>
      </c>
      <c r="M493" s="1">
        <v>311.56</v>
      </c>
      <c r="N493" s="1">
        <v>0</v>
      </c>
      <c r="O493" s="1">
        <v>1557.8</v>
      </c>
      <c r="P493" s="1">
        <f t="shared" si="36"/>
        <v>1557.8</v>
      </c>
      <c r="Q493" s="10">
        <f t="shared" si="37"/>
        <v>0</v>
      </c>
      <c r="R493" s="11">
        <f t="shared" si="38"/>
        <v>1557.8</v>
      </c>
      <c r="S493" s="1" t="str">
        <f t="shared" si="39"/>
        <v>High</v>
      </c>
      <c r="T493" s="1" t="str" cm="1">
        <f t="array" ref="T493">_xlfn.IFS(L493&gt;5,"High",L493=5,"mediam",L493&lt;5,"low")</f>
        <v>mediam</v>
      </c>
      <c r="U493" s="1" t="b">
        <f t="shared" si="40"/>
        <v>0</v>
      </c>
    </row>
    <row r="494" spans="1:21" x14ac:dyDescent="0.3">
      <c r="A494" s="5">
        <v>10493</v>
      </c>
      <c r="B494" s="1">
        <v>1255</v>
      </c>
      <c r="C494" s="2">
        <v>45041</v>
      </c>
      <c r="D494" s="2">
        <v>45043</v>
      </c>
      <c r="E494" s="1" t="s">
        <v>40</v>
      </c>
      <c r="F494" s="1" t="s">
        <v>16</v>
      </c>
      <c r="G494" s="1" t="s">
        <v>24</v>
      </c>
      <c r="H494" s="1" t="s">
        <v>44</v>
      </c>
      <c r="I494" s="1" t="s">
        <v>49</v>
      </c>
      <c r="J494" s="1" t="s">
        <v>68</v>
      </c>
      <c r="K494" s="1" t="s">
        <v>28</v>
      </c>
      <c r="L494" s="1">
        <v>7</v>
      </c>
      <c r="M494" s="1">
        <v>1550.03</v>
      </c>
      <c r="N494" s="1">
        <v>10</v>
      </c>
      <c r="O494" s="1">
        <v>9765.19</v>
      </c>
      <c r="P494" s="1">
        <f t="shared" si="36"/>
        <v>10850.21</v>
      </c>
      <c r="Q494" s="10">
        <f t="shared" si="37"/>
        <v>976.51900000000012</v>
      </c>
      <c r="R494" s="11">
        <f t="shared" si="38"/>
        <v>9873.6909999999989</v>
      </c>
      <c r="S494" s="1" t="str">
        <f t="shared" si="39"/>
        <v>High</v>
      </c>
      <c r="T494" s="1" t="str" cm="1">
        <f t="array" ref="T494">_xlfn.IFS(L494&gt;5,"High",L494=5,"mediam",L494&lt;5,"low")</f>
        <v>High</v>
      </c>
      <c r="U494" s="1" t="str">
        <f t="shared" si="40"/>
        <v>High</v>
      </c>
    </row>
    <row r="495" spans="1:21" x14ac:dyDescent="0.3">
      <c r="A495" s="5">
        <v>10494</v>
      </c>
      <c r="B495" s="1">
        <v>1322</v>
      </c>
      <c r="C495" s="2">
        <v>45151</v>
      </c>
      <c r="D495" s="2">
        <v>45154</v>
      </c>
      <c r="E495" s="1" t="s">
        <v>37</v>
      </c>
      <c r="F495" s="1" t="s">
        <v>41</v>
      </c>
      <c r="G495" s="1" t="s">
        <v>17</v>
      </c>
      <c r="H495" s="1" t="s">
        <v>44</v>
      </c>
      <c r="I495" s="1" t="s">
        <v>57</v>
      </c>
      <c r="J495" s="1" t="s">
        <v>67</v>
      </c>
      <c r="K495" s="1" t="s">
        <v>45</v>
      </c>
      <c r="L495" s="1">
        <v>5</v>
      </c>
      <c r="M495" s="1">
        <v>529.59</v>
      </c>
      <c r="N495" s="1">
        <v>5</v>
      </c>
      <c r="O495" s="1">
        <v>2515.5500000000002</v>
      </c>
      <c r="P495" s="1">
        <f t="shared" si="36"/>
        <v>2647.9500000000003</v>
      </c>
      <c r="Q495" s="10">
        <f t="shared" si="37"/>
        <v>125.77750000000002</v>
      </c>
      <c r="R495" s="11">
        <f t="shared" si="38"/>
        <v>2522.1725000000001</v>
      </c>
      <c r="S495" s="1" t="str">
        <f t="shared" si="39"/>
        <v>High</v>
      </c>
      <c r="T495" s="1" t="str" cm="1">
        <f t="array" ref="T495">_xlfn.IFS(L495&gt;5,"High",L495=5,"mediam",L495&lt;5,"low")</f>
        <v>mediam</v>
      </c>
      <c r="U495" s="1" t="b">
        <f t="shared" si="40"/>
        <v>0</v>
      </c>
    </row>
    <row r="496" spans="1:21" x14ac:dyDescent="0.3">
      <c r="A496" s="5">
        <v>10495</v>
      </c>
      <c r="B496" s="1">
        <v>1127</v>
      </c>
      <c r="C496" s="2">
        <v>45060</v>
      </c>
      <c r="D496" s="2">
        <v>45063</v>
      </c>
      <c r="E496" s="1" t="s">
        <v>15</v>
      </c>
      <c r="F496" s="1" t="s">
        <v>23</v>
      </c>
      <c r="G496" s="1" t="s">
        <v>30</v>
      </c>
      <c r="H496" s="1" t="s">
        <v>25</v>
      </c>
      <c r="I496" s="1" t="s">
        <v>57</v>
      </c>
      <c r="J496" s="1" t="s">
        <v>59</v>
      </c>
      <c r="K496" s="1" t="s">
        <v>45</v>
      </c>
      <c r="L496" s="1">
        <v>8</v>
      </c>
      <c r="M496" s="1">
        <v>598.44000000000005</v>
      </c>
      <c r="N496" s="1">
        <v>0</v>
      </c>
      <c r="O496" s="1">
        <v>4787.5200000000004</v>
      </c>
      <c r="P496" s="1">
        <f t="shared" si="36"/>
        <v>4787.5200000000004</v>
      </c>
      <c r="Q496" s="10">
        <f t="shared" si="37"/>
        <v>0</v>
      </c>
      <c r="R496" s="11">
        <f t="shared" si="38"/>
        <v>4787.5200000000004</v>
      </c>
      <c r="S496" s="1" t="str">
        <f t="shared" si="39"/>
        <v>High</v>
      </c>
      <c r="T496" s="1" t="str" cm="1">
        <f t="array" ref="T496">_xlfn.IFS(L496&gt;5,"High",L496=5,"mediam",L496&lt;5,"low")</f>
        <v>High</v>
      </c>
      <c r="U496" s="1" t="str">
        <f t="shared" si="40"/>
        <v>High</v>
      </c>
    </row>
    <row r="497" spans="1:21" x14ac:dyDescent="0.3">
      <c r="A497" s="5">
        <v>10496</v>
      </c>
      <c r="B497" s="1">
        <v>1017</v>
      </c>
      <c r="C497" s="2">
        <v>45177</v>
      </c>
      <c r="D497" s="2">
        <v>45178</v>
      </c>
      <c r="E497" s="1" t="s">
        <v>15</v>
      </c>
      <c r="F497" s="1" t="s">
        <v>23</v>
      </c>
      <c r="G497" s="1" t="s">
        <v>17</v>
      </c>
      <c r="H497" s="1" t="s">
        <v>42</v>
      </c>
      <c r="I497" s="1" t="s">
        <v>52</v>
      </c>
      <c r="J497" s="1" t="s">
        <v>60</v>
      </c>
      <c r="K497" s="1" t="s">
        <v>45</v>
      </c>
      <c r="L497" s="1">
        <v>6</v>
      </c>
      <c r="M497" s="1">
        <v>1128.9100000000001</v>
      </c>
      <c r="N497" s="1">
        <v>20</v>
      </c>
      <c r="O497" s="1">
        <v>5418.77</v>
      </c>
      <c r="P497" s="1">
        <f t="shared" si="36"/>
        <v>6773.4600000000009</v>
      </c>
      <c r="Q497" s="10">
        <f t="shared" si="37"/>
        <v>1083.7540000000001</v>
      </c>
      <c r="R497" s="11">
        <f t="shared" si="38"/>
        <v>5689.706000000001</v>
      </c>
      <c r="S497" s="1" t="str">
        <f t="shared" si="39"/>
        <v>High</v>
      </c>
      <c r="T497" s="1" t="str" cm="1">
        <f t="array" ref="T497">_xlfn.IFS(L497&gt;5,"High",L497=5,"mediam",L497&lt;5,"low")</f>
        <v>High</v>
      </c>
      <c r="U497" s="1" t="str">
        <f t="shared" si="40"/>
        <v>High</v>
      </c>
    </row>
    <row r="498" spans="1:21" x14ac:dyDescent="0.3">
      <c r="A498" s="5">
        <v>10497</v>
      </c>
      <c r="B498" s="1">
        <v>1792</v>
      </c>
      <c r="C498" s="2">
        <v>45145</v>
      </c>
      <c r="D498" s="2">
        <v>45151</v>
      </c>
      <c r="E498" s="1" t="s">
        <v>16</v>
      </c>
      <c r="F498" s="1" t="s">
        <v>29</v>
      </c>
      <c r="G498" s="1" t="s">
        <v>24</v>
      </c>
      <c r="H498" s="1" t="s">
        <v>42</v>
      </c>
      <c r="I498" s="1" t="s">
        <v>31</v>
      </c>
      <c r="J498" s="1" t="s">
        <v>39</v>
      </c>
      <c r="K498" s="1" t="s">
        <v>21</v>
      </c>
      <c r="L498" s="1">
        <v>5</v>
      </c>
      <c r="M498" s="1">
        <v>1287.55</v>
      </c>
      <c r="N498" s="1">
        <v>0</v>
      </c>
      <c r="O498" s="1">
        <v>6437.75</v>
      </c>
      <c r="P498" s="1">
        <f t="shared" si="36"/>
        <v>6437.75</v>
      </c>
      <c r="Q498" s="10">
        <f t="shared" si="37"/>
        <v>0</v>
      </c>
      <c r="R498" s="11">
        <f t="shared" si="38"/>
        <v>6437.75</v>
      </c>
      <c r="S498" s="1" t="str">
        <f t="shared" si="39"/>
        <v>High</v>
      </c>
      <c r="T498" s="1" t="str" cm="1">
        <f t="array" ref="T498">_xlfn.IFS(L498&gt;5,"High",L498=5,"mediam",L498&lt;5,"low")</f>
        <v>mediam</v>
      </c>
      <c r="U498" s="1" t="b">
        <f t="shared" si="40"/>
        <v>0</v>
      </c>
    </row>
    <row r="499" spans="1:21" x14ac:dyDescent="0.3">
      <c r="A499" s="5">
        <v>10498</v>
      </c>
      <c r="B499" s="1">
        <v>1734</v>
      </c>
      <c r="C499" s="2">
        <v>45017</v>
      </c>
      <c r="D499" s="2">
        <v>45025</v>
      </c>
      <c r="E499" s="1" t="s">
        <v>46</v>
      </c>
      <c r="F499" s="1" t="s">
        <v>16</v>
      </c>
      <c r="G499" s="1" t="s">
        <v>30</v>
      </c>
      <c r="H499" s="1" t="s">
        <v>18</v>
      </c>
      <c r="I499" s="1" t="s">
        <v>26</v>
      </c>
      <c r="J499" s="1" t="s">
        <v>36</v>
      </c>
      <c r="K499" s="1" t="s">
        <v>28</v>
      </c>
      <c r="L499" s="1">
        <v>9</v>
      </c>
      <c r="M499" s="1">
        <v>2190.39</v>
      </c>
      <c r="N499" s="1">
        <v>20</v>
      </c>
      <c r="O499" s="1">
        <v>15770.81</v>
      </c>
      <c r="P499" s="1">
        <f t="shared" si="36"/>
        <v>19713.509999999998</v>
      </c>
      <c r="Q499" s="10">
        <f t="shared" si="37"/>
        <v>3154.1620000000003</v>
      </c>
      <c r="R499" s="11">
        <f t="shared" si="38"/>
        <v>16559.347999999998</v>
      </c>
      <c r="S499" s="1" t="str">
        <f t="shared" si="39"/>
        <v>High</v>
      </c>
      <c r="T499" s="1" t="str" cm="1">
        <f t="array" ref="T499">_xlfn.IFS(L499&gt;5,"High",L499=5,"mediam",L499&lt;5,"low")</f>
        <v>High</v>
      </c>
      <c r="U499" s="1" t="str">
        <f t="shared" si="40"/>
        <v>High</v>
      </c>
    </row>
    <row r="500" spans="1:21" x14ac:dyDescent="0.3">
      <c r="A500" s="5">
        <v>10499</v>
      </c>
      <c r="B500" s="1">
        <v>1565</v>
      </c>
      <c r="C500" s="2">
        <v>45280</v>
      </c>
      <c r="D500" s="2">
        <v>45283</v>
      </c>
      <c r="E500" s="1" t="s">
        <v>37</v>
      </c>
      <c r="F500" s="1" t="s">
        <v>38</v>
      </c>
      <c r="G500" s="1" t="s">
        <v>24</v>
      </c>
      <c r="H500" s="1" t="s">
        <v>18</v>
      </c>
      <c r="I500" s="1" t="s">
        <v>52</v>
      </c>
      <c r="J500" s="1" t="s">
        <v>60</v>
      </c>
      <c r="K500" s="1" t="s">
        <v>28</v>
      </c>
      <c r="L500" s="1">
        <v>2</v>
      </c>
      <c r="M500" s="1">
        <v>2761.81</v>
      </c>
      <c r="N500" s="1">
        <v>15</v>
      </c>
      <c r="O500" s="1">
        <v>4695.08</v>
      </c>
      <c r="P500" s="1">
        <f t="shared" si="36"/>
        <v>5523.62</v>
      </c>
      <c r="Q500" s="10">
        <f t="shared" si="37"/>
        <v>704.26199999999994</v>
      </c>
      <c r="R500" s="11">
        <f t="shared" si="38"/>
        <v>4819.3580000000002</v>
      </c>
      <c r="S500" s="1" t="str">
        <f t="shared" si="39"/>
        <v>Low</v>
      </c>
      <c r="T500" s="1" t="str" cm="1">
        <f t="array" ref="T500">_xlfn.IFS(L500&gt;5,"High",L500=5,"mediam",L500&lt;5,"low")</f>
        <v>low</v>
      </c>
      <c r="U500" s="1" t="b">
        <f t="shared" si="40"/>
        <v>0</v>
      </c>
    </row>
    <row r="501" spans="1:21" x14ac:dyDescent="0.3">
      <c r="A501" s="5">
        <v>10500</v>
      </c>
      <c r="B501" s="1">
        <v>1569</v>
      </c>
      <c r="C501" s="2">
        <v>44972</v>
      </c>
      <c r="D501" s="2">
        <v>44977</v>
      </c>
      <c r="E501" s="1" t="s">
        <v>15</v>
      </c>
      <c r="F501" s="1" t="s">
        <v>16</v>
      </c>
      <c r="G501" s="1" t="s">
        <v>30</v>
      </c>
      <c r="H501" s="1" t="s">
        <v>42</v>
      </c>
      <c r="I501" s="1" t="s">
        <v>31</v>
      </c>
      <c r="J501" s="1" t="s">
        <v>65</v>
      </c>
      <c r="K501" s="1" t="s">
        <v>33</v>
      </c>
      <c r="L501" s="1">
        <v>1</v>
      </c>
      <c r="M501" s="1">
        <v>2432.17</v>
      </c>
      <c r="N501" s="1">
        <v>20</v>
      </c>
      <c r="O501" s="1">
        <v>1945.74</v>
      </c>
      <c r="P501" s="1">
        <f>L501*M501</f>
        <v>2432.17</v>
      </c>
      <c r="Q501" s="10">
        <f t="shared" si="37"/>
        <v>389.14800000000002</v>
      </c>
      <c r="R501" s="11">
        <f t="shared" si="38"/>
        <v>2043.0219999999999</v>
      </c>
      <c r="S501" s="1" t="str">
        <f t="shared" si="39"/>
        <v>Low</v>
      </c>
      <c r="T501" s="1" t="str" cm="1">
        <f t="array" ref="T501">_xlfn.IFS(L501&gt;5,"High",L501=5,"mediam",L501&lt;5,"low")</f>
        <v>low</v>
      </c>
      <c r="U501" s="1" t="b">
        <f t="shared" si="40"/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5FFEE-E377-4A00-A893-4DF81C901C87}">
  <dimension ref="A1:U21"/>
  <sheetViews>
    <sheetView topLeftCell="K1" zoomScale="77" workbookViewId="0"/>
  </sheetViews>
  <sheetFormatPr defaultRowHeight="14.4" x14ac:dyDescent="0.3"/>
  <sheetData>
    <row r="1" spans="1:21" x14ac:dyDescent="0.3">
      <c r="A1" s="4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7" t="s">
        <v>70</v>
      </c>
      <c r="Q1" s="8" t="s">
        <v>72</v>
      </c>
      <c r="R1" s="8" t="s">
        <v>71</v>
      </c>
      <c r="S1" s="12" t="s">
        <v>73</v>
      </c>
      <c r="T1" s="12" t="s">
        <v>74</v>
      </c>
      <c r="U1" s="12" t="s">
        <v>75</v>
      </c>
    </row>
    <row r="2" spans="1:21" x14ac:dyDescent="0.3">
      <c r="A2" s="5">
        <v>10040</v>
      </c>
      <c r="B2" s="1">
        <v>1474</v>
      </c>
      <c r="C2" s="2">
        <v>45274</v>
      </c>
      <c r="D2" s="2">
        <v>45277</v>
      </c>
      <c r="E2" s="1" t="s">
        <v>15</v>
      </c>
      <c r="F2" s="1" t="s">
        <v>16</v>
      </c>
      <c r="G2" s="1" t="s">
        <v>30</v>
      </c>
      <c r="H2" s="1" t="s">
        <v>35</v>
      </c>
      <c r="I2" s="1" t="s">
        <v>26</v>
      </c>
      <c r="J2" s="1" t="s">
        <v>27</v>
      </c>
      <c r="K2" s="1" t="s">
        <v>28</v>
      </c>
      <c r="L2" s="1">
        <v>6</v>
      </c>
      <c r="M2" s="1">
        <v>3083.25</v>
      </c>
      <c r="N2" s="1">
        <v>10</v>
      </c>
      <c r="O2" s="1">
        <v>16649.55</v>
      </c>
      <c r="P2" s="1">
        <v>18499.5</v>
      </c>
      <c r="Q2" s="10">
        <v>1664.9549999999999</v>
      </c>
      <c r="R2" s="11">
        <v>16834.544999999998</v>
      </c>
      <c r="S2" s="1" t="s">
        <v>159</v>
      </c>
      <c r="T2" s="1" t="s">
        <v>159</v>
      </c>
      <c r="U2" s="1" t="s">
        <v>159</v>
      </c>
    </row>
    <row r="3" spans="1:21" x14ac:dyDescent="0.3">
      <c r="A3" s="5">
        <v>10042</v>
      </c>
      <c r="B3" s="1">
        <v>1510</v>
      </c>
      <c r="C3" s="2">
        <v>45195</v>
      </c>
      <c r="D3" s="2">
        <v>45204</v>
      </c>
      <c r="E3" s="1" t="s">
        <v>15</v>
      </c>
      <c r="F3" s="1" t="s">
        <v>54</v>
      </c>
      <c r="G3" s="1" t="s">
        <v>24</v>
      </c>
      <c r="H3" s="1" t="s">
        <v>35</v>
      </c>
      <c r="I3" s="1" t="s">
        <v>26</v>
      </c>
      <c r="J3" s="1" t="s">
        <v>27</v>
      </c>
      <c r="K3" s="1" t="s">
        <v>33</v>
      </c>
      <c r="L3" s="1">
        <v>4</v>
      </c>
      <c r="M3" s="1">
        <v>1211.67</v>
      </c>
      <c r="N3" s="1">
        <v>20</v>
      </c>
      <c r="O3" s="1">
        <v>3877.34</v>
      </c>
      <c r="P3" s="1">
        <v>4846.68</v>
      </c>
      <c r="Q3" s="10">
        <v>775.46800000000007</v>
      </c>
      <c r="R3" s="11">
        <v>4071.2120000000004</v>
      </c>
      <c r="S3" s="1" t="s">
        <v>161</v>
      </c>
      <c r="T3" s="1" t="s">
        <v>162</v>
      </c>
      <c r="U3" s="1" t="b">
        <v>0</v>
      </c>
    </row>
    <row r="4" spans="1:21" x14ac:dyDescent="0.3">
      <c r="A4" s="5">
        <v>10066</v>
      </c>
      <c r="B4" s="1">
        <v>1387</v>
      </c>
      <c r="C4" s="2">
        <v>45155</v>
      </c>
      <c r="D4" s="2">
        <v>45158</v>
      </c>
      <c r="E4" s="1" t="s">
        <v>15</v>
      </c>
      <c r="F4" s="1" t="s">
        <v>23</v>
      </c>
      <c r="G4" s="1" t="s">
        <v>17</v>
      </c>
      <c r="H4" s="1" t="s">
        <v>35</v>
      </c>
      <c r="I4" s="1" t="s">
        <v>57</v>
      </c>
      <c r="J4" s="1" t="s">
        <v>67</v>
      </c>
      <c r="K4" s="1" t="s">
        <v>45</v>
      </c>
      <c r="L4" s="1">
        <v>8</v>
      </c>
      <c r="M4" s="1">
        <v>3769.71</v>
      </c>
      <c r="N4" s="1">
        <v>5</v>
      </c>
      <c r="O4" s="1">
        <v>28649.8</v>
      </c>
      <c r="P4" s="1">
        <v>30157.68</v>
      </c>
      <c r="Q4" s="10">
        <v>1432.49</v>
      </c>
      <c r="R4" s="11">
        <v>28725.19</v>
      </c>
      <c r="S4" s="1" t="s">
        <v>159</v>
      </c>
      <c r="T4" s="1" t="s">
        <v>159</v>
      </c>
      <c r="U4" s="1" t="s">
        <v>159</v>
      </c>
    </row>
    <row r="5" spans="1:21" x14ac:dyDescent="0.3">
      <c r="A5" s="5">
        <v>10111</v>
      </c>
      <c r="B5" s="1">
        <v>1461</v>
      </c>
      <c r="C5" s="2">
        <v>44950</v>
      </c>
      <c r="D5" s="2">
        <v>44959</v>
      </c>
      <c r="E5" s="1" t="s">
        <v>15</v>
      </c>
      <c r="F5" s="1" t="s">
        <v>54</v>
      </c>
      <c r="G5" s="1" t="s">
        <v>30</v>
      </c>
      <c r="H5" s="1" t="s">
        <v>35</v>
      </c>
      <c r="I5" s="1" t="s">
        <v>49</v>
      </c>
      <c r="J5" s="1" t="s">
        <v>68</v>
      </c>
      <c r="K5" s="1" t="s">
        <v>33</v>
      </c>
      <c r="L5" s="1">
        <v>1</v>
      </c>
      <c r="M5" s="1">
        <v>1820.02</v>
      </c>
      <c r="N5" s="1">
        <v>10</v>
      </c>
      <c r="O5" s="1">
        <v>1638.02</v>
      </c>
      <c r="P5" s="1">
        <v>1820.02</v>
      </c>
      <c r="Q5" s="10">
        <v>163.80200000000002</v>
      </c>
      <c r="R5" s="11">
        <v>1656.2179999999998</v>
      </c>
      <c r="S5" s="1" t="s">
        <v>161</v>
      </c>
      <c r="T5" s="1" t="s">
        <v>162</v>
      </c>
      <c r="U5" s="1" t="b">
        <v>0</v>
      </c>
    </row>
    <row r="6" spans="1:21" x14ac:dyDescent="0.3">
      <c r="A6" s="5">
        <v>10180</v>
      </c>
      <c r="B6" s="1">
        <v>1004</v>
      </c>
      <c r="C6" s="2">
        <v>45004</v>
      </c>
      <c r="D6" s="2">
        <v>45006</v>
      </c>
      <c r="E6" s="1" t="s">
        <v>15</v>
      </c>
      <c r="F6" s="1" t="s">
        <v>29</v>
      </c>
      <c r="G6" s="1" t="s">
        <v>17</v>
      </c>
      <c r="H6" s="1" t="s">
        <v>35</v>
      </c>
      <c r="I6" s="1" t="s">
        <v>19</v>
      </c>
      <c r="J6" s="1" t="s">
        <v>43</v>
      </c>
      <c r="K6" s="1" t="s">
        <v>45</v>
      </c>
      <c r="L6" s="1">
        <v>8</v>
      </c>
      <c r="M6" s="1">
        <v>2211.17</v>
      </c>
      <c r="N6" s="1">
        <v>10</v>
      </c>
      <c r="O6" s="1">
        <v>15920.42</v>
      </c>
      <c r="P6" s="1">
        <v>17689.36</v>
      </c>
      <c r="Q6" s="10">
        <v>1592.0420000000001</v>
      </c>
      <c r="R6" s="11">
        <v>16097.318000000001</v>
      </c>
      <c r="S6" s="1" t="s">
        <v>159</v>
      </c>
      <c r="T6" s="1" t="s">
        <v>159</v>
      </c>
      <c r="U6" s="1" t="s">
        <v>159</v>
      </c>
    </row>
    <row r="7" spans="1:21" x14ac:dyDescent="0.3">
      <c r="A7" s="5">
        <v>10192</v>
      </c>
      <c r="B7" s="1">
        <v>1891</v>
      </c>
      <c r="C7" s="2">
        <v>45039</v>
      </c>
      <c r="D7" s="2">
        <v>45042</v>
      </c>
      <c r="E7" s="1" t="s">
        <v>15</v>
      </c>
      <c r="F7" s="1" t="s">
        <v>29</v>
      </c>
      <c r="G7" s="1" t="s">
        <v>30</v>
      </c>
      <c r="H7" s="1" t="s">
        <v>35</v>
      </c>
      <c r="I7" s="1" t="s">
        <v>52</v>
      </c>
      <c r="J7" s="1" t="s">
        <v>60</v>
      </c>
      <c r="K7" s="1" t="s">
        <v>21</v>
      </c>
      <c r="L7" s="1">
        <v>2</v>
      </c>
      <c r="M7" s="1">
        <v>487.23</v>
      </c>
      <c r="N7" s="1">
        <v>15</v>
      </c>
      <c r="O7" s="1">
        <v>828.29</v>
      </c>
      <c r="P7" s="1">
        <v>974.46</v>
      </c>
      <c r="Q7" s="10">
        <v>124.24349999999998</v>
      </c>
      <c r="R7" s="11">
        <v>850.2165</v>
      </c>
      <c r="S7" s="1" t="s">
        <v>161</v>
      </c>
      <c r="T7" s="1" t="s">
        <v>162</v>
      </c>
      <c r="U7" s="1" t="b">
        <v>0</v>
      </c>
    </row>
    <row r="8" spans="1:21" x14ac:dyDescent="0.3">
      <c r="A8" s="5">
        <v>10228</v>
      </c>
      <c r="B8" s="1">
        <v>1339</v>
      </c>
      <c r="C8" s="2">
        <v>44983</v>
      </c>
      <c r="D8" s="2">
        <v>44990</v>
      </c>
      <c r="E8" s="1" t="s">
        <v>15</v>
      </c>
      <c r="F8" s="1" t="s">
        <v>54</v>
      </c>
      <c r="G8" s="1" t="s">
        <v>17</v>
      </c>
      <c r="H8" s="1" t="s">
        <v>35</v>
      </c>
      <c r="I8" s="1" t="s">
        <v>57</v>
      </c>
      <c r="J8" s="1" t="s">
        <v>62</v>
      </c>
      <c r="K8" s="1" t="s">
        <v>21</v>
      </c>
      <c r="L8" s="1">
        <v>8</v>
      </c>
      <c r="M8" s="1">
        <v>2645.2</v>
      </c>
      <c r="N8" s="1">
        <v>20</v>
      </c>
      <c r="O8" s="1">
        <v>16929.28</v>
      </c>
      <c r="P8" s="1">
        <v>21161.599999999999</v>
      </c>
      <c r="Q8" s="10">
        <v>3385.8559999999998</v>
      </c>
      <c r="R8" s="11">
        <v>17775.743999999999</v>
      </c>
      <c r="S8" s="1" t="s">
        <v>159</v>
      </c>
      <c r="T8" s="1" t="s">
        <v>159</v>
      </c>
      <c r="U8" s="1" t="s">
        <v>159</v>
      </c>
    </row>
    <row r="9" spans="1:21" x14ac:dyDescent="0.3">
      <c r="A9" s="5">
        <v>10247</v>
      </c>
      <c r="B9" s="1">
        <v>1258</v>
      </c>
      <c r="C9" s="2">
        <v>44996</v>
      </c>
      <c r="D9" s="2">
        <v>44998</v>
      </c>
      <c r="E9" s="1" t="s">
        <v>15</v>
      </c>
      <c r="F9" s="1" t="s">
        <v>54</v>
      </c>
      <c r="G9" s="1" t="s">
        <v>30</v>
      </c>
      <c r="H9" s="1" t="s">
        <v>35</v>
      </c>
      <c r="I9" s="1" t="s">
        <v>52</v>
      </c>
      <c r="J9" s="1" t="s">
        <v>64</v>
      </c>
      <c r="K9" s="1" t="s">
        <v>47</v>
      </c>
      <c r="L9" s="1">
        <v>7</v>
      </c>
      <c r="M9" s="1">
        <v>2102.27</v>
      </c>
      <c r="N9" s="1">
        <v>20</v>
      </c>
      <c r="O9" s="1">
        <v>11772.71</v>
      </c>
      <c r="P9" s="1">
        <v>14715.89</v>
      </c>
      <c r="Q9" s="10">
        <v>2354.5419999999999</v>
      </c>
      <c r="R9" s="11">
        <v>12361.348</v>
      </c>
      <c r="S9" s="1" t="s">
        <v>159</v>
      </c>
      <c r="T9" s="1" t="s">
        <v>159</v>
      </c>
      <c r="U9" s="1" t="s">
        <v>159</v>
      </c>
    </row>
    <row r="10" spans="1:21" x14ac:dyDescent="0.3">
      <c r="A10" s="5">
        <v>10269</v>
      </c>
      <c r="B10" s="1">
        <v>1829</v>
      </c>
      <c r="C10" s="2">
        <v>45125</v>
      </c>
      <c r="D10" s="2">
        <v>45132</v>
      </c>
      <c r="E10" s="1" t="s">
        <v>15</v>
      </c>
      <c r="F10" s="1" t="s">
        <v>41</v>
      </c>
      <c r="G10" s="1" t="s">
        <v>24</v>
      </c>
      <c r="H10" s="1" t="s">
        <v>35</v>
      </c>
      <c r="I10" s="1" t="s">
        <v>49</v>
      </c>
      <c r="J10" s="1" t="s">
        <v>51</v>
      </c>
      <c r="K10" s="1" t="s">
        <v>47</v>
      </c>
      <c r="L10" s="1">
        <v>5</v>
      </c>
      <c r="M10" s="1">
        <v>3156.54</v>
      </c>
      <c r="N10" s="1">
        <v>20</v>
      </c>
      <c r="O10" s="1">
        <v>12626.16</v>
      </c>
      <c r="P10" s="1">
        <v>15782.7</v>
      </c>
      <c r="Q10" s="10">
        <v>2525.232</v>
      </c>
      <c r="R10" s="11">
        <v>13257.468000000001</v>
      </c>
      <c r="S10" s="1" t="s">
        <v>159</v>
      </c>
      <c r="T10" s="1" t="s">
        <v>160</v>
      </c>
      <c r="U10" s="1" t="b">
        <v>0</v>
      </c>
    </row>
    <row r="11" spans="1:21" x14ac:dyDescent="0.3">
      <c r="A11" s="5">
        <v>10318</v>
      </c>
      <c r="B11" s="1">
        <v>1906</v>
      </c>
      <c r="C11" s="2">
        <v>45093</v>
      </c>
      <c r="D11" s="2">
        <v>45097</v>
      </c>
      <c r="E11" s="1" t="s">
        <v>15</v>
      </c>
      <c r="F11" s="1" t="s">
        <v>23</v>
      </c>
      <c r="G11" s="1" t="s">
        <v>30</v>
      </c>
      <c r="H11" s="1" t="s">
        <v>35</v>
      </c>
      <c r="I11" s="1" t="s">
        <v>49</v>
      </c>
      <c r="J11" s="1" t="s">
        <v>68</v>
      </c>
      <c r="K11" s="1" t="s">
        <v>21</v>
      </c>
      <c r="L11" s="1">
        <v>7</v>
      </c>
      <c r="M11" s="1">
        <v>245.03</v>
      </c>
      <c r="N11" s="1">
        <v>0</v>
      </c>
      <c r="O11" s="1">
        <v>1715.21</v>
      </c>
      <c r="P11" s="1">
        <v>1715.21</v>
      </c>
      <c r="Q11" s="10">
        <v>0</v>
      </c>
      <c r="R11" s="11">
        <v>1715.21</v>
      </c>
      <c r="S11" s="1" t="s">
        <v>159</v>
      </c>
      <c r="T11" s="1" t="s">
        <v>159</v>
      </c>
      <c r="U11" s="1" t="s">
        <v>159</v>
      </c>
    </row>
    <row r="12" spans="1:21" x14ac:dyDescent="0.3">
      <c r="A12" s="5">
        <v>10320</v>
      </c>
      <c r="B12" s="1">
        <v>1751</v>
      </c>
      <c r="C12" s="2">
        <v>45002</v>
      </c>
      <c r="D12" s="2">
        <v>45005</v>
      </c>
      <c r="E12" s="1" t="s">
        <v>15</v>
      </c>
      <c r="F12" s="1" t="s">
        <v>16</v>
      </c>
      <c r="G12" s="1" t="s">
        <v>17</v>
      </c>
      <c r="H12" s="1" t="s">
        <v>35</v>
      </c>
      <c r="I12" s="1" t="s">
        <v>26</v>
      </c>
      <c r="J12" s="1" t="s">
        <v>36</v>
      </c>
      <c r="K12" s="1" t="s">
        <v>28</v>
      </c>
      <c r="L12" s="1">
        <v>8</v>
      </c>
      <c r="M12" s="1">
        <v>2254.7800000000002</v>
      </c>
      <c r="N12" s="1">
        <v>0</v>
      </c>
      <c r="O12" s="1">
        <v>18038.240000000002</v>
      </c>
      <c r="P12" s="1">
        <v>18038.240000000002</v>
      </c>
      <c r="Q12" s="10">
        <v>0</v>
      </c>
      <c r="R12" s="11">
        <v>18038.240000000002</v>
      </c>
      <c r="S12" s="1" t="s">
        <v>159</v>
      </c>
      <c r="T12" s="1" t="s">
        <v>159</v>
      </c>
      <c r="U12" s="1" t="s">
        <v>159</v>
      </c>
    </row>
    <row r="13" spans="1:21" x14ac:dyDescent="0.3">
      <c r="A13" s="5">
        <v>10322</v>
      </c>
      <c r="B13" s="1">
        <v>1608</v>
      </c>
      <c r="C13" s="2">
        <v>45220</v>
      </c>
      <c r="D13" s="2">
        <v>45222</v>
      </c>
      <c r="E13" s="1" t="s">
        <v>15</v>
      </c>
      <c r="F13" s="1" t="s">
        <v>54</v>
      </c>
      <c r="G13" s="1" t="s">
        <v>30</v>
      </c>
      <c r="H13" s="1" t="s">
        <v>35</v>
      </c>
      <c r="I13" s="1" t="s">
        <v>26</v>
      </c>
      <c r="J13" s="1" t="s">
        <v>61</v>
      </c>
      <c r="K13" s="1" t="s">
        <v>28</v>
      </c>
      <c r="L13" s="1">
        <v>5</v>
      </c>
      <c r="M13" s="1">
        <v>640.82000000000005</v>
      </c>
      <c r="N13" s="1">
        <v>0</v>
      </c>
      <c r="O13" s="1">
        <v>3204.1</v>
      </c>
      <c r="P13" s="1">
        <v>3204.1000000000004</v>
      </c>
      <c r="Q13" s="10">
        <v>0</v>
      </c>
      <c r="R13" s="11">
        <v>3204.1000000000004</v>
      </c>
      <c r="S13" s="1" t="s">
        <v>159</v>
      </c>
      <c r="T13" s="1" t="s">
        <v>160</v>
      </c>
      <c r="U13" s="1" t="b">
        <v>0</v>
      </c>
    </row>
    <row r="14" spans="1:21" x14ac:dyDescent="0.3">
      <c r="A14" s="5">
        <v>10342</v>
      </c>
      <c r="B14" s="1">
        <v>1819</v>
      </c>
      <c r="C14" s="2">
        <v>45018</v>
      </c>
      <c r="D14" s="2">
        <v>45019</v>
      </c>
      <c r="E14" s="1" t="s">
        <v>15</v>
      </c>
      <c r="F14" s="1" t="s">
        <v>54</v>
      </c>
      <c r="G14" s="1" t="s">
        <v>17</v>
      </c>
      <c r="H14" s="1" t="s">
        <v>35</v>
      </c>
      <c r="I14" s="1" t="s">
        <v>26</v>
      </c>
      <c r="J14" s="1" t="s">
        <v>27</v>
      </c>
      <c r="K14" s="1" t="s">
        <v>47</v>
      </c>
      <c r="L14" s="1">
        <v>5</v>
      </c>
      <c r="M14" s="1">
        <v>1853.11</v>
      </c>
      <c r="N14" s="1">
        <v>10</v>
      </c>
      <c r="O14" s="1">
        <v>8338.99</v>
      </c>
      <c r="P14" s="1">
        <v>9265.5499999999993</v>
      </c>
      <c r="Q14" s="10">
        <v>833.899</v>
      </c>
      <c r="R14" s="11">
        <v>8431.6509999999998</v>
      </c>
      <c r="S14" s="1" t="s">
        <v>159</v>
      </c>
      <c r="T14" s="1" t="s">
        <v>160</v>
      </c>
      <c r="U14" s="1" t="b">
        <v>0</v>
      </c>
    </row>
    <row r="15" spans="1:21" x14ac:dyDescent="0.3">
      <c r="A15" s="5">
        <v>10358</v>
      </c>
      <c r="B15" s="1">
        <v>1989</v>
      </c>
      <c r="C15" s="2">
        <v>45015</v>
      </c>
      <c r="D15" s="2">
        <v>45019</v>
      </c>
      <c r="E15" s="1" t="s">
        <v>15</v>
      </c>
      <c r="F15" s="1" t="s">
        <v>29</v>
      </c>
      <c r="G15" s="1" t="s">
        <v>30</v>
      </c>
      <c r="H15" s="1" t="s">
        <v>35</v>
      </c>
      <c r="I15" s="1" t="s">
        <v>57</v>
      </c>
      <c r="J15" s="1" t="s">
        <v>58</v>
      </c>
      <c r="K15" s="1" t="s">
        <v>33</v>
      </c>
      <c r="L15" s="1">
        <v>8</v>
      </c>
      <c r="M15" s="1">
        <v>3581.12</v>
      </c>
      <c r="N15" s="1">
        <v>15</v>
      </c>
      <c r="O15" s="1">
        <v>24351.62</v>
      </c>
      <c r="P15" s="1">
        <v>28648.959999999999</v>
      </c>
      <c r="Q15" s="10">
        <v>3652.7429999999999</v>
      </c>
      <c r="R15" s="11">
        <v>24996.217000000001</v>
      </c>
      <c r="S15" s="1" t="s">
        <v>159</v>
      </c>
      <c r="T15" s="1" t="s">
        <v>159</v>
      </c>
      <c r="U15" s="1" t="s">
        <v>159</v>
      </c>
    </row>
    <row r="16" spans="1:21" x14ac:dyDescent="0.3">
      <c r="A16" s="5">
        <v>10379</v>
      </c>
      <c r="B16" s="1">
        <v>1658</v>
      </c>
      <c r="C16" s="2">
        <v>45262</v>
      </c>
      <c r="D16" s="2">
        <v>45270</v>
      </c>
      <c r="E16" s="1" t="s">
        <v>15</v>
      </c>
      <c r="F16" s="1" t="s">
        <v>16</v>
      </c>
      <c r="G16" s="1" t="s">
        <v>24</v>
      </c>
      <c r="H16" s="1" t="s">
        <v>35</v>
      </c>
      <c r="I16" s="1" t="s">
        <v>26</v>
      </c>
      <c r="J16" s="1" t="s">
        <v>69</v>
      </c>
      <c r="K16" s="1" t="s">
        <v>45</v>
      </c>
      <c r="L16" s="1">
        <v>1</v>
      </c>
      <c r="M16" s="1">
        <v>3910.66</v>
      </c>
      <c r="N16" s="1">
        <v>5</v>
      </c>
      <c r="O16" s="1">
        <v>3715.13</v>
      </c>
      <c r="P16" s="1">
        <v>3910.66</v>
      </c>
      <c r="Q16" s="10">
        <v>185.75650000000002</v>
      </c>
      <c r="R16" s="11">
        <v>3724.9034999999999</v>
      </c>
      <c r="S16" s="1" t="s">
        <v>161</v>
      </c>
      <c r="T16" s="1" t="s">
        <v>162</v>
      </c>
      <c r="U16" s="1" t="b">
        <v>0</v>
      </c>
    </row>
    <row r="17" spans="1:21" x14ac:dyDescent="0.3">
      <c r="A17" s="5">
        <v>10389</v>
      </c>
      <c r="B17" s="1">
        <v>1627</v>
      </c>
      <c r="C17" s="2">
        <v>45027</v>
      </c>
      <c r="D17" s="2">
        <v>45030</v>
      </c>
      <c r="E17" s="1" t="s">
        <v>15</v>
      </c>
      <c r="F17" s="1" t="s">
        <v>38</v>
      </c>
      <c r="G17" s="1" t="s">
        <v>17</v>
      </c>
      <c r="H17" s="1" t="s">
        <v>35</v>
      </c>
      <c r="I17" s="1" t="s">
        <v>26</v>
      </c>
      <c r="J17" s="1" t="s">
        <v>69</v>
      </c>
      <c r="K17" s="1" t="s">
        <v>21</v>
      </c>
      <c r="L17" s="1">
        <v>7</v>
      </c>
      <c r="M17" s="1">
        <v>3459.29</v>
      </c>
      <c r="N17" s="1">
        <v>0</v>
      </c>
      <c r="O17" s="1">
        <v>24215.03</v>
      </c>
      <c r="P17" s="1">
        <v>24215.03</v>
      </c>
      <c r="Q17" s="10">
        <v>0</v>
      </c>
      <c r="R17" s="11">
        <v>24215.03</v>
      </c>
      <c r="S17" s="1" t="s">
        <v>159</v>
      </c>
      <c r="T17" s="1" t="s">
        <v>159</v>
      </c>
      <c r="U17" s="1" t="s">
        <v>159</v>
      </c>
    </row>
    <row r="18" spans="1:21" x14ac:dyDescent="0.3">
      <c r="A18" s="5">
        <v>10419</v>
      </c>
      <c r="B18" s="1">
        <v>1397</v>
      </c>
      <c r="C18" s="2">
        <v>45122</v>
      </c>
      <c r="D18" s="2">
        <v>45129</v>
      </c>
      <c r="E18" s="1" t="s">
        <v>15</v>
      </c>
      <c r="F18" s="1" t="s">
        <v>16</v>
      </c>
      <c r="G18" s="1" t="s">
        <v>24</v>
      </c>
      <c r="H18" s="1" t="s">
        <v>35</v>
      </c>
      <c r="I18" s="1" t="s">
        <v>26</v>
      </c>
      <c r="J18" s="1" t="s">
        <v>27</v>
      </c>
      <c r="K18" s="1" t="s">
        <v>47</v>
      </c>
      <c r="L18" s="1">
        <v>8</v>
      </c>
      <c r="M18" s="1">
        <v>1975.53</v>
      </c>
      <c r="N18" s="1">
        <v>5</v>
      </c>
      <c r="O18" s="1">
        <v>15014.03</v>
      </c>
      <c r="P18" s="1">
        <v>15804.24</v>
      </c>
      <c r="Q18" s="10">
        <v>750.70150000000012</v>
      </c>
      <c r="R18" s="11">
        <v>15053.538499999999</v>
      </c>
      <c r="S18" s="1" t="s">
        <v>159</v>
      </c>
      <c r="T18" s="1" t="s">
        <v>159</v>
      </c>
      <c r="U18" s="1" t="s">
        <v>159</v>
      </c>
    </row>
    <row r="19" spans="1:21" x14ac:dyDescent="0.3">
      <c r="A19" s="5">
        <v>10442</v>
      </c>
      <c r="B19" s="1">
        <v>1364</v>
      </c>
      <c r="C19" s="2">
        <v>45089</v>
      </c>
      <c r="D19" s="2">
        <v>45094</v>
      </c>
      <c r="E19" s="1" t="s">
        <v>15</v>
      </c>
      <c r="F19" s="1" t="s">
        <v>23</v>
      </c>
      <c r="G19" s="1" t="s">
        <v>24</v>
      </c>
      <c r="H19" s="1" t="s">
        <v>35</v>
      </c>
      <c r="I19" s="1" t="s">
        <v>57</v>
      </c>
      <c r="J19" s="1" t="s">
        <v>58</v>
      </c>
      <c r="K19" s="1" t="s">
        <v>45</v>
      </c>
      <c r="L19" s="1">
        <v>9</v>
      </c>
      <c r="M19" s="1">
        <v>2969.7</v>
      </c>
      <c r="N19" s="1">
        <v>10</v>
      </c>
      <c r="O19" s="1">
        <v>24054.57</v>
      </c>
      <c r="P19" s="1">
        <v>26727.3</v>
      </c>
      <c r="Q19" s="10">
        <v>2405.4569999999999</v>
      </c>
      <c r="R19" s="11">
        <v>24321.843000000001</v>
      </c>
      <c r="S19" s="1" t="s">
        <v>159</v>
      </c>
      <c r="T19" s="1" t="s">
        <v>159</v>
      </c>
      <c r="U19" s="1" t="s">
        <v>159</v>
      </c>
    </row>
    <row r="20" spans="1:21" x14ac:dyDescent="0.3">
      <c r="A20" s="5">
        <v>10472</v>
      </c>
      <c r="B20" s="1">
        <v>1517</v>
      </c>
      <c r="C20" s="2">
        <v>45269</v>
      </c>
      <c r="D20" s="2">
        <v>45278</v>
      </c>
      <c r="E20" s="1" t="s">
        <v>15</v>
      </c>
      <c r="F20" s="1" t="s">
        <v>54</v>
      </c>
      <c r="G20" s="1" t="s">
        <v>30</v>
      </c>
      <c r="H20" s="1" t="s">
        <v>35</v>
      </c>
      <c r="I20" s="1" t="s">
        <v>31</v>
      </c>
      <c r="J20" s="1" t="s">
        <v>48</v>
      </c>
      <c r="K20" s="1" t="s">
        <v>28</v>
      </c>
      <c r="L20" s="1">
        <v>5</v>
      </c>
      <c r="M20" s="1">
        <v>2523.25</v>
      </c>
      <c r="N20" s="1">
        <v>10</v>
      </c>
      <c r="O20" s="1">
        <v>11354.63</v>
      </c>
      <c r="P20" s="1">
        <v>12616.25</v>
      </c>
      <c r="Q20" s="10">
        <v>1135.463</v>
      </c>
      <c r="R20" s="11">
        <v>11480.787</v>
      </c>
      <c r="S20" s="1" t="s">
        <v>159</v>
      </c>
      <c r="T20" s="1" t="s">
        <v>160</v>
      </c>
      <c r="U20" s="1" t="b">
        <v>0</v>
      </c>
    </row>
    <row r="21" spans="1:21" x14ac:dyDescent="0.3">
      <c r="A21" s="5">
        <v>10490</v>
      </c>
      <c r="B21" s="1">
        <v>1927</v>
      </c>
      <c r="C21" s="2">
        <v>45259</v>
      </c>
      <c r="D21" s="2">
        <v>45261</v>
      </c>
      <c r="E21" s="1" t="s">
        <v>15</v>
      </c>
      <c r="F21" s="1" t="s">
        <v>29</v>
      </c>
      <c r="G21" s="1" t="s">
        <v>17</v>
      </c>
      <c r="H21" s="1" t="s">
        <v>35</v>
      </c>
      <c r="I21" s="1" t="s">
        <v>31</v>
      </c>
      <c r="J21" s="1" t="s">
        <v>32</v>
      </c>
      <c r="K21" s="1" t="s">
        <v>45</v>
      </c>
      <c r="L21" s="1">
        <v>7</v>
      </c>
      <c r="M21" s="1">
        <v>2838.06</v>
      </c>
      <c r="N21" s="1">
        <v>20</v>
      </c>
      <c r="O21" s="1">
        <v>15893.14</v>
      </c>
      <c r="P21" s="1">
        <v>19866.419999999998</v>
      </c>
      <c r="Q21" s="10">
        <v>3178.6280000000002</v>
      </c>
      <c r="R21" s="11">
        <v>16687.791999999998</v>
      </c>
      <c r="S21" s="1" t="s">
        <v>159</v>
      </c>
      <c r="T21" s="1" t="s">
        <v>159</v>
      </c>
      <c r="U21" s="1" t="s">
        <v>159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514F4-A10F-4F88-ACE4-DD5EA0A9B206}">
  <dimension ref="A1:G9"/>
  <sheetViews>
    <sheetView zoomScale="97" workbookViewId="0">
      <selection activeCell="G3" sqref="G3"/>
    </sheetView>
  </sheetViews>
  <sheetFormatPr defaultRowHeight="14.4" x14ac:dyDescent="0.3"/>
  <cols>
    <col min="3" max="3" width="14" customWidth="1"/>
  </cols>
  <sheetData>
    <row r="1" spans="1:7" x14ac:dyDescent="0.3">
      <c r="A1" s="1" t="s">
        <v>163</v>
      </c>
      <c r="B1" s="1" t="s">
        <v>164</v>
      </c>
      <c r="C1" s="1" t="s">
        <v>165</v>
      </c>
      <c r="D1" s="1" t="s">
        <v>166</v>
      </c>
    </row>
    <row r="2" spans="1:7" x14ac:dyDescent="0.3">
      <c r="A2" s="1" t="s">
        <v>167</v>
      </c>
      <c r="B2" s="1" t="s">
        <v>168</v>
      </c>
      <c r="C2" s="1" t="s">
        <v>169</v>
      </c>
      <c r="D2" s="1">
        <v>120</v>
      </c>
      <c r="G2" s="1" t="s">
        <v>163</v>
      </c>
    </row>
    <row r="3" spans="1:7" x14ac:dyDescent="0.3">
      <c r="A3" s="1" t="s">
        <v>170</v>
      </c>
      <c r="B3" s="1" t="s">
        <v>171</v>
      </c>
      <c r="C3" s="1" t="s">
        <v>172</v>
      </c>
      <c r="D3" s="1">
        <v>150</v>
      </c>
      <c r="G3" s="1" t="s">
        <v>175</v>
      </c>
    </row>
    <row r="4" spans="1:7" x14ac:dyDescent="0.3">
      <c r="A4" s="1" t="s">
        <v>167</v>
      </c>
      <c r="B4" s="1" t="s">
        <v>173</v>
      </c>
      <c r="C4" s="1" t="s">
        <v>174</v>
      </c>
      <c r="D4" s="1">
        <v>200</v>
      </c>
    </row>
    <row r="5" spans="1:7" x14ac:dyDescent="0.3">
      <c r="A5" s="1" t="s">
        <v>175</v>
      </c>
      <c r="B5" s="1" t="s">
        <v>176</v>
      </c>
      <c r="C5" s="1" t="s">
        <v>177</v>
      </c>
      <c r="D5" s="1">
        <v>90</v>
      </c>
    </row>
    <row r="6" spans="1:7" x14ac:dyDescent="0.3">
      <c r="A6" s="1" t="s">
        <v>170</v>
      </c>
      <c r="B6" s="1" t="s">
        <v>168</v>
      </c>
      <c r="C6" s="1" t="s">
        <v>178</v>
      </c>
      <c r="D6" s="1">
        <v>220</v>
      </c>
    </row>
    <row r="7" spans="1:7" x14ac:dyDescent="0.3">
      <c r="A7" s="1" t="s">
        <v>167</v>
      </c>
      <c r="B7" s="1" t="s">
        <v>171</v>
      </c>
      <c r="C7" s="1" t="s">
        <v>179</v>
      </c>
      <c r="D7" s="1">
        <v>130</v>
      </c>
    </row>
    <row r="8" spans="1:7" x14ac:dyDescent="0.3">
      <c r="A8" s="1" t="s">
        <v>175</v>
      </c>
      <c r="B8" s="1" t="s">
        <v>168</v>
      </c>
      <c r="C8" s="1" t="s">
        <v>180</v>
      </c>
      <c r="D8" s="1">
        <v>300</v>
      </c>
    </row>
    <row r="9" spans="1:7" x14ac:dyDescent="0.3">
      <c r="A9" s="1" t="s">
        <v>170</v>
      </c>
      <c r="B9" s="1" t="s">
        <v>173</v>
      </c>
      <c r="C9" s="1" t="s">
        <v>181</v>
      </c>
      <c r="D9" s="1">
        <v>80</v>
      </c>
    </row>
  </sheetData>
  <conditionalFormatting sqref="A1:D9">
    <cfRule type="expression" dxfId="1" priority="3">
      <formula>$A1048571 =$G$3</formula>
    </cfRule>
  </conditionalFormatting>
  <conditionalFormatting sqref="A2:D9">
    <cfRule type="expression" dxfId="0" priority="1">
      <formula>$A2=$G$3</formula>
    </cfRule>
    <cfRule type="expression" priority="2">
      <formula>$A2=$G$3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5008D-0C94-4E7B-B849-DB632A896A06}">
  <dimension ref="A1:H11"/>
  <sheetViews>
    <sheetView zoomScale="80" workbookViewId="0">
      <selection activeCell="F10" sqref="F6:H11"/>
    </sheetView>
  </sheetViews>
  <sheetFormatPr defaultRowHeight="14.4" x14ac:dyDescent="0.3"/>
  <sheetData>
    <row r="1" spans="1:8" x14ac:dyDescent="0.3">
      <c r="A1" s="19" t="s">
        <v>154</v>
      </c>
      <c r="B1" s="19" t="s">
        <v>92</v>
      </c>
      <c r="C1" s="19" t="s">
        <v>155</v>
      </c>
    </row>
    <row r="2" spans="1:8" x14ac:dyDescent="0.3">
      <c r="A2" s="19" t="s">
        <v>156</v>
      </c>
      <c r="B2" s="19">
        <v>9</v>
      </c>
      <c r="C2" s="22">
        <v>54</v>
      </c>
    </row>
    <row r="3" spans="1:8" x14ac:dyDescent="0.3">
      <c r="A3" s="19" t="s">
        <v>96</v>
      </c>
      <c r="B3" s="19">
        <v>8</v>
      </c>
      <c r="C3" s="21">
        <v>70</v>
      </c>
    </row>
    <row r="4" spans="1:8" x14ac:dyDescent="0.3">
      <c r="A4" s="19" t="s">
        <v>157</v>
      </c>
      <c r="B4" s="19">
        <v>10</v>
      </c>
      <c r="C4" s="23">
        <v>51</v>
      </c>
    </row>
    <row r="5" spans="1:8" x14ac:dyDescent="0.3">
      <c r="A5" s="19" t="s">
        <v>94</v>
      </c>
      <c r="B5" s="19">
        <v>5</v>
      </c>
      <c r="C5" s="20">
        <v>67</v>
      </c>
    </row>
    <row r="6" spans="1:8" x14ac:dyDescent="0.3">
      <c r="F6" t="s">
        <v>154</v>
      </c>
      <c r="G6" t="s">
        <v>92</v>
      </c>
      <c r="H6" t="s">
        <v>155</v>
      </c>
    </row>
    <row r="7" spans="1:8" x14ac:dyDescent="0.3">
      <c r="F7" t="s">
        <v>94</v>
      </c>
      <c r="G7">
        <v>5</v>
      </c>
      <c r="H7">
        <v>67</v>
      </c>
    </row>
    <row r="8" spans="1:8" x14ac:dyDescent="0.3">
      <c r="F8" t="s">
        <v>158</v>
      </c>
      <c r="G8">
        <v>6</v>
      </c>
      <c r="H8">
        <v>77</v>
      </c>
    </row>
    <row r="9" spans="1:8" x14ac:dyDescent="0.3">
      <c r="F9" t="s">
        <v>157</v>
      </c>
      <c r="G9">
        <v>10</v>
      </c>
      <c r="H9">
        <v>51</v>
      </c>
    </row>
    <row r="10" spans="1:8" x14ac:dyDescent="0.3">
      <c r="F10" t="s">
        <v>96</v>
      </c>
      <c r="G10">
        <v>8</v>
      </c>
      <c r="H10">
        <v>70</v>
      </c>
    </row>
    <row r="11" spans="1:8" x14ac:dyDescent="0.3">
      <c r="F11" t="s">
        <v>156</v>
      </c>
      <c r="G11">
        <v>9</v>
      </c>
      <c r="H11">
        <v>54</v>
      </c>
    </row>
  </sheetData>
  <sortState xmlns:xlrd2="http://schemas.microsoft.com/office/spreadsheetml/2017/richdata2" caseSensitive="1" ref="F7:H11">
    <sortCondition ref="F7:F11"/>
    <sortCondition ref="H7:H11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C4A19-3594-44D7-8D77-44DBC45CAB05}">
  <dimension ref="B1:T30"/>
  <sheetViews>
    <sheetView topLeftCell="L1" workbookViewId="0">
      <selection activeCell="T12" sqref="T12"/>
    </sheetView>
  </sheetViews>
  <sheetFormatPr defaultRowHeight="14.4" x14ac:dyDescent="0.3"/>
  <cols>
    <col min="16" max="16" width="11.21875" customWidth="1"/>
    <col min="17" max="17" width="11.6640625" customWidth="1"/>
    <col min="18" max="18" width="11.77734375" customWidth="1"/>
    <col min="19" max="19" width="11.109375" customWidth="1"/>
    <col min="20" max="20" width="10.6640625" customWidth="1"/>
  </cols>
  <sheetData>
    <row r="1" spans="2:20" x14ac:dyDescent="0.3">
      <c r="B1">
        <v>20</v>
      </c>
      <c r="D1" t="str">
        <f>IF(OR(A1&lt;40,B1&gt;60),"valid","invalid")</f>
        <v>valid</v>
      </c>
      <c r="E1" t="b">
        <f>NOT(A1=B1)</f>
        <v>1</v>
      </c>
    </row>
    <row r="3" spans="2:20" x14ac:dyDescent="0.3">
      <c r="P3" s="13" t="s">
        <v>117</v>
      </c>
      <c r="Q3" s="13" t="s">
        <v>121</v>
      </c>
      <c r="S3" s="16" t="s">
        <v>117</v>
      </c>
      <c r="T3" s="16" t="s">
        <v>122</v>
      </c>
    </row>
    <row r="4" spans="2:20" x14ac:dyDescent="0.3">
      <c r="P4" s="1" t="s">
        <v>118</v>
      </c>
      <c r="Q4" s="1">
        <v>123</v>
      </c>
      <c r="S4" s="1" t="s">
        <v>118</v>
      </c>
      <c r="T4" s="1">
        <v>231</v>
      </c>
    </row>
    <row r="5" spans="2:20" x14ac:dyDescent="0.3">
      <c r="E5" s="1" t="s">
        <v>91</v>
      </c>
      <c r="F5" s="1" t="s">
        <v>92</v>
      </c>
      <c r="G5" s="1" t="s">
        <v>93</v>
      </c>
      <c r="I5" s="1" t="s">
        <v>91</v>
      </c>
      <c r="J5" s="1" t="s">
        <v>92</v>
      </c>
      <c r="K5" s="1" t="s">
        <v>93</v>
      </c>
      <c r="P5" s="1" t="s">
        <v>119</v>
      </c>
      <c r="Q5" s="1">
        <v>456</v>
      </c>
      <c r="S5" s="1" t="s">
        <v>119</v>
      </c>
      <c r="T5" s="1">
        <v>556</v>
      </c>
    </row>
    <row r="6" spans="2:20" x14ac:dyDescent="0.3">
      <c r="E6" s="1" t="s">
        <v>94</v>
      </c>
      <c r="F6" s="1">
        <v>8</v>
      </c>
      <c r="G6" s="1">
        <v>67</v>
      </c>
      <c r="I6" s="1" t="s">
        <v>94</v>
      </c>
      <c r="J6" s="1">
        <v>8</v>
      </c>
      <c r="K6" s="1">
        <v>67</v>
      </c>
      <c r="P6" s="1" t="s">
        <v>120</v>
      </c>
      <c r="Q6" s="1">
        <v>123</v>
      </c>
      <c r="S6" s="1" t="s">
        <v>120</v>
      </c>
      <c r="T6" s="1">
        <v>988</v>
      </c>
    </row>
    <row r="7" spans="2:20" x14ac:dyDescent="0.3">
      <c r="E7" s="1" t="s">
        <v>95</v>
      </c>
      <c r="F7" s="1">
        <v>9</v>
      </c>
      <c r="G7" s="1">
        <v>84</v>
      </c>
      <c r="I7" s="1" t="s">
        <v>95</v>
      </c>
      <c r="J7" s="1">
        <v>9</v>
      </c>
      <c r="K7" s="1">
        <v>84</v>
      </c>
    </row>
    <row r="8" spans="2:20" x14ac:dyDescent="0.3">
      <c r="E8" s="1" t="s">
        <v>96</v>
      </c>
      <c r="F8" s="1">
        <v>6</v>
      </c>
      <c r="G8" s="1">
        <v>69</v>
      </c>
      <c r="I8" s="1" t="s">
        <v>96</v>
      </c>
      <c r="J8" s="1">
        <v>6</v>
      </c>
      <c r="K8" s="1">
        <v>69</v>
      </c>
    </row>
    <row r="9" spans="2:20" x14ac:dyDescent="0.3">
      <c r="E9" s="1" t="s">
        <v>97</v>
      </c>
      <c r="F9" s="1">
        <v>5</v>
      </c>
      <c r="G9" s="1">
        <v>87</v>
      </c>
      <c r="I9" s="1" t="s">
        <v>97</v>
      </c>
      <c r="J9" s="1">
        <v>5</v>
      </c>
      <c r="K9" s="1">
        <v>87</v>
      </c>
    </row>
    <row r="11" spans="2:20" x14ac:dyDescent="0.3">
      <c r="Q11" s="17" t="s">
        <v>123</v>
      </c>
      <c r="R11" s="17" t="s">
        <v>124</v>
      </c>
      <c r="S11" s="17" t="s">
        <v>139</v>
      </c>
    </row>
    <row r="12" spans="2:20" x14ac:dyDescent="0.3">
      <c r="E12" s="1" t="s">
        <v>91</v>
      </c>
      <c r="F12" s="1" t="s">
        <v>92</v>
      </c>
      <c r="G12" s="1" t="s">
        <v>93</v>
      </c>
      <c r="I12" s="15" t="s">
        <v>98</v>
      </c>
      <c r="J12" s="14" t="s">
        <v>98</v>
      </c>
      <c r="K12" s="14" t="s">
        <v>98</v>
      </c>
      <c r="M12" t="s">
        <v>105</v>
      </c>
      <c r="N12">
        <v>1</v>
      </c>
      <c r="Q12" s="1" t="s">
        <v>125</v>
      </c>
      <c r="R12" s="1" t="s">
        <v>133</v>
      </c>
      <c r="S12" s="1" t="s">
        <v>134</v>
      </c>
    </row>
    <row r="13" spans="2:20" x14ac:dyDescent="0.3">
      <c r="E13" s="1" t="s">
        <v>94</v>
      </c>
      <c r="F13" s="1">
        <v>8</v>
      </c>
      <c r="G13" s="1">
        <v>67</v>
      </c>
      <c r="I13" s="15" t="s">
        <v>99</v>
      </c>
      <c r="J13" t="s">
        <v>99</v>
      </c>
      <c r="K13" s="14" t="s">
        <v>99</v>
      </c>
      <c r="M13" t="s">
        <v>106</v>
      </c>
      <c r="N13">
        <v>2</v>
      </c>
      <c r="Q13" s="1" t="s">
        <v>126</v>
      </c>
      <c r="R13" s="1" t="s">
        <v>132</v>
      </c>
      <c r="S13" s="1" t="s">
        <v>135</v>
      </c>
    </row>
    <row r="14" spans="2:20" x14ac:dyDescent="0.3">
      <c r="E14" s="1" t="s">
        <v>95</v>
      </c>
      <c r="F14" s="1">
        <v>9</v>
      </c>
      <c r="G14" s="1">
        <v>84</v>
      </c>
      <c r="I14" s="15" t="s">
        <v>100</v>
      </c>
      <c r="J14" t="s">
        <v>100</v>
      </c>
      <c r="K14" s="14" t="s">
        <v>100</v>
      </c>
      <c r="M14" t="s">
        <v>107</v>
      </c>
      <c r="N14">
        <v>3</v>
      </c>
      <c r="Q14" s="1" t="s">
        <v>127</v>
      </c>
      <c r="R14" s="1" t="s">
        <v>131</v>
      </c>
      <c r="S14" s="1" t="s">
        <v>136</v>
      </c>
    </row>
    <row r="15" spans="2:20" x14ac:dyDescent="0.3">
      <c r="E15" s="1" t="s">
        <v>96</v>
      </c>
      <c r="F15" s="1">
        <v>6</v>
      </c>
      <c r="G15" s="1">
        <v>69</v>
      </c>
      <c r="I15" s="15" t="s">
        <v>101</v>
      </c>
      <c r="J15" t="s">
        <v>101</v>
      </c>
      <c r="K15" s="14" t="s">
        <v>101</v>
      </c>
      <c r="M15" t="s">
        <v>108</v>
      </c>
      <c r="N15">
        <v>4</v>
      </c>
      <c r="Q15" s="1" t="s">
        <v>128</v>
      </c>
      <c r="R15" s="1" t="s">
        <v>130</v>
      </c>
      <c r="S15" s="1" t="s">
        <v>137</v>
      </c>
    </row>
    <row r="16" spans="2:20" x14ac:dyDescent="0.3">
      <c r="E16" s="1" t="s">
        <v>97</v>
      </c>
      <c r="F16" s="1">
        <v>5</v>
      </c>
      <c r="G16" s="1">
        <v>87</v>
      </c>
      <c r="I16" s="15" t="s">
        <v>102</v>
      </c>
      <c r="J16" t="s">
        <v>102</v>
      </c>
      <c r="K16" s="14" t="s">
        <v>102</v>
      </c>
      <c r="M16" t="s">
        <v>109</v>
      </c>
      <c r="N16">
        <v>5</v>
      </c>
      <c r="Q16" s="1" t="s">
        <v>96</v>
      </c>
      <c r="R16" s="1" t="s">
        <v>129</v>
      </c>
      <c r="S16" s="1" t="s">
        <v>138</v>
      </c>
    </row>
    <row r="17" spans="9:14" x14ac:dyDescent="0.3">
      <c r="I17" s="15" t="s">
        <v>103</v>
      </c>
      <c r="J17" t="s">
        <v>103</v>
      </c>
      <c r="K17" s="14" t="s">
        <v>98</v>
      </c>
      <c r="M17" t="s">
        <v>110</v>
      </c>
      <c r="N17">
        <v>6</v>
      </c>
    </row>
    <row r="18" spans="9:14" x14ac:dyDescent="0.3">
      <c r="I18" s="15" t="s">
        <v>104</v>
      </c>
      <c r="J18" t="s">
        <v>104</v>
      </c>
      <c r="K18" s="14" t="s">
        <v>99</v>
      </c>
      <c r="M18" t="s">
        <v>111</v>
      </c>
      <c r="N18">
        <v>7</v>
      </c>
    </row>
    <row r="19" spans="9:14" x14ac:dyDescent="0.3">
      <c r="M19" t="s">
        <v>112</v>
      </c>
      <c r="N19">
        <v>8</v>
      </c>
    </row>
    <row r="23" spans="9:14" x14ac:dyDescent="0.3">
      <c r="K23">
        <v>10</v>
      </c>
      <c r="M23" t="s">
        <v>113</v>
      </c>
    </row>
    <row r="24" spans="9:14" x14ac:dyDescent="0.3">
      <c r="K24">
        <v>10</v>
      </c>
      <c r="M24" t="s">
        <v>114</v>
      </c>
      <c r="N24" t="s">
        <v>113</v>
      </c>
    </row>
    <row r="25" spans="9:14" x14ac:dyDescent="0.3">
      <c r="K25">
        <v>10</v>
      </c>
      <c r="M25" t="s">
        <v>115</v>
      </c>
      <c r="N25" t="s">
        <v>115</v>
      </c>
    </row>
    <row r="26" spans="9:14" x14ac:dyDescent="0.3">
      <c r="K26">
        <v>10</v>
      </c>
      <c r="N26" t="s">
        <v>116</v>
      </c>
    </row>
    <row r="27" spans="9:14" x14ac:dyDescent="0.3">
      <c r="K27">
        <v>10</v>
      </c>
      <c r="N27" t="s">
        <v>114</v>
      </c>
    </row>
    <row r="28" spans="9:14" x14ac:dyDescent="0.3">
      <c r="K28">
        <v>10</v>
      </c>
      <c r="N28" t="s">
        <v>113</v>
      </c>
    </row>
    <row r="29" spans="9:14" x14ac:dyDescent="0.3">
      <c r="N29" t="s">
        <v>115</v>
      </c>
    </row>
    <row r="30" spans="9:14" x14ac:dyDescent="0.3">
      <c r="N30" t="s">
        <v>116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3</vt:i4>
      </vt:variant>
    </vt:vector>
  </HeadingPairs>
  <TitlesOfParts>
    <vt:vector size="12" baseType="lpstr">
      <vt:lpstr>Formulas</vt:lpstr>
      <vt:lpstr>Vlookup</vt:lpstr>
      <vt:lpstr>Hloookup</vt:lpstr>
      <vt:lpstr>Sheet4</vt:lpstr>
      <vt:lpstr>Fillter</vt:lpstr>
      <vt:lpstr>Sheet5</vt:lpstr>
      <vt:lpstr>conditional formatting</vt:lpstr>
      <vt:lpstr>Sort</vt:lpstr>
      <vt:lpstr>Fill</vt:lpstr>
      <vt:lpstr>Fillter!Criteria</vt:lpstr>
      <vt:lpstr>Fillter!Extract</vt:lpstr>
      <vt:lpstr>Sheet5!Extract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Tandra Paul</dc:creator>
  <cp:lastModifiedBy>Aritra chatterjee</cp:lastModifiedBy>
  <dcterms:created xsi:type="dcterms:W3CDTF">2025-11-28T09:29:24Z</dcterms:created>
  <dcterms:modified xsi:type="dcterms:W3CDTF">2026-08-06T11:43:34Z</dcterms:modified>
</cp:coreProperties>
</file>