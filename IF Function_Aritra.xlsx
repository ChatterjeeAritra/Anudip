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tr\Downloads\"/>
    </mc:Choice>
  </mc:AlternateContent>
  <xr:revisionPtr revIDLastSave="0" documentId="13_ncr:1_{813A84C3-9E64-4798-80D0-86DA71DA910F}" xr6:coauthVersionLast="47" xr6:coauthVersionMax="47" xr10:uidLastSave="{00000000-0000-0000-0000-000000000000}"/>
  <bookViews>
    <workbookView xWindow="-108" yWindow="-108" windowWidth="23256" windowHeight="12456" activeTab="1" xr2:uid="{7CC2DD3A-CEA3-4A07-89B1-2C77CC0849F1}"/>
  </bookViews>
  <sheets>
    <sheet name="Sheet1" sheetId="1" r:id="rId1"/>
    <sheet name="Sales Data " sheetId="2" r:id="rId2"/>
  </sheets>
  <definedNames>
    <definedName name="Data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2" i="2"/>
  <c r="N3" i="2"/>
  <c r="N4" i="2"/>
  <c r="N5" i="2"/>
  <c r="N6" i="2"/>
  <c r="N7" i="2"/>
  <c r="N2" i="2"/>
  <c r="M2" i="2" a="1"/>
  <c r="M2" i="2" s="1"/>
  <c r="K3" i="2"/>
  <c r="K4" i="2"/>
  <c r="K5" i="2"/>
  <c r="K6" i="2"/>
  <c r="K7" i="2"/>
  <c r="K2" i="2"/>
  <c r="M3" i="2"/>
  <c r="M4" i="2"/>
  <c r="M5" i="2"/>
  <c r="M6" i="2"/>
  <c r="M7" i="2"/>
  <c r="J3" i="2"/>
  <c r="J2" i="2"/>
  <c r="J4" i="2"/>
  <c r="J5" i="2"/>
  <c r="J6" i="2"/>
  <c r="J7" i="2"/>
  <c r="I3" i="2"/>
  <c r="I4" i="2"/>
  <c r="I5" i="2"/>
  <c r="I6" i="2"/>
  <c r="I7" i="2"/>
  <c r="I2" i="2"/>
  <c r="H3" i="2"/>
  <c r="H4" i="2"/>
  <c r="H5" i="2"/>
  <c r="H6" i="2"/>
  <c r="H7" i="2"/>
  <c r="H2" i="2"/>
  <c r="G3" i="2"/>
  <c r="G4" i="2"/>
  <c r="G5" i="2"/>
  <c r="G6" i="2"/>
  <c r="G7" i="2"/>
  <c r="G2" i="2"/>
  <c r="F3" i="2"/>
  <c r="F4" i="2"/>
  <c r="F5" i="2"/>
  <c r="F6" i="2"/>
  <c r="F7" i="2"/>
  <c r="F2" i="2"/>
  <c r="H3" i="1"/>
  <c r="I3" i="1" s="1"/>
  <c r="J3" i="1" s="1"/>
  <c r="H4" i="1"/>
  <c r="H5" i="1"/>
  <c r="H6" i="1"/>
  <c r="H7" i="1"/>
  <c r="H8" i="1"/>
  <c r="I8" i="1" s="1"/>
  <c r="H9" i="1"/>
  <c r="I9" i="1" s="1"/>
  <c r="I4" i="1"/>
  <c r="I5" i="1"/>
  <c r="I6" i="1"/>
  <c r="G3" i="1"/>
  <c r="G4" i="1"/>
  <c r="G5" i="1"/>
  <c r="G6" i="1"/>
  <c r="G7" i="1"/>
  <c r="I7" i="1" s="1"/>
  <c r="G8" i="1"/>
  <c r="G9" i="1"/>
  <c r="G2" i="1"/>
  <c r="H2" i="1" s="1"/>
  <c r="I2" i="1" s="1"/>
  <c r="J2" i="1" s="1"/>
  <c r="K2" i="1" s="1"/>
  <c r="J9" i="1" l="1"/>
  <c r="K9" i="1" s="1"/>
  <c r="J8" i="1"/>
  <c r="K8" i="1" s="1"/>
  <c r="J7" i="1"/>
  <c r="K7" i="1" s="1"/>
  <c r="J6" i="1"/>
  <c r="K6" i="1" s="1"/>
  <c r="J5" i="1"/>
  <c r="K5" i="1"/>
  <c r="J4" i="1"/>
  <c r="K4" i="1" s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<sst xmlns="http://schemas.openxmlformats.org/spreadsheetml/2006/main" count="68" uniqueCount="60">
  <si>
    <t>Order ID</t>
  </si>
  <si>
    <t>Product</t>
  </si>
  <si>
    <t>Price</t>
  </si>
  <si>
    <t>Quantity</t>
  </si>
  <si>
    <t>Discount %</t>
  </si>
  <si>
    <t>Salesperson</t>
  </si>
  <si>
    <t>Total Price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</si>
  <si>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</si>
  <si>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</si>
  <si>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</si>
  <si>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</si>
  <si>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</si>
  <si>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</si>
  <si>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</si>
  <si>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</si>
  <si>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</si>
  <si>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</si>
  <si>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</si>
  <si>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</si>
  <si>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</si>
  <si>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Discount</t>
  </si>
  <si>
    <t>Price After  Discount</t>
  </si>
  <si>
    <t>Company tax 18%</t>
  </si>
  <si>
    <t>Shipping Charge 20</t>
  </si>
  <si>
    <t>1.Find the total price of each item.</t>
  </si>
  <si>
    <t>2.Find discount amount of each item.</t>
  </si>
  <si>
    <t>3.Find the price after discount.</t>
  </si>
  <si>
    <t>4.Find the tax amount.</t>
  </si>
  <si>
    <t>5.Find the total bill including shipping charge.</t>
  </si>
  <si>
    <t>Product ID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</si>
  <si>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</si>
  <si>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</si>
  <si>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</si>
  <si>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</si>
  <si>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</si>
  <si>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</si>
  <si>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</si>
  <si>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</si>
  <si>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</si>
  <si>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</si>
  <si>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</si>
  <si>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</si>
  <si>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</si>
  <si>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 xml:space="preserve">1. Use the IF function to evaluate whether each product met its sales target. </t>
  </si>
  <si>
    <t>2. Use the IF function to determine if a product is eligible for a regional bonus. Products in the "North" region with sales over 200 are eligible</t>
  </si>
  <si>
    <t xml:space="preserve">3. Use nested IF functions to assign a commission rate based on sales. Sales &gt;= 200 get a 10% commission, sales &gt;= 150 get a 7% commission, and others get a 5% commission. </t>
  </si>
  <si>
    <t xml:space="preserve">4. Use the IF function to calculate a bonus amount. If sales met or exceeded the target, the bonus is 10% of the sales; otherwise, it's 5%. </t>
  </si>
  <si>
    <t xml:space="preserve">5. Use the IF function to categorize sales performance as "Excellent" (&gt;=200), "Good" (&gt;=150), or "Needs Improvement" (&lt;150). </t>
  </si>
  <si>
    <t xml:space="preserve">6.Use the IF function to assign a price tier based on the sales value. "High" for sales &gt; 200, "Medium" for sales between 100 and 200, and "Low" for sales &lt; 100. </t>
  </si>
  <si>
    <t xml:space="preserve">7. Use the IF function to calculate the year-end bonus. If sales &gt;= 150 and region is "North", the bonus is $500, otherwise, it's $300. </t>
  </si>
  <si>
    <t xml:space="preserve">8. Use the IF function to mark high performers. A product is a high performer if its sales are in the top 25% of all sales. </t>
  </si>
  <si>
    <t>Target Evaluation</t>
  </si>
  <si>
    <t>Regional Bonus Eligibility</t>
  </si>
  <si>
    <t>Commission Rate</t>
  </si>
  <si>
    <t>Bonus Amount Calculation</t>
  </si>
  <si>
    <t>Sales Performance Categorization</t>
  </si>
  <si>
    <t>Year-End Bonus</t>
  </si>
  <si>
    <t xml:space="preserve">Mark High Performers </t>
  </si>
  <si>
    <t>Price Tier Assignment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</si>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</sst>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sz val="18"/>
      <color rgb="FFFF0000"/>
      <name val="Aptos Display"/>
      <family val="2"/>
      <scheme val="major"/>
    </font>
    <font>
      <b/>
      <sz val="16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i/>
      <sz val="12"/>
      <color rgb="FF3F3F3F"/>
      <name val="Aptos Narrow"/>
      <family val="2"/>
      <scheme val="minor"/>
    </font>
    <font>
      <b/>
      <i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Dashed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Dashed">
        <color indexed="64"/>
      </left>
      <right style="mediumDashed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Dashed">
        <color indexed="64"/>
      </left>
      <right style="mediumDashed">
        <color indexed="64"/>
      </right>
      <top/>
      <bottom style="medium">
        <color theme="4" tint="0.39997558519241921"/>
      </bottom>
      <diagonal/>
    </border>
    <border>
      <left/>
      <right style="mediumDashed">
        <color indexed="64"/>
      </right>
      <top/>
      <bottom style="medium">
        <color theme="4" tint="0.39997558519241921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0" fillId="0" borderId="11" applyNumberFormat="0" applyFill="0" applyAlignment="0" applyProtection="0"/>
    <xf numFmtId="0" fontId="11" fillId="5" borderId="12" applyNumberFormat="0" applyAlignment="0" applyProtection="0"/>
  </cellStyleXfs>
  <cellXfs count="29">
    <xf numFmtId="0" fontId="0" fillId="0" borderId="0" xfId="0"/>
    <xf numFmtId="0" fontId="7" fillId="4" borderId="3" xfId="2" applyNumberFormat="1" applyFont="1" applyFill="1" applyBorder="1" applyAlignment="1">
      <alignment horizontal="left" vertical="top"/>
    </xf>
    <xf numFmtId="0" fontId="4" fillId="0" borderId="0" xfId="0" applyFont="1"/>
    <xf numFmtId="0" fontId="8" fillId="4" borderId="3" xfId="2" applyNumberFormat="1" applyFont="1" applyFill="1" applyBorder="1" applyAlignment="1">
      <alignment horizontal="left" vertical="top"/>
    </xf>
    <xf numFmtId="0" fontId="8" fillId="4" borderId="2" xfId="2" applyNumberFormat="1" applyFont="1" applyFill="1" applyBorder="1" applyAlignment="1">
      <alignment horizontal="left" vertical="top"/>
    </xf>
    <xf numFmtId="0" fontId="8" fillId="4" borderId="4" xfId="2" applyNumberFormat="1" applyFont="1" applyFill="1" applyBorder="1" applyAlignment="1">
      <alignment horizontal="left" vertical="top"/>
    </xf>
    <xf numFmtId="0" fontId="9" fillId="2" borderId="1" xfId="3" applyNumberFormat="1" applyFont="1" applyFill="1" applyAlignment="1">
      <alignment horizontal="center" vertical="center"/>
    </xf>
    <xf numFmtId="0" fontId="9" fillId="0" borderId="1" xfId="3" applyNumberFormat="1" applyFont="1" applyAlignment="1">
      <alignment horizontal="center" vertical="center"/>
    </xf>
    <xf numFmtId="164" fontId="9" fillId="0" borderId="1" xfId="3" applyNumberFormat="1" applyFont="1" applyAlignment="1">
      <alignment horizontal="center" vertical="center"/>
    </xf>
    <xf numFmtId="0" fontId="9" fillId="0" borderId="5" xfId="3" applyNumberFormat="1" applyFont="1" applyBorder="1" applyAlignment="1">
      <alignment horizontal="center" vertical="center"/>
    </xf>
    <xf numFmtId="0" fontId="9" fillId="0" borderId="6" xfId="3" applyNumberFormat="1" applyFont="1" applyBorder="1" applyAlignment="1">
      <alignment horizontal="center" vertical="center"/>
    </xf>
    <xf numFmtId="0" fontId="9" fillId="0" borderId="7" xfId="3" applyNumberFormat="1" applyFont="1" applyBorder="1" applyAlignment="1">
      <alignment horizontal="center" vertical="center"/>
    </xf>
    <xf numFmtId="10" fontId="9" fillId="0" borderId="6" xfId="1" applyNumberFormat="1" applyFont="1" applyBorder="1" applyAlignment="1">
      <alignment horizontal="center" vertical="center"/>
    </xf>
    <xf numFmtId="0" fontId="9" fillId="0" borderId="7" xfId="1" applyNumberFormat="1" applyFont="1" applyBorder="1" applyAlignment="1">
      <alignment horizontal="center" vertical="center"/>
    </xf>
    <xf numFmtId="164" fontId="9" fillId="0" borderId="5" xfId="3" applyNumberFormat="1" applyFont="1" applyBorder="1" applyAlignment="1">
      <alignment horizontal="center" vertical="center"/>
    </xf>
    <xf numFmtId="164" fontId="9" fillId="0" borderId="8" xfId="3" applyNumberFormat="1" applyFont="1" applyBorder="1" applyAlignment="1">
      <alignment horizontal="center" vertical="center"/>
    </xf>
    <xf numFmtId="164" fontId="9" fillId="0" borderId="6" xfId="3" applyNumberFormat="1" applyFont="1" applyBorder="1" applyAlignment="1">
      <alignment horizontal="center" vertical="center"/>
    </xf>
    <xf numFmtId="164" fontId="9" fillId="0" borderId="7" xfId="3" applyNumberFormat="1" applyFont="1" applyBorder="1" applyAlignment="1">
      <alignment horizontal="center" vertical="center"/>
    </xf>
    <xf numFmtId="0" fontId="6" fillId="3" borderId="9" xfId="0" applyFont="1" applyFill="1" applyBorder="1"/>
    <xf numFmtId="0" fontId="6" fillId="3" borderId="10" xfId="0" applyFont="1" applyFill="1" applyBorder="1"/>
    <xf numFmtId="0" fontId="12" fillId="5" borderId="12" xfId="5" applyFont="1"/>
    <xf numFmtId="9" fontId="0" fillId="0" borderId="0" xfId="1" applyFont="1"/>
    <xf numFmtId="0" fontId="13" fillId="2" borderId="11" xfId="4" applyFont="1" applyFill="1" applyAlignment="1">
      <alignment horizontal="center" vertical="center"/>
    </xf>
    <xf numFmtId="0" fontId="13" fillId="2" borderId="11" xfId="4" applyFont="1" applyFill="1" applyAlignment="1">
      <alignment horizontal="center"/>
    </xf>
    <xf numFmtId="0" fontId="13" fillId="0" borderId="11" xfId="4" applyFont="1" applyAlignment="1">
      <alignment horizontal="center"/>
    </xf>
    <xf numFmtId="164" fontId="13" fillId="0" borderId="11" xfId="4" applyNumberFormat="1" applyFont="1" applyAlignment="1">
      <alignment horizontal="center"/>
    </xf>
    <xf numFmtId="9" fontId="13" fillId="0" borderId="11" xfId="4" applyNumberFormat="1" applyFont="1" applyAlignment="1">
      <alignment horizontal="center"/>
    </xf>
    <xf numFmtId="0" fontId="14" fillId="2" borderId="0" xfId="0" applyFont="1" applyFill="1"/>
    <xf numFmtId="0" fontId="10" fillId="0" borderId="11" xfId="4"/>
  </cellXfs>
  <cellStyles count="6">
    <cellStyle name="Heading 2" xfId="4" builtinId="17"/>
    <cellStyle name="Heading 3" xfId="3" builtinId="18"/>
    <cellStyle name="Normal" xfId="0" builtinId="0"/>
    <cellStyle name="Output" xfId="5" builtinId="21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36B5-D516-444D-A334-25F678BFC7A4}">
  <sheetPr>
    <tabColor theme="5"/>
  </sheetPr>
  <dimension ref="A1:M25"/>
  <sheetViews>
    <sheetView zoomScale="78" workbookViewId="0">
      <selection activeCell="M2" sqref="M2"/>
    </sheetView>
  </sheetViews>
  <sheetFormatPr defaultRowHeight="14.4" x14ac:dyDescent="0.3"/>
  <cols>
    <col min="1" max="1" width="11.44140625" customWidth="1"/>
    <col min="2" max="2" width="14.21875" customWidth="1"/>
    <col min="3" max="3" width="11.44140625" customWidth="1"/>
    <col min="4" max="4" width="12" customWidth="1"/>
    <col min="5" max="5" width="13.109375" customWidth="1"/>
    <col min="6" max="6" width="12.44140625" customWidth="1"/>
    <col min="7" max="7" width="14.33203125" customWidth="1"/>
    <col min="8" max="8" width="18.44140625" customWidth="1"/>
    <col min="9" max="9" width="27" bestFit="1" customWidth="1"/>
    <col min="10" max="10" width="18.44140625" customWidth="1"/>
    <col min="11" max="11" width="15.77734375" customWidth="1"/>
    <col min="12" max="12" width="8.88671875" customWidth="1"/>
    <col min="13" max="13" width="63.21875" customWidth="1"/>
    <col min="15" max="15" width="29.109375" customWidth="1"/>
  </cols>
  <sheetData>
    <row r="1" spans="1:13" ht="24" thickBot="1" x14ac:dyDescent="0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20</v>
      </c>
      <c r="I1" s="6" t="s">
        <v>21</v>
      </c>
      <c r="J1" s="6" t="s">
        <v>7</v>
      </c>
      <c r="K1" s="6" t="s">
        <v>8</v>
      </c>
      <c r="M1" s="18" t="s">
        <v>22</v>
      </c>
    </row>
    <row r="2" spans="1:13" ht="24" thickBot="1" x14ac:dyDescent="0.5">
      <c r="A2" s="9">
        <v>1001</v>
      </c>
      <c r="B2" s="10" t="s">
        <v>9</v>
      </c>
      <c r="C2" s="10">
        <v>10</v>
      </c>
      <c r="D2" s="10">
        <v>5</v>
      </c>
      <c r="E2" s="12">
        <v>0.05</v>
      </c>
      <c r="F2" s="10" t="s">
        <v>17</v>
      </c>
      <c r="G2" s="14">
        <f>C2*D2</f>
        <v>50</v>
      </c>
      <c r="H2" s="10">
        <f>G2*E2</f>
        <v>2.5</v>
      </c>
      <c r="I2" s="16">
        <f>G2-H2</f>
        <v>47.5</v>
      </c>
      <c r="J2" s="10">
        <f>I2*0.18</f>
        <v>8.5499999999999989</v>
      </c>
      <c r="K2" s="8">
        <f>I2+J2+20</f>
        <v>76.05</v>
      </c>
      <c r="M2" s="19" t="s">
        <v>23</v>
      </c>
    </row>
    <row r="3" spans="1:13" ht="21.6" thickBot="1" x14ac:dyDescent="0.35">
      <c r="A3" s="9">
        <v>1002</v>
      </c>
      <c r="B3" s="10" t="s">
        <v>10</v>
      </c>
      <c r="C3" s="10">
        <v>5</v>
      </c>
      <c r="D3" s="11">
        <v>10</v>
      </c>
      <c r="E3" s="13">
        <v>0</v>
      </c>
      <c r="F3" s="11" t="s">
        <v>18</v>
      </c>
      <c r="G3" s="15">
        <f t="shared" ref="G3:G9" si="0">C3*D3</f>
        <v>50</v>
      </c>
      <c r="H3" s="11">
        <f t="shared" ref="H3:H9" si="1">G3*E3</f>
        <v>0</v>
      </c>
      <c r="I3" s="17">
        <f t="shared" ref="I3:I9" si="2">G3-H3</f>
        <v>50</v>
      </c>
      <c r="J3" s="11">
        <f t="shared" ref="J3:J9" si="3">I3*0.18</f>
        <v>9</v>
      </c>
      <c r="K3" s="8">
        <f t="shared" ref="K3:K9" si="4">I3+J3+20</f>
        <v>79</v>
      </c>
    </row>
    <row r="4" spans="1:13" ht="21.6" thickBot="1" x14ac:dyDescent="0.35">
      <c r="A4" s="9">
        <v>1003</v>
      </c>
      <c r="B4" s="10" t="s">
        <v>11</v>
      </c>
      <c r="C4" s="10">
        <v>50</v>
      </c>
      <c r="D4" s="11">
        <v>3</v>
      </c>
      <c r="E4" s="13">
        <v>0.1</v>
      </c>
      <c r="F4" s="11" t="s">
        <v>19</v>
      </c>
      <c r="G4" s="15">
        <f t="shared" si="0"/>
        <v>150</v>
      </c>
      <c r="H4" s="11">
        <f t="shared" si="1"/>
        <v>15</v>
      </c>
      <c r="I4" s="17">
        <f t="shared" si="2"/>
        <v>135</v>
      </c>
      <c r="J4" s="11">
        <f t="shared" si="3"/>
        <v>24.3</v>
      </c>
      <c r="K4" s="8">
        <f t="shared" si="4"/>
        <v>179.3</v>
      </c>
      <c r="M4" s="2"/>
    </row>
    <row r="5" spans="1:13" ht="21.6" thickBot="1" x14ac:dyDescent="0.35">
      <c r="A5" s="9">
        <v>1004</v>
      </c>
      <c r="B5" s="10" t="s">
        <v>12</v>
      </c>
      <c r="C5" s="10">
        <v>3</v>
      </c>
      <c r="D5" s="11">
        <v>20</v>
      </c>
      <c r="E5" s="13">
        <v>0</v>
      </c>
      <c r="F5" s="11" t="s">
        <v>17</v>
      </c>
      <c r="G5" s="15">
        <f t="shared" si="0"/>
        <v>60</v>
      </c>
      <c r="H5" s="11">
        <f t="shared" si="1"/>
        <v>0</v>
      </c>
      <c r="I5" s="17">
        <f t="shared" si="2"/>
        <v>60</v>
      </c>
      <c r="J5" s="11">
        <f t="shared" si="3"/>
        <v>10.799999999999999</v>
      </c>
      <c r="K5" s="8">
        <f t="shared" si="4"/>
        <v>90.8</v>
      </c>
    </row>
    <row r="6" spans="1:13" ht="21.6" thickBot="1" x14ac:dyDescent="0.35">
      <c r="A6" s="9">
        <v>1005</v>
      </c>
      <c r="B6" s="10" t="s">
        <v>13</v>
      </c>
      <c r="C6" s="10">
        <v>25</v>
      </c>
      <c r="D6" s="11">
        <v>4</v>
      </c>
      <c r="E6" s="13">
        <v>0.05</v>
      </c>
      <c r="F6" s="11" t="s">
        <v>18</v>
      </c>
      <c r="G6" s="15">
        <f t="shared" si="0"/>
        <v>100</v>
      </c>
      <c r="H6" s="11">
        <f t="shared" si="1"/>
        <v>5</v>
      </c>
      <c r="I6" s="17">
        <f t="shared" si="2"/>
        <v>95</v>
      </c>
      <c r="J6" s="11">
        <f t="shared" si="3"/>
        <v>17.099999999999998</v>
      </c>
      <c r="K6" s="8">
        <f t="shared" si="4"/>
        <v>132.1</v>
      </c>
    </row>
    <row r="7" spans="1:13" ht="21.6" thickBot="1" x14ac:dyDescent="0.35">
      <c r="A7" s="9">
        <v>1006</v>
      </c>
      <c r="B7" s="10" t="s">
        <v>14</v>
      </c>
      <c r="C7" s="10">
        <v>15</v>
      </c>
      <c r="D7" s="11">
        <v>6</v>
      </c>
      <c r="E7" s="13">
        <v>0</v>
      </c>
      <c r="F7" s="11" t="s">
        <v>19</v>
      </c>
      <c r="G7" s="15">
        <f t="shared" si="0"/>
        <v>90</v>
      </c>
      <c r="H7" s="11">
        <f t="shared" si="1"/>
        <v>0</v>
      </c>
      <c r="I7" s="17">
        <f t="shared" si="2"/>
        <v>90</v>
      </c>
      <c r="J7" s="11">
        <f t="shared" si="3"/>
        <v>16.2</v>
      </c>
      <c r="K7" s="8">
        <f t="shared" si="4"/>
        <v>126.2</v>
      </c>
    </row>
    <row r="8" spans="1:13" ht="21.6" thickBot="1" x14ac:dyDescent="0.35">
      <c r="A8" s="7">
        <v>1007</v>
      </c>
      <c r="B8" s="9" t="s">
        <v>15</v>
      </c>
      <c r="C8" s="11">
        <v>8</v>
      </c>
      <c r="D8" s="11">
        <v>8</v>
      </c>
      <c r="E8" s="13">
        <v>0.05</v>
      </c>
      <c r="F8" s="11" t="s">
        <v>17</v>
      </c>
      <c r="G8" s="15">
        <f t="shared" si="0"/>
        <v>64</v>
      </c>
      <c r="H8" s="11">
        <f t="shared" si="1"/>
        <v>3.2</v>
      </c>
      <c r="I8" s="17">
        <f t="shared" si="2"/>
        <v>60.8</v>
      </c>
      <c r="J8" s="11">
        <f t="shared" si="3"/>
        <v>10.943999999999999</v>
      </c>
      <c r="K8" s="8">
        <f t="shared" si="4"/>
        <v>91.744</v>
      </c>
    </row>
    <row r="9" spans="1:13" ht="21.6" thickBot="1" x14ac:dyDescent="0.35">
      <c r="A9" s="9">
        <v>1008</v>
      </c>
      <c r="B9" s="10" t="s">
        <v>16</v>
      </c>
      <c r="C9" s="10">
        <v>40</v>
      </c>
      <c r="D9" s="11">
        <v>2</v>
      </c>
      <c r="E9" s="13">
        <v>0.1</v>
      </c>
      <c r="F9" s="11" t="s">
        <v>18</v>
      </c>
      <c r="G9" s="15">
        <f t="shared" si="0"/>
        <v>80</v>
      </c>
      <c r="H9" s="11">
        <f t="shared" si="1"/>
        <v>8</v>
      </c>
      <c r="I9" s="17">
        <f t="shared" si="2"/>
        <v>72</v>
      </c>
      <c r="J9" s="11">
        <f t="shared" si="3"/>
        <v>12.959999999999999</v>
      </c>
      <c r="K9" s="8">
        <f t="shared" si="4"/>
        <v>104.96</v>
      </c>
    </row>
    <row r="16" spans="1:13" ht="15" thickBot="1" x14ac:dyDescent="0.35"/>
    <row r="17" spans="13:13" ht="23.4" x14ac:dyDescent="0.3">
      <c r="M17" s="4" t="s">
        <v>24</v>
      </c>
    </row>
    <row r="18" spans="13:13" ht="23.4" x14ac:dyDescent="0.3">
      <c r="M18" s="1"/>
    </row>
    <row r="19" spans="13:13" ht="23.4" x14ac:dyDescent="0.3">
      <c r="M19" s="3" t="s">
        <v>25</v>
      </c>
    </row>
    <row r="20" spans="13:13" ht="23.4" x14ac:dyDescent="0.3">
      <c r="M20" s="1"/>
    </row>
    <row r="21" spans="13:13" ht="23.4" x14ac:dyDescent="0.3">
      <c r="M21" s="3" t="s">
        <v>26</v>
      </c>
    </row>
    <row r="22" spans="13:13" ht="23.4" x14ac:dyDescent="0.3">
      <c r="M22" s="1"/>
    </row>
    <row r="23" spans="13:13" ht="23.4" x14ac:dyDescent="0.3">
      <c r="M23" s="3" t="s">
        <v>27</v>
      </c>
    </row>
    <row r="24" spans="13:13" ht="23.4" x14ac:dyDescent="0.3">
      <c r="M24" s="1"/>
    </row>
    <row r="25" spans="13:13" ht="24" thickBot="1" x14ac:dyDescent="0.35">
      <c r="M25" s="5" t="s">
        <v>28</v>
      </c>
    </row>
  </sheetData>
  <phoneticPr fontId="5" type="noConversion"/>
  <conditionalFormatting sqref="L17:M2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BC76-BBD7-439C-99B9-2A0563898E10}">
  <dimension ref="A1:N16"/>
  <sheetViews>
    <sheetView tabSelected="1" topLeftCell="I1" zoomScale="60" workbookViewId="0">
      <selection activeCell="L2" sqref="L2:L7"/>
    </sheetView>
  </sheetViews>
  <sheetFormatPr defaultRowHeight="14.4" x14ac:dyDescent="0.3"/>
  <cols>
    <col min="1" max="1" width="17.6640625" bestFit="1" customWidth="1"/>
    <col min="2" max="2" width="16" customWidth="1"/>
    <col min="3" max="3" width="12.21875" customWidth="1"/>
    <col min="4" max="4" width="13.5546875" customWidth="1"/>
    <col min="5" max="5" width="18.21875" customWidth="1"/>
    <col min="6" max="6" width="21.44140625" customWidth="1"/>
    <col min="7" max="7" width="29.6640625" customWidth="1"/>
    <col min="8" max="8" width="18.44140625" customWidth="1"/>
    <col min="9" max="9" width="30.77734375" customWidth="1"/>
    <col min="10" max="10" width="39.109375" customWidth="1"/>
    <col min="11" max="11" width="22.6640625" customWidth="1"/>
    <col min="12" max="12" width="28.109375" customWidth="1"/>
    <col min="13" max="13" width="26" customWidth="1"/>
    <col min="14" max="14" width="160" customWidth="1"/>
  </cols>
  <sheetData>
    <row r="1" spans="1:14" ht="18" thickBot="1" x14ac:dyDescent="0.4">
      <c r="A1" s="22" t="s">
        <v>29</v>
      </c>
      <c r="B1" s="22" t="s">
        <v>1</v>
      </c>
      <c r="C1" s="22" t="s">
        <v>30</v>
      </c>
      <c r="D1" s="22" t="s">
        <v>31</v>
      </c>
      <c r="E1" s="22" t="s">
        <v>32</v>
      </c>
      <c r="F1" s="23" t="s">
        <v>51</v>
      </c>
      <c r="G1" s="23" t="s">
        <v>52</v>
      </c>
      <c r="H1" s="23" t="s">
        <v>53</v>
      </c>
      <c r="I1" s="23" t="s">
        <v>54</v>
      </c>
      <c r="J1" s="23" t="s">
        <v>55</v>
      </c>
      <c r="K1" s="23" t="s">
        <v>56</v>
      </c>
      <c r="L1" s="23" t="s">
        <v>57</v>
      </c>
      <c r="M1" s="23" t="s">
        <v>58</v>
      </c>
      <c r="N1" s="27" t="s">
        <v>59</v>
      </c>
    </row>
    <row r="2" spans="1:14" ht="18.600000000000001" thickTop="1" thickBot="1" x14ac:dyDescent="0.4">
      <c r="A2" s="24">
        <v>101</v>
      </c>
      <c r="B2" s="24" t="s">
        <v>33</v>
      </c>
      <c r="C2" s="25">
        <v>120</v>
      </c>
      <c r="D2" s="25">
        <v>150</v>
      </c>
      <c r="E2" s="24" t="s">
        <v>39</v>
      </c>
      <c r="F2" s="24" t="str">
        <f>IF(C2&gt;=D2, "Met", "Not Met")</f>
        <v>Not Met</v>
      </c>
      <c r="G2" s="24" t="str">
        <f>IF(AND(E2="North", C2&gt;200), "Eligible", "Not Eligible")</f>
        <v>Not Eligible</v>
      </c>
      <c r="H2" s="26">
        <f>IF(C2&gt;=200, 10%, IF(C2&gt;=150, 7%, 5%))</f>
        <v>0.05</v>
      </c>
      <c r="I2" s="24">
        <f>IF(C2&gt;=D2, C2*10%, C2*5%)</f>
        <v>6</v>
      </c>
      <c r="J2" s="24" t="str">
        <f>IF(C2&gt;=200, "Excellent", IF(C2&gt;=150, "Good",IF(C2&lt;=150, "Needs Improvement")))</f>
        <v>Needs Improvement</v>
      </c>
      <c r="K2" s="24">
        <f>IF(AND(C2&gt;=150, E2="North"), 500, 300)</f>
        <v>300</v>
      </c>
      <c r="L2" s="24" t="str">
        <f>IF(C2&gt;=_xlfn.PERCENTILE.INC($C$2:$C$7, 0.75), "High Performer", "Low Performer")</f>
        <v>Low Performer</v>
      </c>
      <c r="M2" s="24" t="str" cm="1">
        <f t="array" ref="M2">IF(C2&gt;200,"High",IF(C2&gt;=100,"Medium",IF(C2:C7&lt;=100,"Low")))</f>
        <v>Medium</v>
      </c>
      <c r="N2" s="28">
        <f>_xlfn.PERCENTILE.INC(C2:C7,0.75)</f>
        <v>187.5</v>
      </c>
    </row>
    <row r="3" spans="1:14" ht="18.600000000000001" thickTop="1" thickBot="1" x14ac:dyDescent="0.4">
      <c r="A3" s="24">
        <v>102</v>
      </c>
      <c r="B3" s="24" t="s">
        <v>34</v>
      </c>
      <c r="C3" s="25">
        <v>150</v>
      </c>
      <c r="D3" s="25">
        <v>140</v>
      </c>
      <c r="E3" s="24" t="s">
        <v>40</v>
      </c>
      <c r="F3" s="24" t="str">
        <f t="shared" ref="F3:F7" si="0">IF(C3&gt;=D3, "Met", "Not Met")</f>
        <v>Met</v>
      </c>
      <c r="G3" s="24" t="str">
        <f t="shared" ref="G3:G7" si="1">IF(AND(E3="North", C3&gt;200), "Eligible", "Not Eligible")</f>
        <v>Not Eligible</v>
      </c>
      <c r="H3" s="26">
        <f t="shared" ref="H3:H7" si="2">IF(C3&gt;=200, 10%, IF(C3&gt;=150, 7%, 5%))</f>
        <v>7.0000000000000007E-2</v>
      </c>
      <c r="I3" s="24">
        <f t="shared" ref="I3:I7" si="3">IF(C3&gt;=D3, C3*10%, C3*5%)</f>
        <v>15</v>
      </c>
      <c r="J3" s="24" t="str">
        <f>IF(C3&gt;=200, "Excellent", IF(C3&gt;=150, "Good", "Needs Improvement"))</f>
        <v>Good</v>
      </c>
      <c r="K3" s="24">
        <f t="shared" ref="K3:K7" si="4">IF(AND(C3&gt;=150, E3="North"), 500, 300)</f>
        <v>300</v>
      </c>
      <c r="L3" s="24" t="str">
        <f t="shared" ref="L3:L7" si="5">IF(C3&gt;=_xlfn.PERCENTILE.INC($C$2:$C$7, 0.75), "High Performer", "Low Performer")</f>
        <v>Low Performer</v>
      </c>
      <c r="M3" s="24" t="str">
        <f t="shared" ref="M3:M7" si="6">IF(C3&gt;200, "High", IF(C3&gt;=100, "Medium", "Low"))</f>
        <v>Medium</v>
      </c>
      <c r="N3" s="28">
        <f t="shared" ref="N3:N7" si="7">_xlfn.PERCENTILE.INC(C3:C8,0.75)</f>
        <v>200</v>
      </c>
    </row>
    <row r="4" spans="1:14" ht="18.600000000000001" thickTop="1" thickBot="1" x14ac:dyDescent="0.4">
      <c r="A4" s="24">
        <v>103</v>
      </c>
      <c r="B4" s="24" t="s">
        <v>35</v>
      </c>
      <c r="C4" s="25">
        <v>200</v>
      </c>
      <c r="D4" s="25">
        <v>200</v>
      </c>
      <c r="E4" s="24" t="s">
        <v>41</v>
      </c>
      <c r="F4" s="24" t="str">
        <f t="shared" si="0"/>
        <v>Met</v>
      </c>
      <c r="G4" s="24" t="str">
        <f t="shared" si="1"/>
        <v>Not Eligible</v>
      </c>
      <c r="H4" s="26">
        <f t="shared" si="2"/>
        <v>0.1</v>
      </c>
      <c r="I4" s="24">
        <f t="shared" si="3"/>
        <v>20</v>
      </c>
      <c r="J4" s="24" t="str">
        <f t="shared" ref="J4:J7" si="8">IF(C4&gt;=200, "Excellent", IF(C4&gt;=150, "Good", "Needs Improvement"))</f>
        <v>Excellent</v>
      </c>
      <c r="K4" s="24">
        <f t="shared" si="4"/>
        <v>300</v>
      </c>
      <c r="L4" s="24" t="str">
        <f t="shared" si="5"/>
        <v>High Performer</v>
      </c>
      <c r="M4" s="24" t="str">
        <f t="shared" si="6"/>
        <v>Medium</v>
      </c>
      <c r="N4" s="28">
        <f t="shared" si="7"/>
        <v>205</v>
      </c>
    </row>
    <row r="5" spans="1:14" ht="18.600000000000001" thickTop="1" thickBot="1" x14ac:dyDescent="0.4">
      <c r="A5" s="24">
        <v>104</v>
      </c>
      <c r="B5" s="24" t="s">
        <v>36</v>
      </c>
      <c r="C5" s="25">
        <v>90</v>
      </c>
      <c r="D5" s="25">
        <v>100</v>
      </c>
      <c r="E5" s="24" t="s">
        <v>42</v>
      </c>
      <c r="F5" s="24" t="str">
        <f t="shared" si="0"/>
        <v>Not Met</v>
      </c>
      <c r="G5" s="24" t="str">
        <f t="shared" si="1"/>
        <v>Not Eligible</v>
      </c>
      <c r="H5" s="26">
        <f t="shared" si="2"/>
        <v>0.05</v>
      </c>
      <c r="I5" s="24">
        <f t="shared" si="3"/>
        <v>4.5</v>
      </c>
      <c r="J5" s="24" t="str">
        <f t="shared" si="8"/>
        <v>Needs Improvement</v>
      </c>
      <c r="K5" s="24">
        <f t="shared" si="4"/>
        <v>300</v>
      </c>
      <c r="L5" s="24" t="str">
        <f t="shared" si="5"/>
        <v>Low Performer</v>
      </c>
      <c r="M5" s="24" t="str">
        <f t="shared" si="6"/>
        <v>Low</v>
      </c>
      <c r="N5" s="28">
        <f t="shared" si="7"/>
        <v>175</v>
      </c>
    </row>
    <row r="6" spans="1:14" ht="18.600000000000001" thickTop="1" thickBot="1" x14ac:dyDescent="0.4">
      <c r="A6" s="24">
        <v>105</v>
      </c>
      <c r="B6" s="24" t="s">
        <v>37</v>
      </c>
      <c r="C6" s="25">
        <v>220</v>
      </c>
      <c r="D6" s="25">
        <v>210</v>
      </c>
      <c r="E6" s="24" t="s">
        <v>39</v>
      </c>
      <c r="F6" s="24" t="str">
        <f t="shared" si="0"/>
        <v>Met</v>
      </c>
      <c r="G6" s="24" t="str">
        <f t="shared" si="1"/>
        <v>Eligible</v>
      </c>
      <c r="H6" s="26">
        <f t="shared" si="2"/>
        <v>0.1</v>
      </c>
      <c r="I6" s="24">
        <f t="shared" si="3"/>
        <v>22</v>
      </c>
      <c r="J6" s="24" t="str">
        <f t="shared" si="8"/>
        <v>Excellent</v>
      </c>
      <c r="K6" s="24">
        <f t="shared" si="4"/>
        <v>500</v>
      </c>
      <c r="L6" s="24" t="str">
        <f t="shared" si="5"/>
        <v>High Performer</v>
      </c>
      <c r="M6" s="24" t="str">
        <f t="shared" si="6"/>
        <v>High</v>
      </c>
      <c r="N6" s="28">
        <f t="shared" si="7"/>
        <v>197.5</v>
      </c>
    </row>
    <row r="7" spans="1:14" ht="18.600000000000001" thickTop="1" thickBot="1" x14ac:dyDescent="0.4">
      <c r="A7" s="24">
        <v>106</v>
      </c>
      <c r="B7" s="24" t="s">
        <v>38</v>
      </c>
      <c r="C7" s="25">
        <v>130</v>
      </c>
      <c r="D7" s="25">
        <v>160</v>
      </c>
      <c r="E7" s="24" t="s">
        <v>40</v>
      </c>
      <c r="F7" s="24" t="str">
        <f t="shared" si="0"/>
        <v>Not Met</v>
      </c>
      <c r="G7" s="24" t="str">
        <f t="shared" si="1"/>
        <v>Not Eligible</v>
      </c>
      <c r="H7" s="26">
        <f t="shared" si="2"/>
        <v>0.05</v>
      </c>
      <c r="I7" s="24">
        <f t="shared" si="3"/>
        <v>6.5</v>
      </c>
      <c r="J7" s="24" t="str">
        <f t="shared" si="8"/>
        <v>Needs Improvement</v>
      </c>
      <c r="K7" s="24">
        <f t="shared" si="4"/>
        <v>300</v>
      </c>
      <c r="L7" s="24" t="str">
        <f t="shared" si="5"/>
        <v>Low Performer</v>
      </c>
      <c r="M7" s="24" t="str">
        <f t="shared" si="6"/>
        <v>Medium</v>
      </c>
      <c r="N7" s="28">
        <f t="shared" si="7"/>
        <v>130</v>
      </c>
    </row>
    <row r="8" spans="1:14" ht="15" thickTop="1" x14ac:dyDescent="0.3">
      <c r="H8" s="21"/>
    </row>
    <row r="9" spans="1:14" ht="15.6" x14ac:dyDescent="0.3">
      <c r="N9" s="20" t="s">
        <v>43</v>
      </c>
    </row>
    <row r="10" spans="1:14" ht="15.6" x14ac:dyDescent="0.3">
      <c r="N10" s="20" t="s">
        <v>44</v>
      </c>
    </row>
    <row r="11" spans="1:14" ht="15.6" x14ac:dyDescent="0.3">
      <c r="N11" s="20" t="s">
        <v>45</v>
      </c>
    </row>
    <row r="12" spans="1:14" ht="15.6" x14ac:dyDescent="0.3">
      <c r="N12" s="20" t="s">
        <v>46</v>
      </c>
    </row>
    <row r="13" spans="1:14" ht="15.6" x14ac:dyDescent="0.3">
      <c r="N13" s="20" t="s">
        <v>47</v>
      </c>
    </row>
    <row r="14" spans="1:14" ht="15.6" x14ac:dyDescent="0.3">
      <c r="N14" s="20" t="s">
        <v>48</v>
      </c>
    </row>
    <row r="15" spans="1:14" ht="15.6" x14ac:dyDescent="0.3">
      <c r="N15" s="20" t="s">
        <v>49</v>
      </c>
    </row>
    <row r="16" spans="1:14" ht="15.6" x14ac:dyDescent="0.3">
      <c r="N16" s="2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Sales Data 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Aritra chatterjee</dc:creator>
  <cp:lastModifiedBy>Aritra chatterjee</cp:lastModifiedBy>
  <dcterms:created xsi:type="dcterms:W3CDTF">2026-07-28T04:58:04Z</dcterms:created>
  <dcterms:modified xsi:type="dcterms:W3CDTF">2026-08-03T10:03:37Z</dcterms:modified>
</cp:coreProperties>
</file>