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tr\Downloads\"/>
    </mc:Choice>
  </mc:AlternateContent>
  <xr:revisionPtr revIDLastSave="0" documentId="13_ncr:1_{D77B0867-F3B1-49EA-B840-EF9D97B9FB34}" xr6:coauthVersionLast="47" xr6:coauthVersionMax="47" xr10:uidLastSave="{00000000-0000-0000-0000-000000000000}"/>
  <bookViews>
    <workbookView xWindow="-96" yWindow="0" windowWidth="11712" windowHeight="12336" firstSheet="3" activeTab="4" xr2:uid="{B275022F-1C1C-4C40-87FB-494BA723265E}"/>
  </bookViews>
  <sheets>
    <sheet name="Formulas" sheetId="1" r:id="rId1"/>
    <sheet name="Sheet4" sheetId="4" r:id="rId2"/>
    <sheet name="Fillter" sheetId="6" r:id="rId3"/>
    <sheet name="Sheet5" sheetId="8" r:id="rId4"/>
    <sheet name="conditional formatting" sheetId="9" r:id="rId5"/>
    <sheet name="Sort" sheetId="5" r:id="rId6"/>
    <sheet name="Fill" sheetId="2" r:id="rId7"/>
  </sheets>
  <definedNames>
    <definedName name="_xlnm._FilterDatabase" localSheetId="2" hidden="1">Fillter!$A$1:$U$501</definedName>
    <definedName name="_xlnm.Criteria" localSheetId="2">Fillter!$X$1:$X$2</definedName>
    <definedName name="_xlnm.Extract" localSheetId="2">Fillter!$AF$83:$AZ$83</definedName>
    <definedName name="_xlnm.Extract" localSheetId="3">Sheet5!$A$1:$U$1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01" i="6" l="1"/>
  <c r="T501" i="6" a="1"/>
  <c r="T501" i="6" s="1"/>
  <c r="S501" i="6"/>
  <c r="Q501" i="6"/>
  <c r="P501" i="6"/>
  <c r="U500" i="6"/>
  <c r="T500" i="6" a="1"/>
  <c r="T500" i="6" s="1"/>
  <c r="S500" i="6"/>
  <c r="Q500" i="6"/>
  <c r="P500" i="6"/>
  <c r="R500" i="6" s="1"/>
  <c r="U499" i="6"/>
  <c r="T499" i="6" a="1"/>
  <c r="T499" i="6" s="1"/>
  <c r="S499" i="6"/>
  <c r="Q499" i="6"/>
  <c r="R499" i="6" s="1"/>
  <c r="P499" i="6"/>
  <c r="U498" i="6"/>
  <c r="T498" i="6" a="1"/>
  <c r="T498" i="6" s="1"/>
  <c r="S498" i="6"/>
  <c r="Q498" i="6"/>
  <c r="P498" i="6"/>
  <c r="U497" i="6"/>
  <c r="T497" i="6" a="1"/>
  <c r="T497" i="6" s="1"/>
  <c r="S497" i="6"/>
  <c r="Q497" i="6"/>
  <c r="P497" i="6"/>
  <c r="U496" i="6"/>
  <c r="T496" i="6" a="1"/>
  <c r="T496" i="6" s="1"/>
  <c r="S496" i="6"/>
  <c r="Q496" i="6"/>
  <c r="P496" i="6"/>
  <c r="U495" i="6"/>
  <c r="T495" i="6" a="1"/>
  <c r="T495" i="6" s="1"/>
  <c r="S495" i="6"/>
  <c r="Q495" i="6"/>
  <c r="P495" i="6"/>
  <c r="U494" i="6"/>
  <c r="T494" i="6" a="1"/>
  <c r="T494" i="6" s="1"/>
  <c r="S494" i="6"/>
  <c r="Q494" i="6"/>
  <c r="P494" i="6"/>
  <c r="U493" i="6"/>
  <c r="T493" i="6" a="1"/>
  <c r="T493" i="6" s="1"/>
  <c r="S493" i="6"/>
  <c r="Q493" i="6"/>
  <c r="P493" i="6"/>
  <c r="U492" i="6"/>
  <c r="T492" i="6" a="1"/>
  <c r="T492" i="6" s="1"/>
  <c r="S492" i="6"/>
  <c r="Q492" i="6"/>
  <c r="P492" i="6"/>
  <c r="U491" i="6"/>
  <c r="T491" i="6" a="1"/>
  <c r="T491" i="6" s="1"/>
  <c r="S491" i="6"/>
  <c r="Q491" i="6"/>
  <c r="P491" i="6"/>
  <c r="U490" i="6"/>
  <c r="T490" i="6" a="1"/>
  <c r="T490" i="6" s="1"/>
  <c r="S490" i="6"/>
  <c r="Q490" i="6"/>
  <c r="P490" i="6"/>
  <c r="U489" i="6"/>
  <c r="T489" i="6" a="1"/>
  <c r="T489" i="6" s="1"/>
  <c r="S489" i="6"/>
  <c r="Q489" i="6"/>
  <c r="P489" i="6"/>
  <c r="U488" i="6"/>
  <c r="T488" i="6" a="1"/>
  <c r="T488" i="6" s="1"/>
  <c r="S488" i="6"/>
  <c r="Q488" i="6"/>
  <c r="P488" i="6"/>
  <c r="U487" i="6"/>
  <c r="T487" i="6" a="1"/>
  <c r="T487" i="6" s="1"/>
  <c r="S487" i="6"/>
  <c r="Q487" i="6"/>
  <c r="P487" i="6"/>
  <c r="R487" i="6" s="1"/>
  <c r="U486" i="6"/>
  <c r="T486" i="6" a="1"/>
  <c r="T486" i="6" s="1"/>
  <c r="S486" i="6"/>
  <c r="Q486" i="6"/>
  <c r="P486" i="6"/>
  <c r="R486" i="6" s="1"/>
  <c r="U485" i="6"/>
  <c r="T485" i="6" a="1"/>
  <c r="T485" i="6" s="1"/>
  <c r="S485" i="6"/>
  <c r="Q485" i="6"/>
  <c r="P485" i="6"/>
  <c r="U484" i="6"/>
  <c r="T484" i="6" a="1"/>
  <c r="T484" i="6" s="1"/>
  <c r="S484" i="6"/>
  <c r="Q484" i="6"/>
  <c r="P484" i="6"/>
  <c r="U483" i="6"/>
  <c r="T483" i="6" a="1"/>
  <c r="T483" i="6" s="1"/>
  <c r="S483" i="6"/>
  <c r="Q483" i="6"/>
  <c r="P483" i="6"/>
  <c r="R483" i="6" s="1"/>
  <c r="U482" i="6"/>
  <c r="T482" i="6" a="1"/>
  <c r="T482" i="6" s="1"/>
  <c r="S482" i="6"/>
  <c r="Q482" i="6"/>
  <c r="R482" i="6" s="1"/>
  <c r="P482" i="6"/>
  <c r="U481" i="6"/>
  <c r="T481" i="6" a="1"/>
  <c r="T481" i="6" s="1"/>
  <c r="S481" i="6"/>
  <c r="Q481" i="6"/>
  <c r="P481" i="6"/>
  <c r="U480" i="6"/>
  <c r="T480" i="6" a="1"/>
  <c r="T480" i="6" s="1"/>
  <c r="S480" i="6"/>
  <c r="Q480" i="6"/>
  <c r="P480" i="6"/>
  <c r="U479" i="6"/>
  <c r="T479" i="6" a="1"/>
  <c r="T479" i="6" s="1"/>
  <c r="S479" i="6"/>
  <c r="Q479" i="6"/>
  <c r="P479" i="6"/>
  <c r="U478" i="6"/>
  <c r="T478" i="6" a="1"/>
  <c r="T478" i="6" s="1"/>
  <c r="S478" i="6"/>
  <c r="Q478" i="6"/>
  <c r="P478" i="6"/>
  <c r="U477" i="6"/>
  <c r="T477" i="6" a="1"/>
  <c r="T477" i="6" s="1"/>
  <c r="S477" i="6"/>
  <c r="Q477" i="6"/>
  <c r="P477" i="6"/>
  <c r="U476" i="6"/>
  <c r="T476" i="6" a="1"/>
  <c r="T476" i="6" s="1"/>
  <c r="S476" i="6"/>
  <c r="Q476" i="6"/>
  <c r="P476" i="6"/>
  <c r="U475" i="6"/>
  <c r="T475" i="6" a="1"/>
  <c r="T475" i="6" s="1"/>
  <c r="S475" i="6"/>
  <c r="Q475" i="6"/>
  <c r="P475" i="6"/>
  <c r="U474" i="6"/>
  <c r="T474" i="6"/>
  <c r="T474" i="6" a="1"/>
  <c r="S474" i="6"/>
  <c r="Q474" i="6"/>
  <c r="P474" i="6"/>
  <c r="R474" i="6" s="1"/>
  <c r="U473" i="6"/>
  <c r="T473" i="6" a="1"/>
  <c r="T473" i="6" s="1"/>
  <c r="S473" i="6"/>
  <c r="Q473" i="6"/>
  <c r="P473" i="6"/>
  <c r="U472" i="6"/>
  <c r="T472" i="6" a="1"/>
  <c r="T472" i="6" s="1"/>
  <c r="S472" i="6"/>
  <c r="Q472" i="6"/>
  <c r="P472" i="6"/>
  <c r="U471" i="6"/>
  <c r="T471" i="6" a="1"/>
  <c r="T471" i="6" s="1"/>
  <c r="S471" i="6"/>
  <c r="Q471" i="6"/>
  <c r="P471" i="6"/>
  <c r="U470" i="6"/>
  <c r="T470" i="6" a="1"/>
  <c r="T470" i="6" s="1"/>
  <c r="S470" i="6"/>
  <c r="Q470" i="6"/>
  <c r="R470" i="6" s="1"/>
  <c r="P470" i="6"/>
  <c r="U469" i="6"/>
  <c r="T469" i="6" a="1"/>
  <c r="T469" i="6" s="1"/>
  <c r="S469" i="6"/>
  <c r="Q469" i="6"/>
  <c r="P469" i="6"/>
  <c r="U468" i="6"/>
  <c r="T468" i="6" a="1"/>
  <c r="T468" i="6" s="1"/>
  <c r="S468" i="6"/>
  <c r="Q468" i="6"/>
  <c r="P468" i="6"/>
  <c r="U467" i="6"/>
  <c r="T467" i="6" a="1"/>
  <c r="T467" i="6" s="1"/>
  <c r="S467" i="6"/>
  <c r="Q467" i="6"/>
  <c r="P467" i="6"/>
  <c r="U466" i="6"/>
  <c r="T466" i="6" a="1"/>
  <c r="T466" i="6" s="1"/>
  <c r="S466" i="6"/>
  <c r="Q466" i="6"/>
  <c r="P466" i="6"/>
  <c r="R466" i="6" s="1"/>
  <c r="U465" i="6"/>
  <c r="T465" i="6" a="1"/>
  <c r="T465" i="6" s="1"/>
  <c r="S465" i="6"/>
  <c r="Q465" i="6"/>
  <c r="P465" i="6"/>
  <c r="U464" i="6"/>
  <c r="T464" i="6" a="1"/>
  <c r="T464" i="6" s="1"/>
  <c r="S464" i="6"/>
  <c r="Q464" i="6"/>
  <c r="P464" i="6"/>
  <c r="U463" i="6"/>
  <c r="T463" i="6" a="1"/>
  <c r="T463" i="6" s="1"/>
  <c r="S463" i="6"/>
  <c r="Q463" i="6"/>
  <c r="R463" i="6" s="1"/>
  <c r="P463" i="6"/>
  <c r="U462" i="6"/>
  <c r="T462" i="6" a="1"/>
  <c r="T462" i="6" s="1"/>
  <c r="S462" i="6"/>
  <c r="Q462" i="6"/>
  <c r="P462" i="6"/>
  <c r="R462" i="6" s="1"/>
  <c r="U461" i="6"/>
  <c r="T461" i="6" a="1"/>
  <c r="T461" i="6" s="1"/>
  <c r="S461" i="6"/>
  <c r="Q461" i="6"/>
  <c r="P461" i="6"/>
  <c r="U460" i="6"/>
  <c r="T460" i="6" a="1"/>
  <c r="T460" i="6" s="1"/>
  <c r="S460" i="6"/>
  <c r="Q460" i="6"/>
  <c r="P460" i="6"/>
  <c r="R460" i="6" s="1"/>
  <c r="U459" i="6"/>
  <c r="T459" i="6" a="1"/>
  <c r="T459" i="6" s="1"/>
  <c r="S459" i="6"/>
  <c r="Q459" i="6"/>
  <c r="P459" i="6"/>
  <c r="U458" i="6"/>
  <c r="T458" i="6" a="1"/>
  <c r="T458" i="6" s="1"/>
  <c r="S458" i="6"/>
  <c r="Q458" i="6"/>
  <c r="P458" i="6"/>
  <c r="U457" i="6"/>
  <c r="T457" i="6" a="1"/>
  <c r="T457" i="6" s="1"/>
  <c r="S457" i="6"/>
  <c r="Q457" i="6"/>
  <c r="P457" i="6"/>
  <c r="U456" i="6"/>
  <c r="T456" i="6" a="1"/>
  <c r="T456" i="6" s="1"/>
  <c r="S456" i="6"/>
  <c r="Q456" i="6"/>
  <c r="P456" i="6"/>
  <c r="U455" i="6"/>
  <c r="T455" i="6"/>
  <c r="T455" i="6" a="1"/>
  <c r="S455" i="6"/>
  <c r="Q455" i="6"/>
  <c r="P455" i="6"/>
  <c r="R455" i="6" s="1"/>
  <c r="U454" i="6"/>
  <c r="T454" i="6" a="1"/>
  <c r="T454" i="6" s="1"/>
  <c r="S454" i="6"/>
  <c r="Q454" i="6"/>
  <c r="P454" i="6"/>
  <c r="U453" i="6"/>
  <c r="T453" i="6"/>
  <c r="T453" i="6" a="1"/>
  <c r="S453" i="6"/>
  <c r="Q453" i="6"/>
  <c r="P453" i="6"/>
  <c r="R453" i="6" s="1"/>
  <c r="U452" i="6"/>
  <c r="T452" i="6" a="1"/>
  <c r="T452" i="6" s="1"/>
  <c r="S452" i="6"/>
  <c r="Q452" i="6"/>
  <c r="P452" i="6"/>
  <c r="U451" i="6"/>
  <c r="T451" i="6" a="1"/>
  <c r="T451" i="6" s="1"/>
  <c r="S451" i="6"/>
  <c r="Q451" i="6"/>
  <c r="R451" i="6" s="1"/>
  <c r="P451" i="6"/>
  <c r="U450" i="6"/>
  <c r="T450" i="6" a="1"/>
  <c r="T450" i="6" s="1"/>
  <c r="S450" i="6"/>
  <c r="Q450" i="6"/>
  <c r="P450" i="6"/>
  <c r="U449" i="6"/>
  <c r="T449" i="6" a="1"/>
  <c r="T449" i="6" s="1"/>
  <c r="S449" i="6"/>
  <c r="Q449" i="6"/>
  <c r="P449" i="6"/>
  <c r="U448" i="6"/>
  <c r="T448" i="6" a="1"/>
  <c r="T448" i="6" s="1"/>
  <c r="S448" i="6"/>
  <c r="Q448" i="6"/>
  <c r="P448" i="6"/>
  <c r="U447" i="6"/>
  <c r="T447" i="6" a="1"/>
  <c r="T447" i="6" s="1"/>
  <c r="S447" i="6"/>
  <c r="Q447" i="6"/>
  <c r="P447" i="6"/>
  <c r="R447" i="6" s="1"/>
  <c r="U446" i="6"/>
  <c r="T446" i="6" a="1"/>
  <c r="T446" i="6" s="1"/>
  <c r="S446" i="6"/>
  <c r="Q446" i="6"/>
  <c r="P446" i="6"/>
  <c r="U445" i="6"/>
  <c r="T445" i="6" a="1"/>
  <c r="T445" i="6" s="1"/>
  <c r="S445" i="6"/>
  <c r="Q445" i="6"/>
  <c r="P445" i="6"/>
  <c r="U444" i="6"/>
  <c r="T444" i="6" a="1"/>
  <c r="T444" i="6" s="1"/>
  <c r="S444" i="6"/>
  <c r="Q444" i="6"/>
  <c r="P444" i="6"/>
  <c r="U443" i="6"/>
  <c r="T443" i="6" a="1"/>
  <c r="T443" i="6" s="1"/>
  <c r="S443" i="6"/>
  <c r="Q443" i="6"/>
  <c r="P443" i="6"/>
  <c r="U442" i="6"/>
  <c r="T442" i="6" a="1"/>
  <c r="T442" i="6" s="1"/>
  <c r="S442" i="6"/>
  <c r="Q442" i="6"/>
  <c r="R442" i="6" s="1"/>
  <c r="P442" i="6"/>
  <c r="U441" i="6"/>
  <c r="T441" i="6" a="1"/>
  <c r="T441" i="6" s="1"/>
  <c r="S441" i="6"/>
  <c r="Q441" i="6"/>
  <c r="P441" i="6"/>
  <c r="U440" i="6"/>
  <c r="T440" i="6" a="1"/>
  <c r="T440" i="6" s="1"/>
  <c r="S440" i="6"/>
  <c r="Q440" i="6"/>
  <c r="P440" i="6"/>
  <c r="U439" i="6"/>
  <c r="T439" i="6" a="1"/>
  <c r="T439" i="6" s="1"/>
  <c r="S439" i="6"/>
  <c r="Q439" i="6"/>
  <c r="P439" i="6"/>
  <c r="R439" i="6" s="1"/>
  <c r="U438" i="6"/>
  <c r="T438" i="6" a="1"/>
  <c r="T438" i="6" s="1"/>
  <c r="S438" i="6"/>
  <c r="Q438" i="6"/>
  <c r="R438" i="6" s="1"/>
  <c r="P438" i="6"/>
  <c r="U437" i="6"/>
  <c r="T437" i="6" a="1"/>
  <c r="T437" i="6" s="1"/>
  <c r="S437" i="6"/>
  <c r="Q437" i="6"/>
  <c r="P437" i="6"/>
  <c r="U436" i="6"/>
  <c r="T436" i="6" a="1"/>
  <c r="T436" i="6" s="1"/>
  <c r="S436" i="6"/>
  <c r="Q436" i="6"/>
  <c r="P436" i="6"/>
  <c r="R436" i="6" s="1"/>
  <c r="U435" i="6"/>
  <c r="T435" i="6" a="1"/>
  <c r="T435" i="6" s="1"/>
  <c r="S435" i="6"/>
  <c r="Q435" i="6"/>
  <c r="P435" i="6"/>
  <c r="R435" i="6" s="1"/>
  <c r="U434" i="6"/>
  <c r="T434" i="6" a="1"/>
  <c r="T434" i="6" s="1"/>
  <c r="S434" i="6"/>
  <c r="Q434" i="6"/>
  <c r="P434" i="6"/>
  <c r="U433" i="6"/>
  <c r="T433" i="6" a="1"/>
  <c r="T433" i="6" s="1"/>
  <c r="S433" i="6"/>
  <c r="Q433" i="6"/>
  <c r="P433" i="6"/>
  <c r="U432" i="6"/>
  <c r="T432" i="6" a="1"/>
  <c r="T432" i="6" s="1"/>
  <c r="S432" i="6"/>
  <c r="Q432" i="6"/>
  <c r="P432" i="6"/>
  <c r="U431" i="6"/>
  <c r="T431" i="6" a="1"/>
  <c r="T431" i="6" s="1"/>
  <c r="S431" i="6"/>
  <c r="Q431" i="6"/>
  <c r="P431" i="6"/>
  <c r="R431" i="6" s="1"/>
  <c r="U430" i="6"/>
  <c r="T430" i="6" a="1"/>
  <c r="T430" i="6" s="1"/>
  <c r="S430" i="6"/>
  <c r="Q430" i="6"/>
  <c r="P430" i="6"/>
  <c r="U429" i="6"/>
  <c r="T429" i="6" a="1"/>
  <c r="T429" i="6" s="1"/>
  <c r="S429" i="6"/>
  <c r="Q429" i="6"/>
  <c r="P429" i="6"/>
  <c r="U428" i="6"/>
  <c r="T428" i="6" a="1"/>
  <c r="T428" i="6" s="1"/>
  <c r="S428" i="6"/>
  <c r="Q428" i="6"/>
  <c r="P428" i="6"/>
  <c r="U427" i="6"/>
  <c r="T427" i="6" a="1"/>
  <c r="T427" i="6" s="1"/>
  <c r="S427" i="6"/>
  <c r="Q427" i="6"/>
  <c r="P427" i="6"/>
  <c r="R427" i="6" s="1"/>
  <c r="U426" i="6"/>
  <c r="T426" i="6" a="1"/>
  <c r="T426" i="6" s="1"/>
  <c r="S426" i="6"/>
  <c r="Q426" i="6"/>
  <c r="P426" i="6"/>
  <c r="U425" i="6"/>
  <c r="T425" i="6" a="1"/>
  <c r="T425" i="6" s="1"/>
  <c r="S425" i="6"/>
  <c r="Q425" i="6"/>
  <c r="P425" i="6"/>
  <c r="U424" i="6"/>
  <c r="T424" i="6" a="1"/>
  <c r="T424" i="6" s="1"/>
  <c r="S424" i="6"/>
  <c r="Q424" i="6"/>
  <c r="P424" i="6"/>
  <c r="U423" i="6"/>
  <c r="T423" i="6" a="1"/>
  <c r="T423" i="6" s="1"/>
  <c r="S423" i="6"/>
  <c r="Q423" i="6"/>
  <c r="R423" i="6" s="1"/>
  <c r="P423" i="6"/>
  <c r="U422" i="6"/>
  <c r="T422" i="6" a="1"/>
  <c r="T422" i="6" s="1"/>
  <c r="S422" i="6"/>
  <c r="Q422" i="6"/>
  <c r="P422" i="6"/>
  <c r="U421" i="6"/>
  <c r="T421" i="6" a="1"/>
  <c r="T421" i="6" s="1"/>
  <c r="S421" i="6"/>
  <c r="Q421" i="6"/>
  <c r="P421" i="6"/>
  <c r="U420" i="6"/>
  <c r="T420" i="6" a="1"/>
  <c r="T420" i="6" s="1"/>
  <c r="S420" i="6"/>
  <c r="Q420" i="6"/>
  <c r="P420" i="6"/>
  <c r="U419" i="6"/>
  <c r="T419" i="6" a="1"/>
  <c r="T419" i="6" s="1"/>
  <c r="S419" i="6"/>
  <c r="Q419" i="6"/>
  <c r="P419" i="6"/>
  <c r="U418" i="6"/>
  <c r="T418" i="6" a="1"/>
  <c r="T418" i="6" s="1"/>
  <c r="S418" i="6"/>
  <c r="Q418" i="6"/>
  <c r="P418" i="6"/>
  <c r="U417" i="6"/>
  <c r="T417" i="6" a="1"/>
  <c r="T417" i="6" s="1"/>
  <c r="S417" i="6"/>
  <c r="Q417" i="6"/>
  <c r="P417" i="6"/>
  <c r="U416" i="6"/>
  <c r="T416" i="6" a="1"/>
  <c r="T416" i="6" s="1"/>
  <c r="S416" i="6"/>
  <c r="Q416" i="6"/>
  <c r="P416" i="6"/>
  <c r="R416" i="6" s="1"/>
  <c r="U415" i="6"/>
  <c r="T415" i="6" a="1"/>
  <c r="T415" i="6" s="1"/>
  <c r="S415" i="6"/>
  <c r="Q415" i="6"/>
  <c r="P415" i="6"/>
  <c r="U414" i="6"/>
  <c r="T414" i="6" a="1"/>
  <c r="T414" i="6" s="1"/>
  <c r="S414" i="6"/>
  <c r="Q414" i="6"/>
  <c r="R414" i="6" s="1"/>
  <c r="P414" i="6"/>
  <c r="U413" i="6"/>
  <c r="T413" i="6" a="1"/>
  <c r="T413" i="6" s="1"/>
  <c r="S413" i="6"/>
  <c r="Q413" i="6"/>
  <c r="P413" i="6"/>
  <c r="U412" i="6"/>
  <c r="T412" i="6" a="1"/>
  <c r="T412" i="6" s="1"/>
  <c r="S412" i="6"/>
  <c r="Q412" i="6"/>
  <c r="P412" i="6"/>
  <c r="U411" i="6"/>
  <c r="T411" i="6" a="1"/>
  <c r="T411" i="6" s="1"/>
  <c r="S411" i="6"/>
  <c r="Q411" i="6"/>
  <c r="P411" i="6"/>
  <c r="U410" i="6"/>
  <c r="T410" i="6" a="1"/>
  <c r="T410" i="6" s="1"/>
  <c r="S410" i="6"/>
  <c r="Q410" i="6"/>
  <c r="R410" i="6" s="1"/>
  <c r="P410" i="6"/>
  <c r="U409" i="6"/>
  <c r="T409" i="6" a="1"/>
  <c r="T409" i="6" s="1"/>
  <c r="S409" i="6"/>
  <c r="Q409" i="6"/>
  <c r="P409" i="6"/>
  <c r="R409" i="6" s="1"/>
  <c r="U408" i="6"/>
  <c r="T408" i="6" a="1"/>
  <c r="T408" i="6" s="1"/>
  <c r="S408" i="6"/>
  <c r="Q408" i="6"/>
  <c r="P408" i="6"/>
  <c r="U407" i="6"/>
  <c r="T407" i="6" a="1"/>
  <c r="T407" i="6" s="1"/>
  <c r="S407" i="6"/>
  <c r="Q407" i="6"/>
  <c r="P407" i="6"/>
  <c r="U406" i="6"/>
  <c r="T406" i="6" a="1"/>
  <c r="T406" i="6" s="1"/>
  <c r="S406" i="6"/>
  <c r="Q406" i="6"/>
  <c r="R406" i="6" s="1"/>
  <c r="P406" i="6"/>
  <c r="U405" i="6"/>
  <c r="T405" i="6" a="1"/>
  <c r="T405" i="6" s="1"/>
  <c r="S405" i="6"/>
  <c r="Q405" i="6"/>
  <c r="P405" i="6"/>
  <c r="U404" i="6"/>
  <c r="T404" i="6" a="1"/>
  <c r="T404" i="6" s="1"/>
  <c r="S404" i="6"/>
  <c r="Q404" i="6"/>
  <c r="P404" i="6"/>
  <c r="R404" i="6" s="1"/>
  <c r="U403" i="6"/>
  <c r="T403" i="6" a="1"/>
  <c r="T403" i="6" s="1"/>
  <c r="S403" i="6"/>
  <c r="Q403" i="6"/>
  <c r="P403" i="6"/>
  <c r="R403" i="6" s="1"/>
  <c r="U402" i="6"/>
  <c r="T402" i="6" a="1"/>
  <c r="T402" i="6" s="1"/>
  <c r="S402" i="6"/>
  <c r="Q402" i="6"/>
  <c r="R402" i="6" s="1"/>
  <c r="P402" i="6"/>
  <c r="U401" i="6"/>
  <c r="T401" i="6" a="1"/>
  <c r="T401" i="6" s="1"/>
  <c r="S401" i="6"/>
  <c r="Q401" i="6"/>
  <c r="P401" i="6"/>
  <c r="U400" i="6"/>
  <c r="T400" i="6" a="1"/>
  <c r="T400" i="6" s="1"/>
  <c r="S400" i="6"/>
  <c r="Q400" i="6"/>
  <c r="P400" i="6"/>
  <c r="U399" i="6"/>
  <c r="T399" i="6" a="1"/>
  <c r="T399" i="6" s="1"/>
  <c r="S399" i="6"/>
  <c r="Q399" i="6"/>
  <c r="P399" i="6"/>
  <c r="U398" i="6"/>
  <c r="T398" i="6" a="1"/>
  <c r="T398" i="6" s="1"/>
  <c r="S398" i="6"/>
  <c r="Q398" i="6"/>
  <c r="P398" i="6"/>
  <c r="U397" i="6"/>
  <c r="T397" i="6" a="1"/>
  <c r="T397" i="6" s="1"/>
  <c r="S397" i="6"/>
  <c r="Q397" i="6"/>
  <c r="P397" i="6"/>
  <c r="U396" i="6"/>
  <c r="T396" i="6" a="1"/>
  <c r="T396" i="6" s="1"/>
  <c r="S396" i="6"/>
  <c r="Q396" i="6"/>
  <c r="P396" i="6"/>
  <c r="U395" i="6"/>
  <c r="T395" i="6" a="1"/>
  <c r="T395" i="6" s="1"/>
  <c r="S395" i="6"/>
  <c r="Q395" i="6"/>
  <c r="P395" i="6"/>
  <c r="U394" i="6"/>
  <c r="T394" i="6" a="1"/>
  <c r="T394" i="6" s="1"/>
  <c r="S394" i="6"/>
  <c r="Q394" i="6"/>
  <c r="P394" i="6"/>
  <c r="U393" i="6"/>
  <c r="T393" i="6" a="1"/>
  <c r="T393" i="6" s="1"/>
  <c r="S393" i="6"/>
  <c r="Q393" i="6"/>
  <c r="P393" i="6"/>
  <c r="U392" i="6"/>
  <c r="T392" i="6" a="1"/>
  <c r="T392" i="6" s="1"/>
  <c r="S392" i="6"/>
  <c r="Q392" i="6"/>
  <c r="P392" i="6"/>
  <c r="U391" i="6"/>
  <c r="T391" i="6" a="1"/>
  <c r="T391" i="6" s="1"/>
  <c r="S391" i="6"/>
  <c r="Q391" i="6"/>
  <c r="P391" i="6"/>
  <c r="U390" i="6"/>
  <c r="T390" i="6" a="1"/>
  <c r="T390" i="6" s="1"/>
  <c r="S390" i="6"/>
  <c r="Q390" i="6"/>
  <c r="P390" i="6"/>
  <c r="R390" i="6" s="1"/>
  <c r="U389" i="6"/>
  <c r="T389" i="6" a="1"/>
  <c r="T389" i="6" s="1"/>
  <c r="S389" i="6"/>
  <c r="Q389" i="6"/>
  <c r="P389" i="6"/>
  <c r="U388" i="6"/>
  <c r="T388" i="6" a="1"/>
  <c r="T388" i="6" s="1"/>
  <c r="S388" i="6"/>
  <c r="Q388" i="6"/>
  <c r="P388" i="6"/>
  <c r="U387" i="6"/>
  <c r="T387" i="6" a="1"/>
  <c r="T387" i="6" s="1"/>
  <c r="S387" i="6"/>
  <c r="Q387" i="6"/>
  <c r="P387" i="6"/>
  <c r="U386" i="6"/>
  <c r="T386" i="6" a="1"/>
  <c r="T386" i="6" s="1"/>
  <c r="S386" i="6"/>
  <c r="Q386" i="6"/>
  <c r="P386" i="6"/>
  <c r="U385" i="6"/>
  <c r="T385" i="6" a="1"/>
  <c r="T385" i="6" s="1"/>
  <c r="S385" i="6"/>
  <c r="Q385" i="6"/>
  <c r="P385" i="6"/>
  <c r="U384" i="6"/>
  <c r="T384" i="6" a="1"/>
  <c r="T384" i="6" s="1"/>
  <c r="S384" i="6"/>
  <c r="Q384" i="6"/>
  <c r="P384" i="6"/>
  <c r="U383" i="6"/>
  <c r="T383" i="6" a="1"/>
  <c r="T383" i="6" s="1"/>
  <c r="S383" i="6"/>
  <c r="Q383" i="6"/>
  <c r="P383" i="6"/>
  <c r="U382" i="6"/>
  <c r="T382" i="6"/>
  <c r="T382" i="6" a="1"/>
  <c r="S382" i="6"/>
  <c r="Q382" i="6"/>
  <c r="R382" i="6" s="1"/>
  <c r="P382" i="6"/>
  <c r="U381" i="6"/>
  <c r="T381" i="6" a="1"/>
  <c r="T381" i="6" s="1"/>
  <c r="S381" i="6"/>
  <c r="Q381" i="6"/>
  <c r="P381" i="6"/>
  <c r="U380" i="6"/>
  <c r="T380" i="6" a="1"/>
  <c r="T380" i="6" s="1"/>
  <c r="S380" i="6"/>
  <c r="Q380" i="6"/>
  <c r="P380" i="6"/>
  <c r="R380" i="6" s="1"/>
  <c r="U379" i="6"/>
  <c r="T379" i="6" a="1"/>
  <c r="T379" i="6" s="1"/>
  <c r="S379" i="6"/>
  <c r="Q379" i="6"/>
  <c r="P379" i="6"/>
  <c r="U378" i="6"/>
  <c r="T378" i="6" a="1"/>
  <c r="T378" i="6" s="1"/>
  <c r="S378" i="6"/>
  <c r="Q378" i="6"/>
  <c r="R378" i="6" s="1"/>
  <c r="P378" i="6"/>
  <c r="U377" i="6"/>
  <c r="T377" i="6" a="1"/>
  <c r="T377" i="6" s="1"/>
  <c r="S377" i="6"/>
  <c r="Q377" i="6"/>
  <c r="P377" i="6"/>
  <c r="R377" i="6" s="1"/>
  <c r="U376" i="6"/>
  <c r="T376" i="6" a="1"/>
  <c r="T376" i="6" s="1"/>
  <c r="S376" i="6"/>
  <c r="Q376" i="6"/>
  <c r="P376" i="6"/>
  <c r="U375" i="6"/>
  <c r="T375" i="6" a="1"/>
  <c r="T375" i="6" s="1"/>
  <c r="S375" i="6"/>
  <c r="Q375" i="6"/>
  <c r="P375" i="6"/>
  <c r="R375" i="6" s="1"/>
  <c r="U374" i="6"/>
  <c r="T374" i="6" a="1"/>
  <c r="T374" i="6" s="1"/>
  <c r="S374" i="6"/>
  <c r="Q374" i="6"/>
  <c r="R374" i="6" s="1"/>
  <c r="P374" i="6"/>
  <c r="U373" i="6"/>
  <c r="T373" i="6" a="1"/>
  <c r="T373" i="6" s="1"/>
  <c r="S373" i="6"/>
  <c r="Q373" i="6"/>
  <c r="P373" i="6"/>
  <c r="U372" i="6"/>
  <c r="T372" i="6" a="1"/>
  <c r="T372" i="6" s="1"/>
  <c r="S372" i="6"/>
  <c r="Q372" i="6"/>
  <c r="P372" i="6"/>
  <c r="U371" i="6"/>
  <c r="T371" i="6" a="1"/>
  <c r="T371" i="6" s="1"/>
  <c r="S371" i="6"/>
  <c r="Q371" i="6"/>
  <c r="P371" i="6"/>
  <c r="U370" i="6"/>
  <c r="T370" i="6" a="1"/>
  <c r="T370" i="6" s="1"/>
  <c r="S370" i="6"/>
  <c r="Q370" i="6"/>
  <c r="P370" i="6"/>
  <c r="U369" i="6"/>
  <c r="T369" i="6" a="1"/>
  <c r="T369" i="6" s="1"/>
  <c r="S369" i="6"/>
  <c r="Q369" i="6"/>
  <c r="P369" i="6"/>
  <c r="R369" i="6" s="1"/>
  <c r="U368" i="6"/>
  <c r="T368" i="6" a="1"/>
  <c r="T368" i="6" s="1"/>
  <c r="S368" i="6"/>
  <c r="Q368" i="6"/>
  <c r="P368" i="6"/>
  <c r="U367" i="6"/>
  <c r="T367" i="6" a="1"/>
  <c r="T367" i="6" s="1"/>
  <c r="S367" i="6"/>
  <c r="Q367" i="6"/>
  <c r="R367" i="6" s="1"/>
  <c r="P367" i="6"/>
  <c r="U366" i="6"/>
  <c r="T366" i="6" a="1"/>
  <c r="T366" i="6" s="1"/>
  <c r="S366" i="6"/>
  <c r="Q366" i="6"/>
  <c r="P366" i="6"/>
  <c r="R366" i="6" s="1"/>
  <c r="U365" i="6"/>
  <c r="T365" i="6" a="1"/>
  <c r="T365" i="6" s="1"/>
  <c r="S365" i="6"/>
  <c r="Q365" i="6"/>
  <c r="P365" i="6"/>
  <c r="U364" i="6"/>
  <c r="T364" i="6" a="1"/>
  <c r="T364" i="6" s="1"/>
  <c r="S364" i="6"/>
  <c r="Q364" i="6"/>
  <c r="P364" i="6"/>
  <c r="U363" i="6"/>
  <c r="T363" i="6" a="1"/>
  <c r="T363" i="6" s="1"/>
  <c r="S363" i="6"/>
  <c r="R363" i="6"/>
  <c r="Q363" i="6"/>
  <c r="P363" i="6"/>
  <c r="U362" i="6"/>
  <c r="T362" i="6" a="1"/>
  <c r="T362" i="6" s="1"/>
  <c r="S362" i="6"/>
  <c r="Q362" i="6"/>
  <c r="P362" i="6"/>
  <c r="U361" i="6"/>
  <c r="T361" i="6" a="1"/>
  <c r="T361" i="6" s="1"/>
  <c r="S361" i="6"/>
  <c r="Q361" i="6"/>
  <c r="P361" i="6"/>
  <c r="U360" i="6"/>
  <c r="T360" i="6" a="1"/>
  <c r="T360" i="6" s="1"/>
  <c r="S360" i="6"/>
  <c r="Q360" i="6"/>
  <c r="P360" i="6"/>
  <c r="U359" i="6"/>
  <c r="T359" i="6" a="1"/>
  <c r="T359" i="6" s="1"/>
  <c r="S359" i="6"/>
  <c r="Q359" i="6"/>
  <c r="P359" i="6"/>
  <c r="U358" i="6"/>
  <c r="T358" i="6" a="1"/>
  <c r="T358" i="6" s="1"/>
  <c r="S358" i="6"/>
  <c r="Q358" i="6"/>
  <c r="P358" i="6"/>
  <c r="U357" i="6"/>
  <c r="T357" i="6" a="1"/>
  <c r="T357" i="6" s="1"/>
  <c r="S357" i="6"/>
  <c r="Q357" i="6"/>
  <c r="P357" i="6"/>
  <c r="U356" i="6"/>
  <c r="T356" i="6" a="1"/>
  <c r="T356" i="6" s="1"/>
  <c r="S356" i="6"/>
  <c r="Q356" i="6"/>
  <c r="P356" i="6"/>
  <c r="U355" i="6"/>
  <c r="T355" i="6" a="1"/>
  <c r="T355" i="6" s="1"/>
  <c r="S355" i="6"/>
  <c r="Q355" i="6"/>
  <c r="P355" i="6"/>
  <c r="R355" i="6" s="1"/>
  <c r="U354" i="6"/>
  <c r="T354" i="6" a="1"/>
  <c r="T354" i="6" s="1"/>
  <c r="S354" i="6"/>
  <c r="Q354" i="6"/>
  <c r="P354" i="6"/>
  <c r="U353" i="6"/>
  <c r="T353" i="6" a="1"/>
  <c r="T353" i="6" s="1"/>
  <c r="S353" i="6"/>
  <c r="Q353" i="6"/>
  <c r="P353" i="6"/>
  <c r="R353" i="6" s="1"/>
  <c r="U352" i="6"/>
  <c r="T352" i="6" a="1"/>
  <c r="T352" i="6" s="1"/>
  <c r="S352" i="6"/>
  <c r="Q352" i="6"/>
  <c r="P352" i="6"/>
  <c r="U351" i="6"/>
  <c r="T351" i="6" a="1"/>
  <c r="T351" i="6" s="1"/>
  <c r="S351" i="6"/>
  <c r="Q351" i="6"/>
  <c r="R351" i="6" s="1"/>
  <c r="P351" i="6"/>
  <c r="U350" i="6"/>
  <c r="T350" i="6" a="1"/>
  <c r="T350" i="6" s="1"/>
  <c r="S350" i="6"/>
  <c r="Q350" i="6"/>
  <c r="P350" i="6"/>
  <c r="U349" i="6"/>
  <c r="T349" i="6" a="1"/>
  <c r="T349" i="6" s="1"/>
  <c r="S349" i="6"/>
  <c r="Q349" i="6"/>
  <c r="R349" i="6" s="1"/>
  <c r="P349" i="6"/>
  <c r="U348" i="6"/>
  <c r="T348" i="6" a="1"/>
  <c r="T348" i="6" s="1"/>
  <c r="S348" i="6"/>
  <c r="Q348" i="6"/>
  <c r="P348" i="6"/>
  <c r="U347" i="6"/>
  <c r="T347" i="6" a="1"/>
  <c r="T347" i="6" s="1"/>
  <c r="S347" i="6"/>
  <c r="Q347" i="6"/>
  <c r="P347" i="6"/>
  <c r="U346" i="6"/>
  <c r="T346" i="6" a="1"/>
  <c r="T346" i="6" s="1"/>
  <c r="S346" i="6"/>
  <c r="Q346" i="6"/>
  <c r="P346" i="6"/>
  <c r="R346" i="6" s="1"/>
  <c r="U345" i="6"/>
  <c r="T345" i="6" a="1"/>
  <c r="T345" i="6" s="1"/>
  <c r="S345" i="6"/>
  <c r="Q345" i="6"/>
  <c r="P345" i="6"/>
  <c r="R345" i="6" s="1"/>
  <c r="U344" i="6"/>
  <c r="T344" i="6" a="1"/>
  <c r="T344" i="6" s="1"/>
  <c r="S344" i="6"/>
  <c r="Q344" i="6"/>
  <c r="P344" i="6"/>
  <c r="U343" i="6"/>
  <c r="T343" i="6" a="1"/>
  <c r="T343" i="6" s="1"/>
  <c r="S343" i="6"/>
  <c r="Q343" i="6"/>
  <c r="P343" i="6"/>
  <c r="U342" i="6"/>
  <c r="T342" i="6" a="1"/>
  <c r="T342" i="6" s="1"/>
  <c r="S342" i="6"/>
  <c r="Q342" i="6"/>
  <c r="P342" i="6"/>
  <c r="R342" i="6" s="1"/>
  <c r="U341" i="6"/>
  <c r="T341" i="6" a="1"/>
  <c r="T341" i="6" s="1"/>
  <c r="S341" i="6"/>
  <c r="Q341" i="6"/>
  <c r="P341" i="6"/>
  <c r="U340" i="6"/>
  <c r="T340" i="6" a="1"/>
  <c r="T340" i="6" s="1"/>
  <c r="S340" i="6"/>
  <c r="Q340" i="6"/>
  <c r="P340" i="6"/>
  <c r="R340" i="6" s="1"/>
  <c r="U339" i="6"/>
  <c r="T339" i="6" a="1"/>
  <c r="T339" i="6" s="1"/>
  <c r="S339" i="6"/>
  <c r="Q339" i="6"/>
  <c r="P339" i="6"/>
  <c r="U338" i="6"/>
  <c r="T338" i="6" a="1"/>
  <c r="T338" i="6" s="1"/>
  <c r="S338" i="6"/>
  <c r="Q338" i="6"/>
  <c r="P338" i="6"/>
  <c r="U337" i="6"/>
  <c r="T337" i="6" a="1"/>
  <c r="T337" i="6" s="1"/>
  <c r="S337" i="6"/>
  <c r="Q337" i="6"/>
  <c r="P337" i="6"/>
  <c r="U336" i="6"/>
  <c r="T336" i="6" a="1"/>
  <c r="T336" i="6" s="1"/>
  <c r="S336" i="6"/>
  <c r="Q336" i="6"/>
  <c r="P336" i="6"/>
  <c r="U335" i="6"/>
  <c r="T335" i="6" a="1"/>
  <c r="T335" i="6" s="1"/>
  <c r="S335" i="6"/>
  <c r="Q335" i="6"/>
  <c r="P335" i="6"/>
  <c r="U334" i="6"/>
  <c r="T334" i="6" a="1"/>
  <c r="T334" i="6" s="1"/>
  <c r="S334" i="6"/>
  <c r="Q334" i="6"/>
  <c r="R334" i="6" s="1"/>
  <c r="P334" i="6"/>
  <c r="U333" i="6"/>
  <c r="T333" i="6" a="1"/>
  <c r="T333" i="6" s="1"/>
  <c r="S333" i="6"/>
  <c r="Q333" i="6"/>
  <c r="P333" i="6"/>
  <c r="R333" i="6" s="1"/>
  <c r="U332" i="6"/>
  <c r="T332" i="6" a="1"/>
  <c r="T332" i="6" s="1"/>
  <c r="S332" i="6"/>
  <c r="Q332" i="6"/>
  <c r="P332" i="6"/>
  <c r="R332" i="6" s="1"/>
  <c r="U331" i="6"/>
  <c r="T331" i="6" a="1"/>
  <c r="T331" i="6" s="1"/>
  <c r="S331" i="6"/>
  <c r="Q331" i="6"/>
  <c r="P331" i="6"/>
  <c r="R331" i="6" s="1"/>
  <c r="U330" i="6"/>
  <c r="T330" i="6"/>
  <c r="T330" i="6" a="1"/>
  <c r="S330" i="6"/>
  <c r="Q330" i="6"/>
  <c r="P330" i="6"/>
  <c r="U329" i="6"/>
  <c r="T329" i="6" a="1"/>
  <c r="T329" i="6" s="1"/>
  <c r="S329" i="6"/>
  <c r="Q329" i="6"/>
  <c r="P329" i="6"/>
  <c r="U328" i="6"/>
  <c r="T328" i="6" a="1"/>
  <c r="T328" i="6" s="1"/>
  <c r="S328" i="6"/>
  <c r="Q328" i="6"/>
  <c r="P328" i="6"/>
  <c r="U327" i="6"/>
  <c r="T327" i="6" a="1"/>
  <c r="T327" i="6" s="1"/>
  <c r="S327" i="6"/>
  <c r="Q327" i="6"/>
  <c r="P327" i="6"/>
  <c r="U326" i="6"/>
  <c r="T326" i="6" a="1"/>
  <c r="T326" i="6" s="1"/>
  <c r="S326" i="6"/>
  <c r="Q326" i="6"/>
  <c r="P326" i="6"/>
  <c r="U325" i="6"/>
  <c r="T325" i="6" a="1"/>
  <c r="T325" i="6" s="1"/>
  <c r="S325" i="6"/>
  <c r="Q325" i="6"/>
  <c r="P325" i="6"/>
  <c r="U324" i="6"/>
  <c r="T324" i="6" a="1"/>
  <c r="T324" i="6" s="1"/>
  <c r="S324" i="6"/>
  <c r="Q324" i="6"/>
  <c r="P324" i="6"/>
  <c r="U323" i="6"/>
  <c r="T323" i="6" a="1"/>
  <c r="T323" i="6" s="1"/>
  <c r="S323" i="6"/>
  <c r="Q323" i="6"/>
  <c r="P323" i="6"/>
  <c r="U322" i="6"/>
  <c r="T322" i="6" a="1"/>
  <c r="T322" i="6" s="1"/>
  <c r="S322" i="6"/>
  <c r="Q322" i="6"/>
  <c r="P322" i="6"/>
  <c r="U321" i="6"/>
  <c r="T321" i="6"/>
  <c r="T321" i="6" a="1"/>
  <c r="S321" i="6"/>
  <c r="Q321" i="6"/>
  <c r="P321" i="6"/>
  <c r="R321" i="6" s="1"/>
  <c r="U320" i="6"/>
  <c r="T320" i="6" a="1"/>
  <c r="T320" i="6" s="1"/>
  <c r="S320" i="6"/>
  <c r="Q320" i="6"/>
  <c r="P320" i="6"/>
  <c r="U319" i="6"/>
  <c r="T319" i="6" a="1"/>
  <c r="T319" i="6" s="1"/>
  <c r="S319" i="6"/>
  <c r="Q319" i="6"/>
  <c r="P319" i="6"/>
  <c r="R319" i="6" s="1"/>
  <c r="U318" i="6"/>
  <c r="T318" i="6" a="1"/>
  <c r="T318" i="6" s="1"/>
  <c r="S318" i="6"/>
  <c r="Q318" i="6"/>
  <c r="P318" i="6"/>
  <c r="R318" i="6" s="1"/>
  <c r="U317" i="6"/>
  <c r="T317" i="6" a="1"/>
  <c r="T317" i="6" s="1"/>
  <c r="S317" i="6"/>
  <c r="Q317" i="6"/>
  <c r="P317" i="6"/>
  <c r="U316" i="6"/>
  <c r="T316" i="6" a="1"/>
  <c r="T316" i="6" s="1"/>
  <c r="S316" i="6"/>
  <c r="Q316" i="6"/>
  <c r="P316" i="6"/>
  <c r="U315" i="6"/>
  <c r="T315" i="6"/>
  <c r="T315" i="6" a="1"/>
  <c r="S315" i="6"/>
  <c r="Q315" i="6"/>
  <c r="R315" i="6" s="1"/>
  <c r="P315" i="6"/>
  <c r="U314" i="6"/>
  <c r="T314" i="6" a="1"/>
  <c r="T314" i="6" s="1"/>
  <c r="S314" i="6"/>
  <c r="Q314" i="6"/>
  <c r="P314" i="6"/>
  <c r="U313" i="6"/>
  <c r="T313" i="6" a="1"/>
  <c r="T313" i="6" s="1"/>
  <c r="S313" i="6"/>
  <c r="Q313" i="6"/>
  <c r="P313" i="6"/>
  <c r="R313" i="6" s="1"/>
  <c r="U312" i="6"/>
  <c r="T312" i="6" a="1"/>
  <c r="T312" i="6" s="1"/>
  <c r="S312" i="6"/>
  <c r="Q312" i="6"/>
  <c r="P312" i="6"/>
  <c r="U311" i="6"/>
  <c r="T311" i="6" a="1"/>
  <c r="T311" i="6" s="1"/>
  <c r="S311" i="6"/>
  <c r="Q311" i="6"/>
  <c r="P311" i="6"/>
  <c r="U310" i="6"/>
  <c r="T310" i="6" a="1"/>
  <c r="T310" i="6" s="1"/>
  <c r="S310" i="6"/>
  <c r="Q310" i="6"/>
  <c r="P310" i="6"/>
  <c r="U309" i="6"/>
  <c r="T309" i="6" a="1"/>
  <c r="T309" i="6" s="1"/>
  <c r="S309" i="6"/>
  <c r="Q309" i="6"/>
  <c r="P309" i="6"/>
  <c r="U308" i="6"/>
  <c r="T308" i="6" a="1"/>
  <c r="T308" i="6" s="1"/>
  <c r="S308" i="6"/>
  <c r="Q308" i="6"/>
  <c r="P308" i="6"/>
  <c r="U307" i="6"/>
  <c r="T307" i="6" a="1"/>
  <c r="T307" i="6" s="1"/>
  <c r="S307" i="6"/>
  <c r="Q307" i="6"/>
  <c r="R307" i="6" s="1"/>
  <c r="P307" i="6"/>
  <c r="U306" i="6"/>
  <c r="T306" i="6"/>
  <c r="T306" i="6" a="1"/>
  <c r="S306" i="6"/>
  <c r="Q306" i="6"/>
  <c r="P306" i="6"/>
  <c r="U305" i="6"/>
  <c r="T305" i="6" a="1"/>
  <c r="T305" i="6" s="1"/>
  <c r="S305" i="6"/>
  <c r="Q305" i="6"/>
  <c r="P305" i="6"/>
  <c r="U304" i="6"/>
  <c r="T304" i="6" a="1"/>
  <c r="T304" i="6" s="1"/>
  <c r="S304" i="6"/>
  <c r="Q304" i="6"/>
  <c r="P304" i="6"/>
  <c r="U303" i="6"/>
  <c r="T303" i="6" a="1"/>
  <c r="T303" i="6" s="1"/>
  <c r="S303" i="6"/>
  <c r="Q303" i="6"/>
  <c r="P303" i="6"/>
  <c r="R303" i="6" s="1"/>
  <c r="U302" i="6"/>
  <c r="T302" i="6" a="1"/>
  <c r="T302" i="6" s="1"/>
  <c r="S302" i="6"/>
  <c r="Q302" i="6"/>
  <c r="R302" i="6" s="1"/>
  <c r="P302" i="6"/>
  <c r="U301" i="6"/>
  <c r="T301" i="6" a="1"/>
  <c r="T301" i="6" s="1"/>
  <c r="S301" i="6"/>
  <c r="Q301" i="6"/>
  <c r="P301" i="6"/>
  <c r="U300" i="6"/>
  <c r="T300" i="6" a="1"/>
  <c r="T300" i="6" s="1"/>
  <c r="S300" i="6"/>
  <c r="Q300" i="6"/>
  <c r="P300" i="6"/>
  <c r="U299" i="6"/>
  <c r="T299" i="6" a="1"/>
  <c r="T299" i="6" s="1"/>
  <c r="S299" i="6"/>
  <c r="Q299" i="6"/>
  <c r="P299" i="6"/>
  <c r="R299" i="6" s="1"/>
  <c r="U298" i="6"/>
  <c r="T298" i="6" a="1"/>
  <c r="T298" i="6" s="1"/>
  <c r="S298" i="6"/>
  <c r="Q298" i="6"/>
  <c r="P298" i="6"/>
  <c r="U297" i="6"/>
  <c r="T297" i="6" a="1"/>
  <c r="T297" i="6" s="1"/>
  <c r="S297" i="6"/>
  <c r="Q297" i="6"/>
  <c r="P297" i="6"/>
  <c r="R297" i="6" s="1"/>
  <c r="U296" i="6"/>
  <c r="T296" i="6" a="1"/>
  <c r="T296" i="6" s="1"/>
  <c r="S296" i="6"/>
  <c r="Q296" i="6"/>
  <c r="P296" i="6"/>
  <c r="U295" i="6"/>
  <c r="T295" i="6" a="1"/>
  <c r="T295" i="6" s="1"/>
  <c r="S295" i="6"/>
  <c r="Q295" i="6"/>
  <c r="P295" i="6"/>
  <c r="U294" i="6"/>
  <c r="T294" i="6" a="1"/>
  <c r="T294" i="6" s="1"/>
  <c r="S294" i="6"/>
  <c r="Q294" i="6"/>
  <c r="P294" i="6"/>
  <c r="U293" i="6"/>
  <c r="T293" i="6" a="1"/>
  <c r="T293" i="6" s="1"/>
  <c r="S293" i="6"/>
  <c r="Q293" i="6"/>
  <c r="P293" i="6"/>
  <c r="U292" i="6"/>
  <c r="T292" i="6" a="1"/>
  <c r="T292" i="6" s="1"/>
  <c r="S292" i="6"/>
  <c r="Q292" i="6"/>
  <c r="P292" i="6"/>
  <c r="U291" i="6"/>
  <c r="T291" i="6" a="1"/>
  <c r="T291" i="6" s="1"/>
  <c r="S291" i="6"/>
  <c r="Q291" i="6"/>
  <c r="P291" i="6"/>
  <c r="U290" i="6"/>
  <c r="T290" i="6" a="1"/>
  <c r="T290" i="6" s="1"/>
  <c r="S290" i="6"/>
  <c r="Q290" i="6"/>
  <c r="P290" i="6"/>
  <c r="U289" i="6"/>
  <c r="T289" i="6" a="1"/>
  <c r="T289" i="6" s="1"/>
  <c r="S289" i="6"/>
  <c r="Q289" i="6"/>
  <c r="P289" i="6"/>
  <c r="R289" i="6" s="1"/>
  <c r="U288" i="6"/>
  <c r="T288" i="6" a="1"/>
  <c r="T288" i="6" s="1"/>
  <c r="S288" i="6"/>
  <c r="Q288" i="6"/>
  <c r="P288" i="6"/>
  <c r="U287" i="6"/>
  <c r="T287" i="6" a="1"/>
  <c r="T287" i="6" s="1"/>
  <c r="S287" i="6"/>
  <c r="Q287" i="6"/>
  <c r="P287" i="6"/>
  <c r="U286" i="6"/>
  <c r="T286" i="6" a="1"/>
  <c r="T286" i="6" s="1"/>
  <c r="S286" i="6"/>
  <c r="Q286" i="6"/>
  <c r="P286" i="6"/>
  <c r="U285" i="6"/>
  <c r="T285" i="6" a="1"/>
  <c r="T285" i="6" s="1"/>
  <c r="S285" i="6"/>
  <c r="Q285" i="6"/>
  <c r="P285" i="6"/>
  <c r="U284" i="6"/>
  <c r="T284" i="6" a="1"/>
  <c r="T284" i="6" s="1"/>
  <c r="S284" i="6"/>
  <c r="Q284" i="6"/>
  <c r="P284" i="6"/>
  <c r="U283" i="6"/>
  <c r="T283" i="6" a="1"/>
  <c r="T283" i="6" s="1"/>
  <c r="S283" i="6"/>
  <c r="Q283" i="6"/>
  <c r="R283" i="6" s="1"/>
  <c r="P283" i="6"/>
  <c r="U282" i="6"/>
  <c r="T282" i="6" a="1"/>
  <c r="T282" i="6" s="1"/>
  <c r="S282" i="6"/>
  <c r="R282" i="6"/>
  <c r="Q282" i="6"/>
  <c r="P282" i="6"/>
  <c r="U281" i="6"/>
  <c r="T281" i="6" a="1"/>
  <c r="T281" i="6" s="1"/>
  <c r="S281" i="6"/>
  <c r="Q281" i="6"/>
  <c r="P281" i="6"/>
  <c r="U280" i="6"/>
  <c r="T280" i="6" a="1"/>
  <c r="T280" i="6" s="1"/>
  <c r="S280" i="6"/>
  <c r="Q280" i="6"/>
  <c r="P280" i="6"/>
  <c r="R280" i="6" s="1"/>
  <c r="U279" i="6"/>
  <c r="T279" i="6" a="1"/>
  <c r="T279" i="6" s="1"/>
  <c r="S279" i="6"/>
  <c r="Q279" i="6"/>
  <c r="P279" i="6"/>
  <c r="U278" i="6"/>
  <c r="T278" i="6" a="1"/>
  <c r="T278" i="6" s="1"/>
  <c r="S278" i="6"/>
  <c r="Q278" i="6"/>
  <c r="P278" i="6"/>
  <c r="U277" i="6"/>
  <c r="T277" i="6" a="1"/>
  <c r="T277" i="6" s="1"/>
  <c r="S277" i="6"/>
  <c r="Q277" i="6"/>
  <c r="P277" i="6"/>
  <c r="U276" i="6"/>
  <c r="T276" i="6" a="1"/>
  <c r="T276" i="6" s="1"/>
  <c r="S276" i="6"/>
  <c r="Q276" i="6"/>
  <c r="P276" i="6"/>
  <c r="R276" i="6" s="1"/>
  <c r="U275" i="6"/>
  <c r="T275" i="6" a="1"/>
  <c r="T275" i="6" s="1"/>
  <c r="S275" i="6"/>
  <c r="Q275" i="6"/>
  <c r="P275" i="6"/>
  <c r="R275" i="6" s="1"/>
  <c r="U274" i="6"/>
  <c r="T274" i="6" a="1"/>
  <c r="T274" i="6" s="1"/>
  <c r="S274" i="6"/>
  <c r="Q274" i="6"/>
  <c r="R274" i="6" s="1"/>
  <c r="P274" i="6"/>
  <c r="U273" i="6"/>
  <c r="T273" i="6" a="1"/>
  <c r="T273" i="6" s="1"/>
  <c r="S273" i="6"/>
  <c r="Q273" i="6"/>
  <c r="P273" i="6"/>
  <c r="R273" i="6" s="1"/>
  <c r="U272" i="6"/>
  <c r="T272" i="6" a="1"/>
  <c r="T272" i="6" s="1"/>
  <c r="S272" i="6"/>
  <c r="Q272" i="6"/>
  <c r="P272" i="6"/>
  <c r="R272" i="6" s="1"/>
  <c r="U271" i="6"/>
  <c r="T271" i="6" a="1"/>
  <c r="T271" i="6" s="1"/>
  <c r="S271" i="6"/>
  <c r="Q271" i="6"/>
  <c r="P271" i="6"/>
  <c r="U270" i="6"/>
  <c r="T270" i="6" a="1"/>
  <c r="T270" i="6" s="1"/>
  <c r="S270" i="6"/>
  <c r="Q270" i="6"/>
  <c r="P270" i="6"/>
  <c r="U269" i="6"/>
  <c r="T269" i="6" a="1"/>
  <c r="T269" i="6" s="1"/>
  <c r="S269" i="6"/>
  <c r="Q269" i="6"/>
  <c r="P269" i="6"/>
  <c r="U268" i="6"/>
  <c r="T268" i="6" a="1"/>
  <c r="T268" i="6" s="1"/>
  <c r="S268" i="6"/>
  <c r="Q268" i="6"/>
  <c r="P268" i="6"/>
  <c r="U267" i="6"/>
  <c r="T267" i="6" a="1"/>
  <c r="T267" i="6" s="1"/>
  <c r="S267" i="6"/>
  <c r="Q267" i="6"/>
  <c r="P267" i="6"/>
  <c r="U266" i="6"/>
  <c r="T266" i="6" a="1"/>
  <c r="T266" i="6" s="1"/>
  <c r="S266" i="6"/>
  <c r="Q266" i="6"/>
  <c r="P266" i="6"/>
  <c r="U265" i="6"/>
  <c r="T265" i="6" a="1"/>
  <c r="T265" i="6" s="1"/>
  <c r="S265" i="6"/>
  <c r="Q265" i="6"/>
  <c r="P265" i="6"/>
  <c r="U264" i="6"/>
  <c r="T264" i="6" a="1"/>
  <c r="T264" i="6" s="1"/>
  <c r="S264" i="6"/>
  <c r="Q264" i="6"/>
  <c r="P264" i="6"/>
  <c r="U263" i="6"/>
  <c r="T263" i="6" a="1"/>
  <c r="T263" i="6" s="1"/>
  <c r="S263" i="6"/>
  <c r="Q263" i="6"/>
  <c r="P263" i="6"/>
  <c r="U262" i="6"/>
  <c r="T262" i="6" a="1"/>
  <c r="T262" i="6" s="1"/>
  <c r="S262" i="6"/>
  <c r="Q262" i="6"/>
  <c r="P262" i="6"/>
  <c r="U261" i="6"/>
  <c r="T261" i="6" a="1"/>
  <c r="T261" i="6" s="1"/>
  <c r="S261" i="6"/>
  <c r="Q261" i="6"/>
  <c r="P261" i="6"/>
  <c r="U260" i="6"/>
  <c r="T260" i="6" a="1"/>
  <c r="T260" i="6" s="1"/>
  <c r="S260" i="6"/>
  <c r="Q260" i="6"/>
  <c r="P260" i="6"/>
  <c r="R260" i="6" s="1"/>
  <c r="U259" i="6"/>
  <c r="T259" i="6" a="1"/>
  <c r="T259" i="6" s="1"/>
  <c r="S259" i="6"/>
  <c r="Q259" i="6"/>
  <c r="P259" i="6"/>
  <c r="R259" i="6" s="1"/>
  <c r="U258" i="6"/>
  <c r="T258" i="6" a="1"/>
  <c r="T258" i="6" s="1"/>
  <c r="S258" i="6"/>
  <c r="Q258" i="6"/>
  <c r="R258" i="6" s="1"/>
  <c r="P258" i="6"/>
  <c r="U257" i="6"/>
  <c r="T257" i="6" a="1"/>
  <c r="T257" i="6" s="1"/>
  <c r="S257" i="6"/>
  <c r="Q257" i="6"/>
  <c r="P257" i="6"/>
  <c r="R257" i="6" s="1"/>
  <c r="U256" i="6"/>
  <c r="T256" i="6" a="1"/>
  <c r="T256" i="6" s="1"/>
  <c r="S256" i="6"/>
  <c r="Q256" i="6"/>
  <c r="P256" i="6"/>
  <c r="U255" i="6"/>
  <c r="T255" i="6" a="1"/>
  <c r="T255" i="6" s="1"/>
  <c r="S255" i="6"/>
  <c r="Q255" i="6"/>
  <c r="P255" i="6"/>
  <c r="R255" i="6" s="1"/>
  <c r="U254" i="6"/>
  <c r="T254" i="6" a="1"/>
  <c r="T254" i="6" s="1"/>
  <c r="S254" i="6"/>
  <c r="Q254" i="6"/>
  <c r="P254" i="6"/>
  <c r="U253" i="6"/>
  <c r="T253" i="6" a="1"/>
  <c r="T253" i="6" s="1"/>
  <c r="S253" i="6"/>
  <c r="Q253" i="6"/>
  <c r="P253" i="6"/>
  <c r="R253" i="6" s="1"/>
  <c r="U252" i="6"/>
  <c r="T252" i="6" a="1"/>
  <c r="T252" i="6" s="1"/>
  <c r="S252" i="6"/>
  <c r="Q252" i="6"/>
  <c r="P252" i="6"/>
  <c r="U251" i="6"/>
  <c r="T251" i="6" a="1"/>
  <c r="T251" i="6" s="1"/>
  <c r="S251" i="6"/>
  <c r="Q251" i="6"/>
  <c r="P251" i="6"/>
  <c r="U250" i="6"/>
  <c r="T250" i="6"/>
  <c r="T250" i="6" a="1"/>
  <c r="S250" i="6"/>
  <c r="Q250" i="6"/>
  <c r="P250" i="6"/>
  <c r="U249" i="6"/>
  <c r="T249" i="6" a="1"/>
  <c r="T249" i="6" s="1"/>
  <c r="S249" i="6"/>
  <c r="Q249" i="6"/>
  <c r="P249" i="6"/>
  <c r="U248" i="6"/>
  <c r="T248" i="6" a="1"/>
  <c r="T248" i="6" s="1"/>
  <c r="S248" i="6"/>
  <c r="Q248" i="6"/>
  <c r="P248" i="6"/>
  <c r="U247" i="6"/>
  <c r="T247" i="6" a="1"/>
  <c r="T247" i="6" s="1"/>
  <c r="S247" i="6"/>
  <c r="Q247" i="6"/>
  <c r="P247" i="6"/>
  <c r="R247" i="6" s="1"/>
  <c r="U246" i="6"/>
  <c r="T246" i="6" a="1"/>
  <c r="T246" i="6" s="1"/>
  <c r="S246" i="6"/>
  <c r="R246" i="6"/>
  <c r="Q246" i="6"/>
  <c r="P246" i="6"/>
  <c r="U245" i="6"/>
  <c r="T245" i="6" a="1"/>
  <c r="T245" i="6" s="1"/>
  <c r="S245" i="6"/>
  <c r="Q245" i="6"/>
  <c r="P245" i="6"/>
  <c r="R245" i="6" s="1"/>
  <c r="U244" i="6"/>
  <c r="T244" i="6" a="1"/>
  <c r="T244" i="6" s="1"/>
  <c r="S244" i="6"/>
  <c r="Q244" i="6"/>
  <c r="P244" i="6"/>
  <c r="R244" i="6" s="1"/>
  <c r="U243" i="6"/>
  <c r="T243" i="6" a="1"/>
  <c r="T243" i="6" s="1"/>
  <c r="S243" i="6"/>
  <c r="Q243" i="6"/>
  <c r="P243" i="6"/>
  <c r="R243" i="6" s="1"/>
  <c r="U242" i="6"/>
  <c r="T242" i="6" a="1"/>
  <c r="T242" i="6" s="1"/>
  <c r="S242" i="6"/>
  <c r="Q242" i="6"/>
  <c r="P242" i="6"/>
  <c r="U241" i="6"/>
  <c r="T241" i="6" a="1"/>
  <c r="T241" i="6" s="1"/>
  <c r="S241" i="6"/>
  <c r="Q241" i="6"/>
  <c r="P241" i="6"/>
  <c r="U240" i="6"/>
  <c r="T240" i="6" a="1"/>
  <c r="T240" i="6" s="1"/>
  <c r="S240" i="6"/>
  <c r="Q240" i="6"/>
  <c r="P240" i="6"/>
  <c r="U239" i="6"/>
  <c r="T239" i="6" a="1"/>
  <c r="T239" i="6" s="1"/>
  <c r="S239" i="6"/>
  <c r="Q239" i="6"/>
  <c r="P239" i="6"/>
  <c r="R239" i="6" s="1"/>
  <c r="U238" i="6"/>
  <c r="T238" i="6" a="1"/>
  <c r="T238" i="6" s="1"/>
  <c r="S238" i="6"/>
  <c r="Q238" i="6"/>
  <c r="P238" i="6"/>
  <c r="U237" i="6"/>
  <c r="T237" i="6" a="1"/>
  <c r="T237" i="6" s="1"/>
  <c r="S237" i="6"/>
  <c r="Q237" i="6"/>
  <c r="P237" i="6"/>
  <c r="U236" i="6"/>
  <c r="T236" i="6" a="1"/>
  <c r="T236" i="6" s="1"/>
  <c r="S236" i="6"/>
  <c r="Q236" i="6"/>
  <c r="P236" i="6"/>
  <c r="R236" i="6" s="1"/>
  <c r="U235" i="6"/>
  <c r="T235" i="6" a="1"/>
  <c r="T235" i="6" s="1"/>
  <c r="S235" i="6"/>
  <c r="Q235" i="6"/>
  <c r="P235" i="6"/>
  <c r="R235" i="6" s="1"/>
  <c r="U234" i="6"/>
  <c r="T234" i="6" a="1"/>
  <c r="T234" i="6" s="1"/>
  <c r="S234" i="6"/>
  <c r="Q234" i="6"/>
  <c r="P234" i="6"/>
  <c r="U233" i="6"/>
  <c r="T233" i="6" a="1"/>
  <c r="T233" i="6" s="1"/>
  <c r="S233" i="6"/>
  <c r="Q233" i="6"/>
  <c r="P233" i="6"/>
  <c r="U232" i="6"/>
  <c r="T232" i="6" a="1"/>
  <c r="T232" i="6" s="1"/>
  <c r="S232" i="6"/>
  <c r="Q232" i="6"/>
  <c r="P232" i="6"/>
  <c r="U231" i="6"/>
  <c r="T231" i="6" a="1"/>
  <c r="T231" i="6" s="1"/>
  <c r="S231" i="6"/>
  <c r="Q231" i="6"/>
  <c r="R231" i="6" s="1"/>
  <c r="P231" i="6"/>
  <c r="U230" i="6"/>
  <c r="T230" i="6" a="1"/>
  <c r="T230" i="6" s="1"/>
  <c r="S230" i="6"/>
  <c r="Q230" i="6"/>
  <c r="P230" i="6"/>
  <c r="U229" i="6"/>
  <c r="T229" i="6" a="1"/>
  <c r="T229" i="6" s="1"/>
  <c r="S229" i="6"/>
  <c r="Q229" i="6"/>
  <c r="P229" i="6"/>
  <c r="U228" i="6"/>
  <c r="T228" i="6" a="1"/>
  <c r="T228" i="6" s="1"/>
  <c r="S228" i="6"/>
  <c r="Q228" i="6"/>
  <c r="P228" i="6"/>
  <c r="R228" i="6" s="1"/>
  <c r="U227" i="6"/>
  <c r="T227" i="6" a="1"/>
  <c r="T227" i="6" s="1"/>
  <c r="S227" i="6"/>
  <c r="Q227" i="6"/>
  <c r="P227" i="6"/>
  <c r="U226" i="6"/>
  <c r="T226" i="6" a="1"/>
  <c r="T226" i="6" s="1"/>
  <c r="S226" i="6"/>
  <c r="Q226" i="6"/>
  <c r="P226" i="6"/>
  <c r="R226" i="6" s="1"/>
  <c r="U225" i="6"/>
  <c r="T225" i="6" a="1"/>
  <c r="T225" i="6" s="1"/>
  <c r="S225" i="6"/>
  <c r="Q225" i="6"/>
  <c r="P225" i="6"/>
  <c r="U224" i="6"/>
  <c r="T224" i="6" a="1"/>
  <c r="T224" i="6" s="1"/>
  <c r="S224" i="6"/>
  <c r="Q224" i="6"/>
  <c r="P224" i="6"/>
  <c r="R224" i="6" s="1"/>
  <c r="U223" i="6"/>
  <c r="T223" i="6" a="1"/>
  <c r="T223" i="6" s="1"/>
  <c r="S223" i="6"/>
  <c r="Q223" i="6"/>
  <c r="P223" i="6"/>
  <c r="U222" i="6"/>
  <c r="T222" i="6" a="1"/>
  <c r="T222" i="6" s="1"/>
  <c r="S222" i="6"/>
  <c r="Q222" i="6"/>
  <c r="P222" i="6"/>
  <c r="U221" i="6"/>
  <c r="T221" i="6" a="1"/>
  <c r="T221" i="6" s="1"/>
  <c r="S221" i="6"/>
  <c r="Q221" i="6"/>
  <c r="P221" i="6"/>
  <c r="U220" i="6"/>
  <c r="T220" i="6" a="1"/>
  <c r="T220" i="6" s="1"/>
  <c r="S220" i="6"/>
  <c r="Q220" i="6"/>
  <c r="P220" i="6"/>
  <c r="U219" i="6"/>
  <c r="T219" i="6" a="1"/>
  <c r="T219" i="6" s="1"/>
  <c r="S219" i="6"/>
  <c r="Q219" i="6"/>
  <c r="R219" i="6" s="1"/>
  <c r="P219" i="6"/>
  <c r="U218" i="6"/>
  <c r="T218" i="6" a="1"/>
  <c r="T218" i="6" s="1"/>
  <c r="S218" i="6"/>
  <c r="Q218" i="6"/>
  <c r="P218" i="6"/>
  <c r="U217" i="6"/>
  <c r="T217" i="6" a="1"/>
  <c r="T217" i="6" s="1"/>
  <c r="S217" i="6"/>
  <c r="Q217" i="6"/>
  <c r="P217" i="6"/>
  <c r="U216" i="6"/>
  <c r="T216" i="6" a="1"/>
  <c r="T216" i="6" s="1"/>
  <c r="S216" i="6"/>
  <c r="Q216" i="6"/>
  <c r="P216" i="6"/>
  <c r="U215" i="6"/>
  <c r="T215" i="6" a="1"/>
  <c r="T215" i="6" s="1"/>
  <c r="S215" i="6"/>
  <c r="Q215" i="6"/>
  <c r="P215" i="6"/>
  <c r="U214" i="6"/>
  <c r="T214" i="6" a="1"/>
  <c r="T214" i="6" s="1"/>
  <c r="S214" i="6"/>
  <c r="Q214" i="6"/>
  <c r="P214" i="6"/>
  <c r="U213" i="6"/>
  <c r="T213" i="6" a="1"/>
  <c r="T213" i="6" s="1"/>
  <c r="S213" i="6"/>
  <c r="Q213" i="6"/>
  <c r="P213" i="6"/>
  <c r="U212" i="6"/>
  <c r="T212" i="6" a="1"/>
  <c r="T212" i="6" s="1"/>
  <c r="S212" i="6"/>
  <c r="Q212" i="6"/>
  <c r="P212" i="6"/>
  <c r="R212" i="6" s="1"/>
  <c r="U211" i="6"/>
  <c r="T211" i="6" a="1"/>
  <c r="T211" i="6" s="1"/>
  <c r="S211" i="6"/>
  <c r="Q211" i="6"/>
  <c r="P211" i="6"/>
  <c r="U210" i="6"/>
  <c r="T210" i="6" a="1"/>
  <c r="T210" i="6" s="1"/>
  <c r="S210" i="6"/>
  <c r="Q210" i="6"/>
  <c r="R210" i="6" s="1"/>
  <c r="P210" i="6"/>
  <c r="U209" i="6"/>
  <c r="T209" i="6" a="1"/>
  <c r="T209" i="6" s="1"/>
  <c r="S209" i="6"/>
  <c r="Q209" i="6"/>
  <c r="P209" i="6"/>
  <c r="U208" i="6"/>
  <c r="T208" i="6" a="1"/>
  <c r="T208" i="6" s="1"/>
  <c r="S208" i="6"/>
  <c r="Q208" i="6"/>
  <c r="P208" i="6"/>
  <c r="R208" i="6" s="1"/>
  <c r="U207" i="6"/>
  <c r="T207" i="6" a="1"/>
  <c r="T207" i="6" s="1"/>
  <c r="S207" i="6"/>
  <c r="Q207" i="6"/>
  <c r="P207" i="6"/>
  <c r="U206" i="6"/>
  <c r="T206" i="6" a="1"/>
  <c r="T206" i="6" s="1"/>
  <c r="S206" i="6"/>
  <c r="Q206" i="6"/>
  <c r="P206" i="6"/>
  <c r="U205" i="6"/>
  <c r="T205" i="6" a="1"/>
  <c r="T205" i="6" s="1"/>
  <c r="S205" i="6"/>
  <c r="Q205" i="6"/>
  <c r="P205" i="6"/>
  <c r="U204" i="6"/>
  <c r="T204" i="6" a="1"/>
  <c r="T204" i="6" s="1"/>
  <c r="S204" i="6"/>
  <c r="Q204" i="6"/>
  <c r="P204" i="6"/>
  <c r="U203" i="6"/>
  <c r="T203" i="6" a="1"/>
  <c r="T203" i="6" s="1"/>
  <c r="S203" i="6"/>
  <c r="Q203" i="6"/>
  <c r="P203" i="6"/>
  <c r="U202" i="6"/>
  <c r="T202" i="6" a="1"/>
  <c r="T202" i="6" s="1"/>
  <c r="S202" i="6"/>
  <c r="Q202" i="6"/>
  <c r="P202" i="6"/>
  <c r="U201" i="6"/>
  <c r="T201" i="6" a="1"/>
  <c r="T201" i="6" s="1"/>
  <c r="S201" i="6"/>
  <c r="Q201" i="6"/>
  <c r="P201" i="6"/>
  <c r="U200" i="6"/>
  <c r="T200" i="6" a="1"/>
  <c r="T200" i="6" s="1"/>
  <c r="S200" i="6"/>
  <c r="Q200" i="6"/>
  <c r="P200" i="6"/>
  <c r="U199" i="6"/>
  <c r="T199" i="6" a="1"/>
  <c r="T199" i="6" s="1"/>
  <c r="S199" i="6"/>
  <c r="Q199" i="6"/>
  <c r="P199" i="6"/>
  <c r="R199" i="6" s="1"/>
  <c r="U198" i="6"/>
  <c r="T198" i="6" a="1"/>
  <c r="T198" i="6" s="1"/>
  <c r="S198" i="6"/>
  <c r="Q198" i="6"/>
  <c r="R198" i="6" s="1"/>
  <c r="P198" i="6"/>
  <c r="U197" i="6"/>
  <c r="T197" i="6" a="1"/>
  <c r="T197" i="6" s="1"/>
  <c r="S197" i="6"/>
  <c r="Q197" i="6"/>
  <c r="P197" i="6"/>
  <c r="U196" i="6"/>
  <c r="T196" i="6" a="1"/>
  <c r="T196" i="6" s="1"/>
  <c r="S196" i="6"/>
  <c r="Q196" i="6"/>
  <c r="P196" i="6"/>
  <c r="U195" i="6"/>
  <c r="T195" i="6" a="1"/>
  <c r="T195" i="6" s="1"/>
  <c r="S195" i="6"/>
  <c r="Q195" i="6"/>
  <c r="P195" i="6"/>
  <c r="U194" i="6"/>
  <c r="T194" i="6" a="1"/>
  <c r="T194" i="6" s="1"/>
  <c r="S194" i="6"/>
  <c r="Q194" i="6"/>
  <c r="R194" i="6" s="1"/>
  <c r="P194" i="6"/>
  <c r="U193" i="6"/>
  <c r="T193" i="6" a="1"/>
  <c r="T193" i="6" s="1"/>
  <c r="S193" i="6"/>
  <c r="Q193" i="6"/>
  <c r="P193" i="6"/>
  <c r="U192" i="6"/>
  <c r="T192" i="6" a="1"/>
  <c r="T192" i="6" s="1"/>
  <c r="S192" i="6"/>
  <c r="Q192" i="6"/>
  <c r="P192" i="6"/>
  <c r="U191" i="6"/>
  <c r="T191" i="6" a="1"/>
  <c r="T191" i="6" s="1"/>
  <c r="S191" i="6"/>
  <c r="Q191" i="6"/>
  <c r="P191" i="6"/>
  <c r="U190" i="6"/>
  <c r="T190" i="6" a="1"/>
  <c r="T190" i="6" s="1"/>
  <c r="S190" i="6"/>
  <c r="Q190" i="6"/>
  <c r="P190" i="6"/>
  <c r="U189" i="6"/>
  <c r="T189" i="6" a="1"/>
  <c r="T189" i="6" s="1"/>
  <c r="S189" i="6"/>
  <c r="Q189" i="6"/>
  <c r="P189" i="6"/>
  <c r="U188" i="6"/>
  <c r="T188" i="6" a="1"/>
  <c r="T188" i="6" s="1"/>
  <c r="S188" i="6"/>
  <c r="Q188" i="6"/>
  <c r="P188" i="6"/>
  <c r="U187" i="6"/>
  <c r="T187" i="6" a="1"/>
  <c r="T187" i="6" s="1"/>
  <c r="S187" i="6"/>
  <c r="Q187" i="6"/>
  <c r="P187" i="6"/>
  <c r="R187" i="6" s="1"/>
  <c r="U186" i="6"/>
  <c r="T186" i="6"/>
  <c r="T186" i="6" a="1"/>
  <c r="S186" i="6"/>
  <c r="R186" i="6"/>
  <c r="Q186" i="6"/>
  <c r="P186" i="6"/>
  <c r="U185" i="6"/>
  <c r="T185" i="6" a="1"/>
  <c r="T185" i="6" s="1"/>
  <c r="S185" i="6"/>
  <c r="Q185" i="6"/>
  <c r="P185" i="6"/>
  <c r="U184" i="6"/>
  <c r="T184" i="6" a="1"/>
  <c r="T184" i="6" s="1"/>
  <c r="S184" i="6"/>
  <c r="Q184" i="6"/>
  <c r="P184" i="6"/>
  <c r="R184" i="6" s="1"/>
  <c r="U183" i="6"/>
  <c r="T183" i="6" a="1"/>
  <c r="T183" i="6" s="1"/>
  <c r="S183" i="6"/>
  <c r="Q183" i="6"/>
  <c r="P183" i="6"/>
  <c r="U182" i="6"/>
  <c r="T182" i="6" a="1"/>
  <c r="T182" i="6" s="1"/>
  <c r="S182" i="6"/>
  <c r="Q182" i="6"/>
  <c r="P182" i="6"/>
  <c r="U181" i="6"/>
  <c r="T181" i="6"/>
  <c r="T181" i="6" a="1"/>
  <c r="S181" i="6"/>
  <c r="Q181" i="6"/>
  <c r="P181" i="6"/>
  <c r="U180" i="6"/>
  <c r="T180" i="6" a="1"/>
  <c r="T180" i="6" s="1"/>
  <c r="S180" i="6"/>
  <c r="Q180" i="6"/>
  <c r="P180" i="6"/>
  <c r="U179" i="6"/>
  <c r="T179" i="6" a="1"/>
  <c r="T179" i="6" s="1"/>
  <c r="S179" i="6"/>
  <c r="Q179" i="6"/>
  <c r="P179" i="6"/>
  <c r="R179" i="6" s="1"/>
  <c r="U178" i="6"/>
  <c r="T178" i="6"/>
  <c r="T178" i="6" a="1"/>
  <c r="S178" i="6"/>
  <c r="Q178" i="6"/>
  <c r="P178" i="6"/>
  <c r="R178" i="6" s="1"/>
  <c r="U177" i="6"/>
  <c r="T177" i="6" a="1"/>
  <c r="T177" i="6" s="1"/>
  <c r="S177" i="6"/>
  <c r="Q177" i="6"/>
  <c r="P177" i="6"/>
  <c r="U176" i="6"/>
  <c r="T176" i="6" a="1"/>
  <c r="T176" i="6" s="1"/>
  <c r="S176" i="6"/>
  <c r="Q176" i="6"/>
  <c r="P176" i="6"/>
  <c r="U175" i="6"/>
  <c r="T175" i="6"/>
  <c r="T175" i="6" a="1"/>
  <c r="S175" i="6"/>
  <c r="Q175" i="6"/>
  <c r="R175" i="6" s="1"/>
  <c r="P175" i="6"/>
  <c r="U174" i="6"/>
  <c r="T174" i="6" a="1"/>
  <c r="T174" i="6" s="1"/>
  <c r="S174" i="6"/>
  <c r="Q174" i="6"/>
  <c r="P174" i="6"/>
  <c r="U173" i="6"/>
  <c r="T173" i="6" a="1"/>
  <c r="T173" i="6" s="1"/>
  <c r="S173" i="6"/>
  <c r="Q173" i="6"/>
  <c r="P173" i="6"/>
  <c r="U172" i="6"/>
  <c r="T172" i="6" a="1"/>
  <c r="T172" i="6" s="1"/>
  <c r="S172" i="6"/>
  <c r="Q172" i="6"/>
  <c r="P172" i="6"/>
  <c r="U171" i="6"/>
  <c r="T171" i="6" a="1"/>
  <c r="T171" i="6" s="1"/>
  <c r="S171" i="6"/>
  <c r="R171" i="6"/>
  <c r="Q171" i="6"/>
  <c r="P171" i="6"/>
  <c r="U170" i="6"/>
  <c r="T170" i="6" a="1"/>
  <c r="T170" i="6" s="1"/>
  <c r="S170" i="6"/>
  <c r="Q170" i="6"/>
  <c r="P170" i="6"/>
  <c r="U169" i="6"/>
  <c r="T169" i="6" a="1"/>
  <c r="T169" i="6" s="1"/>
  <c r="S169" i="6"/>
  <c r="Q169" i="6"/>
  <c r="P169" i="6"/>
  <c r="U168" i="6"/>
  <c r="T168" i="6" a="1"/>
  <c r="T168" i="6" s="1"/>
  <c r="S168" i="6"/>
  <c r="Q168" i="6"/>
  <c r="P168" i="6"/>
  <c r="U167" i="6"/>
  <c r="T167" i="6" a="1"/>
  <c r="T167" i="6" s="1"/>
  <c r="S167" i="6"/>
  <c r="Q167" i="6"/>
  <c r="P167" i="6"/>
  <c r="R167" i="6" s="1"/>
  <c r="U166" i="6"/>
  <c r="T166" i="6" a="1"/>
  <c r="T166" i="6" s="1"/>
  <c r="S166" i="6"/>
  <c r="Q166" i="6"/>
  <c r="P166" i="6"/>
  <c r="U165" i="6"/>
  <c r="T165" i="6" a="1"/>
  <c r="T165" i="6" s="1"/>
  <c r="S165" i="6"/>
  <c r="Q165" i="6"/>
  <c r="P165" i="6"/>
  <c r="R165" i="6" s="1"/>
  <c r="U164" i="6"/>
  <c r="T164" i="6" a="1"/>
  <c r="T164" i="6" s="1"/>
  <c r="S164" i="6"/>
  <c r="Q164" i="6"/>
  <c r="P164" i="6"/>
  <c r="U163" i="6"/>
  <c r="T163" i="6"/>
  <c r="T163" i="6" a="1"/>
  <c r="S163" i="6"/>
  <c r="Q163" i="6"/>
  <c r="P163" i="6"/>
  <c r="R163" i="6" s="1"/>
  <c r="U162" i="6"/>
  <c r="T162" i="6" a="1"/>
  <c r="T162" i="6" s="1"/>
  <c r="S162" i="6"/>
  <c r="Q162" i="6"/>
  <c r="P162" i="6"/>
  <c r="U161" i="6"/>
  <c r="T161" i="6" a="1"/>
  <c r="T161" i="6" s="1"/>
  <c r="S161" i="6"/>
  <c r="Q161" i="6"/>
  <c r="P161" i="6"/>
  <c r="R161" i="6" s="1"/>
  <c r="U160" i="6"/>
  <c r="T160" i="6" a="1"/>
  <c r="T160" i="6" s="1"/>
  <c r="S160" i="6"/>
  <c r="Q160" i="6"/>
  <c r="P160" i="6"/>
  <c r="U159" i="6"/>
  <c r="T159" i="6" a="1"/>
  <c r="T159" i="6" s="1"/>
  <c r="S159" i="6"/>
  <c r="Q159" i="6"/>
  <c r="P159" i="6"/>
  <c r="R159" i="6" s="1"/>
  <c r="U158" i="6"/>
  <c r="T158" i="6" a="1"/>
  <c r="T158" i="6" s="1"/>
  <c r="S158" i="6"/>
  <c r="Q158" i="6"/>
  <c r="P158" i="6"/>
  <c r="U157" i="6"/>
  <c r="T157" i="6" a="1"/>
  <c r="T157" i="6" s="1"/>
  <c r="S157" i="6"/>
  <c r="Q157" i="6"/>
  <c r="P157" i="6"/>
  <c r="U156" i="6"/>
  <c r="T156" i="6" a="1"/>
  <c r="T156" i="6" s="1"/>
  <c r="S156" i="6"/>
  <c r="Q156" i="6"/>
  <c r="P156" i="6"/>
  <c r="U155" i="6"/>
  <c r="T155" i="6" a="1"/>
  <c r="T155" i="6" s="1"/>
  <c r="S155" i="6"/>
  <c r="Q155" i="6"/>
  <c r="P155" i="6"/>
  <c r="U154" i="6"/>
  <c r="T154" i="6" a="1"/>
  <c r="T154" i="6" s="1"/>
  <c r="S154" i="6"/>
  <c r="Q154" i="6"/>
  <c r="P154" i="6"/>
  <c r="R154" i="6" s="1"/>
  <c r="U153" i="6"/>
  <c r="T153" i="6" a="1"/>
  <c r="T153" i="6" s="1"/>
  <c r="S153" i="6"/>
  <c r="Q153" i="6"/>
  <c r="P153" i="6"/>
  <c r="R153" i="6" s="1"/>
  <c r="U152" i="6"/>
  <c r="T152" i="6" a="1"/>
  <c r="T152" i="6" s="1"/>
  <c r="S152" i="6"/>
  <c r="Q152" i="6"/>
  <c r="P152" i="6"/>
  <c r="U151" i="6"/>
  <c r="T151" i="6" a="1"/>
  <c r="T151" i="6" s="1"/>
  <c r="S151" i="6"/>
  <c r="Q151" i="6"/>
  <c r="P151" i="6"/>
  <c r="R151" i="6" s="1"/>
  <c r="U150" i="6"/>
  <c r="T150" i="6"/>
  <c r="T150" i="6" a="1"/>
  <c r="S150" i="6"/>
  <c r="Q150" i="6"/>
  <c r="R150" i="6" s="1"/>
  <c r="P150" i="6"/>
  <c r="U149" i="6"/>
  <c r="T149" i="6" a="1"/>
  <c r="T149" i="6" s="1"/>
  <c r="S149" i="6"/>
  <c r="Q149" i="6"/>
  <c r="P149" i="6"/>
  <c r="U148" i="6"/>
  <c r="T148" i="6" a="1"/>
  <c r="T148" i="6" s="1"/>
  <c r="S148" i="6"/>
  <c r="Q148" i="6"/>
  <c r="P148" i="6"/>
  <c r="U147" i="6"/>
  <c r="T147" i="6" a="1"/>
  <c r="T147" i="6" s="1"/>
  <c r="S147" i="6"/>
  <c r="Q147" i="6"/>
  <c r="P147" i="6"/>
  <c r="R147" i="6" s="1"/>
  <c r="U146" i="6"/>
  <c r="T146" i="6" a="1"/>
  <c r="T146" i="6" s="1"/>
  <c r="S146" i="6"/>
  <c r="Q146" i="6"/>
  <c r="P146" i="6"/>
  <c r="U145" i="6"/>
  <c r="T145" i="6" a="1"/>
  <c r="T145" i="6" s="1"/>
  <c r="S145" i="6"/>
  <c r="Q145" i="6"/>
  <c r="P145" i="6"/>
  <c r="U144" i="6"/>
  <c r="T144" i="6" a="1"/>
  <c r="T144" i="6" s="1"/>
  <c r="S144" i="6"/>
  <c r="Q144" i="6"/>
  <c r="P144" i="6"/>
  <c r="U143" i="6"/>
  <c r="T143" i="6" a="1"/>
  <c r="T143" i="6" s="1"/>
  <c r="S143" i="6"/>
  <c r="Q143" i="6"/>
  <c r="P143" i="6"/>
  <c r="U142" i="6"/>
  <c r="T142" i="6" a="1"/>
  <c r="T142" i="6" s="1"/>
  <c r="S142" i="6"/>
  <c r="Q142" i="6"/>
  <c r="P142" i="6"/>
  <c r="U141" i="6"/>
  <c r="T141" i="6" a="1"/>
  <c r="T141" i="6" s="1"/>
  <c r="S141" i="6"/>
  <c r="Q141" i="6"/>
  <c r="P141" i="6"/>
  <c r="U140" i="6"/>
  <c r="T140" i="6" a="1"/>
  <c r="T140" i="6" s="1"/>
  <c r="S140" i="6"/>
  <c r="Q140" i="6"/>
  <c r="P140" i="6"/>
  <c r="R140" i="6" s="1"/>
  <c r="U139" i="6"/>
  <c r="T139" i="6" a="1"/>
  <c r="T139" i="6" s="1"/>
  <c r="S139" i="6"/>
  <c r="Q139" i="6"/>
  <c r="P139" i="6"/>
  <c r="R139" i="6" s="1"/>
  <c r="U138" i="6"/>
  <c r="T138" i="6" a="1"/>
  <c r="T138" i="6" s="1"/>
  <c r="S138" i="6"/>
  <c r="R138" i="6"/>
  <c r="Q138" i="6"/>
  <c r="P138" i="6"/>
  <c r="U137" i="6"/>
  <c r="T137" i="6" a="1"/>
  <c r="T137" i="6" s="1"/>
  <c r="S137" i="6"/>
  <c r="Q137" i="6"/>
  <c r="P137" i="6"/>
  <c r="R137" i="6" s="1"/>
  <c r="U136" i="6"/>
  <c r="T136" i="6" a="1"/>
  <c r="T136" i="6" s="1"/>
  <c r="S136" i="6"/>
  <c r="Q136" i="6"/>
  <c r="P136" i="6"/>
  <c r="R136" i="6" s="1"/>
  <c r="U135" i="6"/>
  <c r="T135" i="6" a="1"/>
  <c r="T135" i="6" s="1"/>
  <c r="S135" i="6"/>
  <c r="Q135" i="6"/>
  <c r="P135" i="6"/>
  <c r="R135" i="6" s="1"/>
  <c r="U134" i="6"/>
  <c r="T134" i="6" a="1"/>
  <c r="T134" i="6" s="1"/>
  <c r="S134" i="6"/>
  <c r="Q134" i="6"/>
  <c r="P134" i="6"/>
  <c r="U133" i="6"/>
  <c r="T133" i="6" a="1"/>
  <c r="T133" i="6" s="1"/>
  <c r="S133" i="6"/>
  <c r="Q133" i="6"/>
  <c r="P133" i="6"/>
  <c r="U132" i="6"/>
  <c r="T132" i="6" a="1"/>
  <c r="T132" i="6" s="1"/>
  <c r="S132" i="6"/>
  <c r="Q132" i="6"/>
  <c r="P132" i="6"/>
  <c r="R132" i="6" s="1"/>
  <c r="U131" i="6"/>
  <c r="T131" i="6" a="1"/>
  <c r="T131" i="6" s="1"/>
  <c r="S131" i="6"/>
  <c r="Q131" i="6"/>
  <c r="P131" i="6"/>
  <c r="U130" i="6"/>
  <c r="T130" i="6" a="1"/>
  <c r="T130" i="6" s="1"/>
  <c r="S130" i="6"/>
  <c r="Q130" i="6"/>
  <c r="P130" i="6"/>
  <c r="U129" i="6"/>
  <c r="T129" i="6" a="1"/>
  <c r="T129" i="6" s="1"/>
  <c r="S129" i="6"/>
  <c r="Q129" i="6"/>
  <c r="P129" i="6"/>
  <c r="U128" i="6"/>
  <c r="T128" i="6" a="1"/>
  <c r="T128" i="6" s="1"/>
  <c r="S128" i="6"/>
  <c r="Q128" i="6"/>
  <c r="P128" i="6"/>
  <c r="R128" i="6" s="1"/>
  <c r="U127" i="6"/>
  <c r="T127" i="6" a="1"/>
  <c r="T127" i="6" s="1"/>
  <c r="S127" i="6"/>
  <c r="Q127" i="6"/>
  <c r="P127" i="6"/>
  <c r="U126" i="6"/>
  <c r="T126" i="6"/>
  <c r="T126" i="6" a="1"/>
  <c r="S126" i="6"/>
  <c r="Q126" i="6"/>
  <c r="R126" i="6" s="1"/>
  <c r="P126" i="6"/>
  <c r="U125" i="6"/>
  <c r="T125" i="6" a="1"/>
  <c r="T125" i="6" s="1"/>
  <c r="S125" i="6"/>
  <c r="Q125" i="6"/>
  <c r="P125" i="6"/>
  <c r="U124" i="6"/>
  <c r="T124" i="6" a="1"/>
  <c r="T124" i="6" s="1"/>
  <c r="S124" i="6"/>
  <c r="Q124" i="6"/>
  <c r="P124" i="6"/>
  <c r="R124" i="6" s="1"/>
  <c r="U123" i="6"/>
  <c r="T123" i="6" a="1"/>
  <c r="T123" i="6" s="1"/>
  <c r="S123" i="6"/>
  <c r="Q123" i="6"/>
  <c r="R123" i="6" s="1"/>
  <c r="P123" i="6"/>
  <c r="U122" i="6"/>
  <c r="T122" i="6" a="1"/>
  <c r="T122" i="6" s="1"/>
  <c r="S122" i="6"/>
  <c r="Q122" i="6"/>
  <c r="P122" i="6"/>
  <c r="U121" i="6"/>
  <c r="T121" i="6" a="1"/>
  <c r="T121" i="6" s="1"/>
  <c r="S121" i="6"/>
  <c r="Q121" i="6"/>
  <c r="P121" i="6"/>
  <c r="U120" i="6"/>
  <c r="T120" i="6" a="1"/>
  <c r="T120" i="6" s="1"/>
  <c r="S120" i="6"/>
  <c r="Q120" i="6"/>
  <c r="P120" i="6"/>
  <c r="U119" i="6"/>
  <c r="T119" i="6" a="1"/>
  <c r="T119" i="6" s="1"/>
  <c r="S119" i="6"/>
  <c r="Q119" i="6"/>
  <c r="P119" i="6"/>
  <c r="U118" i="6"/>
  <c r="T118" i="6"/>
  <c r="T118" i="6" a="1"/>
  <c r="S118" i="6"/>
  <c r="Q118" i="6"/>
  <c r="R118" i="6" s="1"/>
  <c r="P118" i="6"/>
  <c r="U117" i="6"/>
  <c r="T117" i="6" a="1"/>
  <c r="T117" i="6" s="1"/>
  <c r="S117" i="6"/>
  <c r="Q117" i="6"/>
  <c r="P117" i="6"/>
  <c r="R117" i="6" s="1"/>
  <c r="U116" i="6"/>
  <c r="T116" i="6" a="1"/>
  <c r="T116" i="6" s="1"/>
  <c r="S116" i="6"/>
  <c r="Q116" i="6"/>
  <c r="P116" i="6"/>
  <c r="R116" i="6" s="1"/>
  <c r="U115" i="6"/>
  <c r="T115" i="6" a="1"/>
  <c r="T115" i="6" s="1"/>
  <c r="S115" i="6"/>
  <c r="Q115" i="6"/>
  <c r="R115" i="6" s="1"/>
  <c r="P115" i="6"/>
  <c r="U114" i="6"/>
  <c r="T114" i="6" a="1"/>
  <c r="T114" i="6" s="1"/>
  <c r="S114" i="6"/>
  <c r="Q114" i="6"/>
  <c r="P114" i="6"/>
  <c r="R114" i="6" s="1"/>
  <c r="U113" i="6"/>
  <c r="T113" i="6" a="1"/>
  <c r="T113" i="6" s="1"/>
  <c r="S113" i="6"/>
  <c r="Q113" i="6"/>
  <c r="P113" i="6"/>
  <c r="U112" i="6"/>
  <c r="T112" i="6" a="1"/>
  <c r="T112" i="6" s="1"/>
  <c r="S112" i="6"/>
  <c r="Q112" i="6"/>
  <c r="P112" i="6"/>
  <c r="U111" i="6"/>
  <c r="T111" i="6" a="1"/>
  <c r="T111" i="6" s="1"/>
  <c r="S111" i="6"/>
  <c r="Q111" i="6"/>
  <c r="P111" i="6"/>
  <c r="R111" i="6" s="1"/>
  <c r="U110" i="6"/>
  <c r="T110" i="6" a="1"/>
  <c r="T110" i="6" s="1"/>
  <c r="S110" i="6"/>
  <c r="Q110" i="6"/>
  <c r="P110" i="6"/>
  <c r="U109" i="6"/>
  <c r="T109" i="6" a="1"/>
  <c r="T109" i="6" s="1"/>
  <c r="S109" i="6"/>
  <c r="Q109" i="6"/>
  <c r="P109" i="6"/>
  <c r="U108" i="6"/>
  <c r="T108" i="6" a="1"/>
  <c r="T108" i="6" s="1"/>
  <c r="S108" i="6"/>
  <c r="Q108" i="6"/>
  <c r="P108" i="6"/>
  <c r="U107" i="6"/>
  <c r="T107" i="6" a="1"/>
  <c r="T107" i="6" s="1"/>
  <c r="S107" i="6"/>
  <c r="Q107" i="6"/>
  <c r="P107" i="6"/>
  <c r="U106" i="6"/>
  <c r="T106" i="6" a="1"/>
  <c r="T106" i="6" s="1"/>
  <c r="S106" i="6"/>
  <c r="Q106" i="6"/>
  <c r="P106" i="6"/>
  <c r="U105" i="6"/>
  <c r="T105" i="6" a="1"/>
  <c r="T105" i="6" s="1"/>
  <c r="S105" i="6"/>
  <c r="Q105" i="6"/>
  <c r="P105" i="6"/>
  <c r="U104" i="6"/>
  <c r="T104" i="6" a="1"/>
  <c r="T104" i="6" s="1"/>
  <c r="S104" i="6"/>
  <c r="Q104" i="6"/>
  <c r="P104" i="6"/>
  <c r="U103" i="6"/>
  <c r="T103" i="6"/>
  <c r="T103" i="6" a="1"/>
  <c r="S103" i="6"/>
  <c r="Q103" i="6"/>
  <c r="R103" i="6" s="1"/>
  <c r="P103" i="6"/>
  <c r="U102" i="6"/>
  <c r="T102" i="6" a="1"/>
  <c r="T102" i="6" s="1"/>
  <c r="S102" i="6"/>
  <c r="Q102" i="6"/>
  <c r="P102" i="6"/>
  <c r="R102" i="6" s="1"/>
  <c r="U101" i="6"/>
  <c r="T101" i="6" a="1"/>
  <c r="T101" i="6" s="1"/>
  <c r="S101" i="6"/>
  <c r="Q101" i="6"/>
  <c r="P101" i="6"/>
  <c r="U100" i="6"/>
  <c r="T100" i="6" a="1"/>
  <c r="T100" i="6" s="1"/>
  <c r="S100" i="6"/>
  <c r="Q100" i="6"/>
  <c r="P100" i="6"/>
  <c r="U99" i="6"/>
  <c r="T99" i="6" a="1"/>
  <c r="T99" i="6" s="1"/>
  <c r="S99" i="6"/>
  <c r="Q99" i="6"/>
  <c r="P99" i="6"/>
  <c r="R99" i="6" s="1"/>
  <c r="U98" i="6"/>
  <c r="T98" i="6" a="1"/>
  <c r="T98" i="6" s="1"/>
  <c r="S98" i="6"/>
  <c r="Q98" i="6"/>
  <c r="R98" i="6" s="1"/>
  <c r="P98" i="6"/>
  <c r="U97" i="6"/>
  <c r="T97" i="6" a="1"/>
  <c r="T97" i="6" s="1"/>
  <c r="S97" i="6"/>
  <c r="Q97" i="6"/>
  <c r="P97" i="6"/>
  <c r="U96" i="6"/>
  <c r="T96" i="6" a="1"/>
  <c r="T96" i="6" s="1"/>
  <c r="S96" i="6"/>
  <c r="Q96" i="6"/>
  <c r="P96" i="6"/>
  <c r="R96" i="6" s="1"/>
  <c r="U95" i="6"/>
  <c r="T95" i="6" a="1"/>
  <c r="T95" i="6" s="1"/>
  <c r="S95" i="6"/>
  <c r="Q95" i="6"/>
  <c r="P95" i="6"/>
  <c r="R95" i="6" s="1"/>
  <c r="U94" i="6"/>
  <c r="T94" i="6" a="1"/>
  <c r="T94" i="6" s="1"/>
  <c r="S94" i="6"/>
  <c r="Q94" i="6"/>
  <c r="P94" i="6"/>
  <c r="U93" i="6"/>
  <c r="T93" i="6" a="1"/>
  <c r="T93" i="6" s="1"/>
  <c r="S93" i="6"/>
  <c r="Q93" i="6"/>
  <c r="P93" i="6"/>
  <c r="R93" i="6" s="1"/>
  <c r="U92" i="6"/>
  <c r="T92" i="6" a="1"/>
  <c r="T92" i="6" s="1"/>
  <c r="S92" i="6"/>
  <c r="Q92" i="6"/>
  <c r="P92" i="6"/>
  <c r="R92" i="6" s="1"/>
  <c r="U91" i="6"/>
  <c r="T91" i="6" a="1"/>
  <c r="T91" i="6" s="1"/>
  <c r="S91" i="6"/>
  <c r="Q91" i="6"/>
  <c r="P91" i="6"/>
  <c r="U90" i="6"/>
  <c r="T90" i="6" a="1"/>
  <c r="T90" i="6" s="1"/>
  <c r="S90" i="6"/>
  <c r="Q90" i="6"/>
  <c r="P90" i="6"/>
  <c r="U89" i="6"/>
  <c r="T89" i="6" a="1"/>
  <c r="T89" i="6" s="1"/>
  <c r="S89" i="6"/>
  <c r="Q89" i="6"/>
  <c r="P89" i="6"/>
  <c r="R89" i="6" s="1"/>
  <c r="U88" i="6"/>
  <c r="T88" i="6" a="1"/>
  <c r="T88" i="6" s="1"/>
  <c r="S88" i="6"/>
  <c r="Q88" i="6"/>
  <c r="P88" i="6"/>
  <c r="R88" i="6" s="1"/>
  <c r="U87" i="6"/>
  <c r="T87" i="6" a="1"/>
  <c r="T87" i="6" s="1"/>
  <c r="S87" i="6"/>
  <c r="Q87" i="6"/>
  <c r="P87" i="6"/>
  <c r="U86" i="6"/>
  <c r="T86" i="6" a="1"/>
  <c r="T86" i="6" s="1"/>
  <c r="S86" i="6"/>
  <c r="Q86" i="6"/>
  <c r="P86" i="6"/>
  <c r="U85" i="6"/>
  <c r="T85" i="6" a="1"/>
  <c r="T85" i="6" s="1"/>
  <c r="S85" i="6"/>
  <c r="Q85" i="6"/>
  <c r="P85" i="6"/>
  <c r="U84" i="6"/>
  <c r="T84" i="6" a="1"/>
  <c r="T84" i="6" s="1"/>
  <c r="S84" i="6"/>
  <c r="Q84" i="6"/>
  <c r="P84" i="6"/>
  <c r="U83" i="6"/>
  <c r="T83" i="6" a="1"/>
  <c r="T83" i="6" s="1"/>
  <c r="S83" i="6"/>
  <c r="Q83" i="6"/>
  <c r="P83" i="6"/>
  <c r="U82" i="6"/>
  <c r="T82" i="6"/>
  <c r="T82" i="6" a="1"/>
  <c r="S82" i="6"/>
  <c r="Q82" i="6"/>
  <c r="R82" i="6" s="1"/>
  <c r="P82" i="6"/>
  <c r="U81" i="6"/>
  <c r="T81" i="6" a="1"/>
  <c r="T81" i="6" s="1"/>
  <c r="S81" i="6"/>
  <c r="Q81" i="6"/>
  <c r="P81" i="6"/>
  <c r="U80" i="6"/>
  <c r="T80" i="6" a="1"/>
  <c r="T80" i="6" s="1"/>
  <c r="S80" i="6"/>
  <c r="Q80" i="6"/>
  <c r="P80" i="6"/>
  <c r="U79" i="6"/>
  <c r="T79" i="6" a="1"/>
  <c r="T79" i="6" s="1"/>
  <c r="S79" i="6"/>
  <c r="Q79" i="6"/>
  <c r="P79" i="6"/>
  <c r="U78" i="6"/>
  <c r="T78" i="6" a="1"/>
  <c r="T78" i="6" s="1"/>
  <c r="S78" i="6"/>
  <c r="Q78" i="6"/>
  <c r="P78" i="6"/>
  <c r="R78" i="6" s="1"/>
  <c r="U77" i="6"/>
  <c r="T77" i="6" a="1"/>
  <c r="T77" i="6" s="1"/>
  <c r="S77" i="6"/>
  <c r="Q77" i="6"/>
  <c r="P77" i="6"/>
  <c r="U76" i="6"/>
  <c r="T76" i="6" a="1"/>
  <c r="T76" i="6" s="1"/>
  <c r="S76" i="6"/>
  <c r="Q76" i="6"/>
  <c r="P76" i="6"/>
  <c r="U75" i="6"/>
  <c r="T75" i="6" a="1"/>
  <c r="T75" i="6" s="1"/>
  <c r="S75" i="6"/>
  <c r="Q75" i="6"/>
  <c r="P75" i="6"/>
  <c r="U74" i="6"/>
  <c r="T74" i="6" a="1"/>
  <c r="T74" i="6" s="1"/>
  <c r="S74" i="6"/>
  <c r="Q74" i="6"/>
  <c r="P74" i="6"/>
  <c r="U73" i="6"/>
  <c r="T73" i="6" a="1"/>
  <c r="T73" i="6" s="1"/>
  <c r="S73" i="6"/>
  <c r="Q73" i="6"/>
  <c r="P73" i="6"/>
  <c r="U72" i="6"/>
  <c r="T72" i="6" a="1"/>
  <c r="T72" i="6" s="1"/>
  <c r="S72" i="6"/>
  <c r="Q72" i="6"/>
  <c r="P72" i="6"/>
  <c r="U71" i="6"/>
  <c r="T71" i="6" a="1"/>
  <c r="T71" i="6" s="1"/>
  <c r="S71" i="6"/>
  <c r="Q71" i="6"/>
  <c r="R71" i="6" s="1"/>
  <c r="P71" i="6"/>
  <c r="U70" i="6"/>
  <c r="T70" i="6"/>
  <c r="T70" i="6" a="1"/>
  <c r="S70" i="6"/>
  <c r="Q70" i="6"/>
  <c r="P70" i="6"/>
  <c r="R70" i="6" s="1"/>
  <c r="U69" i="6"/>
  <c r="T69" i="6" a="1"/>
  <c r="T69" i="6" s="1"/>
  <c r="S69" i="6"/>
  <c r="Q69" i="6"/>
  <c r="P69" i="6"/>
  <c r="U68" i="6"/>
  <c r="T68" i="6" a="1"/>
  <c r="T68" i="6" s="1"/>
  <c r="S68" i="6"/>
  <c r="Q68" i="6"/>
  <c r="P68" i="6"/>
  <c r="U67" i="6"/>
  <c r="T67" i="6" a="1"/>
  <c r="T67" i="6" s="1"/>
  <c r="S67" i="6"/>
  <c r="Q67" i="6"/>
  <c r="P67" i="6"/>
  <c r="R67" i="6" s="1"/>
  <c r="U66" i="6"/>
  <c r="T66" i="6" a="1"/>
  <c r="T66" i="6" s="1"/>
  <c r="S66" i="6"/>
  <c r="Q66" i="6"/>
  <c r="R66" i="6" s="1"/>
  <c r="P66" i="6"/>
  <c r="U65" i="6"/>
  <c r="T65" i="6" a="1"/>
  <c r="T65" i="6" s="1"/>
  <c r="S65" i="6"/>
  <c r="Q65" i="6"/>
  <c r="P65" i="6"/>
  <c r="U64" i="6"/>
  <c r="T64" i="6" a="1"/>
  <c r="T64" i="6" s="1"/>
  <c r="S64" i="6"/>
  <c r="Q64" i="6"/>
  <c r="P64" i="6"/>
  <c r="U63" i="6"/>
  <c r="T63" i="6" a="1"/>
  <c r="T63" i="6" s="1"/>
  <c r="S63" i="6"/>
  <c r="Q63" i="6"/>
  <c r="R63" i="6" s="1"/>
  <c r="P63" i="6"/>
  <c r="U62" i="6"/>
  <c r="T62" i="6" a="1"/>
  <c r="T62" i="6" s="1"/>
  <c r="S62" i="6"/>
  <c r="Q62" i="6"/>
  <c r="P62" i="6"/>
  <c r="U61" i="6"/>
  <c r="T61" i="6" a="1"/>
  <c r="T61" i="6" s="1"/>
  <c r="S61" i="6"/>
  <c r="Q61" i="6"/>
  <c r="P61" i="6"/>
  <c r="U60" i="6"/>
  <c r="T60" i="6" a="1"/>
  <c r="T60" i="6" s="1"/>
  <c r="S60" i="6"/>
  <c r="Q60" i="6"/>
  <c r="P60" i="6"/>
  <c r="U59" i="6"/>
  <c r="T59" i="6"/>
  <c r="T59" i="6" a="1"/>
  <c r="S59" i="6"/>
  <c r="Q59" i="6"/>
  <c r="P59" i="6"/>
  <c r="U58" i="6"/>
  <c r="T58" i="6" a="1"/>
  <c r="T58" i="6" s="1"/>
  <c r="S58" i="6"/>
  <c r="Q58" i="6"/>
  <c r="P58" i="6"/>
  <c r="R58" i="6" s="1"/>
  <c r="U57" i="6"/>
  <c r="T57" i="6" a="1"/>
  <c r="T57" i="6" s="1"/>
  <c r="S57" i="6"/>
  <c r="Q57" i="6"/>
  <c r="P57" i="6"/>
  <c r="U56" i="6"/>
  <c r="T56" i="6" a="1"/>
  <c r="T56" i="6" s="1"/>
  <c r="S56" i="6"/>
  <c r="Q56" i="6"/>
  <c r="P56" i="6"/>
  <c r="R56" i="6" s="1"/>
  <c r="U55" i="6"/>
  <c r="T55" i="6" a="1"/>
  <c r="T55" i="6" s="1"/>
  <c r="S55" i="6"/>
  <c r="Q55" i="6"/>
  <c r="P55" i="6"/>
  <c r="R55" i="6" s="1"/>
  <c r="U54" i="6"/>
  <c r="T54" i="6" a="1"/>
  <c r="T54" i="6" s="1"/>
  <c r="S54" i="6"/>
  <c r="Q54" i="6"/>
  <c r="P54" i="6"/>
  <c r="U53" i="6"/>
  <c r="T53" i="6" a="1"/>
  <c r="T53" i="6" s="1"/>
  <c r="S53" i="6"/>
  <c r="Q53" i="6"/>
  <c r="P53" i="6"/>
  <c r="U52" i="6"/>
  <c r="T52" i="6" a="1"/>
  <c r="T52" i="6" s="1"/>
  <c r="S52" i="6"/>
  <c r="Q52" i="6"/>
  <c r="P52" i="6"/>
  <c r="R52" i="6" s="1"/>
  <c r="U51" i="6"/>
  <c r="T51" i="6" a="1"/>
  <c r="T51" i="6" s="1"/>
  <c r="S51" i="6"/>
  <c r="R51" i="6"/>
  <c r="Q51" i="6"/>
  <c r="P51" i="6"/>
  <c r="U50" i="6"/>
  <c r="T50" i="6" a="1"/>
  <c r="T50" i="6" s="1"/>
  <c r="S50" i="6"/>
  <c r="Q50" i="6"/>
  <c r="P50" i="6"/>
  <c r="U49" i="6"/>
  <c r="T49" i="6" a="1"/>
  <c r="T49" i="6" s="1"/>
  <c r="S49" i="6"/>
  <c r="Q49" i="6"/>
  <c r="P49" i="6"/>
  <c r="U48" i="6"/>
  <c r="T48" i="6" a="1"/>
  <c r="T48" i="6" s="1"/>
  <c r="S48" i="6"/>
  <c r="Q48" i="6"/>
  <c r="P48" i="6"/>
  <c r="U47" i="6"/>
  <c r="T47" i="6" a="1"/>
  <c r="T47" i="6" s="1"/>
  <c r="S47" i="6"/>
  <c r="Q47" i="6"/>
  <c r="R47" i="6" s="1"/>
  <c r="P47" i="6"/>
  <c r="U46" i="6"/>
  <c r="T46" i="6" a="1"/>
  <c r="T46" i="6" s="1"/>
  <c r="S46" i="6"/>
  <c r="Q46" i="6"/>
  <c r="P46" i="6"/>
  <c r="U45" i="6"/>
  <c r="T45" i="6" a="1"/>
  <c r="T45" i="6" s="1"/>
  <c r="S45" i="6"/>
  <c r="Q45" i="6"/>
  <c r="P45" i="6"/>
  <c r="U44" i="6"/>
  <c r="T44" i="6" a="1"/>
  <c r="T44" i="6" s="1"/>
  <c r="S44" i="6"/>
  <c r="Q44" i="6"/>
  <c r="P44" i="6"/>
  <c r="R44" i="6" s="1"/>
  <c r="U43" i="6"/>
  <c r="T43" i="6" a="1"/>
  <c r="T43" i="6" s="1"/>
  <c r="S43" i="6"/>
  <c r="Q43" i="6"/>
  <c r="P43" i="6"/>
  <c r="R43" i="6" s="1"/>
  <c r="U42" i="6"/>
  <c r="T42" i="6" a="1"/>
  <c r="T42" i="6" s="1"/>
  <c r="S42" i="6"/>
  <c r="Q42" i="6"/>
  <c r="R42" i="6" s="1"/>
  <c r="P42" i="6"/>
  <c r="U41" i="6"/>
  <c r="T41" i="6" a="1"/>
  <c r="T41" i="6" s="1"/>
  <c r="S41" i="6"/>
  <c r="Q41" i="6"/>
  <c r="P41" i="6"/>
  <c r="U40" i="6"/>
  <c r="T40" i="6" a="1"/>
  <c r="T40" i="6" s="1"/>
  <c r="S40" i="6"/>
  <c r="Q40" i="6"/>
  <c r="P40" i="6"/>
  <c r="U39" i="6"/>
  <c r="T39" i="6" a="1"/>
  <c r="T39" i="6" s="1"/>
  <c r="S39" i="6"/>
  <c r="R39" i="6"/>
  <c r="Q39" i="6"/>
  <c r="P39" i="6"/>
  <c r="U38" i="6"/>
  <c r="T38" i="6" a="1"/>
  <c r="T38" i="6" s="1"/>
  <c r="S38" i="6"/>
  <c r="Q38" i="6"/>
  <c r="P38" i="6"/>
  <c r="U37" i="6"/>
  <c r="T37" i="6" a="1"/>
  <c r="T37" i="6" s="1"/>
  <c r="S37" i="6"/>
  <c r="Q37" i="6"/>
  <c r="P37" i="6"/>
  <c r="U36" i="6"/>
  <c r="T36" i="6" a="1"/>
  <c r="T36" i="6" s="1"/>
  <c r="S36" i="6"/>
  <c r="Q36" i="6"/>
  <c r="P36" i="6"/>
  <c r="U35" i="6"/>
  <c r="T35" i="6" a="1"/>
  <c r="T35" i="6" s="1"/>
  <c r="S35" i="6"/>
  <c r="Q35" i="6"/>
  <c r="R35" i="6" s="1"/>
  <c r="P35" i="6"/>
  <c r="U34" i="6"/>
  <c r="T34" i="6"/>
  <c r="T34" i="6" a="1"/>
  <c r="S34" i="6"/>
  <c r="Q34" i="6"/>
  <c r="P34" i="6"/>
  <c r="U33" i="6"/>
  <c r="T33" i="6" a="1"/>
  <c r="T33" i="6" s="1"/>
  <c r="S33" i="6"/>
  <c r="Q33" i="6"/>
  <c r="P33" i="6"/>
  <c r="U32" i="6"/>
  <c r="T32" i="6" a="1"/>
  <c r="T32" i="6" s="1"/>
  <c r="S32" i="6"/>
  <c r="Q32" i="6"/>
  <c r="P32" i="6"/>
  <c r="U31" i="6"/>
  <c r="T31" i="6" a="1"/>
  <c r="T31" i="6" s="1"/>
  <c r="S31" i="6"/>
  <c r="Q31" i="6"/>
  <c r="P31" i="6"/>
  <c r="U30" i="6"/>
  <c r="T30" i="6" a="1"/>
  <c r="T30" i="6" s="1"/>
  <c r="S30" i="6"/>
  <c r="R30" i="6"/>
  <c r="Q30" i="6"/>
  <c r="P30" i="6"/>
  <c r="U29" i="6"/>
  <c r="T29" i="6" a="1"/>
  <c r="T29" i="6" s="1"/>
  <c r="S29" i="6"/>
  <c r="Q29" i="6"/>
  <c r="P29" i="6"/>
  <c r="U28" i="6"/>
  <c r="T28" i="6" a="1"/>
  <c r="T28" i="6" s="1"/>
  <c r="S28" i="6"/>
  <c r="Q28" i="6"/>
  <c r="P28" i="6"/>
  <c r="U27" i="6"/>
  <c r="T27" i="6" a="1"/>
  <c r="T27" i="6" s="1"/>
  <c r="S27" i="6"/>
  <c r="Q27" i="6"/>
  <c r="P27" i="6"/>
  <c r="U26" i="6"/>
  <c r="T26" i="6" a="1"/>
  <c r="T26" i="6" s="1"/>
  <c r="S26" i="6"/>
  <c r="Q26" i="6"/>
  <c r="P26" i="6"/>
  <c r="U25" i="6"/>
  <c r="T25" i="6" a="1"/>
  <c r="T25" i="6" s="1"/>
  <c r="S25" i="6"/>
  <c r="Q25" i="6"/>
  <c r="P25" i="6"/>
  <c r="U24" i="6"/>
  <c r="T24" i="6" a="1"/>
  <c r="T24" i="6" s="1"/>
  <c r="S24" i="6"/>
  <c r="Q24" i="6"/>
  <c r="P24" i="6"/>
  <c r="R24" i="6" s="1"/>
  <c r="U23" i="6"/>
  <c r="T23" i="6" a="1"/>
  <c r="T23" i="6" s="1"/>
  <c r="S23" i="6"/>
  <c r="Q23" i="6"/>
  <c r="P23" i="6"/>
  <c r="U22" i="6"/>
  <c r="T22" i="6" a="1"/>
  <c r="T22" i="6" s="1"/>
  <c r="S22" i="6"/>
  <c r="Q22" i="6"/>
  <c r="P22" i="6"/>
  <c r="U21" i="6"/>
  <c r="T21" i="6"/>
  <c r="T21" i="6" a="1"/>
  <c r="S21" i="6"/>
  <c r="Q21" i="6"/>
  <c r="P21" i="6"/>
  <c r="U20" i="6"/>
  <c r="T20" i="6" a="1"/>
  <c r="T20" i="6" s="1"/>
  <c r="S20" i="6"/>
  <c r="Q20" i="6"/>
  <c r="P20" i="6"/>
  <c r="U19" i="6"/>
  <c r="T19" i="6" a="1"/>
  <c r="T19" i="6" s="1"/>
  <c r="S19" i="6"/>
  <c r="Q19" i="6"/>
  <c r="P19" i="6"/>
  <c r="R19" i="6" s="1"/>
  <c r="U18" i="6"/>
  <c r="T18" i="6" a="1"/>
  <c r="T18" i="6" s="1"/>
  <c r="S18" i="6"/>
  <c r="Q18" i="6"/>
  <c r="P18" i="6"/>
  <c r="R18" i="6" s="1"/>
  <c r="U17" i="6"/>
  <c r="T17" i="6" a="1"/>
  <c r="T17" i="6" s="1"/>
  <c r="S17" i="6"/>
  <c r="Q17" i="6"/>
  <c r="P17" i="6"/>
  <c r="U16" i="6"/>
  <c r="T16" i="6" a="1"/>
  <c r="T16" i="6" s="1"/>
  <c r="S16" i="6"/>
  <c r="Q16" i="6"/>
  <c r="P16" i="6"/>
  <c r="U15" i="6"/>
  <c r="T15" i="6" a="1"/>
  <c r="T15" i="6" s="1"/>
  <c r="S15" i="6"/>
  <c r="R15" i="6"/>
  <c r="Q15" i="6"/>
  <c r="P15" i="6"/>
  <c r="U14" i="6"/>
  <c r="T14" i="6" a="1"/>
  <c r="T14" i="6" s="1"/>
  <c r="S14" i="6"/>
  <c r="Q14" i="6"/>
  <c r="P14" i="6"/>
  <c r="U13" i="6"/>
  <c r="T13" i="6" a="1"/>
  <c r="T13" i="6" s="1"/>
  <c r="S13" i="6"/>
  <c r="Q13" i="6"/>
  <c r="P13" i="6"/>
  <c r="U12" i="6"/>
  <c r="T12" i="6" a="1"/>
  <c r="T12" i="6" s="1"/>
  <c r="S12" i="6"/>
  <c r="Q12" i="6"/>
  <c r="P12" i="6"/>
  <c r="U11" i="6"/>
  <c r="T11" i="6" a="1"/>
  <c r="T11" i="6" s="1"/>
  <c r="S11" i="6"/>
  <c r="Q11" i="6"/>
  <c r="P11" i="6"/>
  <c r="R11" i="6" s="1"/>
  <c r="U10" i="6"/>
  <c r="T10" i="6"/>
  <c r="T10" i="6" a="1"/>
  <c r="S10" i="6"/>
  <c r="Q10" i="6"/>
  <c r="P10" i="6"/>
  <c r="U9" i="6"/>
  <c r="T9" i="6" a="1"/>
  <c r="T9" i="6" s="1"/>
  <c r="S9" i="6"/>
  <c r="Q9" i="6"/>
  <c r="P9" i="6"/>
  <c r="R9" i="6" s="1"/>
  <c r="U8" i="6"/>
  <c r="T8" i="6" a="1"/>
  <c r="T8" i="6" s="1"/>
  <c r="S8" i="6"/>
  <c r="Q8" i="6"/>
  <c r="P8" i="6"/>
  <c r="R8" i="6" s="1"/>
  <c r="U7" i="6"/>
  <c r="T7" i="6" a="1"/>
  <c r="T7" i="6" s="1"/>
  <c r="S7" i="6"/>
  <c r="Q7" i="6"/>
  <c r="P7" i="6"/>
  <c r="U6" i="6"/>
  <c r="T6" i="6" a="1"/>
  <c r="T6" i="6" s="1"/>
  <c r="S6" i="6"/>
  <c r="Q6" i="6"/>
  <c r="P6" i="6"/>
  <c r="U5" i="6"/>
  <c r="T5" i="6" a="1"/>
  <c r="T5" i="6" s="1"/>
  <c r="S5" i="6"/>
  <c r="Q5" i="6"/>
  <c r="P5" i="6"/>
  <c r="U4" i="6"/>
  <c r="T4" i="6" a="1"/>
  <c r="T4" i="6" s="1"/>
  <c r="S4" i="6"/>
  <c r="Q4" i="6"/>
  <c r="P4" i="6"/>
  <c r="U3" i="6"/>
  <c r="T3" i="6" a="1"/>
  <c r="T3" i="6" s="1"/>
  <c r="S3" i="6"/>
  <c r="Q3" i="6"/>
  <c r="P3" i="6"/>
  <c r="R3" i="6" s="1"/>
  <c r="U2" i="6"/>
  <c r="T2" i="6" a="1"/>
  <c r="T2" i="6" s="1"/>
  <c r="S2" i="6"/>
  <c r="Q2" i="6"/>
  <c r="R2" i="6" s="1"/>
  <c r="P2" i="6"/>
  <c r="X22" i="4"/>
  <c r="X20" i="4"/>
  <c r="X18" i="4"/>
  <c r="X16" i="4"/>
  <c r="X14" i="4"/>
  <c r="X12" i="4"/>
  <c r="U501" i="4"/>
  <c r="T501" i="4" a="1"/>
  <c r="T501" i="4" s="1"/>
  <c r="S501" i="4"/>
  <c r="R501" i="4"/>
  <c r="Q501" i="4"/>
  <c r="P501" i="4"/>
  <c r="U500" i="4"/>
  <c r="T500" i="4" a="1"/>
  <c r="T500" i="4" s="1"/>
  <c r="S500" i="4"/>
  <c r="Q500" i="4"/>
  <c r="P500" i="4"/>
  <c r="R500" i="4" s="1"/>
  <c r="U499" i="4"/>
  <c r="T499" i="4" a="1"/>
  <c r="T499" i="4" s="1"/>
  <c r="S499" i="4"/>
  <c r="Q499" i="4"/>
  <c r="P499" i="4"/>
  <c r="R499" i="4" s="1"/>
  <c r="U498" i="4"/>
  <c r="T498" i="4" a="1"/>
  <c r="T498" i="4" s="1"/>
  <c r="S498" i="4"/>
  <c r="Q498" i="4"/>
  <c r="P498" i="4"/>
  <c r="R498" i="4" s="1"/>
  <c r="U497" i="4"/>
  <c r="T497" i="4" a="1"/>
  <c r="T497" i="4" s="1"/>
  <c r="S497" i="4"/>
  <c r="Q497" i="4"/>
  <c r="R497" i="4" s="1"/>
  <c r="P497" i="4"/>
  <c r="U496" i="4"/>
  <c r="T496" i="4" a="1"/>
  <c r="T496" i="4" s="1"/>
  <c r="S496" i="4"/>
  <c r="Q496" i="4"/>
  <c r="R496" i="4" s="1"/>
  <c r="P496" i="4"/>
  <c r="U495" i="4"/>
  <c r="T495" i="4" a="1"/>
  <c r="T495" i="4" s="1"/>
  <c r="S495" i="4"/>
  <c r="Q495" i="4"/>
  <c r="P495" i="4"/>
  <c r="R495" i="4" s="1"/>
  <c r="U494" i="4"/>
  <c r="T494" i="4" a="1"/>
  <c r="T494" i="4" s="1"/>
  <c r="S494" i="4"/>
  <c r="Q494" i="4"/>
  <c r="R494" i="4" s="1"/>
  <c r="P494" i="4"/>
  <c r="U493" i="4"/>
  <c r="T493" i="4" a="1"/>
  <c r="T493" i="4" s="1"/>
  <c r="S493" i="4"/>
  <c r="Q493" i="4"/>
  <c r="P493" i="4"/>
  <c r="R493" i="4" s="1"/>
  <c r="U492" i="4"/>
  <c r="T492" i="4" a="1"/>
  <c r="T492" i="4" s="1"/>
  <c r="S492" i="4"/>
  <c r="Q492" i="4"/>
  <c r="P492" i="4"/>
  <c r="R492" i="4" s="1"/>
  <c r="U491" i="4"/>
  <c r="T491" i="4"/>
  <c r="T491" i="4" a="1"/>
  <c r="S491" i="4"/>
  <c r="Q491" i="4"/>
  <c r="R491" i="4" s="1"/>
  <c r="P491" i="4"/>
  <c r="U490" i="4"/>
  <c r="T490" i="4"/>
  <c r="T490" i="4" a="1"/>
  <c r="S490" i="4"/>
  <c r="Q490" i="4"/>
  <c r="P490" i="4"/>
  <c r="R490" i="4" s="1"/>
  <c r="U489" i="4"/>
  <c r="T489" i="4"/>
  <c r="T489" i="4" a="1"/>
  <c r="S489" i="4"/>
  <c r="Q489" i="4"/>
  <c r="P489" i="4"/>
  <c r="R489" i="4" s="1"/>
  <c r="U488" i="4"/>
  <c r="T488" i="4" a="1"/>
  <c r="T488" i="4" s="1"/>
  <c r="S488" i="4"/>
  <c r="Q488" i="4"/>
  <c r="P488" i="4"/>
  <c r="R488" i="4" s="1"/>
  <c r="U487" i="4"/>
  <c r="T487" i="4"/>
  <c r="T487" i="4" a="1"/>
  <c r="S487" i="4"/>
  <c r="Q487" i="4"/>
  <c r="R487" i="4" s="1"/>
  <c r="P487" i="4"/>
  <c r="U486" i="4"/>
  <c r="T486" i="4" a="1"/>
  <c r="T486" i="4" s="1"/>
  <c r="S486" i="4"/>
  <c r="R486" i="4"/>
  <c r="Q486" i="4"/>
  <c r="P486" i="4"/>
  <c r="U485" i="4"/>
  <c r="T485" i="4" a="1"/>
  <c r="T485" i="4" s="1"/>
  <c r="S485" i="4"/>
  <c r="Q485" i="4"/>
  <c r="P485" i="4"/>
  <c r="R485" i="4" s="1"/>
  <c r="U484" i="4"/>
  <c r="T484" i="4" a="1"/>
  <c r="T484" i="4" s="1"/>
  <c r="S484" i="4"/>
  <c r="R484" i="4"/>
  <c r="Q484" i="4"/>
  <c r="P484" i="4"/>
  <c r="U483" i="4"/>
  <c r="T483" i="4"/>
  <c r="T483" i="4" a="1"/>
  <c r="S483" i="4"/>
  <c r="Q483" i="4"/>
  <c r="R483" i="4" s="1"/>
  <c r="P483" i="4"/>
  <c r="U482" i="4"/>
  <c r="T482" i="4" a="1"/>
  <c r="T482" i="4" s="1"/>
  <c r="S482" i="4"/>
  <c r="Q482" i="4"/>
  <c r="P482" i="4"/>
  <c r="R482" i="4" s="1"/>
  <c r="U481" i="4"/>
  <c r="T481" i="4" a="1"/>
  <c r="T481" i="4" s="1"/>
  <c r="S481" i="4"/>
  <c r="Q481" i="4"/>
  <c r="R481" i="4" s="1"/>
  <c r="P481" i="4"/>
  <c r="U480" i="4"/>
  <c r="T480" i="4" a="1"/>
  <c r="T480" i="4" s="1"/>
  <c r="S480" i="4"/>
  <c r="Q480" i="4"/>
  <c r="P480" i="4"/>
  <c r="R480" i="4" s="1"/>
  <c r="U479" i="4"/>
  <c r="T479" i="4" a="1"/>
  <c r="T479" i="4" s="1"/>
  <c r="S479" i="4"/>
  <c r="Q479" i="4"/>
  <c r="R479" i="4" s="1"/>
  <c r="P479" i="4"/>
  <c r="U478" i="4"/>
  <c r="T478" i="4" a="1"/>
  <c r="T478" i="4" s="1"/>
  <c r="S478" i="4"/>
  <c r="Q478" i="4"/>
  <c r="P478" i="4"/>
  <c r="U477" i="4"/>
  <c r="T477" i="4"/>
  <c r="T477" i="4" a="1"/>
  <c r="S477" i="4"/>
  <c r="Q477" i="4"/>
  <c r="P477" i="4"/>
  <c r="R477" i="4" s="1"/>
  <c r="U476" i="4"/>
  <c r="T476" i="4" a="1"/>
  <c r="T476" i="4" s="1"/>
  <c r="S476" i="4"/>
  <c r="Q476" i="4"/>
  <c r="P476" i="4"/>
  <c r="R476" i="4" s="1"/>
  <c r="U475" i="4"/>
  <c r="T475" i="4"/>
  <c r="T475" i="4" a="1"/>
  <c r="S475" i="4"/>
  <c r="Q475" i="4"/>
  <c r="R475" i="4" s="1"/>
  <c r="P475" i="4"/>
  <c r="U474" i="4"/>
  <c r="T474" i="4" a="1"/>
  <c r="T474" i="4" s="1"/>
  <c r="S474" i="4"/>
  <c r="Q474" i="4"/>
  <c r="P474" i="4"/>
  <c r="R474" i="4" s="1"/>
  <c r="U473" i="4"/>
  <c r="T473" i="4"/>
  <c r="T473" i="4" a="1"/>
  <c r="S473" i="4"/>
  <c r="Q473" i="4"/>
  <c r="P473" i="4"/>
  <c r="R473" i="4" s="1"/>
  <c r="U472" i="4"/>
  <c r="T472" i="4" a="1"/>
  <c r="T472" i="4" s="1"/>
  <c r="S472" i="4"/>
  <c r="Q472" i="4"/>
  <c r="P472" i="4"/>
  <c r="R472" i="4" s="1"/>
  <c r="U471" i="4"/>
  <c r="T471" i="4"/>
  <c r="T471" i="4" a="1"/>
  <c r="S471" i="4"/>
  <c r="Q471" i="4"/>
  <c r="P471" i="4"/>
  <c r="R471" i="4" s="1"/>
  <c r="U470" i="4"/>
  <c r="T470" i="4" a="1"/>
  <c r="T470" i="4" s="1"/>
  <c r="S470" i="4"/>
  <c r="Q470" i="4"/>
  <c r="P470" i="4"/>
  <c r="R470" i="4" s="1"/>
  <c r="U469" i="4"/>
  <c r="T469" i="4" a="1"/>
  <c r="T469" i="4" s="1"/>
  <c r="S469" i="4"/>
  <c r="Q469" i="4"/>
  <c r="R469" i="4" s="1"/>
  <c r="P469" i="4"/>
  <c r="U468" i="4"/>
  <c r="T468" i="4" a="1"/>
  <c r="T468" i="4" s="1"/>
  <c r="S468" i="4"/>
  <c r="R468" i="4"/>
  <c r="Q468" i="4"/>
  <c r="P468" i="4"/>
  <c r="U467" i="4"/>
  <c r="T467" i="4" a="1"/>
  <c r="T467" i="4" s="1"/>
  <c r="S467" i="4"/>
  <c r="Q467" i="4"/>
  <c r="R467" i="4" s="1"/>
  <c r="P467" i="4"/>
  <c r="U466" i="4"/>
  <c r="T466" i="4" a="1"/>
  <c r="T466" i="4" s="1"/>
  <c r="S466" i="4"/>
  <c r="R466" i="4"/>
  <c r="Q466" i="4"/>
  <c r="P466" i="4"/>
  <c r="U465" i="4"/>
  <c r="T465" i="4"/>
  <c r="T465" i="4" a="1"/>
  <c r="S465" i="4"/>
  <c r="Q465" i="4"/>
  <c r="P465" i="4"/>
  <c r="R465" i="4" s="1"/>
  <c r="U464" i="4"/>
  <c r="T464" i="4" a="1"/>
  <c r="T464" i="4" s="1"/>
  <c r="S464" i="4"/>
  <c r="R464" i="4"/>
  <c r="Q464" i="4"/>
  <c r="P464" i="4"/>
  <c r="U463" i="4"/>
  <c r="T463" i="4"/>
  <c r="T463" i="4" a="1"/>
  <c r="S463" i="4"/>
  <c r="Q463" i="4"/>
  <c r="R463" i="4" s="1"/>
  <c r="P463" i="4"/>
  <c r="U462" i="4"/>
  <c r="T462" i="4" a="1"/>
  <c r="T462" i="4" s="1"/>
  <c r="S462" i="4"/>
  <c r="Q462" i="4"/>
  <c r="P462" i="4"/>
  <c r="R462" i="4" s="1"/>
  <c r="U461" i="4"/>
  <c r="T461" i="4" a="1"/>
  <c r="T461" i="4" s="1"/>
  <c r="S461" i="4"/>
  <c r="Q461" i="4"/>
  <c r="P461" i="4"/>
  <c r="R461" i="4" s="1"/>
  <c r="U460" i="4"/>
  <c r="T460" i="4"/>
  <c r="T460" i="4" a="1"/>
  <c r="S460" i="4"/>
  <c r="Q460" i="4"/>
  <c r="P460" i="4"/>
  <c r="R460" i="4" s="1"/>
  <c r="U459" i="4"/>
  <c r="T459" i="4"/>
  <c r="T459" i="4" a="1"/>
  <c r="S459" i="4"/>
  <c r="Q459" i="4"/>
  <c r="P459" i="4"/>
  <c r="R459" i="4" s="1"/>
  <c r="U458" i="4"/>
  <c r="T458" i="4" a="1"/>
  <c r="T458" i="4" s="1"/>
  <c r="S458" i="4"/>
  <c r="Q458" i="4"/>
  <c r="P458" i="4"/>
  <c r="R458" i="4" s="1"/>
  <c r="U457" i="4"/>
  <c r="T457" i="4" a="1"/>
  <c r="T457" i="4" s="1"/>
  <c r="S457" i="4"/>
  <c r="Q457" i="4"/>
  <c r="R457" i="4" s="1"/>
  <c r="P457" i="4"/>
  <c r="U456" i="4"/>
  <c r="T456" i="4" a="1"/>
  <c r="T456" i="4" s="1"/>
  <c r="S456" i="4"/>
  <c r="Q456" i="4"/>
  <c r="P456" i="4"/>
  <c r="R456" i="4" s="1"/>
  <c r="U455" i="4"/>
  <c r="T455" i="4" a="1"/>
  <c r="T455" i="4" s="1"/>
  <c r="S455" i="4"/>
  <c r="Q455" i="4"/>
  <c r="R455" i="4" s="1"/>
  <c r="P455" i="4"/>
  <c r="U454" i="4"/>
  <c r="T454" i="4" a="1"/>
  <c r="T454" i="4" s="1"/>
  <c r="S454" i="4"/>
  <c r="Q454" i="4"/>
  <c r="P454" i="4"/>
  <c r="R454" i="4" s="1"/>
  <c r="U453" i="4"/>
  <c r="T453" i="4"/>
  <c r="T453" i="4" a="1"/>
  <c r="S453" i="4"/>
  <c r="Q453" i="4"/>
  <c r="P453" i="4"/>
  <c r="U452" i="4"/>
  <c r="T452" i="4" a="1"/>
  <c r="T452" i="4" s="1"/>
  <c r="S452" i="4"/>
  <c r="Q452" i="4"/>
  <c r="P452" i="4"/>
  <c r="R452" i="4" s="1"/>
  <c r="U451" i="4"/>
  <c r="T451" i="4"/>
  <c r="T451" i="4" a="1"/>
  <c r="S451" i="4"/>
  <c r="R451" i="4"/>
  <c r="Q451" i="4"/>
  <c r="P451" i="4"/>
  <c r="U450" i="4"/>
  <c r="T450" i="4" a="1"/>
  <c r="T450" i="4" s="1"/>
  <c r="S450" i="4"/>
  <c r="Q450" i="4"/>
  <c r="P450" i="4"/>
  <c r="R450" i="4" s="1"/>
  <c r="U449" i="4"/>
  <c r="T449" i="4"/>
  <c r="T449" i="4" a="1"/>
  <c r="S449" i="4"/>
  <c r="Q449" i="4"/>
  <c r="P449" i="4"/>
  <c r="R449" i="4" s="1"/>
  <c r="U448" i="4"/>
  <c r="T448" i="4" a="1"/>
  <c r="T448" i="4" s="1"/>
  <c r="S448" i="4"/>
  <c r="Q448" i="4"/>
  <c r="P448" i="4"/>
  <c r="R448" i="4" s="1"/>
  <c r="U447" i="4"/>
  <c r="T447" i="4"/>
  <c r="T447" i="4" a="1"/>
  <c r="S447" i="4"/>
  <c r="Q447" i="4"/>
  <c r="P447" i="4"/>
  <c r="R447" i="4" s="1"/>
  <c r="U446" i="4"/>
  <c r="T446" i="4" a="1"/>
  <c r="T446" i="4" s="1"/>
  <c r="S446" i="4"/>
  <c r="Q446" i="4"/>
  <c r="P446" i="4"/>
  <c r="R446" i="4" s="1"/>
  <c r="U445" i="4"/>
  <c r="T445" i="4" a="1"/>
  <c r="T445" i="4" s="1"/>
  <c r="S445" i="4"/>
  <c r="Q445" i="4"/>
  <c r="R445" i="4" s="1"/>
  <c r="P445" i="4"/>
  <c r="U444" i="4"/>
  <c r="T444" i="4" a="1"/>
  <c r="T444" i="4" s="1"/>
  <c r="S444" i="4"/>
  <c r="R444" i="4"/>
  <c r="Q444" i="4"/>
  <c r="P444" i="4"/>
  <c r="U443" i="4"/>
  <c r="T443" i="4" a="1"/>
  <c r="T443" i="4" s="1"/>
  <c r="S443" i="4"/>
  <c r="Q443" i="4"/>
  <c r="R443" i="4" s="1"/>
  <c r="P443" i="4"/>
  <c r="U442" i="4"/>
  <c r="T442" i="4" a="1"/>
  <c r="T442" i="4" s="1"/>
  <c r="S442" i="4"/>
  <c r="R442" i="4"/>
  <c r="Q442" i="4"/>
  <c r="P442" i="4"/>
  <c r="U441" i="4"/>
  <c r="T441" i="4"/>
  <c r="T441" i="4" a="1"/>
  <c r="S441" i="4"/>
  <c r="Q441" i="4"/>
  <c r="P441" i="4"/>
  <c r="R441" i="4" s="1"/>
  <c r="U440" i="4"/>
  <c r="T440" i="4" a="1"/>
  <c r="T440" i="4" s="1"/>
  <c r="S440" i="4"/>
  <c r="R440" i="4"/>
  <c r="Q440" i="4"/>
  <c r="P440" i="4"/>
  <c r="U439" i="4"/>
  <c r="T439" i="4"/>
  <c r="T439" i="4" a="1"/>
  <c r="S439" i="4"/>
  <c r="Q439" i="4"/>
  <c r="R439" i="4" s="1"/>
  <c r="P439" i="4"/>
  <c r="U438" i="4"/>
  <c r="T438" i="4" a="1"/>
  <c r="T438" i="4" s="1"/>
  <c r="S438" i="4"/>
  <c r="Q438" i="4"/>
  <c r="P438" i="4"/>
  <c r="R438" i="4" s="1"/>
  <c r="U437" i="4"/>
  <c r="T437" i="4" a="1"/>
  <c r="T437" i="4" s="1"/>
  <c r="S437" i="4"/>
  <c r="Q437" i="4"/>
  <c r="P437" i="4"/>
  <c r="R437" i="4" s="1"/>
  <c r="U436" i="4"/>
  <c r="T436" i="4"/>
  <c r="T436" i="4" a="1"/>
  <c r="S436" i="4"/>
  <c r="Q436" i="4"/>
  <c r="P436" i="4"/>
  <c r="R436" i="4" s="1"/>
  <c r="U435" i="4"/>
  <c r="T435" i="4"/>
  <c r="T435" i="4" a="1"/>
  <c r="S435" i="4"/>
  <c r="Q435" i="4"/>
  <c r="R435" i="4" s="1"/>
  <c r="P435" i="4"/>
  <c r="U434" i="4"/>
  <c r="T434" i="4" a="1"/>
  <c r="T434" i="4" s="1"/>
  <c r="S434" i="4"/>
  <c r="Q434" i="4"/>
  <c r="P434" i="4"/>
  <c r="R434" i="4" s="1"/>
  <c r="U433" i="4"/>
  <c r="T433" i="4" a="1"/>
  <c r="T433" i="4" s="1"/>
  <c r="S433" i="4"/>
  <c r="Q433" i="4"/>
  <c r="R433" i="4" s="1"/>
  <c r="P433" i="4"/>
  <c r="U432" i="4"/>
  <c r="T432" i="4" a="1"/>
  <c r="T432" i="4" s="1"/>
  <c r="S432" i="4"/>
  <c r="Q432" i="4"/>
  <c r="P432" i="4"/>
  <c r="R432" i="4" s="1"/>
  <c r="U431" i="4"/>
  <c r="T431" i="4" a="1"/>
  <c r="T431" i="4" s="1"/>
  <c r="S431" i="4"/>
  <c r="Q431" i="4"/>
  <c r="R431" i="4" s="1"/>
  <c r="P431" i="4"/>
  <c r="U430" i="4"/>
  <c r="T430" i="4" a="1"/>
  <c r="T430" i="4" s="1"/>
  <c r="S430" i="4"/>
  <c r="Q430" i="4"/>
  <c r="P430" i="4"/>
  <c r="R430" i="4" s="1"/>
  <c r="U429" i="4"/>
  <c r="T429" i="4"/>
  <c r="T429" i="4" a="1"/>
  <c r="S429" i="4"/>
  <c r="Q429" i="4"/>
  <c r="P429" i="4"/>
  <c r="U428" i="4"/>
  <c r="T428" i="4" a="1"/>
  <c r="T428" i="4" s="1"/>
  <c r="S428" i="4"/>
  <c r="Q428" i="4"/>
  <c r="P428" i="4"/>
  <c r="R428" i="4" s="1"/>
  <c r="U427" i="4"/>
  <c r="T427" i="4"/>
  <c r="T427" i="4" a="1"/>
  <c r="S427" i="4"/>
  <c r="R427" i="4"/>
  <c r="Q427" i="4"/>
  <c r="P427" i="4"/>
  <c r="U426" i="4"/>
  <c r="T426" i="4" a="1"/>
  <c r="T426" i="4" s="1"/>
  <c r="S426" i="4"/>
  <c r="Q426" i="4"/>
  <c r="P426" i="4"/>
  <c r="R426" i="4" s="1"/>
  <c r="U425" i="4"/>
  <c r="T425" i="4"/>
  <c r="T425" i="4" a="1"/>
  <c r="S425" i="4"/>
  <c r="Q425" i="4"/>
  <c r="P425" i="4"/>
  <c r="R425" i="4" s="1"/>
  <c r="U424" i="4"/>
  <c r="T424" i="4" a="1"/>
  <c r="T424" i="4" s="1"/>
  <c r="S424" i="4"/>
  <c r="Q424" i="4"/>
  <c r="P424" i="4"/>
  <c r="R424" i="4" s="1"/>
  <c r="U423" i="4"/>
  <c r="T423" i="4"/>
  <c r="T423" i="4" a="1"/>
  <c r="S423" i="4"/>
  <c r="Q423" i="4"/>
  <c r="P423" i="4"/>
  <c r="R423" i="4" s="1"/>
  <c r="U422" i="4"/>
  <c r="T422" i="4" a="1"/>
  <c r="T422" i="4" s="1"/>
  <c r="S422" i="4"/>
  <c r="Q422" i="4"/>
  <c r="P422" i="4"/>
  <c r="R422" i="4" s="1"/>
  <c r="U421" i="4"/>
  <c r="T421" i="4"/>
  <c r="T421" i="4" a="1"/>
  <c r="S421" i="4"/>
  <c r="Q421" i="4"/>
  <c r="R421" i="4" s="1"/>
  <c r="P421" i="4"/>
  <c r="U420" i="4"/>
  <c r="T420" i="4" a="1"/>
  <c r="T420" i="4" s="1"/>
  <c r="S420" i="4"/>
  <c r="R420" i="4"/>
  <c r="Q420" i="4"/>
  <c r="P420" i="4"/>
  <c r="U419" i="4"/>
  <c r="T419" i="4" a="1"/>
  <c r="T419" i="4" s="1"/>
  <c r="S419" i="4"/>
  <c r="Q419" i="4"/>
  <c r="R419" i="4" s="1"/>
  <c r="P419" i="4"/>
  <c r="U418" i="4"/>
  <c r="T418" i="4"/>
  <c r="T418" i="4" a="1"/>
  <c r="S418" i="4"/>
  <c r="R418" i="4"/>
  <c r="Q418" i="4"/>
  <c r="P418" i="4"/>
  <c r="U417" i="4"/>
  <c r="T417" i="4"/>
  <c r="T417" i="4" a="1"/>
  <c r="S417" i="4"/>
  <c r="Q417" i="4"/>
  <c r="P417" i="4"/>
  <c r="R417" i="4" s="1"/>
  <c r="U416" i="4"/>
  <c r="T416" i="4" a="1"/>
  <c r="T416" i="4" s="1"/>
  <c r="S416" i="4"/>
  <c r="R416" i="4"/>
  <c r="Q416" i="4"/>
  <c r="P416" i="4"/>
  <c r="U415" i="4"/>
  <c r="T415" i="4"/>
  <c r="T415" i="4" a="1"/>
  <c r="S415" i="4"/>
  <c r="Q415" i="4"/>
  <c r="R415" i="4" s="1"/>
  <c r="P415" i="4"/>
  <c r="U414" i="4"/>
  <c r="T414" i="4" a="1"/>
  <c r="T414" i="4" s="1"/>
  <c r="S414" i="4"/>
  <c r="Q414" i="4"/>
  <c r="P414" i="4"/>
  <c r="R414" i="4" s="1"/>
  <c r="U413" i="4"/>
  <c r="T413" i="4" a="1"/>
  <c r="T413" i="4" s="1"/>
  <c r="S413" i="4"/>
  <c r="Q413" i="4"/>
  <c r="P413" i="4"/>
  <c r="R413" i="4" s="1"/>
  <c r="U412" i="4"/>
  <c r="T412" i="4"/>
  <c r="T412" i="4" a="1"/>
  <c r="S412" i="4"/>
  <c r="Q412" i="4"/>
  <c r="P412" i="4"/>
  <c r="R412" i="4" s="1"/>
  <c r="U411" i="4"/>
  <c r="T411" i="4"/>
  <c r="T411" i="4" a="1"/>
  <c r="S411" i="4"/>
  <c r="Q411" i="4"/>
  <c r="P411" i="4"/>
  <c r="R411" i="4" s="1"/>
  <c r="U410" i="4"/>
  <c r="T410" i="4" a="1"/>
  <c r="T410" i="4" s="1"/>
  <c r="S410" i="4"/>
  <c r="Q410" i="4"/>
  <c r="P410" i="4"/>
  <c r="R410" i="4" s="1"/>
  <c r="U409" i="4"/>
  <c r="T409" i="4" a="1"/>
  <c r="T409" i="4" s="1"/>
  <c r="S409" i="4"/>
  <c r="Q409" i="4"/>
  <c r="R409" i="4" s="1"/>
  <c r="P409" i="4"/>
  <c r="U408" i="4"/>
  <c r="T408" i="4" a="1"/>
  <c r="T408" i="4" s="1"/>
  <c r="S408" i="4"/>
  <c r="Q408" i="4"/>
  <c r="P408" i="4"/>
  <c r="R408" i="4" s="1"/>
  <c r="U407" i="4"/>
  <c r="T407" i="4" a="1"/>
  <c r="T407" i="4" s="1"/>
  <c r="S407" i="4"/>
  <c r="Q407" i="4"/>
  <c r="R407" i="4" s="1"/>
  <c r="P407" i="4"/>
  <c r="U406" i="4"/>
  <c r="T406" i="4" a="1"/>
  <c r="T406" i="4" s="1"/>
  <c r="S406" i="4"/>
  <c r="Q406" i="4"/>
  <c r="P406" i="4"/>
  <c r="R406" i="4" s="1"/>
  <c r="U405" i="4"/>
  <c r="T405" i="4"/>
  <c r="T405" i="4" a="1"/>
  <c r="S405" i="4"/>
  <c r="Q405" i="4"/>
  <c r="P405" i="4"/>
  <c r="U404" i="4"/>
  <c r="T404" i="4" a="1"/>
  <c r="T404" i="4" s="1"/>
  <c r="S404" i="4"/>
  <c r="Q404" i="4"/>
  <c r="P404" i="4"/>
  <c r="R404" i="4" s="1"/>
  <c r="U403" i="4"/>
  <c r="T403" i="4"/>
  <c r="T403" i="4" a="1"/>
  <c r="S403" i="4"/>
  <c r="R403" i="4"/>
  <c r="Q403" i="4"/>
  <c r="P403" i="4"/>
  <c r="U402" i="4"/>
  <c r="T402" i="4" a="1"/>
  <c r="T402" i="4" s="1"/>
  <c r="S402" i="4"/>
  <c r="Q402" i="4"/>
  <c r="P402" i="4"/>
  <c r="R402" i="4" s="1"/>
  <c r="U401" i="4"/>
  <c r="T401" i="4"/>
  <c r="T401" i="4" a="1"/>
  <c r="S401" i="4"/>
  <c r="Q401" i="4"/>
  <c r="P401" i="4"/>
  <c r="R401" i="4" s="1"/>
  <c r="U400" i="4"/>
  <c r="T400" i="4" a="1"/>
  <c r="T400" i="4" s="1"/>
  <c r="S400" i="4"/>
  <c r="Q400" i="4"/>
  <c r="P400" i="4"/>
  <c r="R400" i="4" s="1"/>
  <c r="U399" i="4"/>
  <c r="T399" i="4"/>
  <c r="T399" i="4" a="1"/>
  <c r="S399" i="4"/>
  <c r="Q399" i="4"/>
  <c r="P399" i="4"/>
  <c r="R399" i="4" s="1"/>
  <c r="U398" i="4"/>
  <c r="T398" i="4" a="1"/>
  <c r="T398" i="4" s="1"/>
  <c r="S398" i="4"/>
  <c r="Q398" i="4"/>
  <c r="P398" i="4"/>
  <c r="R398" i="4" s="1"/>
  <c r="U397" i="4"/>
  <c r="T397" i="4"/>
  <c r="T397" i="4" a="1"/>
  <c r="S397" i="4"/>
  <c r="Q397" i="4"/>
  <c r="R397" i="4" s="1"/>
  <c r="P397" i="4"/>
  <c r="U396" i="4"/>
  <c r="T396" i="4" a="1"/>
  <c r="T396" i="4" s="1"/>
  <c r="S396" i="4"/>
  <c r="R396" i="4"/>
  <c r="Q396" i="4"/>
  <c r="P396" i="4"/>
  <c r="U395" i="4"/>
  <c r="T395" i="4" a="1"/>
  <c r="T395" i="4" s="1"/>
  <c r="S395" i="4"/>
  <c r="Q395" i="4"/>
  <c r="R395" i="4" s="1"/>
  <c r="P395" i="4"/>
  <c r="U394" i="4"/>
  <c r="T394" i="4" a="1"/>
  <c r="T394" i="4" s="1"/>
  <c r="S394" i="4"/>
  <c r="R394" i="4"/>
  <c r="Q394" i="4"/>
  <c r="P394" i="4"/>
  <c r="U393" i="4"/>
  <c r="T393" i="4"/>
  <c r="T393" i="4" a="1"/>
  <c r="S393" i="4"/>
  <c r="Q393" i="4"/>
  <c r="P393" i="4"/>
  <c r="U392" i="4"/>
  <c r="T392" i="4" a="1"/>
  <c r="T392" i="4" s="1"/>
  <c r="S392" i="4"/>
  <c r="R392" i="4"/>
  <c r="Q392" i="4"/>
  <c r="P392" i="4"/>
  <c r="U391" i="4"/>
  <c r="T391" i="4"/>
  <c r="T391" i="4" a="1"/>
  <c r="S391" i="4"/>
  <c r="R391" i="4"/>
  <c r="Q391" i="4"/>
  <c r="P391" i="4"/>
  <c r="U390" i="4"/>
  <c r="T390" i="4" a="1"/>
  <c r="T390" i="4" s="1"/>
  <c r="S390" i="4"/>
  <c r="Q390" i="4"/>
  <c r="P390" i="4"/>
  <c r="R390" i="4" s="1"/>
  <c r="U389" i="4"/>
  <c r="T389" i="4" a="1"/>
  <c r="T389" i="4" s="1"/>
  <c r="S389" i="4"/>
  <c r="Q389" i="4"/>
  <c r="P389" i="4"/>
  <c r="U388" i="4"/>
  <c r="T388" i="4"/>
  <c r="T388" i="4" a="1"/>
  <c r="S388" i="4"/>
  <c r="Q388" i="4"/>
  <c r="P388" i="4"/>
  <c r="R388" i="4" s="1"/>
  <c r="U387" i="4"/>
  <c r="T387" i="4"/>
  <c r="T387" i="4" a="1"/>
  <c r="S387" i="4"/>
  <c r="R387" i="4"/>
  <c r="Q387" i="4"/>
  <c r="P387" i="4"/>
  <c r="U386" i="4"/>
  <c r="T386" i="4" a="1"/>
  <c r="T386" i="4" s="1"/>
  <c r="S386" i="4"/>
  <c r="Q386" i="4"/>
  <c r="P386" i="4"/>
  <c r="R386" i="4" s="1"/>
  <c r="U385" i="4"/>
  <c r="T385" i="4" a="1"/>
  <c r="T385" i="4" s="1"/>
  <c r="S385" i="4"/>
  <c r="R385" i="4"/>
  <c r="Q385" i="4"/>
  <c r="P385" i="4"/>
  <c r="U384" i="4"/>
  <c r="T384" i="4" a="1"/>
  <c r="T384" i="4" s="1"/>
  <c r="S384" i="4"/>
  <c r="Q384" i="4"/>
  <c r="P384" i="4"/>
  <c r="R384" i="4" s="1"/>
  <c r="U383" i="4"/>
  <c r="T383" i="4" a="1"/>
  <c r="T383" i="4" s="1"/>
  <c r="S383" i="4"/>
  <c r="Q383" i="4"/>
  <c r="R383" i="4" s="1"/>
  <c r="P383" i="4"/>
  <c r="U382" i="4"/>
  <c r="T382" i="4" a="1"/>
  <c r="T382" i="4" s="1"/>
  <c r="S382" i="4"/>
  <c r="Q382" i="4"/>
  <c r="P382" i="4"/>
  <c r="R382" i="4" s="1"/>
  <c r="U381" i="4"/>
  <c r="T381" i="4"/>
  <c r="T381" i="4" a="1"/>
  <c r="S381" i="4"/>
  <c r="Q381" i="4"/>
  <c r="P381" i="4"/>
  <c r="R381" i="4" s="1"/>
  <c r="U380" i="4"/>
  <c r="T380" i="4" a="1"/>
  <c r="T380" i="4" s="1"/>
  <c r="S380" i="4"/>
  <c r="Q380" i="4"/>
  <c r="P380" i="4"/>
  <c r="R380" i="4" s="1"/>
  <c r="U379" i="4"/>
  <c r="T379" i="4"/>
  <c r="T379" i="4" a="1"/>
  <c r="S379" i="4"/>
  <c r="Q379" i="4"/>
  <c r="R379" i="4" s="1"/>
  <c r="P379" i="4"/>
  <c r="U378" i="4"/>
  <c r="T378" i="4" a="1"/>
  <c r="T378" i="4" s="1"/>
  <c r="S378" i="4"/>
  <c r="R378" i="4"/>
  <c r="Q378" i="4"/>
  <c r="P378" i="4"/>
  <c r="U377" i="4"/>
  <c r="T377" i="4"/>
  <c r="T377" i="4" a="1"/>
  <c r="S377" i="4"/>
  <c r="Q377" i="4"/>
  <c r="P377" i="4"/>
  <c r="R377" i="4" s="1"/>
  <c r="U376" i="4"/>
  <c r="T376" i="4" a="1"/>
  <c r="T376" i="4" s="1"/>
  <c r="S376" i="4"/>
  <c r="R376" i="4"/>
  <c r="Q376" i="4"/>
  <c r="P376" i="4"/>
  <c r="U375" i="4"/>
  <c r="T375" i="4"/>
  <c r="T375" i="4" a="1"/>
  <c r="S375" i="4"/>
  <c r="Q375" i="4"/>
  <c r="P375" i="4"/>
  <c r="R375" i="4" s="1"/>
  <c r="U374" i="4"/>
  <c r="T374" i="4" a="1"/>
  <c r="T374" i="4" s="1"/>
  <c r="S374" i="4"/>
  <c r="R374" i="4"/>
  <c r="Q374" i="4"/>
  <c r="P374" i="4"/>
  <c r="U373" i="4"/>
  <c r="T373" i="4" a="1"/>
  <c r="T373" i="4" s="1"/>
  <c r="S373" i="4"/>
  <c r="Q373" i="4"/>
  <c r="R373" i="4" s="1"/>
  <c r="P373" i="4"/>
  <c r="U372" i="4"/>
  <c r="T372" i="4" a="1"/>
  <c r="T372" i="4" s="1"/>
  <c r="S372" i="4"/>
  <c r="R372" i="4"/>
  <c r="Q372" i="4"/>
  <c r="P372" i="4"/>
  <c r="U371" i="4"/>
  <c r="T371" i="4" a="1"/>
  <c r="T371" i="4" s="1"/>
  <c r="S371" i="4"/>
  <c r="Q371" i="4"/>
  <c r="R371" i="4" s="1"/>
  <c r="P371" i="4"/>
  <c r="U370" i="4"/>
  <c r="T370" i="4" a="1"/>
  <c r="T370" i="4" s="1"/>
  <c r="S370" i="4"/>
  <c r="R370" i="4"/>
  <c r="Q370" i="4"/>
  <c r="P370" i="4"/>
  <c r="U369" i="4"/>
  <c r="T369" i="4"/>
  <c r="T369" i="4" a="1"/>
  <c r="S369" i="4"/>
  <c r="Q369" i="4"/>
  <c r="P369" i="4"/>
  <c r="R369" i="4" s="1"/>
  <c r="U368" i="4"/>
  <c r="T368" i="4" a="1"/>
  <c r="T368" i="4" s="1"/>
  <c r="S368" i="4"/>
  <c r="R368" i="4"/>
  <c r="Q368" i="4"/>
  <c r="P368" i="4"/>
  <c r="U367" i="4"/>
  <c r="T367" i="4"/>
  <c r="T367" i="4" a="1"/>
  <c r="S367" i="4"/>
  <c r="Q367" i="4"/>
  <c r="R367" i="4" s="1"/>
  <c r="P367" i="4"/>
  <c r="U366" i="4"/>
  <c r="T366" i="4" a="1"/>
  <c r="T366" i="4" s="1"/>
  <c r="S366" i="4"/>
  <c r="Q366" i="4"/>
  <c r="P366" i="4"/>
  <c r="R366" i="4" s="1"/>
  <c r="U365" i="4"/>
  <c r="T365" i="4" a="1"/>
  <c r="T365" i="4" s="1"/>
  <c r="S365" i="4"/>
  <c r="Q365" i="4"/>
  <c r="P365" i="4"/>
  <c r="R365" i="4" s="1"/>
  <c r="U364" i="4"/>
  <c r="T364" i="4"/>
  <c r="T364" i="4" a="1"/>
  <c r="S364" i="4"/>
  <c r="Q364" i="4"/>
  <c r="P364" i="4"/>
  <c r="R364" i="4" s="1"/>
  <c r="U363" i="4"/>
  <c r="T363" i="4"/>
  <c r="T363" i="4" a="1"/>
  <c r="S363" i="4"/>
  <c r="Q363" i="4"/>
  <c r="P363" i="4"/>
  <c r="R363" i="4" s="1"/>
  <c r="U362" i="4"/>
  <c r="T362" i="4" a="1"/>
  <c r="T362" i="4" s="1"/>
  <c r="S362" i="4"/>
  <c r="Q362" i="4"/>
  <c r="P362" i="4"/>
  <c r="R362" i="4" s="1"/>
  <c r="U361" i="4"/>
  <c r="T361" i="4" a="1"/>
  <c r="T361" i="4" s="1"/>
  <c r="S361" i="4"/>
  <c r="Q361" i="4"/>
  <c r="R361" i="4" s="1"/>
  <c r="P361" i="4"/>
  <c r="U360" i="4"/>
  <c r="T360" i="4" a="1"/>
  <c r="T360" i="4" s="1"/>
  <c r="S360" i="4"/>
  <c r="Q360" i="4"/>
  <c r="P360" i="4"/>
  <c r="R360" i="4" s="1"/>
  <c r="U359" i="4"/>
  <c r="T359" i="4" a="1"/>
  <c r="T359" i="4" s="1"/>
  <c r="S359" i="4"/>
  <c r="Q359" i="4"/>
  <c r="R359" i="4" s="1"/>
  <c r="P359" i="4"/>
  <c r="U358" i="4"/>
  <c r="T358" i="4" a="1"/>
  <c r="T358" i="4" s="1"/>
  <c r="S358" i="4"/>
  <c r="Q358" i="4"/>
  <c r="P358" i="4"/>
  <c r="R358" i="4" s="1"/>
  <c r="U357" i="4"/>
  <c r="T357" i="4"/>
  <c r="T357" i="4" a="1"/>
  <c r="S357" i="4"/>
  <c r="Q357" i="4"/>
  <c r="P357" i="4"/>
  <c r="R357" i="4" s="1"/>
  <c r="U356" i="4"/>
  <c r="T356" i="4" a="1"/>
  <c r="T356" i="4" s="1"/>
  <c r="S356" i="4"/>
  <c r="Q356" i="4"/>
  <c r="P356" i="4"/>
  <c r="R356" i="4" s="1"/>
  <c r="U355" i="4"/>
  <c r="T355" i="4"/>
  <c r="T355" i="4" a="1"/>
  <c r="S355" i="4"/>
  <c r="Q355" i="4"/>
  <c r="R355" i="4" s="1"/>
  <c r="P355" i="4"/>
  <c r="U354" i="4"/>
  <c r="T354" i="4" a="1"/>
  <c r="T354" i="4" s="1"/>
  <c r="S354" i="4"/>
  <c r="R354" i="4"/>
  <c r="Q354" i="4"/>
  <c r="P354" i="4"/>
  <c r="U353" i="4"/>
  <c r="T353" i="4"/>
  <c r="T353" i="4" a="1"/>
  <c r="S353" i="4"/>
  <c r="Q353" i="4"/>
  <c r="P353" i="4"/>
  <c r="R353" i="4" s="1"/>
  <c r="U352" i="4"/>
  <c r="T352" i="4" a="1"/>
  <c r="T352" i="4" s="1"/>
  <c r="S352" i="4"/>
  <c r="R352" i="4"/>
  <c r="Q352" i="4"/>
  <c r="P352" i="4"/>
  <c r="U351" i="4"/>
  <c r="T351" i="4"/>
  <c r="T351" i="4" a="1"/>
  <c r="S351" i="4"/>
  <c r="Q351" i="4"/>
  <c r="P351" i="4"/>
  <c r="R351" i="4" s="1"/>
  <c r="U350" i="4"/>
  <c r="T350" i="4" a="1"/>
  <c r="T350" i="4" s="1"/>
  <c r="S350" i="4"/>
  <c r="R350" i="4"/>
  <c r="Q350" i="4"/>
  <c r="P350" i="4"/>
  <c r="U349" i="4"/>
  <c r="T349" i="4" a="1"/>
  <c r="T349" i="4" s="1"/>
  <c r="S349" i="4"/>
  <c r="Q349" i="4"/>
  <c r="R349" i="4" s="1"/>
  <c r="P349" i="4"/>
  <c r="U348" i="4"/>
  <c r="T348" i="4" a="1"/>
  <c r="T348" i="4" s="1"/>
  <c r="S348" i="4"/>
  <c r="R348" i="4"/>
  <c r="Q348" i="4"/>
  <c r="P348" i="4"/>
  <c r="U347" i="4"/>
  <c r="T347" i="4" a="1"/>
  <c r="T347" i="4" s="1"/>
  <c r="S347" i="4"/>
  <c r="Q347" i="4"/>
  <c r="R347" i="4" s="1"/>
  <c r="P347" i="4"/>
  <c r="U346" i="4"/>
  <c r="T346" i="4" a="1"/>
  <c r="T346" i="4" s="1"/>
  <c r="S346" i="4"/>
  <c r="R346" i="4"/>
  <c r="Q346" i="4"/>
  <c r="P346" i="4"/>
  <c r="U345" i="4"/>
  <c r="T345" i="4"/>
  <c r="T345" i="4" a="1"/>
  <c r="S345" i="4"/>
  <c r="Q345" i="4"/>
  <c r="P345" i="4"/>
  <c r="R345" i="4" s="1"/>
  <c r="U344" i="4"/>
  <c r="T344" i="4" a="1"/>
  <c r="T344" i="4" s="1"/>
  <c r="S344" i="4"/>
  <c r="R344" i="4"/>
  <c r="Q344" i="4"/>
  <c r="P344" i="4"/>
  <c r="U343" i="4"/>
  <c r="T343" i="4"/>
  <c r="T343" i="4" a="1"/>
  <c r="S343" i="4"/>
  <c r="Q343" i="4"/>
  <c r="R343" i="4" s="1"/>
  <c r="P343" i="4"/>
  <c r="U342" i="4"/>
  <c r="T342" i="4" a="1"/>
  <c r="T342" i="4" s="1"/>
  <c r="S342" i="4"/>
  <c r="Q342" i="4"/>
  <c r="P342" i="4"/>
  <c r="R342" i="4" s="1"/>
  <c r="U341" i="4"/>
  <c r="T341" i="4" a="1"/>
  <c r="T341" i="4" s="1"/>
  <c r="S341" i="4"/>
  <c r="Q341" i="4"/>
  <c r="P341" i="4"/>
  <c r="R341" i="4" s="1"/>
  <c r="U340" i="4"/>
  <c r="T340" i="4"/>
  <c r="T340" i="4" a="1"/>
  <c r="S340" i="4"/>
  <c r="Q340" i="4"/>
  <c r="P340" i="4"/>
  <c r="R340" i="4" s="1"/>
  <c r="U339" i="4"/>
  <c r="T339" i="4"/>
  <c r="T339" i="4" a="1"/>
  <c r="S339" i="4"/>
  <c r="Q339" i="4"/>
  <c r="P339" i="4"/>
  <c r="R339" i="4" s="1"/>
  <c r="U338" i="4"/>
  <c r="T338" i="4" a="1"/>
  <c r="T338" i="4" s="1"/>
  <c r="S338" i="4"/>
  <c r="Q338" i="4"/>
  <c r="P338" i="4"/>
  <c r="R338" i="4" s="1"/>
  <c r="U337" i="4"/>
  <c r="T337" i="4"/>
  <c r="T337" i="4" a="1"/>
  <c r="S337" i="4"/>
  <c r="Q337" i="4"/>
  <c r="R337" i="4" s="1"/>
  <c r="P337" i="4"/>
  <c r="U336" i="4"/>
  <c r="T336" i="4" a="1"/>
  <c r="T336" i="4" s="1"/>
  <c r="S336" i="4"/>
  <c r="Q336" i="4"/>
  <c r="P336" i="4"/>
  <c r="R336" i="4" s="1"/>
  <c r="U335" i="4"/>
  <c r="T335" i="4"/>
  <c r="T335" i="4" a="1"/>
  <c r="S335" i="4"/>
  <c r="Q335" i="4"/>
  <c r="R335" i="4" s="1"/>
  <c r="P335" i="4"/>
  <c r="U334" i="4"/>
  <c r="T334" i="4" a="1"/>
  <c r="T334" i="4" s="1"/>
  <c r="S334" i="4"/>
  <c r="Q334" i="4"/>
  <c r="P334" i="4"/>
  <c r="R334" i="4" s="1"/>
  <c r="U333" i="4"/>
  <c r="T333" i="4"/>
  <c r="T333" i="4" a="1"/>
  <c r="S333" i="4"/>
  <c r="Q333" i="4"/>
  <c r="P333" i="4"/>
  <c r="R333" i="4" s="1"/>
  <c r="U332" i="4"/>
  <c r="T332" i="4" a="1"/>
  <c r="T332" i="4" s="1"/>
  <c r="S332" i="4"/>
  <c r="Q332" i="4"/>
  <c r="P332" i="4"/>
  <c r="R332" i="4" s="1"/>
  <c r="U331" i="4"/>
  <c r="T331" i="4"/>
  <c r="T331" i="4" a="1"/>
  <c r="S331" i="4"/>
  <c r="Q331" i="4"/>
  <c r="R331" i="4" s="1"/>
  <c r="P331" i="4"/>
  <c r="U330" i="4"/>
  <c r="T330" i="4" a="1"/>
  <c r="T330" i="4" s="1"/>
  <c r="S330" i="4"/>
  <c r="Q330" i="4"/>
  <c r="P330" i="4"/>
  <c r="R330" i="4" s="1"/>
  <c r="U329" i="4"/>
  <c r="T329" i="4"/>
  <c r="T329" i="4" a="1"/>
  <c r="S329" i="4"/>
  <c r="Q329" i="4"/>
  <c r="P329" i="4"/>
  <c r="R329" i="4" s="1"/>
  <c r="U328" i="4"/>
  <c r="T328" i="4" a="1"/>
  <c r="T328" i="4" s="1"/>
  <c r="S328" i="4"/>
  <c r="Q328" i="4"/>
  <c r="P328" i="4"/>
  <c r="R328" i="4" s="1"/>
  <c r="U327" i="4"/>
  <c r="T327" i="4"/>
  <c r="T327" i="4" a="1"/>
  <c r="S327" i="4"/>
  <c r="Q327" i="4"/>
  <c r="P327" i="4"/>
  <c r="R327" i="4" s="1"/>
  <c r="U326" i="4"/>
  <c r="T326" i="4" a="1"/>
  <c r="T326" i="4" s="1"/>
  <c r="S326" i="4"/>
  <c r="Q326" i="4"/>
  <c r="P326" i="4"/>
  <c r="R326" i="4" s="1"/>
  <c r="U325" i="4"/>
  <c r="T325" i="4" a="1"/>
  <c r="T325" i="4" s="1"/>
  <c r="S325" i="4"/>
  <c r="Q325" i="4"/>
  <c r="R325" i="4" s="1"/>
  <c r="P325" i="4"/>
  <c r="U324" i="4"/>
  <c r="T324" i="4" a="1"/>
  <c r="T324" i="4" s="1"/>
  <c r="S324" i="4"/>
  <c r="R324" i="4"/>
  <c r="Q324" i="4"/>
  <c r="P324" i="4"/>
  <c r="U323" i="4"/>
  <c r="T323" i="4" a="1"/>
  <c r="T323" i="4" s="1"/>
  <c r="S323" i="4"/>
  <c r="Q323" i="4"/>
  <c r="R323" i="4" s="1"/>
  <c r="P323" i="4"/>
  <c r="U322" i="4"/>
  <c r="T322" i="4" a="1"/>
  <c r="T322" i="4" s="1"/>
  <c r="S322" i="4"/>
  <c r="R322" i="4"/>
  <c r="Q322" i="4"/>
  <c r="P322" i="4"/>
  <c r="U321" i="4"/>
  <c r="T321" i="4"/>
  <c r="T321" i="4" a="1"/>
  <c r="S321" i="4"/>
  <c r="Q321" i="4"/>
  <c r="P321" i="4"/>
  <c r="U320" i="4"/>
  <c r="T320" i="4" a="1"/>
  <c r="T320" i="4" s="1"/>
  <c r="S320" i="4"/>
  <c r="R320" i="4"/>
  <c r="Q320" i="4"/>
  <c r="P320" i="4"/>
  <c r="U319" i="4"/>
  <c r="T319" i="4"/>
  <c r="T319" i="4" a="1"/>
  <c r="S319" i="4"/>
  <c r="R319" i="4"/>
  <c r="Q319" i="4"/>
  <c r="P319" i="4"/>
  <c r="U318" i="4"/>
  <c r="T318" i="4" a="1"/>
  <c r="T318" i="4" s="1"/>
  <c r="S318" i="4"/>
  <c r="Q318" i="4"/>
  <c r="P318" i="4"/>
  <c r="R318" i="4" s="1"/>
  <c r="U317" i="4"/>
  <c r="T317" i="4" a="1"/>
  <c r="T317" i="4" s="1"/>
  <c r="S317" i="4"/>
  <c r="Q317" i="4"/>
  <c r="P317" i="4"/>
  <c r="U316" i="4"/>
  <c r="T316" i="4"/>
  <c r="T316" i="4" a="1"/>
  <c r="S316" i="4"/>
  <c r="Q316" i="4"/>
  <c r="P316" i="4"/>
  <c r="R316" i="4" s="1"/>
  <c r="U315" i="4"/>
  <c r="T315" i="4"/>
  <c r="T315" i="4" a="1"/>
  <c r="S315" i="4"/>
  <c r="R315" i="4"/>
  <c r="Q315" i="4"/>
  <c r="P315" i="4"/>
  <c r="U314" i="4"/>
  <c r="T314" i="4" a="1"/>
  <c r="T314" i="4" s="1"/>
  <c r="S314" i="4"/>
  <c r="Q314" i="4"/>
  <c r="P314" i="4"/>
  <c r="R314" i="4" s="1"/>
  <c r="U313" i="4"/>
  <c r="T313" i="4"/>
  <c r="T313" i="4" a="1"/>
  <c r="S313" i="4"/>
  <c r="R313" i="4"/>
  <c r="Q313" i="4"/>
  <c r="P313" i="4"/>
  <c r="U312" i="4"/>
  <c r="T312" i="4" a="1"/>
  <c r="T312" i="4" s="1"/>
  <c r="S312" i="4"/>
  <c r="Q312" i="4"/>
  <c r="P312" i="4"/>
  <c r="R312" i="4" s="1"/>
  <c r="U311" i="4"/>
  <c r="T311" i="4"/>
  <c r="T311" i="4" a="1"/>
  <c r="S311" i="4"/>
  <c r="Q311" i="4"/>
  <c r="R311" i="4" s="1"/>
  <c r="P311" i="4"/>
  <c r="U310" i="4"/>
  <c r="T310" i="4" a="1"/>
  <c r="T310" i="4" s="1"/>
  <c r="S310" i="4"/>
  <c r="Q310" i="4"/>
  <c r="P310" i="4"/>
  <c r="R310" i="4" s="1"/>
  <c r="U309" i="4"/>
  <c r="T309" i="4"/>
  <c r="T309" i="4" a="1"/>
  <c r="S309" i="4"/>
  <c r="Q309" i="4"/>
  <c r="P309" i="4"/>
  <c r="U308" i="4"/>
  <c r="T308" i="4" a="1"/>
  <c r="T308" i="4" s="1"/>
  <c r="S308" i="4"/>
  <c r="Q308" i="4"/>
  <c r="P308" i="4"/>
  <c r="R308" i="4" s="1"/>
  <c r="U307" i="4"/>
  <c r="T307" i="4"/>
  <c r="T307" i="4" a="1"/>
  <c r="S307" i="4"/>
  <c r="R307" i="4"/>
  <c r="Q307" i="4"/>
  <c r="P307" i="4"/>
  <c r="U306" i="4"/>
  <c r="T306" i="4" a="1"/>
  <c r="T306" i="4" s="1"/>
  <c r="S306" i="4"/>
  <c r="Q306" i="4"/>
  <c r="P306" i="4"/>
  <c r="R306" i="4" s="1"/>
  <c r="U305" i="4"/>
  <c r="T305" i="4"/>
  <c r="T305" i="4" a="1"/>
  <c r="S305" i="4"/>
  <c r="Q305" i="4"/>
  <c r="P305" i="4"/>
  <c r="R305" i="4" s="1"/>
  <c r="U304" i="4"/>
  <c r="T304" i="4" a="1"/>
  <c r="T304" i="4" s="1"/>
  <c r="S304" i="4"/>
  <c r="Q304" i="4"/>
  <c r="P304" i="4"/>
  <c r="R304" i="4" s="1"/>
  <c r="U303" i="4"/>
  <c r="T303" i="4"/>
  <c r="T303" i="4" a="1"/>
  <c r="S303" i="4"/>
  <c r="Q303" i="4"/>
  <c r="P303" i="4"/>
  <c r="R303" i="4" s="1"/>
  <c r="U302" i="4"/>
  <c r="T302" i="4" a="1"/>
  <c r="T302" i="4" s="1"/>
  <c r="S302" i="4"/>
  <c r="Q302" i="4"/>
  <c r="P302" i="4"/>
  <c r="R302" i="4" s="1"/>
  <c r="U301" i="4"/>
  <c r="T301" i="4" a="1"/>
  <c r="T301" i="4" s="1"/>
  <c r="S301" i="4"/>
  <c r="Q301" i="4"/>
  <c r="R301" i="4" s="1"/>
  <c r="P301" i="4"/>
  <c r="U300" i="4"/>
  <c r="T300" i="4" a="1"/>
  <c r="T300" i="4" s="1"/>
  <c r="S300" i="4"/>
  <c r="R300" i="4"/>
  <c r="Q300" i="4"/>
  <c r="P300" i="4"/>
  <c r="U299" i="4"/>
  <c r="T299" i="4" a="1"/>
  <c r="T299" i="4" s="1"/>
  <c r="S299" i="4"/>
  <c r="Q299" i="4"/>
  <c r="R299" i="4" s="1"/>
  <c r="P299" i="4"/>
  <c r="U298" i="4"/>
  <c r="T298" i="4"/>
  <c r="T298" i="4" a="1"/>
  <c r="S298" i="4"/>
  <c r="R298" i="4"/>
  <c r="Q298" i="4"/>
  <c r="P298" i="4"/>
  <c r="U297" i="4"/>
  <c r="T297" i="4"/>
  <c r="T297" i="4" a="1"/>
  <c r="S297" i="4"/>
  <c r="Q297" i="4"/>
  <c r="P297" i="4"/>
  <c r="R297" i="4" s="1"/>
  <c r="U296" i="4"/>
  <c r="T296" i="4" a="1"/>
  <c r="T296" i="4" s="1"/>
  <c r="S296" i="4"/>
  <c r="R296" i="4"/>
  <c r="Q296" i="4"/>
  <c r="P296" i="4"/>
  <c r="U295" i="4"/>
  <c r="T295" i="4"/>
  <c r="T295" i="4" a="1"/>
  <c r="S295" i="4"/>
  <c r="Q295" i="4"/>
  <c r="R295" i="4" s="1"/>
  <c r="P295" i="4"/>
  <c r="U294" i="4"/>
  <c r="T294" i="4" a="1"/>
  <c r="T294" i="4" s="1"/>
  <c r="S294" i="4"/>
  <c r="Q294" i="4"/>
  <c r="P294" i="4"/>
  <c r="R294" i="4" s="1"/>
  <c r="U293" i="4"/>
  <c r="T293" i="4" a="1"/>
  <c r="T293" i="4" s="1"/>
  <c r="S293" i="4"/>
  <c r="Q293" i="4"/>
  <c r="P293" i="4"/>
  <c r="R293" i="4" s="1"/>
  <c r="U292" i="4"/>
  <c r="T292" i="4"/>
  <c r="T292" i="4" a="1"/>
  <c r="S292" i="4"/>
  <c r="Q292" i="4"/>
  <c r="P292" i="4"/>
  <c r="R292" i="4" s="1"/>
  <c r="U291" i="4"/>
  <c r="T291" i="4"/>
  <c r="T291" i="4" a="1"/>
  <c r="S291" i="4"/>
  <c r="Q291" i="4"/>
  <c r="P291" i="4"/>
  <c r="R291" i="4" s="1"/>
  <c r="U290" i="4"/>
  <c r="T290" i="4" a="1"/>
  <c r="T290" i="4" s="1"/>
  <c r="S290" i="4"/>
  <c r="Q290" i="4"/>
  <c r="P290" i="4"/>
  <c r="R290" i="4" s="1"/>
  <c r="U289" i="4"/>
  <c r="T289" i="4" a="1"/>
  <c r="T289" i="4" s="1"/>
  <c r="S289" i="4"/>
  <c r="Q289" i="4"/>
  <c r="R289" i="4" s="1"/>
  <c r="P289" i="4"/>
  <c r="U288" i="4"/>
  <c r="T288" i="4" a="1"/>
  <c r="T288" i="4" s="1"/>
  <c r="S288" i="4"/>
  <c r="Q288" i="4"/>
  <c r="P288" i="4"/>
  <c r="R288" i="4" s="1"/>
  <c r="U287" i="4"/>
  <c r="T287" i="4" a="1"/>
  <c r="T287" i="4" s="1"/>
  <c r="S287" i="4"/>
  <c r="Q287" i="4"/>
  <c r="P287" i="4"/>
  <c r="U286" i="4"/>
  <c r="T286" i="4" a="1"/>
  <c r="T286" i="4" s="1"/>
  <c r="S286" i="4"/>
  <c r="Q286" i="4"/>
  <c r="P286" i="4"/>
  <c r="R286" i="4" s="1"/>
  <c r="U285" i="4"/>
  <c r="T285" i="4"/>
  <c r="T285" i="4" a="1"/>
  <c r="S285" i="4"/>
  <c r="Q285" i="4"/>
  <c r="P285" i="4"/>
  <c r="U284" i="4"/>
  <c r="T284" i="4" a="1"/>
  <c r="T284" i="4" s="1"/>
  <c r="S284" i="4"/>
  <c r="Q284" i="4"/>
  <c r="P284" i="4"/>
  <c r="R284" i="4" s="1"/>
  <c r="U283" i="4"/>
  <c r="T283" i="4"/>
  <c r="T283" i="4" a="1"/>
  <c r="S283" i="4"/>
  <c r="R283" i="4"/>
  <c r="Q283" i="4"/>
  <c r="P283" i="4"/>
  <c r="U282" i="4"/>
  <c r="T282" i="4" a="1"/>
  <c r="T282" i="4" s="1"/>
  <c r="S282" i="4"/>
  <c r="Q282" i="4"/>
  <c r="P282" i="4"/>
  <c r="R282" i="4" s="1"/>
  <c r="U281" i="4"/>
  <c r="T281" i="4"/>
  <c r="T281" i="4" a="1"/>
  <c r="S281" i="4"/>
  <c r="Q281" i="4"/>
  <c r="P281" i="4"/>
  <c r="R281" i="4" s="1"/>
  <c r="U280" i="4"/>
  <c r="T280" i="4" a="1"/>
  <c r="T280" i="4" s="1"/>
  <c r="S280" i="4"/>
  <c r="Q280" i="4"/>
  <c r="P280" i="4"/>
  <c r="R280" i="4" s="1"/>
  <c r="U279" i="4"/>
  <c r="T279" i="4"/>
  <c r="T279" i="4" a="1"/>
  <c r="S279" i="4"/>
  <c r="Q279" i="4"/>
  <c r="P279" i="4"/>
  <c r="R279" i="4" s="1"/>
  <c r="U278" i="4"/>
  <c r="T278" i="4" a="1"/>
  <c r="T278" i="4" s="1"/>
  <c r="S278" i="4"/>
  <c r="Q278" i="4"/>
  <c r="P278" i="4"/>
  <c r="R278" i="4" s="1"/>
  <c r="U277" i="4"/>
  <c r="T277" i="4" a="1"/>
  <c r="T277" i="4" s="1"/>
  <c r="S277" i="4"/>
  <c r="Q277" i="4"/>
  <c r="R277" i="4" s="1"/>
  <c r="P277" i="4"/>
  <c r="U276" i="4"/>
  <c r="T276" i="4" a="1"/>
  <c r="T276" i="4" s="1"/>
  <c r="S276" i="4"/>
  <c r="R276" i="4"/>
  <c r="Q276" i="4"/>
  <c r="P276" i="4"/>
  <c r="U275" i="4"/>
  <c r="T275" i="4" a="1"/>
  <c r="T275" i="4" s="1"/>
  <c r="S275" i="4"/>
  <c r="Q275" i="4"/>
  <c r="P275" i="4"/>
  <c r="R275" i="4" s="1"/>
  <c r="U274" i="4"/>
  <c r="T274" i="4" a="1"/>
  <c r="T274" i="4" s="1"/>
  <c r="S274" i="4"/>
  <c r="R274" i="4"/>
  <c r="Q274" i="4"/>
  <c r="P274" i="4"/>
  <c r="U273" i="4"/>
  <c r="T273" i="4"/>
  <c r="T273" i="4" a="1"/>
  <c r="S273" i="4"/>
  <c r="Q273" i="4"/>
  <c r="P273" i="4"/>
  <c r="R273" i="4" s="1"/>
  <c r="U272" i="4"/>
  <c r="T272" i="4" a="1"/>
  <c r="T272" i="4" s="1"/>
  <c r="S272" i="4"/>
  <c r="R272" i="4"/>
  <c r="Q272" i="4"/>
  <c r="P272" i="4"/>
  <c r="U271" i="4"/>
  <c r="T271" i="4"/>
  <c r="T271" i="4" a="1"/>
  <c r="S271" i="4"/>
  <c r="Q271" i="4"/>
  <c r="R271" i="4" s="1"/>
  <c r="P271" i="4"/>
  <c r="U270" i="4"/>
  <c r="T270" i="4"/>
  <c r="T270" i="4" a="1"/>
  <c r="S270" i="4"/>
  <c r="Q270" i="4"/>
  <c r="P270" i="4"/>
  <c r="R270" i="4" s="1"/>
  <c r="U269" i="4"/>
  <c r="T269" i="4" a="1"/>
  <c r="T269" i="4" s="1"/>
  <c r="S269" i="4"/>
  <c r="Q269" i="4"/>
  <c r="P269" i="4"/>
  <c r="R269" i="4" s="1"/>
  <c r="U268" i="4"/>
  <c r="T268" i="4"/>
  <c r="T268" i="4" a="1"/>
  <c r="S268" i="4"/>
  <c r="Q268" i="4"/>
  <c r="P268" i="4"/>
  <c r="R268" i="4" s="1"/>
  <c r="U267" i="4"/>
  <c r="T267" i="4"/>
  <c r="T267" i="4" a="1"/>
  <c r="S267" i="4"/>
  <c r="Q267" i="4"/>
  <c r="R267" i="4" s="1"/>
  <c r="P267" i="4"/>
  <c r="U266" i="4"/>
  <c r="T266" i="4" a="1"/>
  <c r="T266" i="4" s="1"/>
  <c r="S266" i="4"/>
  <c r="Q266" i="4"/>
  <c r="P266" i="4"/>
  <c r="R266" i="4" s="1"/>
  <c r="U265" i="4"/>
  <c r="T265" i="4" a="1"/>
  <c r="T265" i="4" s="1"/>
  <c r="S265" i="4"/>
  <c r="Q265" i="4"/>
  <c r="R265" i="4" s="1"/>
  <c r="P265" i="4"/>
  <c r="U264" i="4"/>
  <c r="T264" i="4" a="1"/>
  <c r="T264" i="4" s="1"/>
  <c r="S264" i="4"/>
  <c r="Q264" i="4"/>
  <c r="P264" i="4"/>
  <c r="R264" i="4" s="1"/>
  <c r="U263" i="4"/>
  <c r="T263" i="4" a="1"/>
  <c r="T263" i="4" s="1"/>
  <c r="S263" i="4"/>
  <c r="Q263" i="4"/>
  <c r="P263" i="4"/>
  <c r="U262" i="4"/>
  <c r="T262" i="4" a="1"/>
  <c r="T262" i="4" s="1"/>
  <c r="S262" i="4"/>
  <c r="Q262" i="4"/>
  <c r="P262" i="4"/>
  <c r="R262" i="4" s="1"/>
  <c r="U261" i="4"/>
  <c r="T261" i="4"/>
  <c r="T261" i="4" a="1"/>
  <c r="S261" i="4"/>
  <c r="Q261" i="4"/>
  <c r="P261" i="4"/>
  <c r="U260" i="4"/>
  <c r="T260" i="4" a="1"/>
  <c r="T260" i="4" s="1"/>
  <c r="S260" i="4"/>
  <c r="Q260" i="4"/>
  <c r="P260" i="4"/>
  <c r="U259" i="4"/>
  <c r="T259" i="4"/>
  <c r="T259" i="4" a="1"/>
  <c r="S259" i="4"/>
  <c r="R259" i="4"/>
  <c r="Q259" i="4"/>
  <c r="P259" i="4"/>
  <c r="U258" i="4"/>
  <c r="T258" i="4" a="1"/>
  <c r="T258" i="4" s="1"/>
  <c r="S258" i="4"/>
  <c r="R258" i="4"/>
  <c r="Q258" i="4"/>
  <c r="P258" i="4"/>
  <c r="U257" i="4"/>
  <c r="T257" i="4"/>
  <c r="T257" i="4" a="1"/>
  <c r="S257" i="4"/>
  <c r="Q257" i="4"/>
  <c r="P257" i="4"/>
  <c r="R257" i="4" s="1"/>
  <c r="U256" i="4"/>
  <c r="T256" i="4" a="1"/>
  <c r="T256" i="4" s="1"/>
  <c r="S256" i="4"/>
  <c r="R256" i="4"/>
  <c r="Q256" i="4"/>
  <c r="P256" i="4"/>
  <c r="U255" i="4"/>
  <c r="T255" i="4"/>
  <c r="T255" i="4" a="1"/>
  <c r="S255" i="4"/>
  <c r="Q255" i="4"/>
  <c r="P255" i="4"/>
  <c r="R255" i="4" s="1"/>
  <c r="U254" i="4"/>
  <c r="T254" i="4" a="1"/>
  <c r="T254" i="4" s="1"/>
  <c r="S254" i="4"/>
  <c r="R254" i="4"/>
  <c r="Q254" i="4"/>
  <c r="P254" i="4"/>
  <c r="U253" i="4"/>
  <c r="T253" i="4" a="1"/>
  <c r="T253" i="4" s="1"/>
  <c r="S253" i="4"/>
  <c r="Q253" i="4"/>
  <c r="R253" i="4" s="1"/>
  <c r="P253" i="4"/>
  <c r="U252" i="4"/>
  <c r="T252" i="4" a="1"/>
  <c r="T252" i="4" s="1"/>
  <c r="S252" i="4"/>
  <c r="R252" i="4"/>
  <c r="Q252" i="4"/>
  <c r="P252" i="4"/>
  <c r="U251" i="4"/>
  <c r="T251" i="4" a="1"/>
  <c r="T251" i="4" s="1"/>
  <c r="S251" i="4"/>
  <c r="Q251" i="4"/>
  <c r="R251" i="4" s="1"/>
  <c r="P251" i="4"/>
  <c r="U250" i="4"/>
  <c r="T250" i="4" a="1"/>
  <c r="T250" i="4" s="1"/>
  <c r="S250" i="4"/>
  <c r="R250" i="4"/>
  <c r="Q250" i="4"/>
  <c r="P250" i="4"/>
  <c r="U249" i="4"/>
  <c r="T249" i="4"/>
  <c r="T249" i="4" a="1"/>
  <c r="S249" i="4"/>
  <c r="Q249" i="4"/>
  <c r="P249" i="4"/>
  <c r="R249" i="4" s="1"/>
  <c r="U248" i="4"/>
  <c r="T248" i="4" a="1"/>
  <c r="T248" i="4" s="1"/>
  <c r="S248" i="4"/>
  <c r="R248" i="4"/>
  <c r="Q248" i="4"/>
  <c r="P248" i="4"/>
  <c r="U247" i="4"/>
  <c r="T247" i="4"/>
  <c r="T247" i="4" a="1"/>
  <c r="S247" i="4"/>
  <c r="Q247" i="4"/>
  <c r="R247" i="4" s="1"/>
  <c r="P247" i="4"/>
  <c r="U246" i="4"/>
  <c r="T246" i="4" a="1"/>
  <c r="T246" i="4" s="1"/>
  <c r="S246" i="4"/>
  <c r="Q246" i="4"/>
  <c r="P246" i="4"/>
  <c r="R246" i="4" s="1"/>
  <c r="U245" i="4"/>
  <c r="T245" i="4" a="1"/>
  <c r="T245" i="4" s="1"/>
  <c r="S245" i="4"/>
  <c r="Q245" i="4"/>
  <c r="P245" i="4"/>
  <c r="R245" i="4" s="1"/>
  <c r="U244" i="4"/>
  <c r="T244" i="4"/>
  <c r="T244" i="4" a="1"/>
  <c r="S244" i="4"/>
  <c r="Q244" i="4"/>
  <c r="P244" i="4"/>
  <c r="R244" i="4" s="1"/>
  <c r="U243" i="4"/>
  <c r="T243" i="4"/>
  <c r="T243" i="4" a="1"/>
  <c r="S243" i="4"/>
  <c r="Q243" i="4"/>
  <c r="P243" i="4"/>
  <c r="R243" i="4" s="1"/>
  <c r="U242" i="4"/>
  <c r="T242" i="4" a="1"/>
  <c r="T242" i="4" s="1"/>
  <c r="S242" i="4"/>
  <c r="Q242" i="4"/>
  <c r="P242" i="4"/>
  <c r="R242" i="4" s="1"/>
  <c r="U241" i="4"/>
  <c r="T241" i="4" a="1"/>
  <c r="T241" i="4" s="1"/>
  <c r="S241" i="4"/>
  <c r="Q241" i="4"/>
  <c r="R241" i="4" s="1"/>
  <c r="P241" i="4"/>
  <c r="U240" i="4"/>
  <c r="T240" i="4" a="1"/>
  <c r="T240" i="4" s="1"/>
  <c r="S240" i="4"/>
  <c r="Q240" i="4"/>
  <c r="P240" i="4"/>
  <c r="R240" i="4" s="1"/>
  <c r="U239" i="4"/>
  <c r="T239" i="4" a="1"/>
  <c r="T239" i="4" s="1"/>
  <c r="S239" i="4"/>
  <c r="Q239" i="4"/>
  <c r="R239" i="4" s="1"/>
  <c r="P239" i="4"/>
  <c r="U238" i="4"/>
  <c r="T238" i="4" a="1"/>
  <c r="T238" i="4" s="1"/>
  <c r="S238" i="4"/>
  <c r="Q238" i="4"/>
  <c r="P238" i="4"/>
  <c r="R238" i="4" s="1"/>
  <c r="U237" i="4"/>
  <c r="T237" i="4"/>
  <c r="T237" i="4" a="1"/>
  <c r="S237" i="4"/>
  <c r="Q237" i="4"/>
  <c r="P237" i="4"/>
  <c r="U236" i="4"/>
  <c r="T236" i="4" a="1"/>
  <c r="T236" i="4" s="1"/>
  <c r="S236" i="4"/>
  <c r="Q236" i="4"/>
  <c r="P236" i="4"/>
  <c r="R236" i="4" s="1"/>
  <c r="U235" i="4"/>
  <c r="T235" i="4"/>
  <c r="T235" i="4" a="1"/>
  <c r="S235" i="4"/>
  <c r="R235" i="4"/>
  <c r="Q235" i="4"/>
  <c r="P235" i="4"/>
  <c r="U234" i="4"/>
  <c r="T234" i="4" a="1"/>
  <c r="T234" i="4" s="1"/>
  <c r="S234" i="4"/>
  <c r="Q234" i="4"/>
  <c r="P234" i="4"/>
  <c r="R234" i="4" s="1"/>
  <c r="U233" i="4"/>
  <c r="T233" i="4"/>
  <c r="T233" i="4" a="1"/>
  <c r="S233" i="4"/>
  <c r="Q233" i="4"/>
  <c r="P233" i="4"/>
  <c r="R233" i="4" s="1"/>
  <c r="U232" i="4"/>
  <c r="T232" i="4" a="1"/>
  <c r="T232" i="4" s="1"/>
  <c r="S232" i="4"/>
  <c r="Q232" i="4"/>
  <c r="P232" i="4"/>
  <c r="R232" i="4" s="1"/>
  <c r="U231" i="4"/>
  <c r="T231" i="4"/>
  <c r="T231" i="4" a="1"/>
  <c r="S231" i="4"/>
  <c r="Q231" i="4"/>
  <c r="P231" i="4"/>
  <c r="R231" i="4" s="1"/>
  <c r="U230" i="4"/>
  <c r="T230" i="4" a="1"/>
  <c r="T230" i="4" s="1"/>
  <c r="S230" i="4"/>
  <c r="Q230" i="4"/>
  <c r="P230" i="4"/>
  <c r="R230" i="4" s="1"/>
  <c r="U229" i="4"/>
  <c r="T229" i="4" a="1"/>
  <c r="T229" i="4" s="1"/>
  <c r="S229" i="4"/>
  <c r="Q229" i="4"/>
  <c r="R229" i="4" s="1"/>
  <c r="P229" i="4"/>
  <c r="U228" i="4"/>
  <c r="T228" i="4" a="1"/>
  <c r="T228" i="4" s="1"/>
  <c r="S228" i="4"/>
  <c r="R228" i="4"/>
  <c r="Q228" i="4"/>
  <c r="P228" i="4"/>
  <c r="U227" i="4"/>
  <c r="T227" i="4" a="1"/>
  <c r="T227" i="4" s="1"/>
  <c r="S227" i="4"/>
  <c r="Q227" i="4"/>
  <c r="R227" i="4" s="1"/>
  <c r="P227" i="4"/>
  <c r="U226" i="4"/>
  <c r="T226" i="4" a="1"/>
  <c r="T226" i="4" s="1"/>
  <c r="S226" i="4"/>
  <c r="R226" i="4"/>
  <c r="Q226" i="4"/>
  <c r="P226" i="4"/>
  <c r="U225" i="4"/>
  <c r="T225" i="4"/>
  <c r="T225" i="4" a="1"/>
  <c r="S225" i="4"/>
  <c r="Q225" i="4"/>
  <c r="P225" i="4"/>
  <c r="R225" i="4" s="1"/>
  <c r="U224" i="4"/>
  <c r="T224" i="4" a="1"/>
  <c r="T224" i="4" s="1"/>
  <c r="S224" i="4"/>
  <c r="R224" i="4"/>
  <c r="Q224" i="4"/>
  <c r="P224" i="4"/>
  <c r="U223" i="4"/>
  <c r="T223" i="4"/>
  <c r="T223" i="4" a="1"/>
  <c r="S223" i="4"/>
  <c r="Q223" i="4"/>
  <c r="R223" i="4" s="1"/>
  <c r="P223" i="4"/>
  <c r="U222" i="4"/>
  <c r="T222" i="4" a="1"/>
  <c r="T222" i="4" s="1"/>
  <c r="S222" i="4"/>
  <c r="Q222" i="4"/>
  <c r="P222" i="4"/>
  <c r="R222" i="4" s="1"/>
  <c r="U221" i="4"/>
  <c r="T221" i="4" a="1"/>
  <c r="T221" i="4" s="1"/>
  <c r="S221" i="4"/>
  <c r="Q221" i="4"/>
  <c r="P221" i="4"/>
  <c r="R221" i="4" s="1"/>
  <c r="U220" i="4"/>
  <c r="T220" i="4"/>
  <c r="T220" i="4" a="1"/>
  <c r="S220" i="4"/>
  <c r="Q220" i="4"/>
  <c r="P220" i="4"/>
  <c r="R220" i="4" s="1"/>
  <c r="U219" i="4"/>
  <c r="T219" i="4"/>
  <c r="T219" i="4" a="1"/>
  <c r="S219" i="4"/>
  <c r="Q219" i="4"/>
  <c r="P219" i="4"/>
  <c r="R219" i="4" s="1"/>
  <c r="U218" i="4"/>
  <c r="T218" i="4" a="1"/>
  <c r="T218" i="4" s="1"/>
  <c r="S218" i="4"/>
  <c r="Q218" i="4"/>
  <c r="P218" i="4"/>
  <c r="R218" i="4" s="1"/>
  <c r="U217" i="4"/>
  <c r="T217" i="4" a="1"/>
  <c r="T217" i="4" s="1"/>
  <c r="S217" i="4"/>
  <c r="Q217" i="4"/>
  <c r="R217" i="4" s="1"/>
  <c r="P217" i="4"/>
  <c r="U216" i="4"/>
  <c r="T216" i="4" a="1"/>
  <c r="T216" i="4" s="1"/>
  <c r="S216" i="4"/>
  <c r="Q216" i="4"/>
  <c r="P216" i="4"/>
  <c r="R216" i="4" s="1"/>
  <c r="U215" i="4"/>
  <c r="T215" i="4" a="1"/>
  <c r="T215" i="4" s="1"/>
  <c r="S215" i="4"/>
  <c r="Q215" i="4"/>
  <c r="P215" i="4"/>
  <c r="U214" i="4"/>
  <c r="T214" i="4" a="1"/>
  <c r="T214" i="4" s="1"/>
  <c r="S214" i="4"/>
  <c r="Q214" i="4"/>
  <c r="P214" i="4"/>
  <c r="U213" i="4"/>
  <c r="T213" i="4"/>
  <c r="T213" i="4" a="1"/>
  <c r="S213" i="4"/>
  <c r="Q213" i="4"/>
  <c r="P213" i="4"/>
  <c r="U212" i="4"/>
  <c r="T212" i="4" a="1"/>
  <c r="T212" i="4" s="1"/>
  <c r="S212" i="4"/>
  <c r="Q212" i="4"/>
  <c r="P212" i="4"/>
  <c r="R212" i="4" s="1"/>
  <c r="U211" i="4"/>
  <c r="T211" i="4"/>
  <c r="T211" i="4" a="1"/>
  <c r="S211" i="4"/>
  <c r="R211" i="4"/>
  <c r="Q211" i="4"/>
  <c r="P211" i="4"/>
  <c r="U210" i="4"/>
  <c r="T210" i="4" a="1"/>
  <c r="T210" i="4" s="1"/>
  <c r="S210" i="4"/>
  <c r="R210" i="4"/>
  <c r="Q210" i="4"/>
  <c r="P210" i="4"/>
  <c r="U209" i="4"/>
  <c r="T209" i="4"/>
  <c r="T209" i="4" a="1"/>
  <c r="S209" i="4"/>
  <c r="Q209" i="4"/>
  <c r="P209" i="4"/>
  <c r="R209" i="4" s="1"/>
  <c r="U208" i="4"/>
  <c r="T208" i="4" a="1"/>
  <c r="T208" i="4" s="1"/>
  <c r="S208" i="4"/>
  <c r="R208" i="4"/>
  <c r="Q208" i="4"/>
  <c r="P208" i="4"/>
  <c r="U207" i="4"/>
  <c r="T207" i="4"/>
  <c r="T207" i="4" a="1"/>
  <c r="S207" i="4"/>
  <c r="Q207" i="4"/>
  <c r="P207" i="4"/>
  <c r="R207" i="4" s="1"/>
  <c r="U206" i="4"/>
  <c r="T206" i="4" a="1"/>
  <c r="T206" i="4" s="1"/>
  <c r="S206" i="4"/>
  <c r="Q206" i="4"/>
  <c r="R206" i="4" s="1"/>
  <c r="P206" i="4"/>
  <c r="U205" i="4"/>
  <c r="T205" i="4" a="1"/>
  <c r="T205" i="4" s="1"/>
  <c r="S205" i="4"/>
  <c r="Q205" i="4"/>
  <c r="R205" i="4" s="1"/>
  <c r="P205" i="4"/>
  <c r="U204" i="4"/>
  <c r="T204" i="4" a="1"/>
  <c r="T204" i="4" s="1"/>
  <c r="S204" i="4"/>
  <c r="R204" i="4"/>
  <c r="Q204" i="4"/>
  <c r="P204" i="4"/>
  <c r="U203" i="4"/>
  <c r="T203" i="4" a="1"/>
  <c r="T203" i="4" s="1"/>
  <c r="S203" i="4"/>
  <c r="Q203" i="4"/>
  <c r="P203" i="4"/>
  <c r="R203" i="4" s="1"/>
  <c r="U202" i="4"/>
  <c r="T202" i="4" a="1"/>
  <c r="T202" i="4" s="1"/>
  <c r="S202" i="4"/>
  <c r="R202" i="4"/>
  <c r="Q202" i="4"/>
  <c r="P202" i="4"/>
  <c r="U201" i="4"/>
  <c r="T201" i="4"/>
  <c r="T201" i="4" a="1"/>
  <c r="S201" i="4"/>
  <c r="Q201" i="4"/>
  <c r="P201" i="4"/>
  <c r="R201" i="4" s="1"/>
  <c r="U200" i="4"/>
  <c r="T200" i="4" a="1"/>
  <c r="T200" i="4" s="1"/>
  <c r="S200" i="4"/>
  <c r="R200" i="4"/>
  <c r="Q200" i="4"/>
  <c r="P200" i="4"/>
  <c r="U199" i="4"/>
  <c r="T199" i="4"/>
  <c r="T199" i="4" a="1"/>
  <c r="S199" i="4"/>
  <c r="Q199" i="4"/>
  <c r="R199" i="4" s="1"/>
  <c r="P199" i="4"/>
  <c r="U198" i="4"/>
  <c r="T198" i="4" a="1"/>
  <c r="T198" i="4" s="1"/>
  <c r="S198" i="4"/>
  <c r="Q198" i="4"/>
  <c r="P198" i="4"/>
  <c r="R198" i="4" s="1"/>
  <c r="U197" i="4"/>
  <c r="T197" i="4" a="1"/>
  <c r="T197" i="4" s="1"/>
  <c r="S197" i="4"/>
  <c r="Q197" i="4"/>
  <c r="P197" i="4"/>
  <c r="R197" i="4" s="1"/>
  <c r="U196" i="4"/>
  <c r="T196" i="4"/>
  <c r="T196" i="4" a="1"/>
  <c r="S196" i="4"/>
  <c r="Q196" i="4"/>
  <c r="P196" i="4"/>
  <c r="R196" i="4" s="1"/>
  <c r="U195" i="4"/>
  <c r="T195" i="4"/>
  <c r="T195" i="4" a="1"/>
  <c r="S195" i="4"/>
  <c r="Q195" i="4"/>
  <c r="P195" i="4"/>
  <c r="R195" i="4" s="1"/>
  <c r="U194" i="4"/>
  <c r="T194" i="4" a="1"/>
  <c r="T194" i="4" s="1"/>
  <c r="S194" i="4"/>
  <c r="Q194" i="4"/>
  <c r="P194" i="4"/>
  <c r="R194" i="4" s="1"/>
  <c r="U193" i="4"/>
  <c r="T193" i="4" a="1"/>
  <c r="T193" i="4" s="1"/>
  <c r="S193" i="4"/>
  <c r="Q193" i="4"/>
  <c r="R193" i="4" s="1"/>
  <c r="P193" i="4"/>
  <c r="U192" i="4"/>
  <c r="T192" i="4" a="1"/>
  <c r="T192" i="4" s="1"/>
  <c r="S192" i="4"/>
  <c r="Q192" i="4"/>
  <c r="P192" i="4"/>
  <c r="R192" i="4" s="1"/>
  <c r="U191" i="4"/>
  <c r="T191" i="4" a="1"/>
  <c r="T191" i="4" s="1"/>
  <c r="S191" i="4"/>
  <c r="Q191" i="4"/>
  <c r="P191" i="4"/>
  <c r="U190" i="4"/>
  <c r="T190" i="4" a="1"/>
  <c r="T190" i="4" s="1"/>
  <c r="S190" i="4"/>
  <c r="Q190" i="4"/>
  <c r="P190" i="4"/>
  <c r="R190" i="4" s="1"/>
  <c r="U189" i="4"/>
  <c r="T189" i="4"/>
  <c r="T189" i="4" a="1"/>
  <c r="S189" i="4"/>
  <c r="Q189" i="4"/>
  <c r="P189" i="4"/>
  <c r="U188" i="4"/>
  <c r="T188" i="4" a="1"/>
  <c r="T188" i="4" s="1"/>
  <c r="S188" i="4"/>
  <c r="Q188" i="4"/>
  <c r="P188" i="4"/>
  <c r="R188" i="4" s="1"/>
  <c r="U187" i="4"/>
  <c r="T187" i="4"/>
  <c r="T187" i="4" a="1"/>
  <c r="S187" i="4"/>
  <c r="R187" i="4"/>
  <c r="Q187" i="4"/>
  <c r="P187" i="4"/>
  <c r="U186" i="4"/>
  <c r="T186" i="4" a="1"/>
  <c r="T186" i="4" s="1"/>
  <c r="S186" i="4"/>
  <c r="Q186" i="4"/>
  <c r="P186" i="4"/>
  <c r="R186" i="4" s="1"/>
  <c r="U185" i="4"/>
  <c r="T185" i="4"/>
  <c r="T185" i="4" a="1"/>
  <c r="S185" i="4"/>
  <c r="Q185" i="4"/>
  <c r="P185" i="4"/>
  <c r="R185" i="4" s="1"/>
  <c r="U184" i="4"/>
  <c r="T184" i="4" a="1"/>
  <c r="T184" i="4" s="1"/>
  <c r="S184" i="4"/>
  <c r="Q184" i="4"/>
  <c r="P184" i="4"/>
  <c r="R184" i="4" s="1"/>
  <c r="U183" i="4"/>
  <c r="T183" i="4"/>
  <c r="T183" i="4" a="1"/>
  <c r="S183" i="4"/>
  <c r="Q183" i="4"/>
  <c r="P183" i="4"/>
  <c r="R183" i="4" s="1"/>
  <c r="U182" i="4"/>
  <c r="T182" i="4" a="1"/>
  <c r="T182" i="4" s="1"/>
  <c r="S182" i="4"/>
  <c r="Q182" i="4"/>
  <c r="P182" i="4"/>
  <c r="R182" i="4" s="1"/>
  <c r="U181" i="4"/>
  <c r="T181" i="4" a="1"/>
  <c r="T181" i="4" s="1"/>
  <c r="S181" i="4"/>
  <c r="Q181" i="4"/>
  <c r="R181" i="4" s="1"/>
  <c r="P181" i="4"/>
  <c r="U180" i="4"/>
  <c r="T180" i="4" a="1"/>
  <c r="T180" i="4" s="1"/>
  <c r="S180" i="4"/>
  <c r="R180" i="4"/>
  <c r="Q180" i="4"/>
  <c r="P180" i="4"/>
  <c r="U179" i="4"/>
  <c r="T179" i="4" a="1"/>
  <c r="T179" i="4" s="1"/>
  <c r="S179" i="4"/>
  <c r="Q179" i="4"/>
  <c r="P179" i="4"/>
  <c r="R179" i="4" s="1"/>
  <c r="U178" i="4"/>
  <c r="T178" i="4" a="1"/>
  <c r="T178" i="4" s="1"/>
  <c r="S178" i="4"/>
  <c r="R178" i="4"/>
  <c r="Q178" i="4"/>
  <c r="P178" i="4"/>
  <c r="U177" i="4"/>
  <c r="T177" i="4"/>
  <c r="T177" i="4" a="1"/>
  <c r="S177" i="4"/>
  <c r="Q177" i="4"/>
  <c r="P177" i="4"/>
  <c r="U176" i="4"/>
  <c r="T176" i="4" a="1"/>
  <c r="T176" i="4" s="1"/>
  <c r="S176" i="4"/>
  <c r="R176" i="4"/>
  <c r="Q176" i="4"/>
  <c r="P176" i="4"/>
  <c r="U175" i="4"/>
  <c r="T175" i="4"/>
  <c r="T175" i="4" a="1"/>
  <c r="S175" i="4"/>
  <c r="R175" i="4"/>
  <c r="Q175" i="4"/>
  <c r="P175" i="4"/>
  <c r="U174" i="4"/>
  <c r="T174" i="4" a="1"/>
  <c r="T174" i="4" s="1"/>
  <c r="S174" i="4"/>
  <c r="Q174" i="4"/>
  <c r="P174" i="4"/>
  <c r="R174" i="4" s="1"/>
  <c r="U173" i="4"/>
  <c r="T173" i="4" a="1"/>
  <c r="T173" i="4" s="1"/>
  <c r="S173" i="4"/>
  <c r="Q173" i="4"/>
  <c r="P173" i="4"/>
  <c r="U172" i="4"/>
  <c r="T172" i="4"/>
  <c r="T172" i="4" a="1"/>
  <c r="S172" i="4"/>
  <c r="Q172" i="4"/>
  <c r="P172" i="4"/>
  <c r="R172" i="4" s="1"/>
  <c r="U171" i="4"/>
  <c r="T171" i="4"/>
  <c r="T171" i="4" a="1"/>
  <c r="S171" i="4"/>
  <c r="R171" i="4"/>
  <c r="Q171" i="4"/>
  <c r="P171" i="4"/>
  <c r="U170" i="4"/>
  <c r="T170" i="4" a="1"/>
  <c r="T170" i="4" s="1"/>
  <c r="S170" i="4"/>
  <c r="Q170" i="4"/>
  <c r="P170" i="4"/>
  <c r="R170" i="4" s="1"/>
  <c r="U169" i="4"/>
  <c r="T169" i="4"/>
  <c r="T169" i="4" a="1"/>
  <c r="S169" i="4"/>
  <c r="R169" i="4"/>
  <c r="Q169" i="4"/>
  <c r="P169" i="4"/>
  <c r="U168" i="4"/>
  <c r="T168" i="4" a="1"/>
  <c r="T168" i="4" s="1"/>
  <c r="S168" i="4"/>
  <c r="Q168" i="4"/>
  <c r="P168" i="4"/>
  <c r="R168" i="4" s="1"/>
  <c r="U167" i="4"/>
  <c r="T167" i="4"/>
  <c r="T167" i="4" a="1"/>
  <c r="S167" i="4"/>
  <c r="Q167" i="4"/>
  <c r="P167" i="4"/>
  <c r="U166" i="4"/>
  <c r="T166" i="4" a="1"/>
  <c r="T166" i="4" s="1"/>
  <c r="S166" i="4"/>
  <c r="Q166" i="4"/>
  <c r="P166" i="4"/>
  <c r="R166" i="4" s="1"/>
  <c r="U165" i="4"/>
  <c r="T165" i="4"/>
  <c r="T165" i="4" a="1"/>
  <c r="S165" i="4"/>
  <c r="Q165" i="4"/>
  <c r="P165" i="4"/>
  <c r="U164" i="4"/>
  <c r="T164" i="4" a="1"/>
  <c r="T164" i="4" s="1"/>
  <c r="S164" i="4"/>
  <c r="Q164" i="4"/>
  <c r="P164" i="4"/>
  <c r="R164" i="4" s="1"/>
  <c r="U163" i="4"/>
  <c r="T163" i="4"/>
  <c r="T163" i="4" a="1"/>
  <c r="S163" i="4"/>
  <c r="R163" i="4"/>
  <c r="Q163" i="4"/>
  <c r="P163" i="4"/>
  <c r="U162" i="4"/>
  <c r="T162" i="4" a="1"/>
  <c r="T162" i="4" s="1"/>
  <c r="S162" i="4"/>
  <c r="Q162" i="4"/>
  <c r="P162" i="4"/>
  <c r="R162" i="4" s="1"/>
  <c r="U161" i="4"/>
  <c r="T161" i="4"/>
  <c r="T161" i="4" a="1"/>
  <c r="S161" i="4"/>
  <c r="Q161" i="4"/>
  <c r="P161" i="4"/>
  <c r="R161" i="4" s="1"/>
  <c r="U160" i="4"/>
  <c r="T160" i="4" a="1"/>
  <c r="T160" i="4" s="1"/>
  <c r="S160" i="4"/>
  <c r="Q160" i="4"/>
  <c r="P160" i="4"/>
  <c r="R160" i="4" s="1"/>
  <c r="U159" i="4"/>
  <c r="T159" i="4"/>
  <c r="T159" i="4" a="1"/>
  <c r="S159" i="4"/>
  <c r="Q159" i="4"/>
  <c r="P159" i="4"/>
  <c r="R159" i="4" s="1"/>
  <c r="U158" i="4"/>
  <c r="T158" i="4" a="1"/>
  <c r="T158" i="4" s="1"/>
  <c r="S158" i="4"/>
  <c r="Q158" i="4"/>
  <c r="P158" i="4"/>
  <c r="R158" i="4" s="1"/>
  <c r="U157" i="4"/>
  <c r="T157" i="4" a="1"/>
  <c r="T157" i="4" s="1"/>
  <c r="S157" i="4"/>
  <c r="Q157" i="4"/>
  <c r="R157" i="4" s="1"/>
  <c r="P157" i="4"/>
  <c r="U156" i="4"/>
  <c r="T156" i="4" a="1"/>
  <c r="T156" i="4" s="1"/>
  <c r="S156" i="4"/>
  <c r="R156" i="4"/>
  <c r="Q156" i="4"/>
  <c r="P156" i="4"/>
  <c r="U155" i="4"/>
  <c r="T155" i="4" a="1"/>
  <c r="T155" i="4" s="1"/>
  <c r="S155" i="4"/>
  <c r="Q155" i="4"/>
  <c r="P155" i="4"/>
  <c r="R155" i="4" s="1"/>
  <c r="U154" i="4"/>
  <c r="T154" i="4"/>
  <c r="T154" i="4" a="1"/>
  <c r="S154" i="4"/>
  <c r="R154" i="4"/>
  <c r="Q154" i="4"/>
  <c r="P154" i="4"/>
  <c r="U153" i="4"/>
  <c r="T153" i="4"/>
  <c r="T153" i="4" a="1"/>
  <c r="S153" i="4"/>
  <c r="Q153" i="4"/>
  <c r="P153" i="4"/>
  <c r="R153" i="4" s="1"/>
  <c r="U152" i="4"/>
  <c r="T152" i="4" a="1"/>
  <c r="T152" i="4" s="1"/>
  <c r="S152" i="4"/>
  <c r="R152" i="4"/>
  <c r="Q152" i="4"/>
  <c r="P152" i="4"/>
  <c r="U151" i="4"/>
  <c r="T151" i="4"/>
  <c r="T151" i="4" a="1"/>
  <c r="S151" i="4"/>
  <c r="Q151" i="4"/>
  <c r="R151" i="4" s="1"/>
  <c r="P151" i="4"/>
  <c r="U150" i="4"/>
  <c r="T150" i="4" a="1"/>
  <c r="T150" i="4" s="1"/>
  <c r="S150" i="4"/>
  <c r="Q150" i="4"/>
  <c r="P150" i="4"/>
  <c r="R150" i="4" s="1"/>
  <c r="U149" i="4"/>
  <c r="T149" i="4" a="1"/>
  <c r="T149" i="4" s="1"/>
  <c r="S149" i="4"/>
  <c r="Q149" i="4"/>
  <c r="P149" i="4"/>
  <c r="R149" i="4" s="1"/>
  <c r="U148" i="4"/>
  <c r="T148" i="4"/>
  <c r="T148" i="4" a="1"/>
  <c r="S148" i="4"/>
  <c r="Q148" i="4"/>
  <c r="P148" i="4"/>
  <c r="R148" i="4" s="1"/>
  <c r="U147" i="4"/>
  <c r="T147" i="4"/>
  <c r="T147" i="4" a="1"/>
  <c r="S147" i="4"/>
  <c r="Q147" i="4"/>
  <c r="P147" i="4"/>
  <c r="R147" i="4" s="1"/>
  <c r="U146" i="4"/>
  <c r="T146" i="4" a="1"/>
  <c r="T146" i="4" s="1"/>
  <c r="S146" i="4"/>
  <c r="Q146" i="4"/>
  <c r="P146" i="4"/>
  <c r="R146" i="4" s="1"/>
  <c r="U145" i="4"/>
  <c r="T145" i="4" a="1"/>
  <c r="T145" i="4" s="1"/>
  <c r="S145" i="4"/>
  <c r="Q145" i="4"/>
  <c r="R145" i="4" s="1"/>
  <c r="P145" i="4"/>
  <c r="U144" i="4"/>
  <c r="T144" i="4" a="1"/>
  <c r="T144" i="4" s="1"/>
  <c r="S144" i="4"/>
  <c r="Q144" i="4"/>
  <c r="P144" i="4"/>
  <c r="R144" i="4" s="1"/>
  <c r="U143" i="4"/>
  <c r="T143" i="4" a="1"/>
  <c r="T143" i="4" s="1"/>
  <c r="S143" i="4"/>
  <c r="Q143" i="4"/>
  <c r="P143" i="4"/>
  <c r="U142" i="4"/>
  <c r="T142" i="4" a="1"/>
  <c r="T142" i="4" s="1"/>
  <c r="S142" i="4"/>
  <c r="Q142" i="4"/>
  <c r="P142" i="4"/>
  <c r="R142" i="4" s="1"/>
  <c r="U141" i="4"/>
  <c r="T141" i="4"/>
  <c r="T141" i="4" a="1"/>
  <c r="S141" i="4"/>
  <c r="Q141" i="4"/>
  <c r="P141" i="4"/>
  <c r="U140" i="4"/>
  <c r="T140" i="4" a="1"/>
  <c r="T140" i="4" s="1"/>
  <c r="S140" i="4"/>
  <c r="Q140" i="4"/>
  <c r="P140" i="4"/>
  <c r="R140" i="4" s="1"/>
  <c r="U139" i="4"/>
  <c r="T139" i="4"/>
  <c r="T139" i="4" a="1"/>
  <c r="S139" i="4"/>
  <c r="R139" i="4"/>
  <c r="Q139" i="4"/>
  <c r="P139" i="4"/>
  <c r="U138" i="4"/>
  <c r="T138" i="4" a="1"/>
  <c r="T138" i="4" s="1"/>
  <c r="S138" i="4"/>
  <c r="Q138" i="4"/>
  <c r="P138" i="4"/>
  <c r="R138" i="4" s="1"/>
  <c r="U137" i="4"/>
  <c r="T137" i="4"/>
  <c r="T137" i="4" a="1"/>
  <c r="S137" i="4"/>
  <c r="Q137" i="4"/>
  <c r="P137" i="4"/>
  <c r="R137" i="4" s="1"/>
  <c r="U136" i="4"/>
  <c r="T136" i="4" a="1"/>
  <c r="T136" i="4" s="1"/>
  <c r="S136" i="4"/>
  <c r="Q136" i="4"/>
  <c r="P136" i="4"/>
  <c r="R136" i="4" s="1"/>
  <c r="U135" i="4"/>
  <c r="T135" i="4"/>
  <c r="T135" i="4" a="1"/>
  <c r="S135" i="4"/>
  <c r="Q135" i="4"/>
  <c r="P135" i="4"/>
  <c r="R135" i="4" s="1"/>
  <c r="U134" i="4"/>
  <c r="T134" i="4" a="1"/>
  <c r="T134" i="4" s="1"/>
  <c r="S134" i="4"/>
  <c r="Q134" i="4"/>
  <c r="P134" i="4"/>
  <c r="R134" i="4" s="1"/>
  <c r="U133" i="4"/>
  <c r="T133" i="4" a="1"/>
  <c r="T133" i="4" s="1"/>
  <c r="S133" i="4"/>
  <c r="Q133" i="4"/>
  <c r="R133" i="4" s="1"/>
  <c r="P133" i="4"/>
  <c r="U132" i="4"/>
  <c r="T132" i="4" a="1"/>
  <c r="T132" i="4" s="1"/>
  <c r="S132" i="4"/>
  <c r="R132" i="4"/>
  <c r="Q132" i="4"/>
  <c r="P132" i="4"/>
  <c r="U131" i="4"/>
  <c r="T131" i="4" a="1"/>
  <c r="T131" i="4" s="1"/>
  <c r="S131" i="4"/>
  <c r="Q131" i="4"/>
  <c r="P131" i="4"/>
  <c r="R131" i="4" s="1"/>
  <c r="U130" i="4"/>
  <c r="T130" i="4" a="1"/>
  <c r="T130" i="4" s="1"/>
  <c r="S130" i="4"/>
  <c r="R130" i="4"/>
  <c r="Q130" i="4"/>
  <c r="P130" i="4"/>
  <c r="U129" i="4"/>
  <c r="T129" i="4"/>
  <c r="T129" i="4" a="1"/>
  <c r="S129" i="4"/>
  <c r="Q129" i="4"/>
  <c r="P129" i="4"/>
  <c r="R129" i="4" s="1"/>
  <c r="U128" i="4"/>
  <c r="T128" i="4" a="1"/>
  <c r="T128" i="4" s="1"/>
  <c r="S128" i="4"/>
  <c r="R128" i="4"/>
  <c r="Q128" i="4"/>
  <c r="P128" i="4"/>
  <c r="U127" i="4"/>
  <c r="T127" i="4"/>
  <c r="T127" i="4" a="1"/>
  <c r="S127" i="4"/>
  <c r="Q127" i="4"/>
  <c r="R127" i="4" s="1"/>
  <c r="P127" i="4"/>
  <c r="U126" i="4"/>
  <c r="T126" i="4"/>
  <c r="T126" i="4" a="1"/>
  <c r="S126" i="4"/>
  <c r="Q126" i="4"/>
  <c r="P126" i="4"/>
  <c r="R126" i="4" s="1"/>
  <c r="U125" i="4"/>
  <c r="T125" i="4" a="1"/>
  <c r="T125" i="4" s="1"/>
  <c r="S125" i="4"/>
  <c r="Q125" i="4"/>
  <c r="P125" i="4"/>
  <c r="U124" i="4"/>
  <c r="T124" i="4"/>
  <c r="T124" i="4" a="1"/>
  <c r="S124" i="4"/>
  <c r="Q124" i="4"/>
  <c r="P124" i="4"/>
  <c r="R124" i="4" s="1"/>
  <c r="U123" i="4"/>
  <c r="T123" i="4"/>
  <c r="T123" i="4" a="1"/>
  <c r="S123" i="4"/>
  <c r="R123" i="4"/>
  <c r="Q123" i="4"/>
  <c r="P123" i="4"/>
  <c r="U122" i="4"/>
  <c r="T122" i="4" a="1"/>
  <c r="T122" i="4" s="1"/>
  <c r="S122" i="4"/>
  <c r="Q122" i="4"/>
  <c r="P122" i="4"/>
  <c r="R122" i="4" s="1"/>
  <c r="U121" i="4"/>
  <c r="T121" i="4" a="1"/>
  <c r="T121" i="4" s="1"/>
  <c r="S121" i="4"/>
  <c r="R121" i="4"/>
  <c r="Q121" i="4"/>
  <c r="P121" i="4"/>
  <c r="U120" i="4"/>
  <c r="T120" i="4" a="1"/>
  <c r="T120" i="4" s="1"/>
  <c r="S120" i="4"/>
  <c r="Q120" i="4"/>
  <c r="P120" i="4"/>
  <c r="R120" i="4" s="1"/>
  <c r="U119" i="4"/>
  <c r="T119" i="4" a="1"/>
  <c r="T119" i="4" s="1"/>
  <c r="S119" i="4"/>
  <c r="Q119" i="4"/>
  <c r="P119" i="4"/>
  <c r="U118" i="4"/>
  <c r="T118" i="4" a="1"/>
  <c r="T118" i="4" s="1"/>
  <c r="S118" i="4"/>
  <c r="Q118" i="4"/>
  <c r="P118" i="4"/>
  <c r="R118" i="4" s="1"/>
  <c r="U117" i="4"/>
  <c r="T117" i="4"/>
  <c r="T117" i="4" a="1"/>
  <c r="S117" i="4"/>
  <c r="Q117" i="4"/>
  <c r="P117" i="4"/>
  <c r="U116" i="4"/>
  <c r="T116" i="4" a="1"/>
  <c r="T116" i="4" s="1"/>
  <c r="S116" i="4"/>
  <c r="Q116" i="4"/>
  <c r="P116" i="4"/>
  <c r="R116" i="4" s="1"/>
  <c r="U115" i="4"/>
  <c r="T115" i="4"/>
  <c r="T115" i="4" a="1"/>
  <c r="S115" i="4"/>
  <c r="R115" i="4"/>
  <c r="Q115" i="4"/>
  <c r="P115" i="4"/>
  <c r="U114" i="4"/>
  <c r="T114" i="4" a="1"/>
  <c r="T114" i="4" s="1"/>
  <c r="S114" i="4"/>
  <c r="Q114" i="4"/>
  <c r="P114" i="4"/>
  <c r="R114" i="4" s="1"/>
  <c r="U113" i="4"/>
  <c r="T113" i="4"/>
  <c r="T113" i="4" a="1"/>
  <c r="S113" i="4"/>
  <c r="Q113" i="4"/>
  <c r="P113" i="4"/>
  <c r="R113" i="4" s="1"/>
  <c r="U112" i="4"/>
  <c r="T112" i="4" a="1"/>
  <c r="T112" i="4" s="1"/>
  <c r="S112" i="4"/>
  <c r="Q112" i="4"/>
  <c r="P112" i="4"/>
  <c r="R112" i="4" s="1"/>
  <c r="U111" i="4"/>
  <c r="T111" i="4"/>
  <c r="T111" i="4" a="1"/>
  <c r="S111" i="4"/>
  <c r="Q111" i="4"/>
  <c r="P111" i="4"/>
  <c r="R111" i="4" s="1"/>
  <c r="U110" i="4"/>
  <c r="T110" i="4" a="1"/>
  <c r="T110" i="4" s="1"/>
  <c r="S110" i="4"/>
  <c r="Q110" i="4"/>
  <c r="P110" i="4"/>
  <c r="R110" i="4" s="1"/>
  <c r="U109" i="4"/>
  <c r="T109" i="4" a="1"/>
  <c r="T109" i="4" s="1"/>
  <c r="S109" i="4"/>
  <c r="Q109" i="4"/>
  <c r="R109" i="4" s="1"/>
  <c r="P109" i="4"/>
  <c r="U108" i="4"/>
  <c r="T108" i="4" a="1"/>
  <c r="T108" i="4" s="1"/>
  <c r="S108" i="4"/>
  <c r="R108" i="4"/>
  <c r="Q108" i="4"/>
  <c r="P108" i="4"/>
  <c r="U107" i="4"/>
  <c r="T107" i="4" a="1"/>
  <c r="T107" i="4" s="1"/>
  <c r="S107" i="4"/>
  <c r="Q107" i="4"/>
  <c r="P107" i="4"/>
  <c r="U106" i="4"/>
  <c r="T106" i="4"/>
  <c r="T106" i="4" a="1"/>
  <c r="S106" i="4"/>
  <c r="R106" i="4"/>
  <c r="Q106" i="4"/>
  <c r="P106" i="4"/>
  <c r="U105" i="4"/>
  <c r="T105" i="4"/>
  <c r="T105" i="4" a="1"/>
  <c r="S105" i="4"/>
  <c r="Q105" i="4"/>
  <c r="P105" i="4"/>
  <c r="R105" i="4" s="1"/>
  <c r="U104" i="4"/>
  <c r="T104" i="4" a="1"/>
  <c r="T104" i="4" s="1"/>
  <c r="S104" i="4"/>
  <c r="R104" i="4"/>
  <c r="Q104" i="4"/>
  <c r="P104" i="4"/>
  <c r="U103" i="4"/>
  <c r="T103" i="4"/>
  <c r="T103" i="4" a="1"/>
  <c r="S103" i="4"/>
  <c r="Q103" i="4"/>
  <c r="R103" i="4" s="1"/>
  <c r="P103" i="4"/>
  <c r="U102" i="4"/>
  <c r="T102" i="4" a="1"/>
  <c r="T102" i="4" s="1"/>
  <c r="S102" i="4"/>
  <c r="Q102" i="4"/>
  <c r="P102" i="4"/>
  <c r="R102" i="4" s="1"/>
  <c r="U101" i="4"/>
  <c r="T101" i="4" a="1"/>
  <c r="T101" i="4" s="1"/>
  <c r="S101" i="4"/>
  <c r="Q101" i="4"/>
  <c r="P101" i="4"/>
  <c r="R101" i="4" s="1"/>
  <c r="U100" i="4"/>
  <c r="T100" i="4"/>
  <c r="T100" i="4" a="1"/>
  <c r="S100" i="4"/>
  <c r="Q100" i="4"/>
  <c r="P100" i="4"/>
  <c r="R100" i="4" s="1"/>
  <c r="U99" i="4"/>
  <c r="T99" i="4"/>
  <c r="T99" i="4" a="1"/>
  <c r="S99" i="4"/>
  <c r="Q99" i="4"/>
  <c r="R99" i="4" s="1"/>
  <c r="P99" i="4"/>
  <c r="U98" i="4"/>
  <c r="T98" i="4" a="1"/>
  <c r="T98" i="4" s="1"/>
  <c r="S98" i="4"/>
  <c r="Q98" i="4"/>
  <c r="P98" i="4"/>
  <c r="R98" i="4" s="1"/>
  <c r="U97" i="4"/>
  <c r="T97" i="4" a="1"/>
  <c r="T97" i="4" s="1"/>
  <c r="S97" i="4"/>
  <c r="Q97" i="4"/>
  <c r="R97" i="4" s="1"/>
  <c r="P97" i="4"/>
  <c r="U96" i="4"/>
  <c r="T96" i="4" a="1"/>
  <c r="T96" i="4" s="1"/>
  <c r="S96" i="4"/>
  <c r="Q96" i="4"/>
  <c r="P96" i="4"/>
  <c r="R96" i="4" s="1"/>
  <c r="U95" i="4"/>
  <c r="T95" i="4" a="1"/>
  <c r="T95" i="4" s="1"/>
  <c r="S95" i="4"/>
  <c r="Q95" i="4"/>
  <c r="P95" i="4"/>
  <c r="U94" i="4"/>
  <c r="T94" i="4" a="1"/>
  <c r="T94" i="4" s="1"/>
  <c r="S94" i="4"/>
  <c r="Q94" i="4"/>
  <c r="P94" i="4"/>
  <c r="R94" i="4" s="1"/>
  <c r="U93" i="4"/>
  <c r="T93" i="4"/>
  <c r="T93" i="4" a="1"/>
  <c r="S93" i="4"/>
  <c r="Q93" i="4"/>
  <c r="P93" i="4"/>
  <c r="U92" i="4"/>
  <c r="T92" i="4" a="1"/>
  <c r="T92" i="4" s="1"/>
  <c r="S92" i="4"/>
  <c r="Q92" i="4"/>
  <c r="P92" i="4"/>
  <c r="R92" i="4" s="1"/>
  <c r="U91" i="4"/>
  <c r="T91" i="4"/>
  <c r="T91" i="4" a="1"/>
  <c r="S91" i="4"/>
  <c r="R91" i="4"/>
  <c r="Q91" i="4"/>
  <c r="P91" i="4"/>
  <c r="U90" i="4"/>
  <c r="T90" i="4" a="1"/>
  <c r="T90" i="4" s="1"/>
  <c r="S90" i="4"/>
  <c r="Q90" i="4"/>
  <c r="P90" i="4"/>
  <c r="R90" i="4" s="1"/>
  <c r="U89" i="4"/>
  <c r="T89" i="4"/>
  <c r="T89" i="4" a="1"/>
  <c r="S89" i="4"/>
  <c r="Q89" i="4"/>
  <c r="P89" i="4"/>
  <c r="R89" i="4" s="1"/>
  <c r="U88" i="4"/>
  <c r="T88" i="4" a="1"/>
  <c r="T88" i="4" s="1"/>
  <c r="S88" i="4"/>
  <c r="Q88" i="4"/>
  <c r="P88" i="4"/>
  <c r="R88" i="4" s="1"/>
  <c r="U87" i="4"/>
  <c r="T87" i="4"/>
  <c r="T87" i="4" a="1"/>
  <c r="S87" i="4"/>
  <c r="Q87" i="4"/>
  <c r="P87" i="4"/>
  <c r="R87" i="4" s="1"/>
  <c r="U86" i="4"/>
  <c r="T86" i="4" a="1"/>
  <c r="T86" i="4" s="1"/>
  <c r="S86" i="4"/>
  <c r="Q86" i="4"/>
  <c r="P86" i="4"/>
  <c r="R86" i="4" s="1"/>
  <c r="U85" i="4"/>
  <c r="T85" i="4" a="1"/>
  <c r="T85" i="4" s="1"/>
  <c r="S85" i="4"/>
  <c r="Q85" i="4"/>
  <c r="R85" i="4" s="1"/>
  <c r="P85" i="4"/>
  <c r="U84" i="4"/>
  <c r="T84" i="4" a="1"/>
  <c r="T84" i="4" s="1"/>
  <c r="S84" i="4"/>
  <c r="R84" i="4"/>
  <c r="Q84" i="4"/>
  <c r="P84" i="4"/>
  <c r="U83" i="4"/>
  <c r="T83" i="4" a="1"/>
  <c r="T83" i="4" s="1"/>
  <c r="S83" i="4"/>
  <c r="Q83" i="4"/>
  <c r="P83" i="4"/>
  <c r="R83" i="4" s="1"/>
  <c r="U82" i="4"/>
  <c r="T82" i="4" a="1"/>
  <c r="T82" i="4" s="1"/>
  <c r="S82" i="4"/>
  <c r="R82" i="4"/>
  <c r="Q82" i="4"/>
  <c r="P82" i="4"/>
  <c r="U81" i="4"/>
  <c r="T81" i="4"/>
  <c r="T81" i="4" a="1"/>
  <c r="S81" i="4"/>
  <c r="Q81" i="4"/>
  <c r="P81" i="4"/>
  <c r="U80" i="4"/>
  <c r="T80" i="4" a="1"/>
  <c r="T80" i="4" s="1"/>
  <c r="S80" i="4"/>
  <c r="R80" i="4"/>
  <c r="Q80" i="4"/>
  <c r="P80" i="4"/>
  <c r="U79" i="4"/>
  <c r="T79" i="4"/>
  <c r="T79" i="4" a="1"/>
  <c r="S79" i="4"/>
  <c r="R79" i="4"/>
  <c r="Q79" i="4"/>
  <c r="P79" i="4"/>
  <c r="U78" i="4"/>
  <c r="T78" i="4" a="1"/>
  <c r="T78" i="4" s="1"/>
  <c r="S78" i="4"/>
  <c r="Q78" i="4"/>
  <c r="P78" i="4"/>
  <c r="R78" i="4" s="1"/>
  <c r="U77" i="4"/>
  <c r="T77" i="4" a="1"/>
  <c r="T77" i="4" s="1"/>
  <c r="S77" i="4"/>
  <c r="Q77" i="4"/>
  <c r="P77" i="4"/>
  <c r="R77" i="4" s="1"/>
  <c r="U76" i="4"/>
  <c r="T76" i="4"/>
  <c r="T76" i="4" a="1"/>
  <c r="S76" i="4"/>
  <c r="Q76" i="4"/>
  <c r="P76" i="4"/>
  <c r="R76" i="4" s="1"/>
  <c r="U75" i="4"/>
  <c r="T75" i="4"/>
  <c r="T75" i="4" a="1"/>
  <c r="S75" i="4"/>
  <c r="Q75" i="4"/>
  <c r="P75" i="4"/>
  <c r="R75" i="4" s="1"/>
  <c r="U74" i="4"/>
  <c r="T74" i="4" a="1"/>
  <c r="T74" i="4" s="1"/>
  <c r="S74" i="4"/>
  <c r="Q74" i="4"/>
  <c r="P74" i="4"/>
  <c r="R74" i="4" s="1"/>
  <c r="U73" i="4"/>
  <c r="T73" i="4" a="1"/>
  <c r="T73" i="4" s="1"/>
  <c r="S73" i="4"/>
  <c r="Q73" i="4"/>
  <c r="R73" i="4" s="1"/>
  <c r="P73" i="4"/>
  <c r="U72" i="4"/>
  <c r="T72" i="4" a="1"/>
  <c r="T72" i="4" s="1"/>
  <c r="S72" i="4"/>
  <c r="Q72" i="4"/>
  <c r="P72" i="4"/>
  <c r="R72" i="4" s="1"/>
  <c r="U71" i="4"/>
  <c r="T71" i="4" a="1"/>
  <c r="T71" i="4" s="1"/>
  <c r="S71" i="4"/>
  <c r="Q71" i="4"/>
  <c r="P71" i="4"/>
  <c r="U70" i="4"/>
  <c r="T70" i="4" a="1"/>
  <c r="T70" i="4" s="1"/>
  <c r="S70" i="4"/>
  <c r="Q70" i="4"/>
  <c r="P70" i="4"/>
  <c r="R70" i="4" s="1"/>
  <c r="U69" i="4"/>
  <c r="T69" i="4"/>
  <c r="T69" i="4" a="1"/>
  <c r="S69" i="4"/>
  <c r="Q69" i="4"/>
  <c r="P69" i="4"/>
  <c r="U68" i="4"/>
  <c r="T68" i="4" a="1"/>
  <c r="T68" i="4" s="1"/>
  <c r="S68" i="4"/>
  <c r="Q68" i="4"/>
  <c r="P68" i="4"/>
  <c r="R68" i="4" s="1"/>
  <c r="U67" i="4"/>
  <c r="T67" i="4"/>
  <c r="T67" i="4" a="1"/>
  <c r="S67" i="4"/>
  <c r="R67" i="4"/>
  <c r="Q67" i="4"/>
  <c r="P67" i="4"/>
  <c r="U66" i="4"/>
  <c r="T66" i="4" a="1"/>
  <c r="T66" i="4" s="1"/>
  <c r="S66" i="4"/>
  <c r="Q66" i="4"/>
  <c r="P66" i="4"/>
  <c r="R66" i="4" s="1"/>
  <c r="U65" i="4"/>
  <c r="T65" i="4"/>
  <c r="T65" i="4" a="1"/>
  <c r="S65" i="4"/>
  <c r="Q65" i="4"/>
  <c r="P65" i="4"/>
  <c r="R65" i="4" s="1"/>
  <c r="U64" i="4"/>
  <c r="T64" i="4" a="1"/>
  <c r="T64" i="4" s="1"/>
  <c r="S64" i="4"/>
  <c r="R64" i="4"/>
  <c r="Q64" i="4"/>
  <c r="P64" i="4"/>
  <c r="U63" i="4"/>
  <c r="T63" i="4"/>
  <c r="T63" i="4" a="1"/>
  <c r="S63" i="4"/>
  <c r="Q63" i="4"/>
  <c r="P63" i="4"/>
  <c r="R63" i="4" s="1"/>
  <c r="U62" i="4"/>
  <c r="T62" i="4" a="1"/>
  <c r="T62" i="4" s="1"/>
  <c r="S62" i="4"/>
  <c r="Q62" i="4"/>
  <c r="R62" i="4" s="1"/>
  <c r="P62" i="4"/>
  <c r="U61" i="4"/>
  <c r="T61" i="4" a="1"/>
  <c r="T61" i="4" s="1"/>
  <c r="S61" i="4"/>
  <c r="Q61" i="4"/>
  <c r="R61" i="4" s="1"/>
  <c r="P61" i="4"/>
  <c r="U60" i="4"/>
  <c r="T60" i="4" a="1"/>
  <c r="T60" i="4" s="1"/>
  <c r="S60" i="4"/>
  <c r="R60" i="4"/>
  <c r="Q60" i="4"/>
  <c r="P60" i="4"/>
  <c r="U59" i="4"/>
  <c r="T59" i="4" a="1"/>
  <c r="T59" i="4" s="1"/>
  <c r="S59" i="4"/>
  <c r="Q59" i="4"/>
  <c r="P59" i="4"/>
  <c r="R59" i="4" s="1"/>
  <c r="U58" i="4"/>
  <c r="T58" i="4" a="1"/>
  <c r="T58" i="4" s="1"/>
  <c r="S58" i="4"/>
  <c r="R58" i="4"/>
  <c r="Q58" i="4"/>
  <c r="P58" i="4"/>
  <c r="U57" i="4"/>
  <c r="T57" i="4"/>
  <c r="T57" i="4" a="1"/>
  <c r="S57" i="4"/>
  <c r="Q57" i="4"/>
  <c r="P57" i="4"/>
  <c r="R57" i="4" s="1"/>
  <c r="U56" i="4"/>
  <c r="T56" i="4" a="1"/>
  <c r="T56" i="4" s="1"/>
  <c r="S56" i="4"/>
  <c r="R56" i="4"/>
  <c r="Q56" i="4"/>
  <c r="P56" i="4"/>
  <c r="U55" i="4"/>
  <c r="T55" i="4"/>
  <c r="T55" i="4" a="1"/>
  <c r="S55" i="4"/>
  <c r="Q55" i="4"/>
  <c r="R55" i="4" s="1"/>
  <c r="P55" i="4"/>
  <c r="U54" i="4"/>
  <c r="T54" i="4" a="1"/>
  <c r="T54" i="4" s="1"/>
  <c r="S54" i="4"/>
  <c r="Q54" i="4"/>
  <c r="P54" i="4"/>
  <c r="R54" i="4" s="1"/>
  <c r="U53" i="4"/>
  <c r="T53" i="4"/>
  <c r="T53" i="4" a="1"/>
  <c r="S53" i="4"/>
  <c r="Q53" i="4"/>
  <c r="P53" i="4"/>
  <c r="R53" i="4" s="1"/>
  <c r="U52" i="4"/>
  <c r="T52" i="4"/>
  <c r="T52" i="4" a="1"/>
  <c r="S52" i="4"/>
  <c r="Q52" i="4"/>
  <c r="P52" i="4"/>
  <c r="R52" i="4" s="1"/>
  <c r="U51" i="4"/>
  <c r="T51" i="4"/>
  <c r="T51" i="4" a="1"/>
  <c r="S51" i="4"/>
  <c r="Q51" i="4"/>
  <c r="P51" i="4"/>
  <c r="R51" i="4" s="1"/>
  <c r="U50" i="4"/>
  <c r="T50" i="4" a="1"/>
  <c r="T50" i="4" s="1"/>
  <c r="S50" i="4"/>
  <c r="Q50" i="4"/>
  <c r="P50" i="4"/>
  <c r="R50" i="4" s="1"/>
  <c r="U49" i="4"/>
  <c r="T49" i="4"/>
  <c r="T49" i="4" a="1"/>
  <c r="S49" i="4"/>
  <c r="Q49" i="4"/>
  <c r="R49" i="4" s="1"/>
  <c r="P49" i="4"/>
  <c r="U48" i="4"/>
  <c r="T48" i="4" a="1"/>
  <c r="T48" i="4" s="1"/>
  <c r="S48" i="4"/>
  <c r="Q48" i="4"/>
  <c r="P48" i="4"/>
  <c r="R48" i="4" s="1"/>
  <c r="U47" i="4"/>
  <c r="T47" i="4"/>
  <c r="T47" i="4" a="1"/>
  <c r="S47" i="4"/>
  <c r="Q47" i="4"/>
  <c r="P47" i="4"/>
  <c r="U46" i="4"/>
  <c r="T46" i="4" a="1"/>
  <c r="T46" i="4" s="1"/>
  <c r="S46" i="4"/>
  <c r="Q46" i="4"/>
  <c r="R46" i="4" s="1"/>
  <c r="P46" i="4"/>
  <c r="U45" i="4"/>
  <c r="T45" i="4"/>
  <c r="T45" i="4" a="1"/>
  <c r="S45" i="4"/>
  <c r="Q45" i="4"/>
  <c r="P45" i="4"/>
  <c r="U44" i="4"/>
  <c r="T44" i="4" a="1"/>
  <c r="T44" i="4" s="1"/>
  <c r="S44" i="4"/>
  <c r="Q44" i="4"/>
  <c r="R44" i="4" s="1"/>
  <c r="P44" i="4"/>
  <c r="U43" i="4"/>
  <c r="T43" i="4"/>
  <c r="T43" i="4" a="1"/>
  <c r="S43" i="4"/>
  <c r="R43" i="4"/>
  <c r="Q43" i="4"/>
  <c r="P43" i="4"/>
  <c r="U42" i="4"/>
  <c r="T42" i="4" a="1"/>
  <c r="T42" i="4" s="1"/>
  <c r="S42" i="4"/>
  <c r="R42" i="4"/>
  <c r="Q42" i="4"/>
  <c r="P42" i="4"/>
  <c r="U41" i="4"/>
  <c r="T41" i="4"/>
  <c r="T41" i="4" a="1"/>
  <c r="S41" i="4"/>
  <c r="Q41" i="4"/>
  <c r="P41" i="4"/>
  <c r="R41" i="4" s="1"/>
  <c r="U40" i="4"/>
  <c r="T40" i="4" a="1"/>
  <c r="T40" i="4" s="1"/>
  <c r="S40" i="4"/>
  <c r="Q40" i="4"/>
  <c r="P40" i="4"/>
  <c r="R40" i="4" s="1"/>
  <c r="U39" i="4"/>
  <c r="T39" i="4"/>
  <c r="T39" i="4" a="1"/>
  <c r="S39" i="4"/>
  <c r="Q39" i="4"/>
  <c r="P39" i="4"/>
  <c r="R39" i="4" s="1"/>
  <c r="U38" i="4"/>
  <c r="T38" i="4" a="1"/>
  <c r="T38" i="4" s="1"/>
  <c r="S38" i="4"/>
  <c r="Q38" i="4"/>
  <c r="P38" i="4"/>
  <c r="R38" i="4" s="1"/>
  <c r="U37" i="4"/>
  <c r="T37" i="4" a="1"/>
  <c r="T37" i="4" s="1"/>
  <c r="S37" i="4"/>
  <c r="Q37" i="4"/>
  <c r="R37" i="4" s="1"/>
  <c r="P37" i="4"/>
  <c r="U36" i="4"/>
  <c r="T36" i="4" a="1"/>
  <c r="T36" i="4" s="1"/>
  <c r="S36" i="4"/>
  <c r="R36" i="4"/>
  <c r="Q36" i="4"/>
  <c r="P36" i="4"/>
  <c r="U35" i="4"/>
  <c r="T35" i="4" a="1"/>
  <c r="T35" i="4" s="1"/>
  <c r="S35" i="4"/>
  <c r="Q35" i="4"/>
  <c r="P35" i="4"/>
  <c r="R35" i="4" s="1"/>
  <c r="U34" i="4"/>
  <c r="T34" i="4" a="1"/>
  <c r="T34" i="4" s="1"/>
  <c r="S34" i="4"/>
  <c r="R34" i="4"/>
  <c r="Q34" i="4"/>
  <c r="P34" i="4"/>
  <c r="U33" i="4"/>
  <c r="T33" i="4"/>
  <c r="T33" i="4" a="1"/>
  <c r="S33" i="4"/>
  <c r="Q33" i="4"/>
  <c r="P33" i="4"/>
  <c r="R33" i="4" s="1"/>
  <c r="U32" i="4"/>
  <c r="T32" i="4" a="1"/>
  <c r="T32" i="4" s="1"/>
  <c r="S32" i="4"/>
  <c r="R32" i="4"/>
  <c r="Q32" i="4"/>
  <c r="P32" i="4"/>
  <c r="U31" i="4"/>
  <c r="T31" i="4"/>
  <c r="T31" i="4" a="1"/>
  <c r="S31" i="4"/>
  <c r="Q31" i="4"/>
  <c r="R31" i="4" s="1"/>
  <c r="P31" i="4"/>
  <c r="U30" i="4"/>
  <c r="T30" i="4" a="1"/>
  <c r="T30" i="4" s="1"/>
  <c r="S30" i="4"/>
  <c r="Q30" i="4"/>
  <c r="P30" i="4"/>
  <c r="R30" i="4" s="1"/>
  <c r="U29" i="4"/>
  <c r="T29" i="4" a="1"/>
  <c r="T29" i="4" s="1"/>
  <c r="S29" i="4"/>
  <c r="Q29" i="4"/>
  <c r="P29" i="4"/>
  <c r="R29" i="4" s="1"/>
  <c r="U28" i="4"/>
  <c r="T28" i="4"/>
  <c r="T28" i="4" a="1"/>
  <c r="S28" i="4"/>
  <c r="Q28" i="4"/>
  <c r="P28" i="4"/>
  <c r="R28" i="4" s="1"/>
  <c r="U27" i="4"/>
  <c r="T27" i="4"/>
  <c r="T27" i="4" a="1"/>
  <c r="S27" i="4"/>
  <c r="Q27" i="4"/>
  <c r="P27" i="4"/>
  <c r="R27" i="4" s="1"/>
  <c r="U26" i="4"/>
  <c r="T26" i="4" a="1"/>
  <c r="T26" i="4" s="1"/>
  <c r="S26" i="4"/>
  <c r="Q26" i="4"/>
  <c r="P26" i="4"/>
  <c r="R26" i="4" s="1"/>
  <c r="U25" i="4"/>
  <c r="T25" i="4" a="1"/>
  <c r="T25" i="4" s="1"/>
  <c r="S25" i="4"/>
  <c r="Q25" i="4"/>
  <c r="R25" i="4" s="1"/>
  <c r="P25" i="4"/>
  <c r="U24" i="4"/>
  <c r="T24" i="4" a="1"/>
  <c r="T24" i="4" s="1"/>
  <c r="S24" i="4"/>
  <c r="Q24" i="4"/>
  <c r="P24" i="4"/>
  <c r="R24" i="4" s="1"/>
  <c r="U23" i="4"/>
  <c r="T23" i="4" a="1"/>
  <c r="T23" i="4" s="1"/>
  <c r="S23" i="4"/>
  <c r="Q23" i="4"/>
  <c r="P23" i="4"/>
  <c r="U22" i="4"/>
  <c r="T22" i="4" a="1"/>
  <c r="T22" i="4" s="1"/>
  <c r="S22" i="4"/>
  <c r="Q22" i="4"/>
  <c r="P22" i="4"/>
  <c r="R22" i="4" s="1"/>
  <c r="U21" i="4"/>
  <c r="T21" i="4"/>
  <c r="T21" i="4" a="1"/>
  <c r="S21" i="4"/>
  <c r="Q21" i="4"/>
  <c r="P21" i="4"/>
  <c r="U20" i="4"/>
  <c r="T20" i="4" a="1"/>
  <c r="T20" i="4" s="1"/>
  <c r="S20" i="4"/>
  <c r="Q20" i="4"/>
  <c r="P20" i="4"/>
  <c r="R20" i="4" s="1"/>
  <c r="U19" i="4"/>
  <c r="T19" i="4"/>
  <c r="T19" i="4" a="1"/>
  <c r="S19" i="4"/>
  <c r="R19" i="4"/>
  <c r="Q19" i="4"/>
  <c r="P19" i="4"/>
  <c r="U18" i="4"/>
  <c r="T18" i="4" a="1"/>
  <c r="T18" i="4" s="1"/>
  <c r="S18" i="4"/>
  <c r="R18" i="4"/>
  <c r="Q18" i="4"/>
  <c r="P18" i="4"/>
  <c r="U17" i="4"/>
  <c r="T17" i="4"/>
  <c r="T17" i="4" a="1"/>
  <c r="S17" i="4"/>
  <c r="Q17" i="4"/>
  <c r="P17" i="4"/>
  <c r="R17" i="4" s="1"/>
  <c r="U16" i="4"/>
  <c r="T16" i="4"/>
  <c r="T16" i="4" a="1"/>
  <c r="S16" i="4"/>
  <c r="R16" i="4"/>
  <c r="Q16" i="4"/>
  <c r="P16" i="4"/>
  <c r="U15" i="4"/>
  <c r="T15" i="4"/>
  <c r="T15" i="4" a="1"/>
  <c r="S15" i="4"/>
  <c r="Q15" i="4"/>
  <c r="P15" i="4"/>
  <c r="R15" i="4" s="1"/>
  <c r="U14" i="4"/>
  <c r="T14" i="4" a="1"/>
  <c r="T14" i="4" s="1"/>
  <c r="S14" i="4"/>
  <c r="R14" i="4"/>
  <c r="Q14" i="4"/>
  <c r="P14" i="4"/>
  <c r="U13" i="4"/>
  <c r="T13" i="4" a="1"/>
  <c r="T13" i="4" s="1"/>
  <c r="S13" i="4"/>
  <c r="Q13" i="4"/>
  <c r="R13" i="4" s="1"/>
  <c r="P13" i="4"/>
  <c r="U12" i="4"/>
  <c r="T12" i="4" a="1"/>
  <c r="T12" i="4" s="1"/>
  <c r="S12" i="4"/>
  <c r="R12" i="4"/>
  <c r="Q12" i="4"/>
  <c r="P12" i="4"/>
  <c r="U11" i="4"/>
  <c r="T11" i="4" a="1"/>
  <c r="T11" i="4" s="1"/>
  <c r="S11" i="4"/>
  <c r="Q11" i="4"/>
  <c r="P11" i="4"/>
  <c r="R11" i="4" s="1"/>
  <c r="U10" i="4"/>
  <c r="T10" i="4" a="1"/>
  <c r="T10" i="4" s="1"/>
  <c r="S10" i="4"/>
  <c r="R10" i="4"/>
  <c r="Q10" i="4"/>
  <c r="P10" i="4"/>
  <c r="U9" i="4"/>
  <c r="T9" i="4"/>
  <c r="T9" i="4" a="1"/>
  <c r="S9" i="4"/>
  <c r="Q9" i="4"/>
  <c r="P9" i="4"/>
  <c r="R9" i="4" s="1"/>
  <c r="U8" i="4"/>
  <c r="T8" i="4" a="1"/>
  <c r="T8" i="4" s="1"/>
  <c r="S8" i="4"/>
  <c r="R8" i="4"/>
  <c r="Q8" i="4"/>
  <c r="P8" i="4"/>
  <c r="U7" i="4"/>
  <c r="T7" i="4"/>
  <c r="T7" i="4" a="1"/>
  <c r="S7" i="4"/>
  <c r="Q7" i="4"/>
  <c r="R7" i="4" s="1"/>
  <c r="P7" i="4"/>
  <c r="U6" i="4"/>
  <c r="T6" i="4" a="1"/>
  <c r="T6" i="4" s="1"/>
  <c r="S6" i="4"/>
  <c r="Q6" i="4"/>
  <c r="P6" i="4"/>
  <c r="R6" i="4" s="1"/>
  <c r="U5" i="4"/>
  <c r="T5" i="4" a="1"/>
  <c r="T5" i="4" s="1"/>
  <c r="S5" i="4"/>
  <c r="Q5" i="4"/>
  <c r="P5" i="4"/>
  <c r="R5" i="4" s="1"/>
  <c r="U4" i="4"/>
  <c r="T4" i="4"/>
  <c r="T4" i="4" a="1"/>
  <c r="S4" i="4"/>
  <c r="Q4" i="4"/>
  <c r="P4" i="4"/>
  <c r="R4" i="4" s="1"/>
  <c r="U3" i="4"/>
  <c r="T3" i="4"/>
  <c r="T3" i="4" a="1"/>
  <c r="S3" i="4"/>
  <c r="Q3" i="4"/>
  <c r="P3" i="4"/>
  <c r="R3" i="4" s="1"/>
  <c r="U2" i="4"/>
  <c r="T2" i="4" a="1"/>
  <c r="T2" i="4" s="1"/>
  <c r="S2" i="4"/>
  <c r="Q2" i="4"/>
  <c r="P2" i="4"/>
  <c r="R2" i="4" s="1"/>
  <c r="D1" i="2"/>
  <c r="AA28" i="1"/>
  <c r="AA24" i="1"/>
  <c r="E1" i="2"/>
  <c r="AA11" i="1" a="1"/>
  <c r="AA11" i="1" s="1"/>
  <c r="AA21" i="1"/>
  <c r="AB21" i="1"/>
  <c r="Z7" i="1"/>
  <c r="AA9" i="1" a="1"/>
  <c r="AA9" i="1" s="1"/>
  <c r="U8" i="1"/>
  <c r="AA5" i="1"/>
  <c r="Z3" i="1"/>
  <c r="Z2" i="1"/>
  <c r="U2" i="1"/>
  <c r="U3" i="1"/>
  <c r="U4" i="1"/>
  <c r="U5" i="1"/>
  <c r="U6" i="1"/>
  <c r="U7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T3" i="1" a="1"/>
  <c r="T3" i="1" s="1"/>
  <c r="T4" i="1" a="1"/>
  <c r="T4" i="1" s="1"/>
  <c r="T5" i="1" a="1"/>
  <c r="T5" i="1"/>
  <c r="T6" i="1" a="1"/>
  <c r="T6" i="1"/>
  <c r="T7" i="1" a="1"/>
  <c r="T7" i="1"/>
  <c r="T8" i="1" a="1"/>
  <c r="T8" i="1"/>
  <c r="T9" i="1" a="1"/>
  <c r="T9" i="1" s="1"/>
  <c r="T10" i="1" a="1"/>
  <c r="T10" i="1" s="1"/>
  <c r="T11" i="1" a="1"/>
  <c r="T11" i="1"/>
  <c r="T12" i="1" a="1"/>
  <c r="T12" i="1"/>
  <c r="T13" i="1" a="1"/>
  <c r="T13" i="1"/>
  <c r="T14" i="1" a="1"/>
  <c r="T14" i="1"/>
  <c r="T15" i="1" a="1"/>
  <c r="T15" i="1" s="1"/>
  <c r="T16" i="1" a="1"/>
  <c r="T16" i="1" s="1"/>
  <c r="T17" i="1" a="1"/>
  <c r="T17" i="1"/>
  <c r="T18" i="1" a="1"/>
  <c r="T18" i="1"/>
  <c r="T19" i="1" a="1"/>
  <c r="T19" i="1"/>
  <c r="T20" i="1" a="1"/>
  <c r="T20" i="1"/>
  <c r="T21" i="1" a="1"/>
  <c r="T21" i="1" s="1"/>
  <c r="T22" i="1" a="1"/>
  <c r="T22" i="1" s="1"/>
  <c r="T23" i="1" a="1"/>
  <c r="T23" i="1"/>
  <c r="T24" i="1" a="1"/>
  <c r="T24" i="1"/>
  <c r="T25" i="1" a="1"/>
  <c r="T25" i="1"/>
  <c r="T26" i="1" a="1"/>
  <c r="T26" i="1"/>
  <c r="T27" i="1" a="1"/>
  <c r="T27" i="1" s="1"/>
  <c r="T28" i="1" a="1"/>
  <c r="T28" i="1" s="1"/>
  <c r="T29" i="1" a="1"/>
  <c r="T29" i="1"/>
  <c r="T30" i="1" a="1"/>
  <c r="T30" i="1"/>
  <c r="T31" i="1" a="1"/>
  <c r="T31" i="1"/>
  <c r="T32" i="1" a="1"/>
  <c r="T32" i="1"/>
  <c r="T33" i="1" a="1"/>
  <c r="T33" i="1" s="1"/>
  <c r="T34" i="1" a="1"/>
  <c r="T34" i="1" s="1"/>
  <c r="T35" i="1" a="1"/>
  <c r="T35" i="1"/>
  <c r="T36" i="1" a="1"/>
  <c r="T36" i="1"/>
  <c r="T37" i="1" a="1"/>
  <c r="T37" i="1"/>
  <c r="T38" i="1" a="1"/>
  <c r="T38" i="1"/>
  <c r="T39" i="1" a="1"/>
  <c r="T39" i="1" s="1"/>
  <c r="T40" i="1" a="1"/>
  <c r="T40" i="1" s="1"/>
  <c r="T41" i="1" a="1"/>
  <c r="T41" i="1"/>
  <c r="T42" i="1" a="1"/>
  <c r="T42" i="1"/>
  <c r="T43" i="1" a="1"/>
  <c r="T43" i="1"/>
  <c r="T44" i="1" a="1"/>
  <c r="T44" i="1"/>
  <c r="T45" i="1" a="1"/>
  <c r="T45" i="1" s="1"/>
  <c r="T46" i="1" a="1"/>
  <c r="T46" i="1" s="1"/>
  <c r="T47" i="1" a="1"/>
  <c r="T47" i="1"/>
  <c r="T48" i="1" a="1"/>
  <c r="T48" i="1"/>
  <c r="T49" i="1" a="1"/>
  <c r="T49" i="1"/>
  <c r="T50" i="1" a="1"/>
  <c r="T50" i="1"/>
  <c r="T51" i="1" a="1"/>
  <c r="T51" i="1" s="1"/>
  <c r="T52" i="1" a="1"/>
  <c r="T52" i="1" s="1"/>
  <c r="T53" i="1" a="1"/>
  <c r="T53" i="1"/>
  <c r="T54" i="1" a="1"/>
  <c r="T54" i="1"/>
  <c r="T55" i="1" a="1"/>
  <c r="T55" i="1"/>
  <c r="T56" i="1" a="1"/>
  <c r="T56" i="1"/>
  <c r="T57" i="1" a="1"/>
  <c r="T57" i="1" s="1"/>
  <c r="T58" i="1" a="1"/>
  <c r="T58" i="1" s="1"/>
  <c r="T59" i="1" a="1"/>
  <c r="T59" i="1"/>
  <c r="T60" i="1" a="1"/>
  <c r="T60" i="1"/>
  <c r="T61" i="1" a="1"/>
  <c r="T61" i="1"/>
  <c r="T62" i="1" a="1"/>
  <c r="T62" i="1"/>
  <c r="T63" i="1" a="1"/>
  <c r="T63" i="1" s="1"/>
  <c r="T64" i="1" a="1"/>
  <c r="T64" i="1" s="1"/>
  <c r="T65" i="1" a="1"/>
  <c r="T65" i="1"/>
  <c r="T66" i="1" a="1"/>
  <c r="T66" i="1"/>
  <c r="T67" i="1" a="1"/>
  <c r="T67" i="1"/>
  <c r="T68" i="1" a="1"/>
  <c r="T68" i="1"/>
  <c r="T69" i="1" a="1"/>
  <c r="T69" i="1" s="1"/>
  <c r="T70" i="1" a="1"/>
  <c r="T70" i="1" s="1"/>
  <c r="T71" i="1" a="1"/>
  <c r="T71" i="1"/>
  <c r="T72" i="1" a="1"/>
  <c r="T72" i="1"/>
  <c r="T73" i="1" a="1"/>
  <c r="T73" i="1"/>
  <c r="T74" i="1" a="1"/>
  <c r="T74" i="1"/>
  <c r="T75" i="1" a="1"/>
  <c r="T75" i="1" s="1"/>
  <c r="T76" i="1" a="1"/>
  <c r="T76" i="1" s="1"/>
  <c r="T77" i="1" a="1"/>
  <c r="T77" i="1"/>
  <c r="T78" i="1" a="1"/>
  <c r="T78" i="1"/>
  <c r="T79" i="1" a="1"/>
  <c r="T79" i="1"/>
  <c r="T80" i="1" a="1"/>
  <c r="T80" i="1"/>
  <c r="T81" i="1" a="1"/>
  <c r="T81" i="1" s="1"/>
  <c r="T82" i="1" a="1"/>
  <c r="T82" i="1" s="1"/>
  <c r="T83" i="1" a="1"/>
  <c r="T83" i="1"/>
  <c r="T84" i="1" a="1"/>
  <c r="T84" i="1"/>
  <c r="T85" i="1" a="1"/>
  <c r="T85" i="1"/>
  <c r="T86" i="1" a="1"/>
  <c r="T86" i="1"/>
  <c r="T87" i="1" a="1"/>
  <c r="T87" i="1" s="1"/>
  <c r="T88" i="1" a="1"/>
  <c r="T88" i="1" s="1"/>
  <c r="T89" i="1" a="1"/>
  <c r="T89" i="1"/>
  <c r="T90" i="1" a="1"/>
  <c r="T90" i="1"/>
  <c r="T91" i="1" a="1"/>
  <c r="T91" i="1"/>
  <c r="T92" i="1" a="1"/>
  <c r="T92" i="1"/>
  <c r="T93" i="1" a="1"/>
  <c r="T93" i="1" s="1"/>
  <c r="T94" i="1" a="1"/>
  <c r="T94" i="1" s="1"/>
  <c r="T95" i="1" a="1"/>
  <c r="T95" i="1"/>
  <c r="T96" i="1" a="1"/>
  <c r="T96" i="1"/>
  <c r="T97" i="1" a="1"/>
  <c r="T97" i="1"/>
  <c r="T98" i="1" a="1"/>
  <c r="T98" i="1"/>
  <c r="T99" i="1" a="1"/>
  <c r="T99" i="1" s="1"/>
  <c r="T100" i="1" a="1"/>
  <c r="T100" i="1" s="1"/>
  <c r="T101" i="1" a="1"/>
  <c r="T101" i="1"/>
  <c r="T102" i="1" a="1"/>
  <c r="T102" i="1"/>
  <c r="T103" i="1" a="1"/>
  <c r="T103" i="1"/>
  <c r="T104" i="1" a="1"/>
  <c r="T104" i="1"/>
  <c r="T105" i="1" a="1"/>
  <c r="T105" i="1" s="1"/>
  <c r="T106" i="1" a="1"/>
  <c r="T106" i="1" s="1"/>
  <c r="T107" i="1" a="1"/>
  <c r="T107" i="1"/>
  <c r="T108" i="1" a="1"/>
  <c r="T108" i="1"/>
  <c r="T109" i="1" a="1"/>
  <c r="T109" i="1"/>
  <c r="T110" i="1" a="1"/>
  <c r="T110" i="1"/>
  <c r="T111" i="1" a="1"/>
  <c r="T111" i="1" s="1"/>
  <c r="T112" i="1" a="1"/>
  <c r="T112" i="1" s="1"/>
  <c r="T113" i="1" a="1"/>
  <c r="T113" i="1"/>
  <c r="T114" i="1" a="1"/>
  <c r="T114" i="1"/>
  <c r="T115" i="1" a="1"/>
  <c r="T115" i="1"/>
  <c r="T116" i="1" a="1"/>
  <c r="T116" i="1"/>
  <c r="T117" i="1" a="1"/>
  <c r="T117" i="1" s="1"/>
  <c r="T118" i="1" a="1"/>
  <c r="T118" i="1" s="1"/>
  <c r="T119" i="1" a="1"/>
  <c r="T119" i="1"/>
  <c r="T120" i="1" a="1"/>
  <c r="T120" i="1"/>
  <c r="T121" i="1" a="1"/>
  <c r="T121" i="1"/>
  <c r="T122" i="1" a="1"/>
  <c r="T122" i="1"/>
  <c r="T123" i="1" a="1"/>
  <c r="T123" i="1" s="1"/>
  <c r="T124" i="1" a="1"/>
  <c r="T124" i="1" s="1"/>
  <c r="T125" i="1" a="1"/>
  <c r="T125" i="1"/>
  <c r="T126" i="1" a="1"/>
  <c r="T126" i="1"/>
  <c r="T127" i="1" a="1"/>
  <c r="T127" i="1"/>
  <c r="T128" i="1" a="1"/>
  <c r="T128" i="1"/>
  <c r="T129" i="1" a="1"/>
  <c r="T129" i="1" s="1"/>
  <c r="T130" i="1" a="1"/>
  <c r="T130" i="1" s="1"/>
  <c r="T131" i="1" a="1"/>
  <c r="T131" i="1"/>
  <c r="T132" i="1" a="1"/>
  <c r="T132" i="1"/>
  <c r="T133" i="1" a="1"/>
  <c r="T133" i="1"/>
  <c r="T134" i="1" a="1"/>
  <c r="T134" i="1"/>
  <c r="T135" i="1" a="1"/>
  <c r="T135" i="1" s="1"/>
  <c r="T136" i="1" a="1"/>
  <c r="T136" i="1" s="1"/>
  <c r="T137" i="1" a="1"/>
  <c r="T137" i="1"/>
  <c r="T138" i="1" a="1"/>
  <c r="T138" i="1"/>
  <c r="T139" i="1" a="1"/>
  <c r="T139" i="1"/>
  <c r="T140" i="1" a="1"/>
  <c r="T140" i="1"/>
  <c r="T141" i="1" a="1"/>
  <c r="T141" i="1" s="1"/>
  <c r="T142" i="1" a="1"/>
  <c r="T142" i="1" s="1"/>
  <c r="T143" i="1" a="1"/>
  <c r="T143" i="1"/>
  <c r="T144" i="1" a="1"/>
  <c r="T144" i="1"/>
  <c r="T145" i="1" a="1"/>
  <c r="T145" i="1"/>
  <c r="T146" i="1" a="1"/>
  <c r="T146" i="1"/>
  <c r="T147" i="1" a="1"/>
  <c r="T147" i="1" s="1"/>
  <c r="T148" i="1" a="1"/>
  <c r="T148" i="1" s="1"/>
  <c r="T149" i="1" a="1"/>
  <c r="T149" i="1"/>
  <c r="T150" i="1" a="1"/>
  <c r="T150" i="1"/>
  <c r="T151" i="1" a="1"/>
  <c r="T151" i="1"/>
  <c r="T152" i="1" a="1"/>
  <c r="T152" i="1"/>
  <c r="T153" i="1" a="1"/>
  <c r="T153" i="1" s="1"/>
  <c r="T154" i="1" a="1"/>
  <c r="T154" i="1" s="1"/>
  <c r="T155" i="1" a="1"/>
  <c r="T155" i="1"/>
  <c r="T156" i="1" a="1"/>
  <c r="T156" i="1"/>
  <c r="T157" i="1" a="1"/>
  <c r="T157" i="1"/>
  <c r="T158" i="1" a="1"/>
  <c r="T158" i="1"/>
  <c r="T159" i="1" a="1"/>
  <c r="T159" i="1" s="1"/>
  <c r="T160" i="1" a="1"/>
  <c r="T160" i="1" s="1"/>
  <c r="T161" i="1" a="1"/>
  <c r="T161" i="1"/>
  <c r="T162" i="1" a="1"/>
  <c r="T162" i="1"/>
  <c r="T163" i="1" a="1"/>
  <c r="T163" i="1"/>
  <c r="T164" i="1" a="1"/>
  <c r="T164" i="1"/>
  <c r="T165" i="1" a="1"/>
  <c r="T165" i="1" s="1"/>
  <c r="T166" i="1" a="1"/>
  <c r="T166" i="1" s="1"/>
  <c r="T167" i="1" a="1"/>
  <c r="T167" i="1"/>
  <c r="T168" i="1" a="1"/>
  <c r="T168" i="1"/>
  <c r="T169" i="1" a="1"/>
  <c r="T169" i="1"/>
  <c r="T170" i="1" a="1"/>
  <c r="T170" i="1"/>
  <c r="T171" i="1" a="1"/>
  <c r="T171" i="1" s="1"/>
  <c r="T172" i="1" a="1"/>
  <c r="T172" i="1" s="1"/>
  <c r="T173" i="1" a="1"/>
  <c r="T173" i="1"/>
  <c r="T174" i="1" a="1"/>
  <c r="T174" i="1"/>
  <c r="T175" i="1" a="1"/>
  <c r="T175" i="1"/>
  <c r="T176" i="1" a="1"/>
  <c r="T176" i="1"/>
  <c r="T177" i="1" a="1"/>
  <c r="T177" i="1" s="1"/>
  <c r="T178" i="1" a="1"/>
  <c r="T178" i="1" s="1"/>
  <c r="T179" i="1" a="1"/>
  <c r="T179" i="1"/>
  <c r="T180" i="1" a="1"/>
  <c r="T180" i="1"/>
  <c r="T181" i="1" a="1"/>
  <c r="T181" i="1"/>
  <c r="T182" i="1" a="1"/>
  <c r="T182" i="1"/>
  <c r="T183" i="1" a="1"/>
  <c r="T183" i="1" s="1"/>
  <c r="T184" i="1" a="1"/>
  <c r="T184" i="1" s="1"/>
  <c r="T185" i="1" a="1"/>
  <c r="T185" i="1"/>
  <c r="T186" i="1" a="1"/>
  <c r="T186" i="1"/>
  <c r="T187" i="1" a="1"/>
  <c r="T187" i="1"/>
  <c r="T188" i="1" a="1"/>
  <c r="T188" i="1"/>
  <c r="T189" i="1" a="1"/>
  <c r="T189" i="1" s="1"/>
  <c r="T190" i="1" a="1"/>
  <c r="T190" i="1" s="1"/>
  <c r="T191" i="1" a="1"/>
  <c r="T191" i="1"/>
  <c r="T192" i="1" a="1"/>
  <c r="T192" i="1"/>
  <c r="T193" i="1" a="1"/>
  <c r="T193" i="1"/>
  <c r="T194" i="1" a="1"/>
  <c r="T194" i="1"/>
  <c r="T195" i="1" a="1"/>
  <c r="T195" i="1" s="1"/>
  <c r="T196" i="1" a="1"/>
  <c r="T196" i="1" s="1"/>
  <c r="T197" i="1" a="1"/>
  <c r="T197" i="1"/>
  <c r="T198" i="1" a="1"/>
  <c r="T198" i="1"/>
  <c r="T199" i="1" a="1"/>
  <c r="T199" i="1"/>
  <c r="T200" i="1" a="1"/>
  <c r="T200" i="1"/>
  <c r="T201" i="1" a="1"/>
  <c r="T201" i="1" s="1"/>
  <c r="T202" i="1" a="1"/>
  <c r="T202" i="1" s="1"/>
  <c r="T203" i="1" a="1"/>
  <c r="T203" i="1"/>
  <c r="T204" i="1" a="1"/>
  <c r="T204" i="1"/>
  <c r="T205" i="1" a="1"/>
  <c r="T205" i="1"/>
  <c r="T206" i="1" a="1"/>
  <c r="T206" i="1"/>
  <c r="T207" i="1" a="1"/>
  <c r="T207" i="1" s="1"/>
  <c r="T208" i="1" a="1"/>
  <c r="T208" i="1" s="1"/>
  <c r="T209" i="1" a="1"/>
  <c r="T209" i="1"/>
  <c r="T210" i="1" a="1"/>
  <c r="T210" i="1"/>
  <c r="T211" i="1" a="1"/>
  <c r="T211" i="1"/>
  <c r="T212" i="1" a="1"/>
  <c r="T212" i="1"/>
  <c r="T213" i="1" a="1"/>
  <c r="T213" i="1" s="1"/>
  <c r="T214" i="1" a="1"/>
  <c r="T214" i="1" s="1"/>
  <c r="T215" i="1" a="1"/>
  <c r="T215" i="1"/>
  <c r="T216" i="1" a="1"/>
  <c r="T216" i="1"/>
  <c r="T217" i="1" a="1"/>
  <c r="T217" i="1"/>
  <c r="T218" i="1" a="1"/>
  <c r="T218" i="1"/>
  <c r="T219" i="1" a="1"/>
  <c r="T219" i="1" s="1"/>
  <c r="T220" i="1" a="1"/>
  <c r="T220" i="1" s="1"/>
  <c r="T221" i="1" a="1"/>
  <c r="T221" i="1"/>
  <c r="T222" i="1" a="1"/>
  <c r="T222" i="1"/>
  <c r="T223" i="1" a="1"/>
  <c r="T223" i="1"/>
  <c r="T224" i="1" a="1"/>
  <c r="T224" i="1"/>
  <c r="T225" i="1" a="1"/>
  <c r="T225" i="1" s="1"/>
  <c r="T226" i="1" a="1"/>
  <c r="T226" i="1" s="1"/>
  <c r="T227" i="1" a="1"/>
  <c r="T227" i="1"/>
  <c r="T228" i="1" a="1"/>
  <c r="T228" i="1"/>
  <c r="T229" i="1" a="1"/>
  <c r="T229" i="1"/>
  <c r="T230" i="1" a="1"/>
  <c r="T230" i="1"/>
  <c r="T231" i="1" a="1"/>
  <c r="T231" i="1" s="1"/>
  <c r="T232" i="1" a="1"/>
  <c r="T232" i="1" s="1"/>
  <c r="T233" i="1" a="1"/>
  <c r="T233" i="1"/>
  <c r="T234" i="1" a="1"/>
  <c r="T234" i="1"/>
  <c r="T235" i="1" a="1"/>
  <c r="T235" i="1"/>
  <c r="T236" i="1" a="1"/>
  <c r="T236" i="1"/>
  <c r="T237" i="1" a="1"/>
  <c r="T237" i="1" s="1"/>
  <c r="T238" i="1" a="1"/>
  <c r="T238" i="1" s="1"/>
  <c r="T239" i="1" a="1"/>
  <c r="T239" i="1"/>
  <c r="T240" i="1" a="1"/>
  <c r="T240" i="1"/>
  <c r="T241" i="1" a="1"/>
  <c r="T241" i="1"/>
  <c r="T242" i="1" a="1"/>
  <c r="T242" i="1"/>
  <c r="T243" i="1" a="1"/>
  <c r="T243" i="1" s="1"/>
  <c r="T244" i="1" a="1"/>
  <c r="T244" i="1" s="1"/>
  <c r="T245" i="1" a="1"/>
  <c r="T245" i="1"/>
  <c r="T246" i="1" a="1"/>
  <c r="T246" i="1"/>
  <c r="T247" i="1" a="1"/>
  <c r="T247" i="1"/>
  <c r="T248" i="1" a="1"/>
  <c r="T248" i="1"/>
  <c r="T249" i="1" a="1"/>
  <c r="T249" i="1" s="1"/>
  <c r="T250" i="1" a="1"/>
  <c r="T250" i="1" s="1"/>
  <c r="T251" i="1" a="1"/>
  <c r="T251" i="1"/>
  <c r="T252" i="1" a="1"/>
  <c r="T252" i="1"/>
  <c r="T253" i="1" a="1"/>
  <c r="T253" i="1"/>
  <c r="T254" i="1" a="1"/>
  <c r="T254" i="1"/>
  <c r="T255" i="1" a="1"/>
  <c r="T255" i="1" s="1"/>
  <c r="T256" i="1" a="1"/>
  <c r="T256" i="1" s="1"/>
  <c r="T257" i="1" a="1"/>
  <c r="T257" i="1"/>
  <c r="T258" i="1" a="1"/>
  <c r="T258" i="1"/>
  <c r="T259" i="1" a="1"/>
  <c r="T259" i="1"/>
  <c r="T260" i="1" a="1"/>
  <c r="T260" i="1"/>
  <c r="T261" i="1" a="1"/>
  <c r="T261" i="1" s="1"/>
  <c r="T262" i="1" a="1"/>
  <c r="T262" i="1" s="1"/>
  <c r="T263" i="1" a="1"/>
  <c r="T263" i="1"/>
  <c r="T264" i="1" a="1"/>
  <c r="T264" i="1"/>
  <c r="T265" i="1" a="1"/>
  <c r="T265" i="1"/>
  <c r="T266" i="1" a="1"/>
  <c r="T266" i="1"/>
  <c r="T267" i="1" a="1"/>
  <c r="T267" i="1" s="1"/>
  <c r="T268" i="1" a="1"/>
  <c r="T268" i="1" s="1"/>
  <c r="T269" i="1" a="1"/>
  <c r="T269" i="1"/>
  <c r="T270" i="1" a="1"/>
  <c r="T270" i="1"/>
  <c r="T271" i="1" a="1"/>
  <c r="T271" i="1"/>
  <c r="T272" i="1" a="1"/>
  <c r="T272" i="1"/>
  <c r="T273" i="1" a="1"/>
  <c r="T273" i="1" s="1"/>
  <c r="T274" i="1" a="1"/>
  <c r="T274" i="1" s="1"/>
  <c r="T275" i="1" a="1"/>
  <c r="T275" i="1"/>
  <c r="T276" i="1" a="1"/>
  <c r="T276" i="1"/>
  <c r="T277" i="1" a="1"/>
  <c r="T277" i="1"/>
  <c r="T278" i="1" a="1"/>
  <c r="T278" i="1"/>
  <c r="T279" i="1" a="1"/>
  <c r="T279" i="1" s="1"/>
  <c r="T280" i="1" a="1"/>
  <c r="T280" i="1" s="1"/>
  <c r="T281" i="1" a="1"/>
  <c r="T281" i="1"/>
  <c r="T282" i="1" a="1"/>
  <c r="T282" i="1"/>
  <c r="T283" i="1" a="1"/>
  <c r="T283" i="1"/>
  <c r="T284" i="1" a="1"/>
  <c r="T284" i="1"/>
  <c r="T285" i="1" a="1"/>
  <c r="T285" i="1" s="1"/>
  <c r="T286" i="1" a="1"/>
  <c r="T286" i="1" s="1"/>
  <c r="T287" i="1" a="1"/>
  <c r="T287" i="1"/>
  <c r="T288" i="1" a="1"/>
  <c r="T288" i="1"/>
  <c r="T289" i="1" a="1"/>
  <c r="T289" i="1"/>
  <c r="T290" i="1" a="1"/>
  <c r="T290" i="1"/>
  <c r="T291" i="1" a="1"/>
  <c r="T291" i="1" s="1"/>
  <c r="T292" i="1" a="1"/>
  <c r="T292" i="1" s="1"/>
  <c r="T293" i="1" a="1"/>
  <c r="T293" i="1"/>
  <c r="T294" i="1" a="1"/>
  <c r="T294" i="1"/>
  <c r="T295" i="1" a="1"/>
  <c r="T295" i="1"/>
  <c r="T296" i="1" a="1"/>
  <c r="T296" i="1"/>
  <c r="T297" i="1" a="1"/>
  <c r="T297" i="1" s="1"/>
  <c r="T298" i="1" a="1"/>
  <c r="T298" i="1" s="1"/>
  <c r="T299" i="1" a="1"/>
  <c r="T299" i="1"/>
  <c r="T300" i="1" a="1"/>
  <c r="T300" i="1"/>
  <c r="T301" i="1" a="1"/>
  <c r="T301" i="1"/>
  <c r="T302" i="1" a="1"/>
  <c r="T302" i="1"/>
  <c r="T303" i="1" a="1"/>
  <c r="T303" i="1" s="1"/>
  <c r="T304" i="1" a="1"/>
  <c r="T304" i="1" s="1"/>
  <c r="T305" i="1" a="1"/>
  <c r="T305" i="1"/>
  <c r="T306" i="1" a="1"/>
  <c r="T306" i="1"/>
  <c r="T307" i="1" a="1"/>
  <c r="T307" i="1"/>
  <c r="T308" i="1" a="1"/>
  <c r="T308" i="1"/>
  <c r="T309" i="1" a="1"/>
  <c r="T309" i="1" s="1"/>
  <c r="T310" i="1" a="1"/>
  <c r="T310" i="1" s="1"/>
  <c r="T311" i="1" a="1"/>
  <c r="T311" i="1"/>
  <c r="T312" i="1" a="1"/>
  <c r="T312" i="1"/>
  <c r="T313" i="1" a="1"/>
  <c r="T313" i="1"/>
  <c r="T314" i="1" a="1"/>
  <c r="T314" i="1"/>
  <c r="T315" i="1" a="1"/>
  <c r="T315" i="1" s="1"/>
  <c r="T316" i="1" a="1"/>
  <c r="T316" i="1" s="1"/>
  <c r="T317" i="1" a="1"/>
  <c r="T317" i="1"/>
  <c r="T318" i="1" a="1"/>
  <c r="T318" i="1"/>
  <c r="T319" i="1" a="1"/>
  <c r="T319" i="1"/>
  <c r="T320" i="1" a="1"/>
  <c r="T320" i="1"/>
  <c r="T321" i="1" a="1"/>
  <c r="T321" i="1" s="1"/>
  <c r="T322" i="1" a="1"/>
  <c r="T322" i="1" s="1"/>
  <c r="T323" i="1" a="1"/>
  <c r="T323" i="1"/>
  <c r="T324" i="1" a="1"/>
  <c r="T324" i="1"/>
  <c r="T325" i="1" a="1"/>
  <c r="T325" i="1"/>
  <c r="T326" i="1" a="1"/>
  <c r="T326" i="1"/>
  <c r="T327" i="1" a="1"/>
  <c r="T327" i="1" s="1"/>
  <c r="T328" i="1" a="1"/>
  <c r="T328" i="1" s="1"/>
  <c r="T329" i="1" a="1"/>
  <c r="T329" i="1"/>
  <c r="T330" i="1" a="1"/>
  <c r="T330" i="1"/>
  <c r="T331" i="1" a="1"/>
  <c r="T331" i="1"/>
  <c r="T332" i="1" a="1"/>
  <c r="T332" i="1"/>
  <c r="T333" i="1" a="1"/>
  <c r="T333" i="1" s="1"/>
  <c r="T334" i="1" a="1"/>
  <c r="T334" i="1" s="1"/>
  <c r="T335" i="1" a="1"/>
  <c r="T335" i="1"/>
  <c r="T336" i="1" a="1"/>
  <c r="T336" i="1"/>
  <c r="T337" i="1" a="1"/>
  <c r="T337" i="1"/>
  <c r="T338" i="1" a="1"/>
  <c r="T338" i="1"/>
  <c r="T339" i="1" a="1"/>
  <c r="T339" i="1" s="1"/>
  <c r="T340" i="1" a="1"/>
  <c r="T340" i="1" s="1"/>
  <c r="T341" i="1" a="1"/>
  <c r="T341" i="1"/>
  <c r="T342" i="1" a="1"/>
  <c r="T342" i="1"/>
  <c r="T343" i="1" a="1"/>
  <c r="T343" i="1"/>
  <c r="T344" i="1" a="1"/>
  <c r="T344" i="1"/>
  <c r="T345" i="1" a="1"/>
  <c r="T345" i="1" s="1"/>
  <c r="T346" i="1" a="1"/>
  <c r="T346" i="1" s="1"/>
  <c r="T347" i="1" a="1"/>
  <c r="T347" i="1"/>
  <c r="T348" i="1" a="1"/>
  <c r="T348" i="1"/>
  <c r="T349" i="1" a="1"/>
  <c r="T349" i="1"/>
  <c r="T350" i="1" a="1"/>
  <c r="T350" i="1"/>
  <c r="T351" i="1" a="1"/>
  <c r="T351" i="1" s="1"/>
  <c r="T352" i="1" a="1"/>
  <c r="T352" i="1" s="1"/>
  <c r="T353" i="1" a="1"/>
  <c r="T353" i="1"/>
  <c r="T354" i="1" a="1"/>
  <c r="T354" i="1"/>
  <c r="T355" i="1" a="1"/>
  <c r="T355" i="1"/>
  <c r="T356" i="1" a="1"/>
  <c r="T356" i="1"/>
  <c r="T357" i="1" a="1"/>
  <c r="T357" i="1" s="1"/>
  <c r="T358" i="1" a="1"/>
  <c r="T358" i="1" s="1"/>
  <c r="T359" i="1" a="1"/>
  <c r="T359" i="1"/>
  <c r="T360" i="1" a="1"/>
  <c r="T360" i="1"/>
  <c r="T361" i="1" a="1"/>
  <c r="T361" i="1"/>
  <c r="T362" i="1" a="1"/>
  <c r="T362" i="1"/>
  <c r="T363" i="1" a="1"/>
  <c r="T363" i="1" s="1"/>
  <c r="T364" i="1" a="1"/>
  <c r="T364" i="1" s="1"/>
  <c r="T365" i="1" a="1"/>
  <c r="T365" i="1"/>
  <c r="T366" i="1" a="1"/>
  <c r="T366" i="1"/>
  <c r="T367" i="1" a="1"/>
  <c r="T367" i="1"/>
  <c r="T368" i="1" a="1"/>
  <c r="T368" i="1"/>
  <c r="T369" i="1" a="1"/>
  <c r="T369" i="1" s="1"/>
  <c r="T370" i="1" a="1"/>
  <c r="T370" i="1" s="1"/>
  <c r="T371" i="1" a="1"/>
  <c r="T371" i="1"/>
  <c r="T372" i="1" a="1"/>
  <c r="T372" i="1"/>
  <c r="T373" i="1" a="1"/>
  <c r="T373" i="1"/>
  <c r="T374" i="1" a="1"/>
  <c r="T374" i="1"/>
  <c r="T375" i="1" a="1"/>
  <c r="T375" i="1" s="1"/>
  <c r="T376" i="1" a="1"/>
  <c r="T376" i="1" s="1"/>
  <c r="T377" i="1" a="1"/>
  <c r="T377" i="1"/>
  <c r="T378" i="1" a="1"/>
  <c r="T378" i="1"/>
  <c r="T379" i="1" a="1"/>
  <c r="T379" i="1"/>
  <c r="T380" i="1" a="1"/>
  <c r="T380" i="1"/>
  <c r="T381" i="1" a="1"/>
  <c r="T381" i="1" s="1"/>
  <c r="T382" i="1" a="1"/>
  <c r="T382" i="1" s="1"/>
  <c r="T383" i="1" a="1"/>
  <c r="T383" i="1"/>
  <c r="T384" i="1" a="1"/>
  <c r="T384" i="1"/>
  <c r="T385" i="1" a="1"/>
  <c r="T385" i="1"/>
  <c r="T386" i="1" a="1"/>
  <c r="T386" i="1"/>
  <c r="T387" i="1" a="1"/>
  <c r="T387" i="1" s="1"/>
  <c r="T388" i="1" a="1"/>
  <c r="T388" i="1" s="1"/>
  <c r="T389" i="1" a="1"/>
  <c r="T389" i="1"/>
  <c r="T390" i="1" a="1"/>
  <c r="T390" i="1"/>
  <c r="T391" i="1" a="1"/>
  <c r="T391" i="1"/>
  <c r="T392" i="1" a="1"/>
  <c r="T392" i="1"/>
  <c r="T393" i="1" a="1"/>
  <c r="T393" i="1" s="1"/>
  <c r="T394" i="1" a="1"/>
  <c r="T394" i="1" s="1"/>
  <c r="T395" i="1" a="1"/>
  <c r="T395" i="1"/>
  <c r="T396" i="1" a="1"/>
  <c r="T396" i="1"/>
  <c r="T397" i="1" a="1"/>
  <c r="T397" i="1"/>
  <c r="T398" i="1" a="1"/>
  <c r="T398" i="1"/>
  <c r="T399" i="1" a="1"/>
  <c r="T399" i="1" s="1"/>
  <c r="T400" i="1" a="1"/>
  <c r="T400" i="1" s="1"/>
  <c r="T401" i="1" a="1"/>
  <c r="T401" i="1"/>
  <c r="T402" i="1" a="1"/>
  <c r="T402" i="1"/>
  <c r="T403" i="1" a="1"/>
  <c r="T403" i="1"/>
  <c r="T404" i="1" a="1"/>
  <c r="T404" i="1"/>
  <c r="T405" i="1" a="1"/>
  <c r="T405" i="1" s="1"/>
  <c r="T406" i="1" a="1"/>
  <c r="T406" i="1" s="1"/>
  <c r="T407" i="1" a="1"/>
  <c r="T407" i="1"/>
  <c r="T408" i="1" a="1"/>
  <c r="T408" i="1"/>
  <c r="T409" i="1" a="1"/>
  <c r="T409" i="1"/>
  <c r="T410" i="1" a="1"/>
  <c r="T410" i="1"/>
  <c r="T411" i="1" a="1"/>
  <c r="T411" i="1" s="1"/>
  <c r="T412" i="1" a="1"/>
  <c r="T412" i="1" s="1"/>
  <c r="T413" i="1" a="1"/>
  <c r="T413" i="1"/>
  <c r="T414" i="1" a="1"/>
  <c r="T414" i="1"/>
  <c r="T415" i="1" a="1"/>
  <c r="T415" i="1"/>
  <c r="T416" i="1" a="1"/>
  <c r="T416" i="1"/>
  <c r="T417" i="1" a="1"/>
  <c r="T417" i="1" s="1"/>
  <c r="T418" i="1" a="1"/>
  <c r="T418" i="1" s="1"/>
  <c r="T419" i="1" a="1"/>
  <c r="T419" i="1"/>
  <c r="T420" i="1" a="1"/>
  <c r="T420" i="1"/>
  <c r="T421" i="1" a="1"/>
  <c r="T421" i="1"/>
  <c r="T422" i="1" a="1"/>
  <c r="T422" i="1"/>
  <c r="T423" i="1" a="1"/>
  <c r="T423" i="1" s="1"/>
  <c r="T424" i="1" a="1"/>
  <c r="T424" i="1" s="1"/>
  <c r="T425" i="1" a="1"/>
  <c r="T425" i="1"/>
  <c r="T426" i="1" a="1"/>
  <c r="T426" i="1"/>
  <c r="T427" i="1" a="1"/>
  <c r="T427" i="1"/>
  <c r="T428" i="1" a="1"/>
  <c r="T428" i="1"/>
  <c r="T429" i="1" a="1"/>
  <c r="T429" i="1" s="1"/>
  <c r="T430" i="1" a="1"/>
  <c r="T430" i="1" s="1"/>
  <c r="T431" i="1" a="1"/>
  <c r="T431" i="1"/>
  <c r="T432" i="1" a="1"/>
  <c r="T432" i="1"/>
  <c r="T433" i="1" a="1"/>
  <c r="T433" i="1"/>
  <c r="T434" i="1" a="1"/>
  <c r="T434" i="1"/>
  <c r="T435" i="1" a="1"/>
  <c r="T435" i="1" s="1"/>
  <c r="T436" i="1" a="1"/>
  <c r="T436" i="1" s="1"/>
  <c r="T437" i="1" a="1"/>
  <c r="T437" i="1"/>
  <c r="T438" i="1" a="1"/>
  <c r="T438" i="1"/>
  <c r="T439" i="1" a="1"/>
  <c r="T439" i="1"/>
  <c r="T440" i="1" a="1"/>
  <c r="T440" i="1"/>
  <c r="T441" i="1" a="1"/>
  <c r="T441" i="1" s="1"/>
  <c r="T442" i="1" a="1"/>
  <c r="T442" i="1" s="1"/>
  <c r="T443" i="1" a="1"/>
  <c r="T443" i="1"/>
  <c r="T444" i="1" a="1"/>
  <c r="T444" i="1"/>
  <c r="T445" i="1" a="1"/>
  <c r="T445" i="1"/>
  <c r="T446" i="1" a="1"/>
  <c r="T446" i="1"/>
  <c r="T447" i="1" a="1"/>
  <c r="T447" i="1" s="1"/>
  <c r="T448" i="1" a="1"/>
  <c r="T448" i="1" s="1"/>
  <c r="T449" i="1" a="1"/>
  <c r="T449" i="1"/>
  <c r="T450" i="1" a="1"/>
  <c r="T450" i="1"/>
  <c r="T451" i="1" a="1"/>
  <c r="T451" i="1"/>
  <c r="T452" i="1" a="1"/>
  <c r="T452" i="1"/>
  <c r="T453" i="1" a="1"/>
  <c r="T453" i="1" s="1"/>
  <c r="T454" i="1" a="1"/>
  <c r="T454" i="1" s="1"/>
  <c r="T455" i="1" a="1"/>
  <c r="T455" i="1"/>
  <c r="T456" i="1" a="1"/>
  <c r="T456" i="1"/>
  <c r="T457" i="1" a="1"/>
  <c r="T457" i="1"/>
  <c r="T458" i="1" a="1"/>
  <c r="T458" i="1"/>
  <c r="T459" i="1" a="1"/>
  <c r="T459" i="1" s="1"/>
  <c r="T460" i="1" a="1"/>
  <c r="T460" i="1" s="1"/>
  <c r="T461" i="1" a="1"/>
  <c r="T461" i="1"/>
  <c r="T462" i="1" a="1"/>
  <c r="T462" i="1"/>
  <c r="T463" i="1" a="1"/>
  <c r="T463" i="1"/>
  <c r="T464" i="1" a="1"/>
  <c r="T464" i="1"/>
  <c r="T465" i="1" a="1"/>
  <c r="T465" i="1" s="1"/>
  <c r="T466" i="1" a="1"/>
  <c r="T466" i="1" s="1"/>
  <c r="T467" i="1" a="1"/>
  <c r="T467" i="1"/>
  <c r="T468" i="1" a="1"/>
  <c r="T468" i="1"/>
  <c r="T469" i="1" a="1"/>
  <c r="T469" i="1"/>
  <c r="T470" i="1" a="1"/>
  <c r="T470" i="1"/>
  <c r="T471" i="1" a="1"/>
  <c r="T471" i="1" s="1"/>
  <c r="T472" i="1" a="1"/>
  <c r="T472" i="1" s="1"/>
  <c r="T473" i="1" a="1"/>
  <c r="T473" i="1"/>
  <c r="T474" i="1" a="1"/>
  <c r="T474" i="1"/>
  <c r="T475" i="1" a="1"/>
  <c r="T475" i="1"/>
  <c r="T476" i="1" a="1"/>
  <c r="T476" i="1"/>
  <c r="T477" i="1" a="1"/>
  <c r="T477" i="1" s="1"/>
  <c r="T478" i="1" a="1"/>
  <c r="T478" i="1" s="1"/>
  <c r="T479" i="1" a="1"/>
  <c r="T479" i="1"/>
  <c r="T480" i="1" a="1"/>
  <c r="T480" i="1"/>
  <c r="T481" i="1" a="1"/>
  <c r="T481" i="1"/>
  <c r="T482" i="1" a="1"/>
  <c r="T482" i="1"/>
  <c r="T483" i="1" a="1"/>
  <c r="T483" i="1" s="1"/>
  <c r="T484" i="1" a="1"/>
  <c r="T484" i="1" s="1"/>
  <c r="T485" i="1" a="1"/>
  <c r="T485" i="1"/>
  <c r="T486" i="1" a="1"/>
  <c r="T486" i="1"/>
  <c r="T487" i="1" a="1"/>
  <c r="T487" i="1"/>
  <c r="T488" i="1" a="1"/>
  <c r="T488" i="1"/>
  <c r="T489" i="1" a="1"/>
  <c r="T489" i="1" s="1"/>
  <c r="T490" i="1" a="1"/>
  <c r="T490" i="1" s="1"/>
  <c r="T491" i="1" a="1"/>
  <c r="T491" i="1"/>
  <c r="T492" i="1" a="1"/>
  <c r="T492" i="1"/>
  <c r="T493" i="1" a="1"/>
  <c r="T493" i="1"/>
  <c r="T494" i="1" a="1"/>
  <c r="T494" i="1"/>
  <c r="T495" i="1" a="1"/>
  <c r="T495" i="1" s="1"/>
  <c r="T496" i="1" a="1"/>
  <c r="T496" i="1" s="1"/>
  <c r="T497" i="1" a="1"/>
  <c r="T497" i="1"/>
  <c r="T498" i="1" a="1"/>
  <c r="T498" i="1"/>
  <c r="T499" i="1" a="1"/>
  <c r="T499" i="1"/>
  <c r="T500" i="1" a="1"/>
  <c r="T500" i="1"/>
  <c r="T501" i="1" a="1"/>
  <c r="T501" i="1" s="1"/>
  <c r="T2" i="1" a="1"/>
  <c r="T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Q3" i="1"/>
  <c r="Q4" i="1"/>
  <c r="Q5" i="1"/>
  <c r="Q6" i="1"/>
  <c r="Q7" i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Q16" i="1"/>
  <c r="Q17" i="1"/>
  <c r="Q18" i="1"/>
  <c r="Q19" i="1"/>
  <c r="Q20" i="1"/>
  <c r="R20" i="1" s="1"/>
  <c r="Q21" i="1"/>
  <c r="R21" i="1" s="1"/>
  <c r="Q22" i="1"/>
  <c r="Q23" i="1"/>
  <c r="Q24" i="1"/>
  <c r="Q25" i="1"/>
  <c r="R25" i="1" s="1"/>
  <c r="Q26" i="1"/>
  <c r="R26" i="1" s="1"/>
  <c r="Q27" i="1"/>
  <c r="Q28" i="1"/>
  <c r="Q29" i="1"/>
  <c r="Q30" i="1"/>
  <c r="Q31" i="1"/>
  <c r="Q32" i="1"/>
  <c r="R32" i="1" s="1"/>
  <c r="Q33" i="1"/>
  <c r="R33" i="1" s="1"/>
  <c r="Q34" i="1"/>
  <c r="Q35" i="1"/>
  <c r="Q36" i="1"/>
  <c r="Q37" i="1"/>
  <c r="Q38" i="1"/>
  <c r="Q39" i="1"/>
  <c r="Q40" i="1"/>
  <c r="Q41" i="1"/>
  <c r="Q42" i="1"/>
  <c r="Q43" i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Q52" i="1"/>
  <c r="Q53" i="1"/>
  <c r="Q54" i="1"/>
  <c r="R54" i="1" s="1"/>
  <c r="Q55" i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Q64" i="1"/>
  <c r="Q65" i="1"/>
  <c r="Q66" i="1"/>
  <c r="Q67" i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Q76" i="1"/>
  <c r="Q77" i="1"/>
  <c r="Q78" i="1"/>
  <c r="Q79" i="1"/>
  <c r="Q80" i="1"/>
  <c r="R80" i="1" s="1"/>
  <c r="Q81" i="1"/>
  <c r="R81" i="1" s="1"/>
  <c r="Q82" i="1"/>
  <c r="Q83" i="1"/>
  <c r="R83" i="1" s="1"/>
  <c r="Q84" i="1"/>
  <c r="R84" i="1" s="1"/>
  <c r="Q85" i="1"/>
  <c r="R85" i="1" s="1"/>
  <c r="Q86" i="1"/>
  <c r="R86" i="1" s="1"/>
  <c r="Q87" i="1"/>
  <c r="Q88" i="1"/>
  <c r="Q89" i="1"/>
  <c r="Q90" i="1"/>
  <c r="Q91" i="1"/>
  <c r="Q92" i="1"/>
  <c r="R92" i="1" s="1"/>
  <c r="Q93" i="1"/>
  <c r="R93" i="1" s="1"/>
  <c r="Q94" i="1"/>
  <c r="Q95" i="1"/>
  <c r="Q96" i="1"/>
  <c r="Q97" i="1"/>
  <c r="R97" i="1" s="1"/>
  <c r="Q98" i="1"/>
  <c r="R98" i="1" s="1"/>
  <c r="Q99" i="1"/>
  <c r="Q100" i="1"/>
  <c r="Q101" i="1"/>
  <c r="Q102" i="1"/>
  <c r="Q103" i="1"/>
  <c r="Q104" i="1"/>
  <c r="R104" i="1" s="1"/>
  <c r="Q105" i="1"/>
  <c r="R105" i="1" s="1"/>
  <c r="Q106" i="1"/>
  <c r="Q107" i="1"/>
  <c r="Q108" i="1"/>
  <c r="Q109" i="1"/>
  <c r="Q110" i="1"/>
  <c r="Q111" i="1"/>
  <c r="Q112" i="1"/>
  <c r="Q113" i="1"/>
  <c r="Q114" i="1"/>
  <c r="Q115" i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Q124" i="1"/>
  <c r="Q125" i="1"/>
  <c r="Q126" i="1"/>
  <c r="R126" i="1" s="1"/>
  <c r="Q127" i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Q136" i="1"/>
  <c r="Q137" i="1"/>
  <c r="Q138" i="1"/>
  <c r="Q139" i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Q148" i="1"/>
  <c r="Q149" i="1"/>
  <c r="Q150" i="1"/>
  <c r="Q151" i="1"/>
  <c r="Q152" i="1"/>
  <c r="R152" i="1" s="1"/>
  <c r="Q153" i="1"/>
  <c r="R153" i="1" s="1"/>
  <c r="Q154" i="1"/>
  <c r="Q155" i="1"/>
  <c r="R155" i="1" s="1"/>
  <c r="Q156" i="1"/>
  <c r="R156" i="1" s="1"/>
  <c r="Q157" i="1"/>
  <c r="R157" i="1" s="1"/>
  <c r="Q158" i="1"/>
  <c r="R158" i="1" s="1"/>
  <c r="Q159" i="1"/>
  <c r="Q160" i="1"/>
  <c r="Q161" i="1"/>
  <c r="Q162" i="1"/>
  <c r="Q163" i="1"/>
  <c r="Q164" i="1"/>
  <c r="R164" i="1" s="1"/>
  <c r="Q165" i="1"/>
  <c r="R165" i="1" s="1"/>
  <c r="Q166" i="1"/>
  <c r="Q167" i="1"/>
  <c r="Q168" i="1"/>
  <c r="Q169" i="1"/>
  <c r="R169" i="1" s="1"/>
  <c r="Q170" i="1"/>
  <c r="R170" i="1" s="1"/>
  <c r="Q171" i="1"/>
  <c r="Q172" i="1"/>
  <c r="Q173" i="1"/>
  <c r="Q174" i="1"/>
  <c r="Q175" i="1"/>
  <c r="Q176" i="1"/>
  <c r="R176" i="1" s="1"/>
  <c r="Q177" i="1"/>
  <c r="R177" i="1" s="1"/>
  <c r="Q178" i="1"/>
  <c r="Q179" i="1"/>
  <c r="Q180" i="1"/>
  <c r="Q181" i="1"/>
  <c r="Q182" i="1"/>
  <c r="Q183" i="1"/>
  <c r="Q184" i="1"/>
  <c r="Q185" i="1"/>
  <c r="Q186" i="1"/>
  <c r="Q187" i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Q196" i="1"/>
  <c r="Q197" i="1"/>
  <c r="Q198" i="1"/>
  <c r="R198" i="1" s="1"/>
  <c r="Q199" i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Q208" i="1"/>
  <c r="Q209" i="1"/>
  <c r="Q210" i="1"/>
  <c r="Q211" i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Q220" i="1"/>
  <c r="Q221" i="1"/>
  <c r="Q222" i="1"/>
  <c r="Q223" i="1"/>
  <c r="Q224" i="1"/>
  <c r="R224" i="1" s="1"/>
  <c r="Q225" i="1"/>
  <c r="R225" i="1" s="1"/>
  <c r="Q226" i="1"/>
  <c r="Q227" i="1"/>
  <c r="R227" i="1" s="1"/>
  <c r="Q228" i="1"/>
  <c r="R228" i="1" s="1"/>
  <c r="Q229" i="1"/>
  <c r="R229" i="1" s="1"/>
  <c r="Q230" i="1"/>
  <c r="R230" i="1" s="1"/>
  <c r="Q231" i="1"/>
  <c r="Q232" i="1"/>
  <c r="Q233" i="1"/>
  <c r="Q234" i="1"/>
  <c r="Q235" i="1"/>
  <c r="Q236" i="1"/>
  <c r="R236" i="1" s="1"/>
  <c r="Q237" i="1"/>
  <c r="R237" i="1" s="1"/>
  <c r="Q238" i="1"/>
  <c r="Q239" i="1"/>
  <c r="Q240" i="1"/>
  <c r="Q241" i="1"/>
  <c r="R241" i="1" s="1"/>
  <c r="Q242" i="1"/>
  <c r="R242" i="1" s="1"/>
  <c r="Q243" i="1"/>
  <c r="Q244" i="1"/>
  <c r="Q245" i="1"/>
  <c r="Q246" i="1"/>
  <c r="Q247" i="1"/>
  <c r="Q248" i="1"/>
  <c r="R248" i="1" s="1"/>
  <c r="Q249" i="1"/>
  <c r="R249" i="1" s="1"/>
  <c r="Q250" i="1"/>
  <c r="Q251" i="1"/>
  <c r="Q252" i="1"/>
  <c r="Q253" i="1"/>
  <c r="Q254" i="1"/>
  <c r="Q255" i="1"/>
  <c r="Q256" i="1"/>
  <c r="Q257" i="1"/>
  <c r="Q258" i="1"/>
  <c r="Q259" i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Q268" i="1"/>
  <c r="Q269" i="1"/>
  <c r="Q270" i="1"/>
  <c r="R270" i="1" s="1"/>
  <c r="Q271" i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Q280" i="1"/>
  <c r="Q281" i="1"/>
  <c r="Q282" i="1"/>
  <c r="Q283" i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Q292" i="1"/>
  <c r="Q293" i="1"/>
  <c r="Q294" i="1"/>
  <c r="Q295" i="1"/>
  <c r="Q296" i="1"/>
  <c r="R296" i="1" s="1"/>
  <c r="Q297" i="1"/>
  <c r="R297" i="1" s="1"/>
  <c r="Q298" i="1"/>
  <c r="Q299" i="1"/>
  <c r="R299" i="1" s="1"/>
  <c r="Q300" i="1"/>
  <c r="R300" i="1" s="1"/>
  <c r="Q301" i="1"/>
  <c r="R301" i="1" s="1"/>
  <c r="Q302" i="1"/>
  <c r="R302" i="1" s="1"/>
  <c r="Q303" i="1"/>
  <c r="Q304" i="1"/>
  <c r="Q305" i="1"/>
  <c r="Q306" i="1"/>
  <c r="Q307" i="1"/>
  <c r="Q308" i="1"/>
  <c r="R308" i="1" s="1"/>
  <c r="Q309" i="1"/>
  <c r="R309" i="1" s="1"/>
  <c r="Q310" i="1"/>
  <c r="Q311" i="1"/>
  <c r="Q312" i="1"/>
  <c r="Q313" i="1"/>
  <c r="R313" i="1" s="1"/>
  <c r="Q314" i="1"/>
  <c r="R314" i="1" s="1"/>
  <c r="Q315" i="1"/>
  <c r="Q316" i="1"/>
  <c r="Q317" i="1"/>
  <c r="Q318" i="1"/>
  <c r="Q319" i="1"/>
  <c r="Q320" i="1"/>
  <c r="R320" i="1" s="1"/>
  <c r="Q321" i="1"/>
  <c r="R321" i="1" s="1"/>
  <c r="Q322" i="1"/>
  <c r="Q323" i="1"/>
  <c r="Q324" i="1"/>
  <c r="Q325" i="1"/>
  <c r="Q326" i="1"/>
  <c r="Q327" i="1"/>
  <c r="Q328" i="1"/>
  <c r="Q329" i="1"/>
  <c r="Q330" i="1"/>
  <c r="Q331" i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Q340" i="1"/>
  <c r="Q341" i="1"/>
  <c r="Q342" i="1"/>
  <c r="R342" i="1" s="1"/>
  <c r="Q343" i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Q352" i="1"/>
  <c r="Q353" i="1"/>
  <c r="Q354" i="1"/>
  <c r="Q355" i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Q364" i="1"/>
  <c r="Q365" i="1"/>
  <c r="Q366" i="1"/>
  <c r="Q367" i="1"/>
  <c r="Q368" i="1"/>
  <c r="R368" i="1" s="1"/>
  <c r="Q369" i="1"/>
  <c r="R369" i="1" s="1"/>
  <c r="Q370" i="1"/>
  <c r="Q371" i="1"/>
  <c r="R371" i="1" s="1"/>
  <c r="Q372" i="1"/>
  <c r="R372" i="1" s="1"/>
  <c r="Q373" i="1"/>
  <c r="R373" i="1" s="1"/>
  <c r="Q374" i="1"/>
  <c r="R374" i="1" s="1"/>
  <c r="Q375" i="1"/>
  <c r="Q376" i="1"/>
  <c r="Q377" i="1"/>
  <c r="Q378" i="1"/>
  <c r="Q379" i="1"/>
  <c r="Q380" i="1"/>
  <c r="R380" i="1" s="1"/>
  <c r="Q381" i="1"/>
  <c r="R381" i="1" s="1"/>
  <c r="Q382" i="1"/>
  <c r="Q383" i="1"/>
  <c r="Q384" i="1"/>
  <c r="Q385" i="1"/>
  <c r="R385" i="1" s="1"/>
  <c r="Q386" i="1"/>
  <c r="R386" i="1" s="1"/>
  <c r="Q387" i="1"/>
  <c r="Q388" i="1"/>
  <c r="Q389" i="1"/>
  <c r="Q390" i="1"/>
  <c r="Q391" i="1"/>
  <c r="Q392" i="1"/>
  <c r="R392" i="1" s="1"/>
  <c r="Q393" i="1"/>
  <c r="R393" i="1" s="1"/>
  <c r="Q394" i="1"/>
  <c r="Q395" i="1"/>
  <c r="Q396" i="1"/>
  <c r="Q397" i="1"/>
  <c r="Q398" i="1"/>
  <c r="Q399" i="1"/>
  <c r="Q400" i="1"/>
  <c r="Q401" i="1"/>
  <c r="Q402" i="1"/>
  <c r="Q403" i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Q412" i="1"/>
  <c r="Q413" i="1"/>
  <c r="Q414" i="1"/>
  <c r="R414" i="1" s="1"/>
  <c r="Q415" i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Q424" i="1"/>
  <c r="Q425" i="1"/>
  <c r="Q426" i="1"/>
  <c r="Q427" i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Q436" i="1"/>
  <c r="Q437" i="1"/>
  <c r="Q438" i="1"/>
  <c r="Q439" i="1"/>
  <c r="Q440" i="1"/>
  <c r="R440" i="1" s="1"/>
  <c r="Q441" i="1"/>
  <c r="R441" i="1" s="1"/>
  <c r="Q442" i="1"/>
  <c r="Q443" i="1"/>
  <c r="R443" i="1" s="1"/>
  <c r="Q444" i="1"/>
  <c r="R444" i="1" s="1"/>
  <c r="Q445" i="1"/>
  <c r="R445" i="1" s="1"/>
  <c r="Q446" i="1"/>
  <c r="R446" i="1" s="1"/>
  <c r="Q447" i="1"/>
  <c r="Q448" i="1"/>
  <c r="Q449" i="1"/>
  <c r="Q450" i="1"/>
  <c r="Q451" i="1"/>
  <c r="Q452" i="1"/>
  <c r="R452" i="1" s="1"/>
  <c r="Q453" i="1"/>
  <c r="R453" i="1" s="1"/>
  <c r="Q454" i="1"/>
  <c r="Q455" i="1"/>
  <c r="Q456" i="1"/>
  <c r="Q457" i="1"/>
  <c r="R457" i="1" s="1"/>
  <c r="Q458" i="1"/>
  <c r="R458" i="1" s="1"/>
  <c r="Q459" i="1"/>
  <c r="Q460" i="1"/>
  <c r="Q461" i="1"/>
  <c r="Q462" i="1"/>
  <c r="Q463" i="1"/>
  <c r="Q464" i="1"/>
  <c r="R464" i="1" s="1"/>
  <c r="Q465" i="1"/>
  <c r="R465" i="1" s="1"/>
  <c r="Q466" i="1"/>
  <c r="Q467" i="1"/>
  <c r="Q468" i="1"/>
  <c r="Q469" i="1"/>
  <c r="Q470" i="1"/>
  <c r="Q471" i="1"/>
  <c r="Q472" i="1"/>
  <c r="Q473" i="1"/>
  <c r="Q474" i="1"/>
  <c r="Q475" i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Q484" i="1"/>
  <c r="Q485" i="1"/>
  <c r="Q486" i="1"/>
  <c r="R486" i="1" s="1"/>
  <c r="Q487" i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Q496" i="1"/>
  <c r="Q497" i="1"/>
  <c r="Q498" i="1"/>
  <c r="Q499" i="1"/>
  <c r="Q500" i="1"/>
  <c r="R500" i="1" s="1"/>
  <c r="Q501" i="1"/>
  <c r="R501" i="1" s="1"/>
  <c r="R3" i="1"/>
  <c r="R4" i="1"/>
  <c r="R5" i="1"/>
  <c r="R6" i="1"/>
  <c r="R7" i="1"/>
  <c r="R15" i="1"/>
  <c r="R16" i="1"/>
  <c r="R17" i="1"/>
  <c r="R18" i="1"/>
  <c r="R19" i="1"/>
  <c r="R22" i="1"/>
  <c r="R23" i="1"/>
  <c r="R24" i="1"/>
  <c r="R27" i="1"/>
  <c r="R28" i="1"/>
  <c r="R29" i="1"/>
  <c r="R30" i="1"/>
  <c r="R31" i="1"/>
  <c r="R34" i="1"/>
  <c r="R35" i="1"/>
  <c r="R36" i="1"/>
  <c r="R37" i="1"/>
  <c r="R38" i="1"/>
  <c r="R39" i="1"/>
  <c r="R40" i="1"/>
  <c r="R41" i="1"/>
  <c r="R42" i="1"/>
  <c r="R43" i="1"/>
  <c r="R51" i="1"/>
  <c r="R52" i="1"/>
  <c r="R53" i="1"/>
  <c r="R55" i="1"/>
  <c r="R63" i="1"/>
  <c r="R64" i="1"/>
  <c r="R65" i="1"/>
  <c r="R66" i="1"/>
  <c r="R67" i="1"/>
  <c r="R75" i="1"/>
  <c r="R76" i="1"/>
  <c r="R77" i="1"/>
  <c r="R78" i="1"/>
  <c r="R79" i="1"/>
  <c r="R82" i="1"/>
  <c r="R87" i="1"/>
  <c r="R88" i="1"/>
  <c r="R89" i="1"/>
  <c r="R90" i="1"/>
  <c r="R91" i="1"/>
  <c r="R94" i="1"/>
  <c r="R95" i="1"/>
  <c r="R96" i="1"/>
  <c r="R99" i="1"/>
  <c r="R100" i="1"/>
  <c r="R101" i="1"/>
  <c r="R102" i="1"/>
  <c r="R103" i="1"/>
  <c r="R106" i="1"/>
  <c r="R107" i="1"/>
  <c r="R108" i="1"/>
  <c r="R109" i="1"/>
  <c r="R110" i="1"/>
  <c r="R111" i="1"/>
  <c r="R112" i="1"/>
  <c r="R113" i="1"/>
  <c r="R114" i="1"/>
  <c r="R115" i="1"/>
  <c r="R123" i="1"/>
  <c r="R124" i="1"/>
  <c r="R125" i="1"/>
  <c r="R127" i="1"/>
  <c r="R135" i="1"/>
  <c r="R136" i="1"/>
  <c r="R137" i="1"/>
  <c r="R138" i="1"/>
  <c r="R139" i="1"/>
  <c r="R147" i="1"/>
  <c r="R148" i="1"/>
  <c r="R149" i="1"/>
  <c r="R150" i="1"/>
  <c r="R151" i="1"/>
  <c r="R154" i="1"/>
  <c r="R159" i="1"/>
  <c r="R160" i="1"/>
  <c r="R161" i="1"/>
  <c r="R162" i="1"/>
  <c r="R163" i="1"/>
  <c r="R166" i="1"/>
  <c r="R167" i="1"/>
  <c r="R168" i="1"/>
  <c r="R171" i="1"/>
  <c r="R172" i="1"/>
  <c r="R173" i="1"/>
  <c r="R174" i="1"/>
  <c r="R175" i="1"/>
  <c r="R178" i="1"/>
  <c r="R179" i="1"/>
  <c r="R180" i="1"/>
  <c r="R181" i="1"/>
  <c r="R182" i="1"/>
  <c r="R183" i="1"/>
  <c r="R184" i="1"/>
  <c r="R185" i="1"/>
  <c r="R186" i="1"/>
  <c r="R187" i="1"/>
  <c r="R195" i="1"/>
  <c r="R196" i="1"/>
  <c r="R197" i="1"/>
  <c r="R199" i="1"/>
  <c r="R207" i="1"/>
  <c r="R208" i="1"/>
  <c r="R209" i="1"/>
  <c r="R210" i="1"/>
  <c r="R211" i="1"/>
  <c r="R219" i="1"/>
  <c r="R220" i="1"/>
  <c r="R221" i="1"/>
  <c r="R222" i="1"/>
  <c r="R223" i="1"/>
  <c r="R226" i="1"/>
  <c r="R231" i="1"/>
  <c r="R232" i="1"/>
  <c r="R233" i="1"/>
  <c r="R234" i="1"/>
  <c r="R235" i="1"/>
  <c r="R238" i="1"/>
  <c r="R239" i="1"/>
  <c r="R240" i="1"/>
  <c r="R243" i="1"/>
  <c r="R244" i="1"/>
  <c r="R245" i="1"/>
  <c r="R246" i="1"/>
  <c r="R247" i="1"/>
  <c r="R250" i="1"/>
  <c r="R251" i="1"/>
  <c r="R252" i="1"/>
  <c r="R253" i="1"/>
  <c r="R254" i="1"/>
  <c r="R255" i="1"/>
  <c r="R256" i="1"/>
  <c r="R257" i="1"/>
  <c r="R258" i="1"/>
  <c r="R259" i="1"/>
  <c r="R267" i="1"/>
  <c r="R268" i="1"/>
  <c r="R269" i="1"/>
  <c r="R271" i="1"/>
  <c r="R279" i="1"/>
  <c r="R280" i="1"/>
  <c r="R281" i="1"/>
  <c r="R282" i="1"/>
  <c r="R283" i="1"/>
  <c r="R291" i="1"/>
  <c r="R292" i="1"/>
  <c r="R293" i="1"/>
  <c r="R294" i="1"/>
  <c r="R295" i="1"/>
  <c r="R298" i="1"/>
  <c r="R303" i="1"/>
  <c r="R304" i="1"/>
  <c r="R305" i="1"/>
  <c r="R306" i="1"/>
  <c r="R307" i="1"/>
  <c r="R310" i="1"/>
  <c r="R311" i="1"/>
  <c r="R312" i="1"/>
  <c r="R315" i="1"/>
  <c r="R316" i="1"/>
  <c r="R317" i="1"/>
  <c r="R318" i="1"/>
  <c r="R319" i="1"/>
  <c r="R322" i="1"/>
  <c r="R323" i="1"/>
  <c r="R324" i="1"/>
  <c r="R325" i="1"/>
  <c r="R326" i="1"/>
  <c r="R327" i="1"/>
  <c r="R328" i="1"/>
  <c r="R329" i="1"/>
  <c r="R330" i="1"/>
  <c r="R331" i="1"/>
  <c r="R339" i="1"/>
  <c r="R340" i="1"/>
  <c r="R341" i="1"/>
  <c r="R343" i="1"/>
  <c r="R351" i="1"/>
  <c r="R352" i="1"/>
  <c r="R353" i="1"/>
  <c r="R354" i="1"/>
  <c r="R355" i="1"/>
  <c r="R363" i="1"/>
  <c r="R364" i="1"/>
  <c r="R365" i="1"/>
  <c r="R366" i="1"/>
  <c r="R367" i="1"/>
  <c r="R370" i="1"/>
  <c r="R375" i="1"/>
  <c r="R376" i="1"/>
  <c r="R377" i="1"/>
  <c r="R378" i="1"/>
  <c r="R379" i="1"/>
  <c r="R382" i="1"/>
  <c r="R383" i="1"/>
  <c r="R384" i="1"/>
  <c r="R387" i="1"/>
  <c r="R388" i="1"/>
  <c r="R389" i="1"/>
  <c r="R390" i="1"/>
  <c r="R391" i="1"/>
  <c r="R394" i="1"/>
  <c r="R395" i="1"/>
  <c r="R396" i="1"/>
  <c r="R397" i="1"/>
  <c r="R398" i="1"/>
  <c r="R399" i="1"/>
  <c r="R400" i="1"/>
  <c r="R401" i="1"/>
  <c r="R402" i="1"/>
  <c r="R403" i="1"/>
  <c r="R411" i="1"/>
  <c r="R412" i="1"/>
  <c r="R413" i="1"/>
  <c r="R415" i="1"/>
  <c r="R423" i="1"/>
  <c r="R424" i="1"/>
  <c r="R425" i="1"/>
  <c r="R426" i="1"/>
  <c r="R427" i="1"/>
  <c r="R435" i="1"/>
  <c r="R436" i="1"/>
  <c r="R437" i="1"/>
  <c r="R438" i="1"/>
  <c r="R439" i="1"/>
  <c r="R442" i="1"/>
  <c r="R447" i="1"/>
  <c r="R448" i="1"/>
  <c r="R449" i="1"/>
  <c r="R450" i="1"/>
  <c r="R451" i="1"/>
  <c r="R454" i="1"/>
  <c r="R455" i="1"/>
  <c r="R456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83" i="1"/>
  <c r="R484" i="1"/>
  <c r="R485" i="1"/>
  <c r="R487" i="1"/>
  <c r="R495" i="1"/>
  <c r="R496" i="1"/>
  <c r="R497" i="1"/>
  <c r="R498" i="1"/>
  <c r="R499" i="1"/>
  <c r="R2" i="1"/>
  <c r="Q2" i="1"/>
  <c r="P5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2" i="1"/>
  <c r="R158" i="6" l="1"/>
  <c r="R214" i="6"/>
  <c r="R242" i="6"/>
  <c r="R262" i="6"/>
  <c r="R4" i="6"/>
  <c r="R13" i="6"/>
  <c r="R27" i="6"/>
  <c r="R38" i="6"/>
  <c r="R54" i="6"/>
  <c r="R74" i="6"/>
  <c r="R83" i="6"/>
  <c r="R90" i="6"/>
  <c r="R130" i="6"/>
  <c r="R174" i="6"/>
  <c r="R183" i="6"/>
  <c r="R267" i="6"/>
  <c r="R294" i="6"/>
  <c r="R326" i="6"/>
  <c r="R354" i="6"/>
  <c r="R370" i="6"/>
  <c r="R386" i="6"/>
  <c r="R391" i="6"/>
  <c r="R417" i="6"/>
  <c r="R426" i="6"/>
  <c r="R440" i="6"/>
  <c r="R79" i="6"/>
  <c r="R106" i="6"/>
  <c r="R142" i="6"/>
  <c r="R265" i="6"/>
  <c r="R292" i="6"/>
  <c r="R306" i="6"/>
  <c r="R352" i="6"/>
  <c r="R361" i="6"/>
  <c r="R368" i="6"/>
  <c r="R408" i="6"/>
  <c r="R415" i="6"/>
  <c r="R484" i="6"/>
  <c r="R7" i="6"/>
  <c r="R25" i="6"/>
  <c r="R34" i="6"/>
  <c r="R48" i="6"/>
  <c r="R50" i="6"/>
  <c r="R57" i="6"/>
  <c r="R170" i="6"/>
  <c r="R443" i="6"/>
  <c r="R456" i="6"/>
  <c r="R498" i="6"/>
  <c r="R23" i="6"/>
  <c r="R190" i="6"/>
  <c r="R222" i="6"/>
  <c r="R227" i="6"/>
  <c r="R234" i="6"/>
  <c r="R263" i="6"/>
  <c r="R270" i="6"/>
  <c r="R279" i="6"/>
  <c r="R320" i="6"/>
  <c r="R327" i="6"/>
  <c r="R343" i="6"/>
  <c r="R387" i="6"/>
  <c r="R394" i="6"/>
  <c r="R422" i="6"/>
  <c r="R452" i="6"/>
  <c r="R21" i="6"/>
  <c r="R46" i="6"/>
  <c r="R75" i="6"/>
  <c r="R91" i="6"/>
  <c r="R188" i="6"/>
  <c r="R195" i="6"/>
  <c r="R220" i="6"/>
  <c r="R241" i="6"/>
  <c r="R252" i="6"/>
  <c r="R288" i="6"/>
  <c r="R295" i="6"/>
  <c r="R348" i="6"/>
  <c r="R371" i="6"/>
  <c r="R392" i="6"/>
  <c r="R399" i="6"/>
  <c r="R411" i="6"/>
  <c r="R429" i="6"/>
  <c r="R450" i="6"/>
  <c r="R475" i="6"/>
  <c r="R166" i="6"/>
  <c r="R202" i="6"/>
  <c r="R211" i="6"/>
  <c r="R339" i="6"/>
  <c r="R362" i="6"/>
  <c r="R418" i="6"/>
  <c r="R459" i="6"/>
  <c r="R501" i="6"/>
  <c r="R17" i="6"/>
  <c r="R26" i="6"/>
  <c r="R60" i="6"/>
  <c r="R69" i="6"/>
  <c r="R87" i="6"/>
  <c r="R94" i="6"/>
  <c r="R112" i="6"/>
  <c r="R127" i="6"/>
  <c r="R141" i="6"/>
  <c r="R162" i="6"/>
  <c r="R180" i="6"/>
  <c r="R223" i="6"/>
  <c r="R230" i="6"/>
  <c r="R237" i="6"/>
  <c r="R271" i="6"/>
  <c r="R291" i="6"/>
  <c r="R298" i="6"/>
  <c r="R323" i="6"/>
  <c r="R330" i="6"/>
  <c r="R360" i="6"/>
  <c r="R383" i="6"/>
  <c r="R397" i="6"/>
  <c r="R446" i="6"/>
  <c r="R457" i="6"/>
  <c r="R471" i="6"/>
  <c r="R6" i="6"/>
  <c r="R31" i="6"/>
  <c r="R40" i="6"/>
  <c r="R146" i="6"/>
  <c r="R207" i="6"/>
  <c r="R312" i="6"/>
  <c r="R314" i="6"/>
  <c r="R379" i="6"/>
  <c r="R393" i="6"/>
  <c r="R400" i="6"/>
  <c r="R476" i="6"/>
  <c r="R490" i="6"/>
  <c r="R62" i="6"/>
  <c r="R122" i="6"/>
  <c r="R278" i="6"/>
  <c r="R449" i="6"/>
  <c r="R472" i="6"/>
  <c r="R495" i="6"/>
  <c r="R14" i="6"/>
  <c r="R108" i="6"/>
  <c r="R110" i="6"/>
  <c r="R143" i="6"/>
  <c r="R168" i="6"/>
  <c r="R193" i="6"/>
  <c r="R266" i="6"/>
  <c r="R268" i="6"/>
  <c r="R285" i="6"/>
  <c r="R287" i="6"/>
  <c r="R308" i="6"/>
  <c r="R310" i="6"/>
  <c r="R350" i="6"/>
  <c r="R388" i="6"/>
  <c r="R428" i="6"/>
  <c r="R430" i="6"/>
  <c r="R489" i="6"/>
  <c r="R493" i="6"/>
  <c r="R322" i="6"/>
  <c r="R12" i="6"/>
  <c r="R100" i="6"/>
  <c r="R104" i="6"/>
  <c r="R125" i="6"/>
  <c r="R129" i="6"/>
  <c r="R160" i="6"/>
  <c r="R164" i="6"/>
  <c r="R185" i="6"/>
  <c r="R189" i="6"/>
  <c r="R191" i="6"/>
  <c r="R216" i="6"/>
  <c r="R218" i="6"/>
  <c r="R264" i="6"/>
  <c r="R281" i="6"/>
  <c r="R304" i="6"/>
  <c r="R344" i="6"/>
  <c r="R384" i="6"/>
  <c r="R405" i="6"/>
  <c r="R407" i="6"/>
  <c r="R424" i="6"/>
  <c r="R441" i="6"/>
  <c r="R464" i="6"/>
  <c r="R468" i="6"/>
  <c r="R491" i="6"/>
  <c r="R10" i="6"/>
  <c r="R36" i="6"/>
  <c r="R131" i="6"/>
  <c r="R148" i="6"/>
  <c r="R152" i="6"/>
  <c r="R156" i="6"/>
  <c r="R173" i="6"/>
  <c r="R177" i="6"/>
  <c r="R206" i="6"/>
  <c r="R254" i="6"/>
  <c r="R256" i="6"/>
  <c r="R296" i="6"/>
  <c r="R300" i="6"/>
  <c r="R336" i="6"/>
  <c r="R338" i="6"/>
  <c r="R357" i="6"/>
  <c r="R359" i="6"/>
  <c r="R376" i="6"/>
  <c r="R420" i="6"/>
  <c r="R458" i="6"/>
  <c r="R477" i="6"/>
  <c r="R479" i="6"/>
  <c r="R49" i="6"/>
  <c r="R59" i="6"/>
  <c r="R84" i="6"/>
  <c r="R86" i="6"/>
  <c r="R113" i="6"/>
  <c r="R204" i="6"/>
  <c r="R473" i="6"/>
  <c r="R28" i="6"/>
  <c r="R32" i="6"/>
  <c r="R41" i="6"/>
  <c r="R45" i="6"/>
  <c r="R76" i="6"/>
  <c r="R80" i="6"/>
  <c r="R119" i="6"/>
  <c r="R144" i="6"/>
  <c r="R169" i="6"/>
  <c r="R196" i="6"/>
  <c r="R200" i="6"/>
  <c r="R225" i="6"/>
  <c r="R229" i="6"/>
  <c r="R248" i="6"/>
  <c r="R250" i="6"/>
  <c r="R269" i="6"/>
  <c r="R290" i="6"/>
  <c r="R309" i="6"/>
  <c r="R311" i="6"/>
  <c r="R328" i="6"/>
  <c r="R372" i="6"/>
  <c r="R389" i="6"/>
  <c r="R395" i="6"/>
  <c r="R412" i="6"/>
  <c r="R454" i="6"/>
  <c r="R496" i="6"/>
  <c r="R101" i="6"/>
  <c r="R105" i="6"/>
  <c r="R107" i="6"/>
  <c r="R425" i="6"/>
  <c r="R448" i="6"/>
  <c r="R465" i="6"/>
  <c r="R494" i="6"/>
  <c r="R64" i="6"/>
  <c r="R68" i="6"/>
  <c r="R72" i="6"/>
  <c r="R134" i="6"/>
  <c r="R192" i="6"/>
  <c r="R213" i="6"/>
  <c r="R215" i="6"/>
  <c r="R240" i="6"/>
  <c r="R261" i="6"/>
  <c r="R284" i="6"/>
  <c r="R286" i="6"/>
  <c r="R324" i="6"/>
  <c r="R341" i="6"/>
  <c r="R347" i="6"/>
  <c r="R364" i="6"/>
  <c r="R381" i="6"/>
  <c r="R444" i="6"/>
  <c r="R461" i="6"/>
  <c r="R467" i="6"/>
  <c r="R488" i="6"/>
  <c r="R492" i="6"/>
  <c r="R480" i="6"/>
  <c r="R182" i="6"/>
  <c r="R238" i="6"/>
  <c r="R16" i="6"/>
  <c r="R20" i="6"/>
  <c r="R22" i="6"/>
  <c r="R29" i="6"/>
  <c r="R33" i="6"/>
  <c r="R77" i="6"/>
  <c r="R81" i="6"/>
  <c r="R120" i="6"/>
  <c r="R145" i="6"/>
  <c r="R155" i="6"/>
  <c r="R172" i="6"/>
  <c r="R176" i="6"/>
  <c r="R201" i="6"/>
  <c r="R203" i="6"/>
  <c r="R232" i="6"/>
  <c r="R249" i="6"/>
  <c r="R251" i="6"/>
  <c r="R316" i="6"/>
  <c r="R329" i="6"/>
  <c r="R335" i="6"/>
  <c r="R356" i="6"/>
  <c r="R358" i="6"/>
  <c r="R396" i="6"/>
  <c r="R398" i="6"/>
  <c r="R419" i="6"/>
  <c r="R432" i="6"/>
  <c r="R434" i="6"/>
  <c r="R478" i="6"/>
  <c r="R497" i="6"/>
  <c r="R149" i="6"/>
  <c r="R157" i="6"/>
  <c r="R325" i="6"/>
  <c r="R373" i="6"/>
  <c r="R421" i="6"/>
  <c r="R481" i="6"/>
  <c r="R485" i="6"/>
  <c r="R37" i="6"/>
  <c r="R133" i="6"/>
  <c r="R317" i="6"/>
  <c r="R365" i="6"/>
  <c r="R413" i="6"/>
  <c r="R469" i="6"/>
  <c r="R121" i="6"/>
  <c r="R109" i="6"/>
  <c r="R233" i="6"/>
  <c r="R305" i="6"/>
  <c r="R97" i="6"/>
  <c r="R221" i="6"/>
  <c r="R301" i="6"/>
  <c r="R401" i="6"/>
  <c r="R85" i="6"/>
  <c r="R209" i="6"/>
  <c r="R217" i="6"/>
  <c r="R293" i="6"/>
  <c r="R445" i="6"/>
  <c r="R65" i="6"/>
  <c r="R73" i="6"/>
  <c r="R197" i="6"/>
  <c r="R205" i="6"/>
  <c r="R437" i="6"/>
  <c r="R5" i="6"/>
  <c r="R53" i="6"/>
  <c r="R61" i="6"/>
  <c r="R181" i="6"/>
  <c r="R277" i="6"/>
  <c r="R337" i="6"/>
  <c r="R385" i="6"/>
  <c r="R433" i="6"/>
  <c r="R81" i="4"/>
  <c r="R173" i="4"/>
  <c r="R177" i="4"/>
  <c r="R260" i="4"/>
  <c r="R317" i="4"/>
  <c r="R321" i="4"/>
  <c r="R107" i="4"/>
  <c r="R125" i="4"/>
  <c r="R214" i="4"/>
  <c r="R389" i="4"/>
  <c r="R393" i="4"/>
  <c r="R478" i="4"/>
  <c r="R21" i="4"/>
  <c r="R45" i="4"/>
  <c r="R69" i="4"/>
  <c r="R93" i="4"/>
  <c r="R117" i="4"/>
  <c r="R141" i="4"/>
  <c r="R165" i="4"/>
  <c r="R189" i="4"/>
  <c r="R213" i="4"/>
  <c r="R237" i="4"/>
  <c r="R261" i="4"/>
  <c r="R285" i="4"/>
  <c r="R309" i="4"/>
  <c r="R405" i="4"/>
  <c r="R429" i="4"/>
  <c r="R453" i="4"/>
  <c r="R23" i="4"/>
  <c r="R47" i="4"/>
  <c r="R71" i="4"/>
  <c r="R95" i="4"/>
  <c r="R119" i="4"/>
  <c r="R143" i="4"/>
  <c r="R167" i="4"/>
  <c r="R191" i="4"/>
  <c r="R215" i="4"/>
  <c r="R263" i="4"/>
  <c r="R28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<sst xmlns="http://schemas.openxmlformats.org/spreadsheetml/2006/main" count="12628" uniqueCount="182">
  <si>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</si>
  <si>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</si>
  <si>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</si>
  <si>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</si>
  <si>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</si>
  <si>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</si>
  <si>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</si>
  <si>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</si>
  <si>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</si>
  <si>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</si>
  <si>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</si>
  <si>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</si>
  <si>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</si>
  <si>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</si>
  <si>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</si>
  <si>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</si>
  <si>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</si>
  <si>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</si>
  <si>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</si>
  <si>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</si>
  <si>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</si>
  <si>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</si>
  <si>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</si>
  <si>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</si>
  <si>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</si>
  <si>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</si>
  <si>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</si>
  <si>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</si>
  <si>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</si>
  <si>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</si>
  <si>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</si>
  <si>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</si>
  <si>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</si>
  <si>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</si>
  <si>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</si>
  <si>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</si>
  <si>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</si>
  <si>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</si>
  <si>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</si>
  <si>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</si>
  <si>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</si>
  <si>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</si>
  <si>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</si>
  <si>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</si>
  <si>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</si>
  <si>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</si>
  <si>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</si>
  <si>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</si>
  <si>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</si>
  <si>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</si>
  <si>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</si>
  <si>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</si>
  <si>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</si>
  <si>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</si>
  <si>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</si>
  <si>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</si>
  <si>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</si>
  <si>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</si>
  <si>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</si>
  <si>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</si>
  <si>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</si>
  <si>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</si>
  <si>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</si>
  <si>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</si>
  <si>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</si>
  <si>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</si>
  <si>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</si>
  <si>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</si>
  <si>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</si>
  <si>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</si>
  <si>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</si>
  <si>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Price After  Discount</t>
  </si>
  <si>
    <t>Discount Amount</t>
  </si>
  <si>
    <t>Sell Status</t>
  </si>
  <si>
    <t>Sell status 1</t>
  </si>
  <si>
    <t>Sell Status 2</t>
  </si>
  <si>
    <t>Total units sold</t>
  </si>
  <si>
    <t>Unit Sold For Brand A</t>
  </si>
  <si>
    <t>Grand Total For All</t>
  </si>
  <si>
    <t>Grand Total For A</t>
  </si>
  <si>
    <t>Grand Total For B</t>
  </si>
  <si>
    <t>Grand Total For C</t>
  </si>
  <si>
    <t>Grand Total For D</t>
  </si>
  <si>
    <t>Grand Total For E</t>
  </si>
  <si>
    <t>Total unit sold avg</t>
  </si>
  <si>
    <t>total</t>
  </si>
  <si>
    <t>Count Brand</t>
  </si>
  <si>
    <t xml:space="preserve">Unit sold </t>
  </si>
  <si>
    <t>Count</t>
  </si>
  <si>
    <t>Brand C</t>
  </si>
  <si>
    <t>&gt;5</t>
  </si>
  <si>
    <t>Name</t>
  </si>
  <si>
    <t>Grade</t>
  </si>
  <si>
    <t>Sub1</t>
  </si>
  <si>
    <t>Amit</t>
  </si>
  <si>
    <t>Aritra</t>
  </si>
  <si>
    <t>Sneha</t>
  </si>
  <si>
    <t>Rekha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</si>
  <si>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</si>
  <si>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</si>
  <si>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</si>
  <si>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</si>
  <si>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</si>
  <si>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</si>
  <si>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</si>
  <si>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</si>
  <si>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</si>
  <si>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</si>
  <si>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</si>
  <si>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</si>
  <si>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</si>
  <si>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</si>
  <si>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</si>
  <si>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Dog</t>
  </si>
  <si>
    <t>Cat</t>
  </si>
  <si>
    <t>Tiger</t>
  </si>
  <si>
    <t>Elephant</t>
  </si>
  <si>
    <t>Code</t>
  </si>
  <si>
    <t>123-456-231</t>
  </si>
  <si>
    <t>456-987-556</t>
  </si>
  <si>
    <t>123-456-988</t>
  </si>
  <si>
    <t>1st 3 Digits</t>
  </si>
  <si>
    <t>Last 3 Digits</t>
  </si>
  <si>
    <t xml:space="preserve">First  Name </t>
  </si>
  <si>
    <t xml:space="preserve">Last Name </t>
  </si>
  <si>
    <t xml:space="preserve">Amit </t>
  </si>
  <si>
    <t>Neha</t>
  </si>
  <si>
    <t>Uttaran</t>
  </si>
  <si>
    <t>Anik</t>
  </si>
  <si>
    <t>roy</t>
  </si>
  <si>
    <t>das</t>
  </si>
  <si>
    <t>dey</t>
  </si>
  <si>
    <t>Biswas</t>
  </si>
  <si>
    <t>Dah</t>
  </si>
  <si>
    <t>Amit Dah</t>
  </si>
  <si>
    <t>Neha Biswas</t>
  </si>
  <si>
    <t>Uttaran dey</t>
  </si>
  <si>
    <t>Anik das</t>
  </si>
  <si>
    <t>Sneha roy</t>
  </si>
  <si>
    <t>Full Name</t>
  </si>
  <si>
    <t>If Discount Percentage is Greater Than 10 % Display Heaby Discount or Normal Discount</t>
  </si>
  <si>
    <t>Classify Cells Into 3 Catagories iF</t>
  </si>
  <si>
    <t xml:space="preserve"> Net sales greater than 7000,show "Exellent sales",if net sales greater than 4000 ,show good otherwise </t>
  </si>
  <si>
    <t>show avarage</t>
  </si>
  <si>
    <t>3.Find Total Net Sale For Electronics Category .</t>
  </si>
  <si>
    <t>4.Find Total Net Sale where category :Electronics and channel :website.</t>
  </si>
  <si>
    <t>5 Count the no of Beauty Product .</t>
  </si>
  <si>
    <t>Count Orders Where Discount % Is Greater than 15%</t>
  </si>
  <si>
    <t>Discount Type</t>
  </si>
  <si>
    <t>Sales Categories</t>
  </si>
  <si>
    <t>Total Net sale electronics</t>
  </si>
  <si>
    <t>Total net sale category is electronics and channel is website</t>
  </si>
  <si>
    <t xml:space="preserve">Count Beauty Product </t>
  </si>
  <si>
    <t>Count the order where discount %15</t>
  </si>
  <si>
    <t xml:space="preserve">Name </t>
  </si>
  <si>
    <t>Sub</t>
  </si>
  <si>
    <t>Sovan</t>
  </si>
  <si>
    <t>Riya</t>
  </si>
  <si>
    <t>bubun</t>
  </si>
  <si>
    <t>High</t>
  </si>
  <si>
    <t>mediam</t>
  </si>
  <si>
    <t>Low</t>
  </si>
  <si>
    <t>low</t>
  </si>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</sst>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2" fillId="0" borderId="4" applyNumberFormat="0" applyFill="0" applyAlignment="0" applyProtection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  <xf numFmtId="0" fontId="1" fillId="0" borderId="0" xfId="0" applyFont="1"/>
    <xf numFmtId="0" fontId="1" fillId="0" borderId="0" xfId="0" applyFont="1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3" xfId="0" applyBorder="1"/>
    <xf numFmtId="0" fontId="1" fillId="0" borderId="1" xfId="0" applyFont="1" applyFill="1" applyBorder="1"/>
    <xf numFmtId="0" fontId="0" fillId="2" borderId="1" xfId="0" applyFill="1" applyBorder="1"/>
    <xf numFmtId="0" fontId="0" fillId="2" borderId="0" xfId="0" applyFill="1"/>
    <xf numFmtId="0" fontId="4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2" fillId="5" borderId="4" xfId="1" applyFill="1"/>
    <xf numFmtId="0" fontId="5" fillId="0" borderId="1" xfId="0" applyFont="1" applyBorder="1"/>
    <xf numFmtId="0" fontId="5" fillId="2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3" borderId="1" xfId="0" applyFont="1" applyFill="1" applyBorder="1"/>
  </cellXfs>
  <cellStyles count="2">
    <cellStyle name="Heading 2" xfId="1" builtinId="17"/>
    <cellStyle name="Normal" xfId="0" builtinId="0"/>
  </cellStyles>
  <dxfs count="16">
    <dxf>
      <fill>
        <patternFill>
          <bgColor theme="5"/>
        </patternFill>
      </fill>
    </dxf>
    <dxf>
      <fill>
        <patternFill>
          <bgColor theme="7" tint="0.39994506668294322"/>
        </patternFill>
      </fill>
      <border>
        <vertical/>
        <horizontal/>
      </border>
    </dxf>
    <dxf>
      <font>
        <b val="0"/>
        <i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D503"/>
  <sheetViews>
    <sheetView topLeftCell="L1" zoomScale="89" workbookViewId="0">
      <selection sqref="A1:U501"/>
    </sheetView>
  </sheetViews>
  <sheetFormatPr defaultRowHeight="14.4" x14ac:dyDescent="0.3"/>
  <cols>
    <col min="1" max="1" width="7.88671875" style="6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6" max="16" width="10.21875" customWidth="1"/>
    <col min="17" max="17" width="16.6640625" customWidth="1"/>
    <col min="18" max="18" width="18.21875" customWidth="1"/>
    <col min="19" max="19" width="9.5546875" customWidth="1"/>
    <col min="20" max="20" width="11" customWidth="1"/>
    <col min="21" max="21" width="11.33203125" customWidth="1"/>
    <col min="25" max="25" width="19.33203125" customWidth="1"/>
    <col min="27" max="27" width="23.5546875" customWidth="1"/>
    <col min="28" max="28" width="8.88671875" customWidth="1"/>
    <col min="30" max="30" width="11.88671875" customWidth="1"/>
  </cols>
  <sheetData>
    <row r="1" spans="1:30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70</v>
      </c>
      <c r="Q1" s="8" t="s">
        <v>72</v>
      </c>
      <c r="R1" s="8" t="s">
        <v>71</v>
      </c>
      <c r="S1" s="12" t="s">
        <v>73</v>
      </c>
      <c r="T1" s="12" t="s">
        <v>74</v>
      </c>
      <c r="U1" s="12" t="s">
        <v>75</v>
      </c>
    </row>
    <row r="2" spans="1:30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0">
        <f>O2*N2%</f>
        <v>0</v>
      </c>
      <c r="R2" s="11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  <c r="Y2" s="3" t="s">
        <v>76</v>
      </c>
      <c r="Z2" s="1">
        <f>SUM(L2:L501)</f>
        <v>2553</v>
      </c>
      <c r="AB2" s="1" t="s">
        <v>21</v>
      </c>
      <c r="AD2" s="1" t="s">
        <v>15</v>
      </c>
    </row>
    <row r="3" spans="1:30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0">
        <f t="shared" ref="Q3:Q66" si="1">O3*N3%</f>
        <v>1079.5360000000001</v>
      </c>
      <c r="R3" s="11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66" si="4">IF(L3&gt;5,"High",IF(L3="Mediam","Low"))</f>
        <v>High</v>
      </c>
      <c r="Y3" s="3" t="s">
        <v>77</v>
      </c>
      <c r="Z3">
        <f>SUMIF(K2:K501,"BrandA",L2:L501)</f>
        <v>511</v>
      </c>
      <c r="AB3" s="1" t="s">
        <v>28</v>
      </c>
      <c r="AD3" s="1" t="s">
        <v>22</v>
      </c>
    </row>
    <row r="4" spans="1:30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0">
        <f t="shared" si="1"/>
        <v>2657.8695000000002</v>
      </c>
      <c r="R4" s="11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AB4" s="1" t="s">
        <v>33</v>
      </c>
      <c r="AD4" s="1" t="s">
        <v>34</v>
      </c>
    </row>
    <row r="5" spans="1:30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0">
        <f t="shared" si="1"/>
        <v>128.62049999999999</v>
      </c>
      <c r="R5" s="11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Y5" s="3" t="s">
        <v>77</v>
      </c>
      <c r="Z5" t="s">
        <v>47</v>
      </c>
      <c r="AA5">
        <f>SUMIF(K4:K501,Z5,L4:L501)</f>
        <v>551</v>
      </c>
      <c r="AB5" s="1" t="s">
        <v>45</v>
      </c>
      <c r="AD5" s="1" t="s">
        <v>37</v>
      </c>
    </row>
    <row r="6" spans="1:30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0">
        <f t="shared" si="1"/>
        <v>3932.846</v>
      </c>
      <c r="R6" s="11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AB6" s="1" t="s">
        <v>47</v>
      </c>
      <c r="AD6" s="1" t="s">
        <v>40</v>
      </c>
    </row>
    <row r="7" spans="1:30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0">
        <f t="shared" si="1"/>
        <v>861.17800000000011</v>
      </c>
      <c r="R7" s="11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Y7" s="8" t="s">
        <v>78</v>
      </c>
      <c r="Z7">
        <f>SUMPRODUCT(L2:L501,M2:M501)</f>
        <v>5134263.8099999949</v>
      </c>
      <c r="AD7" s="1" t="s">
        <v>46</v>
      </c>
    </row>
    <row r="8" spans="1:30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0">
        <f t="shared" si="1"/>
        <v>1363.6890000000001</v>
      </c>
      <c r="R8" s="11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AD8" s="1" t="s">
        <v>16</v>
      </c>
    </row>
    <row r="9" spans="1:30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0">
        <f t="shared" si="1"/>
        <v>831.899</v>
      </c>
      <c r="R9" s="11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si="4"/>
        <v>0</v>
      </c>
      <c r="Y9" s="8" t="s">
        <v>79</v>
      </c>
      <c r="Z9" t="s">
        <v>21</v>
      </c>
      <c r="AA9" cm="1">
        <f t="array" ref="AA9">SUMPRODUCT(L2:L501,M2:M501,-- (K2:K501=Z9))</f>
        <v>1060998.0599999998</v>
      </c>
    </row>
    <row r="10" spans="1:30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0">
        <f t="shared" si="1"/>
        <v>700.00049999999999</v>
      </c>
      <c r="R10" s="11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4"/>
        <v>0</v>
      </c>
    </row>
    <row r="11" spans="1:30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0">
        <f t="shared" si="1"/>
        <v>1424.5280000000002</v>
      </c>
      <c r="R11" s="11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4"/>
        <v>0</v>
      </c>
      <c r="Y11" s="8" t="s">
        <v>80</v>
      </c>
      <c r="Z11" t="s">
        <v>47</v>
      </c>
      <c r="AA11" cm="1">
        <f t="array" ref="AA11">SUMPRODUCT(L2:L501,M2:M501,--(K2:K501=Z11))</f>
        <v>1149173.2900000003</v>
      </c>
    </row>
    <row r="12" spans="1:30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0">
        <f t="shared" si="1"/>
        <v>0</v>
      </c>
      <c r="R12" s="11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4"/>
        <v>High</v>
      </c>
    </row>
    <row r="13" spans="1:30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0">
        <f t="shared" si="1"/>
        <v>77.619500000000016</v>
      </c>
      <c r="R13" s="11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4"/>
        <v>High</v>
      </c>
      <c r="Y13" s="8" t="s">
        <v>81</v>
      </c>
      <c r="Z13" t="s">
        <v>45</v>
      </c>
    </row>
    <row r="14" spans="1:30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0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4"/>
        <v>High</v>
      </c>
    </row>
    <row r="15" spans="1:30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0">
        <f t="shared" si="1"/>
        <v>1095.7559999999999</v>
      </c>
      <c r="R15" s="11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4"/>
        <v>High</v>
      </c>
      <c r="Y15" s="8" t="s">
        <v>82</v>
      </c>
      <c r="Z15" t="s">
        <v>28</v>
      </c>
    </row>
    <row r="16" spans="1:30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0">
        <f t="shared" si="1"/>
        <v>571.52800000000002</v>
      </c>
      <c r="R16" s="11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4"/>
        <v>High</v>
      </c>
    </row>
    <row r="17" spans="1:28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0">
        <f t="shared" si="1"/>
        <v>226.27100000000002</v>
      </c>
      <c r="R17" s="11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4"/>
        <v>High</v>
      </c>
      <c r="Y17" s="8" t="s">
        <v>83</v>
      </c>
      <c r="Z17" t="s">
        <v>33</v>
      </c>
    </row>
    <row r="18" spans="1:28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0">
        <f t="shared" si="1"/>
        <v>65.002499999999998</v>
      </c>
      <c r="R18" s="11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4"/>
        <v>0</v>
      </c>
    </row>
    <row r="19" spans="1:28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0">
        <f t="shared" si="1"/>
        <v>276.14100000000002</v>
      </c>
      <c r="R19" s="11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4"/>
        <v>0</v>
      </c>
    </row>
    <row r="20" spans="1:28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0">
        <f t="shared" si="1"/>
        <v>252.5265</v>
      </c>
      <c r="R20" s="11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4"/>
        <v>0</v>
      </c>
      <c r="Y20" s="3" t="s">
        <v>4</v>
      </c>
      <c r="Z20" s="3" t="s">
        <v>10</v>
      </c>
      <c r="AA20" s="3" t="s">
        <v>84</v>
      </c>
      <c r="AB20" s="3" t="s">
        <v>85</v>
      </c>
    </row>
    <row r="21" spans="1:28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0">
        <f t="shared" si="1"/>
        <v>376.1345</v>
      </c>
      <c r="R21" s="11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4"/>
        <v>0</v>
      </c>
      <c r="Y21" s="3" t="s">
        <v>37</v>
      </c>
      <c r="Z21" s="3" t="s">
        <v>21</v>
      </c>
      <c r="AA21" s="3">
        <f>AVERAGEIFS(L2:L501,E2:E501,Y21,K2:K501,Z21)</f>
        <v>6.333333333333333</v>
      </c>
      <c r="AB21" s="3">
        <f>SUMIFS(L2:L501,E2:E501,Y21,K2:K501,Z21)</f>
        <v>114</v>
      </c>
    </row>
    <row r="22" spans="1:28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0">
        <f t="shared" si="1"/>
        <v>336.52500000000003</v>
      </c>
      <c r="R22" s="11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4"/>
        <v>0</v>
      </c>
    </row>
    <row r="23" spans="1:28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0">
        <f t="shared" si="1"/>
        <v>762.56400000000008</v>
      </c>
      <c r="R23" s="11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4"/>
        <v>High</v>
      </c>
    </row>
    <row r="24" spans="1:28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0">
        <f t="shared" si="1"/>
        <v>896.55600000000004</v>
      </c>
      <c r="R24" s="11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4"/>
        <v>0</v>
      </c>
      <c r="Y24" t="s">
        <v>86</v>
      </c>
      <c r="Z24" s="3" t="s">
        <v>21</v>
      </c>
      <c r="AA24">
        <f>COUNTIF(K2:K501,Z24)</f>
        <v>101</v>
      </c>
    </row>
    <row r="25" spans="1:28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0">
        <f t="shared" si="1"/>
        <v>0</v>
      </c>
      <c r="R25" s="11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4"/>
        <v>0</v>
      </c>
    </row>
    <row r="26" spans="1:28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0">
        <f t="shared" si="1"/>
        <v>860.39800000000002</v>
      </c>
      <c r="R26" s="11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4"/>
        <v>High</v>
      </c>
    </row>
    <row r="27" spans="1:28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0">
        <f t="shared" si="1"/>
        <v>189.934</v>
      </c>
      <c r="R27" s="11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4"/>
        <v>High</v>
      </c>
      <c r="Y27" t="s">
        <v>10</v>
      </c>
      <c r="Z27" t="s">
        <v>87</v>
      </c>
      <c r="AA27" t="s">
        <v>88</v>
      </c>
    </row>
    <row r="28" spans="1:28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0">
        <f t="shared" si="1"/>
        <v>512.87900000000002</v>
      </c>
      <c r="R28" s="11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4"/>
        <v>0</v>
      </c>
      <c r="Y28" t="s">
        <v>89</v>
      </c>
      <c r="Z28" t="s">
        <v>90</v>
      </c>
      <c r="AA28">
        <f>COUNTIFS(K2:K501,Y29,L2:L501,Z28)</f>
        <v>0</v>
      </c>
    </row>
    <row r="29" spans="1:28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0">
        <f t="shared" si="1"/>
        <v>3078.364</v>
      </c>
      <c r="R29" s="11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4"/>
        <v>High</v>
      </c>
    </row>
    <row r="30" spans="1:28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0">
        <f t="shared" si="1"/>
        <v>290.4975</v>
      </c>
      <c r="R30" s="11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4"/>
        <v>0</v>
      </c>
      <c r="Y30" t="s">
        <v>10</v>
      </c>
    </row>
    <row r="31" spans="1:28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0">
        <f t="shared" si="1"/>
        <v>31.444000000000003</v>
      </c>
      <c r="R31" s="11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4"/>
        <v>0</v>
      </c>
    </row>
    <row r="32" spans="1:28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0">
        <f t="shared" si="1"/>
        <v>1836.5200000000002</v>
      </c>
      <c r="R32" s="11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4"/>
        <v>0</v>
      </c>
    </row>
    <row r="33" spans="1:21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0">
        <f t="shared" si="1"/>
        <v>142.6405</v>
      </c>
      <c r="R33" s="11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4"/>
        <v>0</v>
      </c>
    </row>
    <row r="34" spans="1:21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0">
        <f t="shared" si="1"/>
        <v>3766.7620000000006</v>
      </c>
      <c r="R34" s="11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4"/>
        <v>High</v>
      </c>
    </row>
    <row r="35" spans="1:21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0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4"/>
        <v>High</v>
      </c>
    </row>
    <row r="36" spans="1:21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0">
        <f t="shared" si="1"/>
        <v>1218.4930000000002</v>
      </c>
      <c r="R36" s="11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4"/>
        <v>High</v>
      </c>
    </row>
    <row r="37" spans="1:21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0">
        <f t="shared" si="1"/>
        <v>0</v>
      </c>
      <c r="R37" s="11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4"/>
        <v>0</v>
      </c>
    </row>
    <row r="38" spans="1:21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0">
        <f t="shared" si="1"/>
        <v>162.125</v>
      </c>
      <c r="R38" s="11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4"/>
        <v>0</v>
      </c>
    </row>
    <row r="39" spans="1:21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0">
        <f t="shared" si="1"/>
        <v>769.95600000000013</v>
      </c>
      <c r="R39" s="11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4"/>
        <v>High</v>
      </c>
    </row>
    <row r="40" spans="1:21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0">
        <f t="shared" si="1"/>
        <v>2114.7075</v>
      </c>
      <c r="R40" s="11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4"/>
        <v>High</v>
      </c>
    </row>
    <row r="41" spans="1:21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0">
        <f t="shared" si="1"/>
        <v>1664.9549999999999</v>
      </c>
      <c r="R41" s="11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4"/>
        <v>High</v>
      </c>
    </row>
    <row r="42" spans="1:21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0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4"/>
        <v>High</v>
      </c>
    </row>
    <row r="43" spans="1:21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0">
        <f t="shared" si="1"/>
        <v>775.46800000000007</v>
      </c>
      <c r="R43" s="11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4"/>
        <v>0</v>
      </c>
    </row>
    <row r="44" spans="1:21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0">
        <f t="shared" si="1"/>
        <v>596.92349999999999</v>
      </c>
      <c r="R44" s="11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4"/>
        <v>0</v>
      </c>
    </row>
    <row r="45" spans="1:21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0">
        <f t="shared" si="1"/>
        <v>137.286</v>
      </c>
      <c r="R45" s="11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4"/>
        <v>0</v>
      </c>
    </row>
    <row r="46" spans="1:21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0">
        <f t="shared" si="1"/>
        <v>0</v>
      </c>
      <c r="R46" s="11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4"/>
        <v>0</v>
      </c>
    </row>
    <row r="47" spans="1:21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0">
        <f t="shared" si="1"/>
        <v>320.24900000000002</v>
      </c>
      <c r="R47" s="11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4"/>
        <v>High</v>
      </c>
    </row>
    <row r="48" spans="1:21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0">
        <f t="shared" si="1"/>
        <v>283.18800000000005</v>
      </c>
      <c r="R48" s="11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4"/>
        <v>0</v>
      </c>
    </row>
    <row r="49" spans="1:21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0">
        <f t="shared" si="1"/>
        <v>585.7890000000001</v>
      </c>
      <c r="R49" s="11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4"/>
        <v>0</v>
      </c>
    </row>
    <row r="50" spans="1:21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0">
        <f t="shared" si="1"/>
        <v>2874.7709999999997</v>
      </c>
      <c r="R50" s="11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4"/>
        <v>High</v>
      </c>
    </row>
    <row r="51" spans="1:21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0">
        <f t="shared" si="1"/>
        <v>1296.422</v>
      </c>
      <c r="R51" s="11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4"/>
        <v>High</v>
      </c>
    </row>
    <row r="52" spans="1:21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0">
        <f t="shared" si="1"/>
        <v>708.6585</v>
      </c>
      <c r="R52" s="11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4"/>
        <v>0</v>
      </c>
    </row>
    <row r="53" spans="1:21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0">
        <f t="shared" si="1"/>
        <v>380.26400000000001</v>
      </c>
      <c r="R53" s="11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4"/>
        <v>0</v>
      </c>
    </row>
    <row r="54" spans="1:21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0">
        <f t="shared" si="1"/>
        <v>1140.3309999999999</v>
      </c>
      <c r="R54" s="11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4"/>
        <v>0</v>
      </c>
    </row>
    <row r="55" spans="1:21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0">
        <f t="shared" si="1"/>
        <v>1028.606</v>
      </c>
      <c r="R55" s="11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4"/>
        <v>High</v>
      </c>
    </row>
    <row r="56" spans="1:21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0">
        <f t="shared" si="1"/>
        <v>353.70300000000003</v>
      </c>
      <c r="R56" s="11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4"/>
        <v>0</v>
      </c>
    </row>
    <row r="57" spans="1:21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0">
        <f t="shared" si="1"/>
        <v>2603.0804999999996</v>
      </c>
      <c r="R57" s="11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4"/>
        <v>High</v>
      </c>
    </row>
    <row r="58" spans="1:21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0">
        <f t="shared" si="1"/>
        <v>1457.7560000000001</v>
      </c>
      <c r="R58" s="11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4"/>
        <v>High</v>
      </c>
    </row>
    <row r="59" spans="1:21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0">
        <f t="shared" si="1"/>
        <v>406.86599999999999</v>
      </c>
      <c r="R59" s="11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4"/>
        <v>High</v>
      </c>
    </row>
    <row r="60" spans="1:21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0">
        <f t="shared" si="1"/>
        <v>0</v>
      </c>
      <c r="R60" s="11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4"/>
        <v>High</v>
      </c>
    </row>
    <row r="61" spans="1:21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0">
        <f t="shared" si="1"/>
        <v>3190.8149999999996</v>
      </c>
      <c r="R61" s="11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4"/>
        <v>High</v>
      </c>
    </row>
    <row r="62" spans="1:21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0">
        <f t="shared" si="1"/>
        <v>201.32300000000001</v>
      </c>
      <c r="R62" s="11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4"/>
        <v>High</v>
      </c>
    </row>
    <row r="63" spans="1:21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0">
        <f t="shared" si="1"/>
        <v>1071.3489999999999</v>
      </c>
      <c r="R63" s="11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4"/>
        <v>High</v>
      </c>
    </row>
    <row r="64" spans="1:21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0">
        <f t="shared" si="1"/>
        <v>1428.683</v>
      </c>
      <c r="R64" s="11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4"/>
        <v>High</v>
      </c>
    </row>
    <row r="65" spans="1:21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0">
        <f t="shared" si="1"/>
        <v>265.50599999999997</v>
      </c>
      <c r="R65" s="11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4"/>
        <v>0</v>
      </c>
    </row>
    <row r="66" spans="1:21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0">
        <f t="shared" si="1"/>
        <v>499.178</v>
      </c>
      <c r="R66" s="11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4"/>
        <v>0</v>
      </c>
    </row>
    <row r="67" spans="1:21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5">L67*M67</f>
        <v>30157.68</v>
      </c>
      <c r="Q67" s="10">
        <f t="shared" ref="Q67:Q130" si="6">O67*N67%</f>
        <v>1432.49</v>
      </c>
      <c r="R67" s="11">
        <f t="shared" ref="R67:R130" si="7">P67-Q67</f>
        <v>28725.19</v>
      </c>
      <c r="S67" s="1" t="str">
        <f t="shared" ref="S67:S130" si="8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ref="U67:U130" si="9">IF(L67&gt;5,"High",IF(L67="Mediam","Low"))</f>
        <v>High</v>
      </c>
    </row>
    <row r="68" spans="1:21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5"/>
        <v>330.13</v>
      </c>
      <c r="Q68" s="10">
        <f t="shared" si="6"/>
        <v>42.091500000000003</v>
      </c>
      <c r="R68" s="11">
        <f t="shared" si="7"/>
        <v>288.0385</v>
      </c>
      <c r="S68" s="1" t="str">
        <f t="shared" si="8"/>
        <v>Low</v>
      </c>
      <c r="T68" s="1" t="str" cm="1">
        <f t="array" ref="T68">_xlfn.IFS(L68&gt;5,"High",L68=5,"mediam",L68&lt;5,"low")</f>
        <v>low</v>
      </c>
      <c r="U68" s="1" t="b">
        <f t="shared" si="9"/>
        <v>0</v>
      </c>
    </row>
    <row r="69" spans="1:21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5"/>
        <v>8283.9600000000009</v>
      </c>
      <c r="Q69" s="10">
        <f t="shared" si="6"/>
        <v>0</v>
      </c>
      <c r="R69" s="11">
        <f t="shared" si="7"/>
        <v>8283.9600000000009</v>
      </c>
      <c r="S69" s="1" t="str">
        <f t="shared" si="8"/>
        <v>High</v>
      </c>
      <c r="T69" s="1" t="str" cm="1">
        <f t="array" ref="T69">_xlfn.IFS(L69&gt;5,"High",L69=5,"mediam",L69&lt;5,"low")</f>
        <v>High</v>
      </c>
      <c r="U69" s="1" t="str">
        <f t="shared" si="9"/>
        <v>High</v>
      </c>
    </row>
    <row r="70" spans="1:21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5"/>
        <v>11021.880000000001</v>
      </c>
      <c r="Q70" s="10">
        <f t="shared" si="6"/>
        <v>523.53950000000009</v>
      </c>
      <c r="R70" s="11">
        <f t="shared" si="7"/>
        <v>10498.3405</v>
      </c>
      <c r="S70" s="1" t="str">
        <f t="shared" si="8"/>
        <v>High</v>
      </c>
      <c r="T70" s="1" t="str" cm="1">
        <f t="array" ref="T70">_xlfn.IFS(L70&gt;5,"High",L70=5,"mediam",L70&lt;5,"low")</f>
        <v>High</v>
      </c>
      <c r="U70" s="1" t="str">
        <f t="shared" si="9"/>
        <v>High</v>
      </c>
    </row>
    <row r="71" spans="1:21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5"/>
        <v>14448.6</v>
      </c>
      <c r="Q71" s="10">
        <f t="shared" si="6"/>
        <v>2311.7759999999998</v>
      </c>
      <c r="R71" s="11">
        <f t="shared" si="7"/>
        <v>12136.824000000001</v>
      </c>
      <c r="S71" s="1" t="str">
        <f t="shared" si="8"/>
        <v>Low</v>
      </c>
      <c r="T71" s="1" t="str" cm="1">
        <f t="array" ref="T71">_xlfn.IFS(L71&gt;5,"High",L71=5,"mediam",L71&lt;5,"low")</f>
        <v>low</v>
      </c>
      <c r="U71" s="1" t="b">
        <f t="shared" si="9"/>
        <v>0</v>
      </c>
    </row>
    <row r="72" spans="1:21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5"/>
        <v>11564.130000000001</v>
      </c>
      <c r="Q72" s="10">
        <f t="shared" si="6"/>
        <v>549.29600000000005</v>
      </c>
      <c r="R72" s="11">
        <f t="shared" si="7"/>
        <v>11014.834000000001</v>
      </c>
      <c r="S72" s="1" t="str">
        <f t="shared" si="8"/>
        <v>Low</v>
      </c>
      <c r="T72" s="1" t="str" cm="1">
        <f t="array" ref="T72">_xlfn.IFS(L72&gt;5,"High",L72=5,"mediam",L72&lt;5,"low")</f>
        <v>low</v>
      </c>
      <c r="U72" s="1" t="b">
        <f t="shared" si="9"/>
        <v>0</v>
      </c>
    </row>
    <row r="73" spans="1:21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5"/>
        <v>5579.5199999999995</v>
      </c>
      <c r="Q73" s="10">
        <f t="shared" si="6"/>
        <v>711.38850000000002</v>
      </c>
      <c r="R73" s="11">
        <f t="shared" si="7"/>
        <v>4868.1314999999995</v>
      </c>
      <c r="S73" s="1" t="str">
        <f t="shared" si="8"/>
        <v>Low</v>
      </c>
      <c r="T73" s="1" t="str" cm="1">
        <f t="array" ref="T73">_xlfn.IFS(L73&gt;5,"High",L73=5,"mediam",L73&lt;5,"low")</f>
        <v>low</v>
      </c>
      <c r="U73" s="1" t="b">
        <f t="shared" si="9"/>
        <v>0</v>
      </c>
    </row>
    <row r="74" spans="1:21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5"/>
        <v>3037.61</v>
      </c>
      <c r="Q74" s="10">
        <f t="shared" si="6"/>
        <v>144.28650000000002</v>
      </c>
      <c r="R74" s="11">
        <f t="shared" si="7"/>
        <v>2893.3235</v>
      </c>
      <c r="S74" s="1" t="str">
        <f t="shared" si="8"/>
        <v>Low</v>
      </c>
      <c r="T74" s="1" t="str" cm="1">
        <f t="array" ref="T74">_xlfn.IFS(L74&gt;5,"High",L74=5,"mediam",L74&lt;5,"low")</f>
        <v>low</v>
      </c>
      <c r="U74" s="1" t="b">
        <f t="shared" si="9"/>
        <v>0</v>
      </c>
    </row>
    <row r="75" spans="1:21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5"/>
        <v>6590.67</v>
      </c>
      <c r="Q75" s="10">
        <f t="shared" si="6"/>
        <v>0</v>
      </c>
      <c r="R75" s="11">
        <f t="shared" si="7"/>
        <v>6590.67</v>
      </c>
      <c r="S75" s="1" t="str">
        <f t="shared" si="8"/>
        <v>Low</v>
      </c>
      <c r="T75" s="1" t="str" cm="1">
        <f t="array" ref="T75">_xlfn.IFS(L75&gt;5,"High",L75=5,"mediam",L75&lt;5,"low")</f>
        <v>low</v>
      </c>
      <c r="U75" s="1" t="b">
        <f t="shared" si="9"/>
        <v>0</v>
      </c>
    </row>
    <row r="76" spans="1:21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5"/>
        <v>8881.84</v>
      </c>
      <c r="Q76" s="10">
        <f t="shared" si="6"/>
        <v>0</v>
      </c>
      <c r="R76" s="11">
        <f t="shared" si="7"/>
        <v>8881.84</v>
      </c>
      <c r="S76" s="1" t="str">
        <f t="shared" si="8"/>
        <v>Low</v>
      </c>
      <c r="T76" s="1" t="str" cm="1">
        <f t="array" ref="T76">_xlfn.IFS(L76&gt;5,"High",L76=5,"mediam",L76&lt;5,"low")</f>
        <v>low</v>
      </c>
      <c r="U76" s="1" t="b">
        <f t="shared" si="9"/>
        <v>0</v>
      </c>
    </row>
    <row r="77" spans="1:21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5"/>
        <v>6103.4000000000005</v>
      </c>
      <c r="Q77" s="10">
        <f t="shared" si="6"/>
        <v>976.5440000000001</v>
      </c>
      <c r="R77" s="11">
        <f t="shared" si="7"/>
        <v>5126.8560000000007</v>
      </c>
      <c r="S77" s="1" t="str">
        <f t="shared" si="8"/>
        <v>High</v>
      </c>
      <c r="T77" s="1" t="str" cm="1">
        <f t="array" ref="T77">_xlfn.IFS(L77&gt;5,"High",L77=5,"mediam",L77&lt;5,"low")</f>
        <v>mediam</v>
      </c>
      <c r="U77" s="1" t="b">
        <f t="shared" si="9"/>
        <v>0</v>
      </c>
    </row>
    <row r="78" spans="1:21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5"/>
        <v>2955.84</v>
      </c>
      <c r="Q78" s="10">
        <f t="shared" si="6"/>
        <v>266.02600000000001</v>
      </c>
      <c r="R78" s="11">
        <f t="shared" si="7"/>
        <v>2689.8140000000003</v>
      </c>
      <c r="S78" s="1" t="str">
        <f t="shared" si="8"/>
        <v>Low</v>
      </c>
      <c r="T78" s="1" t="str" cm="1">
        <f t="array" ref="T78">_xlfn.IFS(L78&gt;5,"High",L78=5,"mediam",L78&lt;5,"low")</f>
        <v>low</v>
      </c>
      <c r="U78" s="1" t="b">
        <f t="shared" si="9"/>
        <v>0</v>
      </c>
    </row>
    <row r="79" spans="1:21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5"/>
        <v>7552.92</v>
      </c>
      <c r="Q79" s="10">
        <f t="shared" si="6"/>
        <v>962.99699999999984</v>
      </c>
      <c r="R79" s="11">
        <f t="shared" si="7"/>
        <v>6589.9230000000007</v>
      </c>
      <c r="S79" s="1" t="str">
        <f t="shared" si="8"/>
        <v>High</v>
      </c>
      <c r="T79" s="1" t="str" cm="1">
        <f t="array" ref="T79">_xlfn.IFS(L79&gt;5,"High",L79=5,"mediam",L79&lt;5,"low")</f>
        <v>High</v>
      </c>
      <c r="U79" s="1" t="str">
        <f t="shared" si="9"/>
        <v>High</v>
      </c>
    </row>
    <row r="80" spans="1:21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5"/>
        <v>11459.300000000001</v>
      </c>
      <c r="Q80" s="10">
        <f t="shared" si="6"/>
        <v>1461.06</v>
      </c>
      <c r="R80" s="11">
        <f t="shared" si="7"/>
        <v>9998.2400000000016</v>
      </c>
      <c r="S80" s="1" t="str">
        <f t="shared" si="8"/>
        <v>High</v>
      </c>
      <c r="T80" s="1" t="str" cm="1">
        <f t="array" ref="T80">_xlfn.IFS(L80&gt;5,"High",L80=5,"mediam",L80&lt;5,"low")</f>
        <v>mediam</v>
      </c>
      <c r="U80" s="1" t="b">
        <f t="shared" si="9"/>
        <v>0</v>
      </c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5"/>
        <v>786.75</v>
      </c>
      <c r="Q81" s="10">
        <f t="shared" si="6"/>
        <v>70.807000000000002</v>
      </c>
      <c r="R81" s="11">
        <f t="shared" si="7"/>
        <v>715.94299999999998</v>
      </c>
      <c r="S81" s="1" t="str">
        <f t="shared" si="8"/>
        <v>Low</v>
      </c>
      <c r="T81" s="1" t="str" cm="1">
        <f t="array" ref="T81">_xlfn.IFS(L81&gt;5,"High",L81=5,"mediam",L81&lt;5,"low")</f>
        <v>low</v>
      </c>
      <c r="U81" s="1" t="b">
        <f t="shared" si="9"/>
        <v>0</v>
      </c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5"/>
        <v>21857.46</v>
      </c>
      <c r="Q82" s="10">
        <f t="shared" si="6"/>
        <v>0</v>
      </c>
      <c r="R82" s="11">
        <f t="shared" si="7"/>
        <v>21857.46</v>
      </c>
      <c r="S82" s="1" t="str">
        <f t="shared" si="8"/>
        <v>High</v>
      </c>
      <c r="T82" s="1" t="str" cm="1">
        <f t="array" ref="T82">_xlfn.IFS(L82&gt;5,"High",L82=5,"mediam",L82&lt;5,"low")</f>
        <v>High</v>
      </c>
      <c r="U82" s="1" t="str">
        <f t="shared" si="9"/>
        <v>High</v>
      </c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5"/>
        <v>4510.1400000000003</v>
      </c>
      <c r="Q83" s="10">
        <f t="shared" si="6"/>
        <v>0</v>
      </c>
      <c r="R83" s="11">
        <f t="shared" si="7"/>
        <v>4510.1400000000003</v>
      </c>
      <c r="S83" s="1" t="str">
        <f t="shared" si="8"/>
        <v>High</v>
      </c>
      <c r="T83" s="1" t="str" cm="1">
        <f t="array" ref="T83">_xlfn.IFS(L83&gt;5,"High",L83=5,"mediam",L83&lt;5,"low")</f>
        <v>High</v>
      </c>
      <c r="U83" s="1" t="str">
        <f t="shared" si="9"/>
        <v>High</v>
      </c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5"/>
        <v>7978.72</v>
      </c>
      <c r="Q84" s="10">
        <f t="shared" si="6"/>
        <v>378.98900000000003</v>
      </c>
      <c r="R84" s="11">
        <f t="shared" si="7"/>
        <v>7599.7309999999998</v>
      </c>
      <c r="S84" s="1" t="str">
        <f t="shared" si="8"/>
        <v>High</v>
      </c>
      <c r="T84" s="1" t="str" cm="1">
        <f t="array" ref="T84">_xlfn.IFS(L84&gt;5,"High",L84=5,"mediam",L84&lt;5,"low")</f>
        <v>High</v>
      </c>
      <c r="U84" s="1" t="str">
        <f t="shared" si="9"/>
        <v>High</v>
      </c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5"/>
        <v>4290.72</v>
      </c>
      <c r="Q85" s="10">
        <f t="shared" si="6"/>
        <v>686.51600000000008</v>
      </c>
      <c r="R85" s="11">
        <f t="shared" si="7"/>
        <v>3604.2040000000002</v>
      </c>
      <c r="S85" s="1" t="str">
        <f t="shared" si="8"/>
        <v>Low</v>
      </c>
      <c r="T85" s="1" t="str" cm="1">
        <f t="array" ref="T85">_xlfn.IFS(L85&gt;5,"High",L85=5,"mediam",L85&lt;5,"low")</f>
        <v>low</v>
      </c>
      <c r="U85" s="1" t="b">
        <f t="shared" si="9"/>
        <v>0</v>
      </c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5"/>
        <v>2883.94</v>
      </c>
      <c r="Q86" s="10">
        <f t="shared" si="6"/>
        <v>461.43000000000006</v>
      </c>
      <c r="R86" s="11">
        <f t="shared" si="7"/>
        <v>2422.5100000000002</v>
      </c>
      <c r="S86" s="1" t="str">
        <f t="shared" si="8"/>
        <v>Low</v>
      </c>
      <c r="T86" s="1" t="str" cm="1">
        <f t="array" ref="T86">_xlfn.IFS(L86&gt;5,"High",L86=5,"mediam",L86&lt;5,"low")</f>
        <v>low</v>
      </c>
      <c r="U86" s="1" t="b">
        <f t="shared" si="9"/>
        <v>0</v>
      </c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5"/>
        <v>2074.2399999999998</v>
      </c>
      <c r="Q87" s="10">
        <f t="shared" si="6"/>
        <v>331.87800000000004</v>
      </c>
      <c r="R87" s="11">
        <f t="shared" si="7"/>
        <v>1742.3619999999996</v>
      </c>
      <c r="S87" s="1" t="str">
        <f t="shared" si="8"/>
        <v>Low</v>
      </c>
      <c r="T87" s="1" t="str" cm="1">
        <f t="array" ref="T87">_xlfn.IFS(L87&gt;5,"High",L87=5,"mediam",L87&lt;5,"low")</f>
        <v>low</v>
      </c>
      <c r="U87" s="1" t="b">
        <f t="shared" si="9"/>
        <v>0</v>
      </c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5"/>
        <v>9611.84</v>
      </c>
      <c r="Q88" s="10">
        <f t="shared" si="6"/>
        <v>456.5625</v>
      </c>
      <c r="R88" s="11">
        <f t="shared" si="7"/>
        <v>9155.2775000000001</v>
      </c>
      <c r="S88" s="1" t="str">
        <f t="shared" si="8"/>
        <v>High</v>
      </c>
      <c r="T88" s="1" t="str" cm="1">
        <f t="array" ref="T88">_xlfn.IFS(L88&gt;5,"High",L88=5,"mediam",L88&lt;5,"low")</f>
        <v>High</v>
      </c>
      <c r="U88" s="1" t="str">
        <f t="shared" si="9"/>
        <v>High</v>
      </c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5"/>
        <v>11638.2</v>
      </c>
      <c r="Q89" s="10">
        <f t="shared" si="6"/>
        <v>1862.1120000000001</v>
      </c>
      <c r="R89" s="11">
        <f t="shared" si="7"/>
        <v>9776.0879999999997</v>
      </c>
      <c r="S89" s="1" t="str">
        <f t="shared" si="8"/>
        <v>Low</v>
      </c>
      <c r="T89" s="1" t="str" cm="1">
        <f t="array" ref="T89">_xlfn.IFS(L89&gt;5,"High",L89=5,"mediam",L89&lt;5,"low")</f>
        <v>low</v>
      </c>
      <c r="U89" s="1" t="b">
        <f t="shared" si="9"/>
        <v>0</v>
      </c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5"/>
        <v>3480.06</v>
      </c>
      <c r="Q90" s="10">
        <f t="shared" si="6"/>
        <v>313.20500000000004</v>
      </c>
      <c r="R90" s="11">
        <f t="shared" si="7"/>
        <v>3166.855</v>
      </c>
      <c r="S90" s="1" t="str">
        <f t="shared" si="8"/>
        <v>Low</v>
      </c>
      <c r="T90" s="1" t="str" cm="1">
        <f t="array" ref="T90">_xlfn.IFS(L90&gt;5,"High",L90=5,"mediam",L90&lt;5,"low")</f>
        <v>low</v>
      </c>
      <c r="U90" s="1" t="b">
        <f t="shared" si="9"/>
        <v>0</v>
      </c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5"/>
        <v>6776.2</v>
      </c>
      <c r="Q91" s="10">
        <f t="shared" si="6"/>
        <v>321.86950000000002</v>
      </c>
      <c r="R91" s="11">
        <f t="shared" si="7"/>
        <v>6454.3305</v>
      </c>
      <c r="S91" s="1" t="str">
        <f t="shared" si="8"/>
        <v>High</v>
      </c>
      <c r="T91" s="1" t="str" cm="1">
        <f t="array" ref="T91">_xlfn.IFS(L91&gt;5,"High",L91=5,"mediam",L91&lt;5,"low")</f>
        <v>mediam</v>
      </c>
      <c r="U91" s="1" t="b">
        <f t="shared" si="9"/>
        <v>0</v>
      </c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5"/>
        <v>16852.599999999999</v>
      </c>
      <c r="Q92" s="10">
        <f t="shared" si="6"/>
        <v>1516.7340000000002</v>
      </c>
      <c r="R92" s="11">
        <f t="shared" si="7"/>
        <v>15335.865999999998</v>
      </c>
      <c r="S92" s="1" t="str">
        <f t="shared" si="8"/>
        <v>High</v>
      </c>
      <c r="T92" s="1" t="str" cm="1">
        <f t="array" ref="T92">_xlfn.IFS(L92&gt;5,"High",L92=5,"mediam",L92&lt;5,"low")</f>
        <v>mediam</v>
      </c>
      <c r="U92" s="1" t="b">
        <f t="shared" si="9"/>
        <v>0</v>
      </c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5"/>
        <v>1029.99</v>
      </c>
      <c r="Q93" s="10">
        <f t="shared" si="6"/>
        <v>48.924500000000002</v>
      </c>
      <c r="R93" s="11">
        <f t="shared" si="7"/>
        <v>981.06550000000004</v>
      </c>
      <c r="S93" s="1" t="str">
        <f t="shared" si="8"/>
        <v>Low</v>
      </c>
      <c r="T93" s="1" t="str" cm="1">
        <f t="array" ref="T93">_xlfn.IFS(L93&gt;5,"High",L93=5,"mediam",L93&lt;5,"low")</f>
        <v>low</v>
      </c>
      <c r="U93" s="1" t="b">
        <f t="shared" si="9"/>
        <v>0</v>
      </c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5"/>
        <v>17448.84</v>
      </c>
      <c r="Q94" s="10">
        <f t="shared" si="6"/>
        <v>2791.8140000000003</v>
      </c>
      <c r="R94" s="11">
        <f t="shared" si="7"/>
        <v>14657.026</v>
      </c>
      <c r="S94" s="1" t="str">
        <f t="shared" si="8"/>
        <v>High</v>
      </c>
      <c r="T94" s="1" t="str" cm="1">
        <f t="array" ref="T94">_xlfn.IFS(L94&gt;5,"High",L94=5,"mediam",L94&lt;5,"low")</f>
        <v>High</v>
      </c>
      <c r="U94" s="1" t="str">
        <f t="shared" si="9"/>
        <v>High</v>
      </c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5"/>
        <v>6446.08</v>
      </c>
      <c r="Q95" s="10">
        <f t="shared" si="6"/>
        <v>580.14700000000005</v>
      </c>
      <c r="R95" s="11">
        <f t="shared" si="7"/>
        <v>5865.933</v>
      </c>
      <c r="S95" s="1" t="str">
        <f t="shared" si="8"/>
        <v>Low</v>
      </c>
      <c r="T95" s="1" t="str" cm="1">
        <f t="array" ref="T95">_xlfn.IFS(L95&gt;5,"High",L95=5,"mediam",L95&lt;5,"low")</f>
        <v>low</v>
      </c>
      <c r="U95" s="1" t="b">
        <f t="shared" si="9"/>
        <v>0</v>
      </c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5"/>
        <v>4106.58</v>
      </c>
      <c r="Q96" s="10">
        <f t="shared" si="6"/>
        <v>369.59200000000004</v>
      </c>
      <c r="R96" s="11">
        <f t="shared" si="7"/>
        <v>3736.9879999999998</v>
      </c>
      <c r="S96" s="1" t="str">
        <f t="shared" si="8"/>
        <v>Low</v>
      </c>
      <c r="T96" s="1" t="str" cm="1">
        <f t="array" ref="T96">_xlfn.IFS(L96&gt;5,"High",L96=5,"mediam",L96&lt;5,"low")</f>
        <v>low</v>
      </c>
      <c r="U96" s="1" t="b">
        <f t="shared" si="9"/>
        <v>0</v>
      </c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5"/>
        <v>2499.88</v>
      </c>
      <c r="Q97" s="10">
        <f t="shared" si="6"/>
        <v>224.989</v>
      </c>
      <c r="R97" s="11">
        <f t="shared" si="7"/>
        <v>2274.8910000000001</v>
      </c>
      <c r="S97" s="1" t="str">
        <f t="shared" si="8"/>
        <v>Low</v>
      </c>
      <c r="T97" s="1" t="str" cm="1">
        <f t="array" ref="T97">_xlfn.IFS(L97&gt;5,"High",L97=5,"mediam",L97&lt;5,"low")</f>
        <v>low</v>
      </c>
      <c r="U97" s="1" t="b">
        <f t="shared" si="9"/>
        <v>0</v>
      </c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5"/>
        <v>4516.1100000000006</v>
      </c>
      <c r="Q98" s="10">
        <f t="shared" si="6"/>
        <v>214.51500000000001</v>
      </c>
      <c r="R98" s="11">
        <f t="shared" si="7"/>
        <v>4301.5950000000003</v>
      </c>
      <c r="S98" s="1" t="str">
        <f t="shared" si="8"/>
        <v>High</v>
      </c>
      <c r="T98" s="1" t="str" cm="1">
        <f t="array" ref="T98">_xlfn.IFS(L98&gt;5,"High",L98=5,"mediam",L98&lt;5,"low")</f>
        <v>High</v>
      </c>
      <c r="U98" s="1" t="str">
        <f t="shared" si="9"/>
        <v>High</v>
      </c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5"/>
        <v>5448.32</v>
      </c>
      <c r="Q99" s="10">
        <f t="shared" si="6"/>
        <v>694.66049999999996</v>
      </c>
      <c r="R99" s="11">
        <f t="shared" si="7"/>
        <v>4753.6594999999998</v>
      </c>
      <c r="S99" s="1" t="str">
        <f t="shared" si="8"/>
        <v>Low</v>
      </c>
      <c r="T99" s="1" t="str" cm="1">
        <f t="array" ref="T99">_xlfn.IFS(L99&gt;5,"High",L99=5,"mediam",L99&lt;5,"low")</f>
        <v>low</v>
      </c>
      <c r="U99" s="1" t="b">
        <f t="shared" si="9"/>
        <v>0</v>
      </c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5"/>
        <v>947.25</v>
      </c>
      <c r="Q100" s="10">
        <f t="shared" si="6"/>
        <v>151.56</v>
      </c>
      <c r="R100" s="11">
        <f t="shared" si="7"/>
        <v>795.69</v>
      </c>
      <c r="S100" s="1" t="str">
        <f t="shared" si="8"/>
        <v>Low</v>
      </c>
      <c r="T100" s="1" t="str" cm="1">
        <f t="array" ref="T100">_xlfn.IFS(L100&gt;5,"High",L100=5,"mediam",L100&lt;5,"low")</f>
        <v>low</v>
      </c>
      <c r="U100" s="1" t="b">
        <f t="shared" si="9"/>
        <v>0</v>
      </c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5"/>
        <v>22096.97</v>
      </c>
      <c r="Q101" s="10">
        <f t="shared" si="6"/>
        <v>1988.7270000000001</v>
      </c>
      <c r="R101" s="11">
        <f t="shared" si="7"/>
        <v>20108.243000000002</v>
      </c>
      <c r="S101" s="1" t="str">
        <f t="shared" si="8"/>
        <v>High</v>
      </c>
      <c r="T101" s="1" t="str" cm="1">
        <f t="array" ref="T101">_xlfn.IFS(L101&gt;5,"High",L101=5,"mediam",L101&lt;5,"low")</f>
        <v>High</v>
      </c>
      <c r="U101" s="1" t="str">
        <f t="shared" si="9"/>
        <v>High</v>
      </c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5"/>
        <v>13465.44</v>
      </c>
      <c r="Q102" s="10">
        <f t="shared" si="6"/>
        <v>1716.8430000000001</v>
      </c>
      <c r="R102" s="11">
        <f t="shared" si="7"/>
        <v>11748.597</v>
      </c>
      <c r="S102" s="1" t="str">
        <f t="shared" si="8"/>
        <v>High</v>
      </c>
      <c r="T102" s="1" t="str" cm="1">
        <f t="array" ref="T102">_xlfn.IFS(L102&gt;5,"High",L102=5,"mediam",L102&lt;5,"low")</f>
        <v>High</v>
      </c>
      <c r="U102" s="1" t="str">
        <f t="shared" si="9"/>
        <v>High</v>
      </c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5"/>
        <v>3718.06</v>
      </c>
      <c r="Q103" s="10">
        <f t="shared" si="6"/>
        <v>594.89</v>
      </c>
      <c r="R103" s="11">
        <f t="shared" si="7"/>
        <v>3123.17</v>
      </c>
      <c r="S103" s="1" t="str">
        <f t="shared" si="8"/>
        <v>Low</v>
      </c>
      <c r="T103" s="1" t="str" cm="1">
        <f t="array" ref="T103">_xlfn.IFS(L103&gt;5,"High",L103=5,"mediam",L103&lt;5,"low")</f>
        <v>low</v>
      </c>
      <c r="U103" s="1" t="b">
        <f t="shared" si="9"/>
        <v>0</v>
      </c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5"/>
        <v>25132.38</v>
      </c>
      <c r="Q104" s="10">
        <f t="shared" si="6"/>
        <v>4021.1800000000003</v>
      </c>
      <c r="R104" s="11">
        <f t="shared" si="7"/>
        <v>21111.200000000001</v>
      </c>
      <c r="S104" s="1" t="str">
        <f t="shared" si="8"/>
        <v>High</v>
      </c>
      <c r="T104" s="1" t="str" cm="1">
        <f t="array" ref="T104">_xlfn.IFS(L104&gt;5,"High",L104=5,"mediam",L104&lt;5,"low")</f>
        <v>High</v>
      </c>
      <c r="U104" s="1" t="str">
        <f t="shared" si="9"/>
        <v>High</v>
      </c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5"/>
        <v>13417.550000000001</v>
      </c>
      <c r="Q105" s="10">
        <f t="shared" si="6"/>
        <v>1207.5790000000002</v>
      </c>
      <c r="R105" s="11">
        <f t="shared" si="7"/>
        <v>12209.971000000001</v>
      </c>
      <c r="S105" s="1" t="str">
        <f t="shared" si="8"/>
        <v>High</v>
      </c>
      <c r="T105" s="1" t="str" cm="1">
        <f t="array" ref="T105">_xlfn.IFS(L105&gt;5,"High",L105=5,"mediam",L105&lt;5,"low")</f>
        <v>mediam</v>
      </c>
      <c r="U105" s="1" t="b">
        <f t="shared" si="9"/>
        <v>0</v>
      </c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5"/>
        <v>905.15</v>
      </c>
      <c r="Q106" s="10">
        <f t="shared" si="6"/>
        <v>81.463000000000008</v>
      </c>
      <c r="R106" s="11">
        <f t="shared" si="7"/>
        <v>823.68700000000001</v>
      </c>
      <c r="S106" s="1" t="str">
        <f t="shared" si="8"/>
        <v>High</v>
      </c>
      <c r="T106" s="1" t="str" cm="1">
        <f t="array" ref="T106">_xlfn.IFS(L106&gt;5,"High",L106=5,"mediam",L106&lt;5,"low")</f>
        <v>mediam</v>
      </c>
      <c r="U106" s="1" t="b">
        <f t="shared" si="9"/>
        <v>0</v>
      </c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5"/>
        <v>11343.66</v>
      </c>
      <c r="Q107" s="10">
        <f t="shared" si="6"/>
        <v>538.82399999999996</v>
      </c>
      <c r="R107" s="11">
        <f t="shared" si="7"/>
        <v>10804.835999999999</v>
      </c>
      <c r="S107" s="1" t="str">
        <f t="shared" si="8"/>
        <v>Low</v>
      </c>
      <c r="T107" s="1" t="str" cm="1">
        <f t="array" ref="T107">_xlfn.IFS(L107&gt;5,"High",L107=5,"mediam",L107&lt;5,"low")</f>
        <v>low</v>
      </c>
      <c r="U107" s="1" t="b">
        <f t="shared" si="9"/>
        <v>0</v>
      </c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5"/>
        <v>5315.05</v>
      </c>
      <c r="Q108" s="10">
        <f t="shared" si="6"/>
        <v>677.66849999999999</v>
      </c>
      <c r="R108" s="11">
        <f t="shared" si="7"/>
        <v>4637.3815000000004</v>
      </c>
      <c r="S108" s="1" t="str">
        <f t="shared" si="8"/>
        <v>High</v>
      </c>
      <c r="T108" s="1" t="str" cm="1">
        <f t="array" ref="T108">_xlfn.IFS(L108&gt;5,"High",L108=5,"mediam",L108&lt;5,"low")</f>
        <v>mediam</v>
      </c>
      <c r="U108" s="1" t="b">
        <f t="shared" si="9"/>
        <v>0</v>
      </c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5"/>
        <v>1128.6199999999999</v>
      </c>
      <c r="Q109" s="10">
        <f t="shared" si="6"/>
        <v>143.89949999999999</v>
      </c>
      <c r="R109" s="11">
        <f t="shared" si="7"/>
        <v>984.7204999999999</v>
      </c>
      <c r="S109" s="1" t="str">
        <f t="shared" si="8"/>
        <v>Low</v>
      </c>
      <c r="T109" s="1" t="str" cm="1">
        <f t="array" ref="T109">_xlfn.IFS(L109&gt;5,"High",L109=5,"mediam",L109&lt;5,"low")</f>
        <v>low</v>
      </c>
      <c r="U109" s="1" t="b">
        <f t="shared" si="9"/>
        <v>0</v>
      </c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5"/>
        <v>12429.16</v>
      </c>
      <c r="Q110" s="10">
        <f t="shared" si="6"/>
        <v>1118.624</v>
      </c>
      <c r="R110" s="11">
        <f t="shared" si="7"/>
        <v>11310.536</v>
      </c>
      <c r="S110" s="1" t="str">
        <f t="shared" si="8"/>
        <v>Low</v>
      </c>
      <c r="T110" s="1" t="str" cm="1">
        <f t="array" ref="T110">_xlfn.IFS(L110&gt;5,"High",L110=5,"mediam",L110&lt;5,"low")</f>
        <v>low</v>
      </c>
      <c r="U110" s="1" t="b">
        <f t="shared" si="9"/>
        <v>0</v>
      </c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5"/>
        <v>12461.04</v>
      </c>
      <c r="Q111" s="10">
        <f t="shared" si="6"/>
        <v>1993.7660000000001</v>
      </c>
      <c r="R111" s="11">
        <f t="shared" si="7"/>
        <v>10467.274000000001</v>
      </c>
      <c r="S111" s="1" t="str">
        <f t="shared" si="8"/>
        <v>High</v>
      </c>
      <c r="T111" s="1" t="str" cm="1">
        <f t="array" ref="T111">_xlfn.IFS(L111&gt;5,"High",L111=5,"mediam",L111&lt;5,"low")</f>
        <v>High</v>
      </c>
      <c r="U111" s="1" t="str">
        <f t="shared" si="9"/>
        <v>High</v>
      </c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5"/>
        <v>1820.02</v>
      </c>
      <c r="Q112" s="10">
        <f t="shared" si="6"/>
        <v>163.80200000000002</v>
      </c>
      <c r="R112" s="11">
        <f t="shared" si="7"/>
        <v>1656.2179999999998</v>
      </c>
      <c r="S112" s="1" t="str">
        <f t="shared" si="8"/>
        <v>Low</v>
      </c>
      <c r="T112" s="1" t="str" cm="1">
        <f t="array" ref="T112">_xlfn.IFS(L112&gt;5,"High",L112=5,"mediam",L112&lt;5,"low")</f>
        <v>low</v>
      </c>
      <c r="U112" s="1" t="b">
        <f t="shared" si="9"/>
        <v>0</v>
      </c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5"/>
        <v>4442.3599999999997</v>
      </c>
      <c r="Q113" s="10">
        <f t="shared" si="6"/>
        <v>710.77800000000002</v>
      </c>
      <c r="R113" s="11">
        <f t="shared" si="7"/>
        <v>3731.5819999999994</v>
      </c>
      <c r="S113" s="1" t="str">
        <f t="shared" si="8"/>
        <v>Low</v>
      </c>
      <c r="T113" s="1" t="str" cm="1">
        <f t="array" ref="T113">_xlfn.IFS(L113&gt;5,"High",L113=5,"mediam",L113&lt;5,"low")</f>
        <v>low</v>
      </c>
      <c r="U113" s="1" t="b">
        <f t="shared" si="9"/>
        <v>0</v>
      </c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5"/>
        <v>13546.619999999999</v>
      </c>
      <c r="Q114" s="10">
        <f t="shared" si="6"/>
        <v>2167.46</v>
      </c>
      <c r="R114" s="11">
        <f t="shared" si="7"/>
        <v>11379.16</v>
      </c>
      <c r="S114" s="1" t="str">
        <f t="shared" si="8"/>
        <v>High</v>
      </c>
      <c r="T114" s="1" t="str" cm="1">
        <f t="array" ref="T114">_xlfn.IFS(L114&gt;5,"High",L114=5,"mediam",L114&lt;5,"low")</f>
        <v>High</v>
      </c>
      <c r="U114" s="1" t="str">
        <f t="shared" si="9"/>
        <v>High</v>
      </c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5"/>
        <v>10857.420000000002</v>
      </c>
      <c r="Q115" s="10">
        <f t="shared" si="6"/>
        <v>977.16800000000012</v>
      </c>
      <c r="R115" s="11">
        <f t="shared" si="7"/>
        <v>9880.2520000000022</v>
      </c>
      <c r="S115" s="1" t="str">
        <f t="shared" si="8"/>
        <v>High</v>
      </c>
      <c r="T115" s="1" t="str" cm="1">
        <f t="array" ref="T115">_xlfn.IFS(L115&gt;5,"High",L115=5,"mediam",L115&lt;5,"low")</f>
        <v>High</v>
      </c>
      <c r="U115" s="1" t="str">
        <f t="shared" si="9"/>
        <v>High</v>
      </c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5"/>
        <v>7242.18</v>
      </c>
      <c r="Q116" s="10">
        <f t="shared" si="6"/>
        <v>0</v>
      </c>
      <c r="R116" s="11">
        <f t="shared" si="7"/>
        <v>7242.18</v>
      </c>
      <c r="S116" s="1" t="str">
        <f t="shared" si="8"/>
        <v>Low</v>
      </c>
      <c r="T116" s="1" t="str" cm="1">
        <f t="array" ref="T116">_xlfn.IFS(L116&gt;5,"High",L116=5,"mediam",L116&lt;5,"low")</f>
        <v>low</v>
      </c>
      <c r="U116" s="1" t="b">
        <f t="shared" si="9"/>
        <v>0</v>
      </c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5"/>
        <v>6849.78</v>
      </c>
      <c r="Q117" s="10">
        <f t="shared" si="6"/>
        <v>873.34649999999999</v>
      </c>
      <c r="R117" s="11">
        <f t="shared" si="7"/>
        <v>5976.4335000000001</v>
      </c>
      <c r="S117" s="1" t="str">
        <f t="shared" si="8"/>
        <v>High</v>
      </c>
      <c r="T117" s="1" t="str" cm="1">
        <f t="array" ref="T117">_xlfn.IFS(L117&gt;5,"High",L117=5,"mediam",L117&lt;5,"low")</f>
        <v>High</v>
      </c>
      <c r="U117" s="1" t="str">
        <f t="shared" si="9"/>
        <v>High</v>
      </c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5"/>
        <v>21328.62</v>
      </c>
      <c r="Q118" s="10">
        <f t="shared" si="6"/>
        <v>3412.5800000000004</v>
      </c>
      <c r="R118" s="11">
        <f t="shared" si="7"/>
        <v>17916.039999999997</v>
      </c>
      <c r="S118" s="1" t="str">
        <f t="shared" si="8"/>
        <v>High</v>
      </c>
      <c r="T118" s="1" t="str" cm="1">
        <f t="array" ref="T118">_xlfn.IFS(L118&gt;5,"High",L118=5,"mediam",L118&lt;5,"low")</f>
        <v>High</v>
      </c>
      <c r="U118" s="1" t="str">
        <f t="shared" si="9"/>
        <v>High</v>
      </c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5"/>
        <v>4607.42</v>
      </c>
      <c r="Q119" s="10">
        <f t="shared" si="6"/>
        <v>737.1880000000001</v>
      </c>
      <c r="R119" s="11">
        <f t="shared" si="7"/>
        <v>3870.232</v>
      </c>
      <c r="S119" s="1" t="str">
        <f t="shared" si="8"/>
        <v>Low</v>
      </c>
      <c r="T119" s="1" t="str" cm="1">
        <f t="array" ref="T119">_xlfn.IFS(L119&gt;5,"High",L119=5,"mediam",L119&lt;5,"low")</f>
        <v>low</v>
      </c>
      <c r="U119" s="1" t="b">
        <f t="shared" si="9"/>
        <v>0</v>
      </c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5"/>
        <v>26717.439999999999</v>
      </c>
      <c r="Q120" s="10">
        <f t="shared" si="6"/>
        <v>0</v>
      </c>
      <c r="R120" s="11">
        <f t="shared" si="7"/>
        <v>26717.439999999999</v>
      </c>
      <c r="S120" s="1" t="str">
        <f t="shared" si="8"/>
        <v>High</v>
      </c>
      <c r="T120" s="1" t="str" cm="1">
        <f t="array" ref="T120">_xlfn.IFS(L120&gt;5,"High",L120=5,"mediam",L120&lt;5,"low")</f>
        <v>High</v>
      </c>
      <c r="U120" s="1" t="str">
        <f t="shared" si="9"/>
        <v>High</v>
      </c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5"/>
        <v>20261.22</v>
      </c>
      <c r="Q121" s="10">
        <f t="shared" si="6"/>
        <v>962.40800000000002</v>
      </c>
      <c r="R121" s="11">
        <f t="shared" si="7"/>
        <v>19298.812000000002</v>
      </c>
      <c r="S121" s="1" t="str">
        <f t="shared" si="8"/>
        <v>High</v>
      </c>
      <c r="T121" s="1" t="str" cm="1">
        <f t="array" ref="T121">_xlfn.IFS(L121&gt;5,"High",L121=5,"mediam",L121&lt;5,"low")</f>
        <v>High</v>
      </c>
      <c r="U121" s="1" t="str">
        <f t="shared" si="9"/>
        <v>High</v>
      </c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5"/>
        <v>14161.400000000001</v>
      </c>
      <c r="Q122" s="10">
        <f t="shared" si="6"/>
        <v>0</v>
      </c>
      <c r="R122" s="11">
        <f t="shared" si="7"/>
        <v>14161.400000000001</v>
      </c>
      <c r="S122" s="1" t="str">
        <f t="shared" si="8"/>
        <v>High</v>
      </c>
      <c r="T122" s="1" t="str" cm="1">
        <f t="array" ref="T122">_xlfn.IFS(L122&gt;5,"High",L122=5,"mediam",L122&lt;5,"low")</f>
        <v>mediam</v>
      </c>
      <c r="U122" s="1" t="b">
        <f t="shared" si="9"/>
        <v>0</v>
      </c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5"/>
        <v>6993.65</v>
      </c>
      <c r="Q123" s="10">
        <f t="shared" si="6"/>
        <v>0</v>
      </c>
      <c r="R123" s="11">
        <f t="shared" si="7"/>
        <v>6993.65</v>
      </c>
      <c r="S123" s="1" t="str">
        <f t="shared" si="8"/>
        <v>High</v>
      </c>
      <c r="T123" s="1" t="str" cm="1">
        <f t="array" ref="T123">_xlfn.IFS(L123&gt;5,"High",L123=5,"mediam",L123&lt;5,"low")</f>
        <v>mediam</v>
      </c>
      <c r="U123" s="1" t="b">
        <f t="shared" si="9"/>
        <v>0</v>
      </c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5"/>
        <v>7353.5</v>
      </c>
      <c r="Q124" s="10">
        <f t="shared" si="6"/>
        <v>1176.5600000000002</v>
      </c>
      <c r="R124" s="11">
        <f t="shared" si="7"/>
        <v>6176.94</v>
      </c>
      <c r="S124" s="1" t="str">
        <f t="shared" si="8"/>
        <v>High</v>
      </c>
      <c r="T124" s="1" t="str" cm="1">
        <f t="array" ref="T124">_xlfn.IFS(L124&gt;5,"High",L124=5,"mediam",L124&lt;5,"low")</f>
        <v>High</v>
      </c>
      <c r="U124" s="1" t="str">
        <f t="shared" si="9"/>
        <v>High</v>
      </c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5"/>
        <v>8657.19</v>
      </c>
      <c r="Q125" s="10">
        <f t="shared" si="6"/>
        <v>1103.7914999999998</v>
      </c>
      <c r="R125" s="11">
        <f t="shared" si="7"/>
        <v>7553.3985000000011</v>
      </c>
      <c r="S125" s="1" t="str">
        <f t="shared" si="8"/>
        <v>High</v>
      </c>
      <c r="T125" s="1" t="str" cm="1">
        <f t="array" ref="T125">_xlfn.IFS(L125&gt;5,"High",L125=5,"mediam",L125&lt;5,"low")</f>
        <v>High</v>
      </c>
      <c r="U125" s="1" t="str">
        <f t="shared" si="9"/>
        <v>High</v>
      </c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5"/>
        <v>31051.71</v>
      </c>
      <c r="Q126" s="10">
        <f t="shared" si="6"/>
        <v>0</v>
      </c>
      <c r="R126" s="11">
        <f t="shared" si="7"/>
        <v>31051.71</v>
      </c>
      <c r="S126" s="1" t="str">
        <f t="shared" si="8"/>
        <v>High</v>
      </c>
      <c r="T126" s="1" t="str" cm="1">
        <f t="array" ref="T126">_xlfn.IFS(L126&gt;5,"High",L126=5,"mediam",L126&lt;5,"low")</f>
        <v>High</v>
      </c>
      <c r="U126" s="1" t="str">
        <f t="shared" si="9"/>
        <v>High</v>
      </c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5"/>
        <v>29777.759999999998</v>
      </c>
      <c r="Q127" s="10">
        <f t="shared" si="6"/>
        <v>1414.4435000000001</v>
      </c>
      <c r="R127" s="11">
        <f t="shared" si="7"/>
        <v>28363.316499999997</v>
      </c>
      <c r="S127" s="1" t="str">
        <f t="shared" si="8"/>
        <v>High</v>
      </c>
      <c r="T127" s="1" t="str" cm="1">
        <f t="array" ref="T127">_xlfn.IFS(L127&gt;5,"High",L127=5,"mediam",L127&lt;5,"low")</f>
        <v>High</v>
      </c>
      <c r="U127" s="1" t="str">
        <f t="shared" si="9"/>
        <v>High</v>
      </c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5"/>
        <v>11077.26</v>
      </c>
      <c r="Q128" s="10">
        <f t="shared" si="6"/>
        <v>996.95300000000009</v>
      </c>
      <c r="R128" s="11">
        <f t="shared" si="7"/>
        <v>10080.307000000001</v>
      </c>
      <c r="S128" s="1" t="str">
        <f t="shared" si="8"/>
        <v>High</v>
      </c>
      <c r="T128" s="1" t="str" cm="1">
        <f t="array" ref="T128">_xlfn.IFS(L128&gt;5,"High",L128=5,"mediam",L128&lt;5,"low")</f>
        <v>High</v>
      </c>
      <c r="U128" s="1" t="str">
        <f t="shared" si="9"/>
        <v>High</v>
      </c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5"/>
        <v>3958.56</v>
      </c>
      <c r="Q129" s="10">
        <f t="shared" si="6"/>
        <v>0</v>
      </c>
      <c r="R129" s="11">
        <f t="shared" si="7"/>
        <v>3958.56</v>
      </c>
      <c r="S129" s="1" t="str">
        <f t="shared" si="8"/>
        <v>High</v>
      </c>
      <c r="T129" s="1" t="str" cm="1">
        <f t="array" ref="T129">_xlfn.IFS(L129&gt;5,"High",L129=5,"mediam",L129&lt;5,"low")</f>
        <v>High</v>
      </c>
      <c r="U129" s="1" t="str">
        <f t="shared" si="9"/>
        <v>High</v>
      </c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5"/>
        <v>4865.01</v>
      </c>
      <c r="Q130" s="10">
        <f t="shared" si="6"/>
        <v>0</v>
      </c>
      <c r="R130" s="11">
        <f t="shared" si="7"/>
        <v>4865.01</v>
      </c>
      <c r="S130" s="1" t="str">
        <f t="shared" si="8"/>
        <v>Low</v>
      </c>
      <c r="T130" s="1" t="str" cm="1">
        <f t="array" ref="T130">_xlfn.IFS(L130&gt;5,"High",L130=5,"mediam",L130&lt;5,"low")</f>
        <v>low</v>
      </c>
      <c r="U130" s="1" t="b">
        <f t="shared" si="9"/>
        <v>0</v>
      </c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0">L131*M131</f>
        <v>2534.4699999999998</v>
      </c>
      <c r="Q131" s="10">
        <f t="shared" ref="Q131:Q194" si="11">O131*N131%</f>
        <v>120.3875</v>
      </c>
      <c r="R131" s="11">
        <f t="shared" ref="R131:R194" si="12">P131-Q131</f>
        <v>2414.0825</v>
      </c>
      <c r="S131" s="1" t="str">
        <f t="shared" ref="S131:S194" si="13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ref="U131:U194" si="14">IF(L131&gt;5,"High",IF(L131="Mediam","Low"))</f>
        <v>0</v>
      </c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0"/>
        <v>13296.15</v>
      </c>
      <c r="Q132" s="10">
        <f t="shared" si="11"/>
        <v>1695.2594999999999</v>
      </c>
      <c r="R132" s="11">
        <f t="shared" si="12"/>
        <v>11600.8905</v>
      </c>
      <c r="S132" s="1" t="str">
        <f t="shared" si="13"/>
        <v>High</v>
      </c>
      <c r="T132" s="1" t="str" cm="1">
        <f t="array" ref="T132">_xlfn.IFS(L132&gt;5,"High",L132=5,"mediam",L132&lt;5,"low")</f>
        <v>High</v>
      </c>
      <c r="U132" s="1" t="str">
        <f t="shared" si="14"/>
        <v>High</v>
      </c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0"/>
        <v>12614.92</v>
      </c>
      <c r="Q133" s="10">
        <f t="shared" si="11"/>
        <v>0</v>
      </c>
      <c r="R133" s="11">
        <f t="shared" si="12"/>
        <v>12614.92</v>
      </c>
      <c r="S133" s="1" t="str">
        <f t="shared" si="13"/>
        <v>Low</v>
      </c>
      <c r="T133" s="1" t="str" cm="1">
        <f t="array" ref="T133">_xlfn.IFS(L133&gt;5,"High",L133=5,"mediam",L133&lt;5,"low")</f>
        <v>low</v>
      </c>
      <c r="U133" s="1" t="b">
        <f t="shared" si="14"/>
        <v>0</v>
      </c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0"/>
        <v>3990.85</v>
      </c>
      <c r="Q134" s="10">
        <f t="shared" si="11"/>
        <v>0</v>
      </c>
      <c r="R134" s="11">
        <f t="shared" si="12"/>
        <v>3990.85</v>
      </c>
      <c r="S134" s="1" t="str">
        <f t="shared" si="13"/>
        <v>Low</v>
      </c>
      <c r="T134" s="1" t="str" cm="1">
        <f t="array" ref="T134">_xlfn.IFS(L134&gt;5,"High",L134=5,"mediam",L134&lt;5,"low")</f>
        <v>low</v>
      </c>
      <c r="U134" s="1" t="b">
        <f t="shared" si="14"/>
        <v>0</v>
      </c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0"/>
        <v>7086.88</v>
      </c>
      <c r="Q135" s="10">
        <f t="shared" si="11"/>
        <v>903.57749999999999</v>
      </c>
      <c r="R135" s="11">
        <f t="shared" si="12"/>
        <v>6183.3024999999998</v>
      </c>
      <c r="S135" s="1" t="str">
        <f t="shared" si="13"/>
        <v>High</v>
      </c>
      <c r="T135" s="1" t="str" cm="1">
        <f t="array" ref="T135">_xlfn.IFS(L135&gt;5,"High",L135=5,"mediam",L135&lt;5,"low")</f>
        <v>High</v>
      </c>
      <c r="U135" s="1" t="str">
        <f t="shared" si="14"/>
        <v>High</v>
      </c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0"/>
        <v>11517.960000000001</v>
      </c>
      <c r="Q136" s="10">
        <f t="shared" si="11"/>
        <v>547.10299999999995</v>
      </c>
      <c r="R136" s="11">
        <f t="shared" si="12"/>
        <v>10970.857000000002</v>
      </c>
      <c r="S136" s="1" t="str">
        <f t="shared" si="13"/>
        <v>High</v>
      </c>
      <c r="T136" s="1" t="str" cm="1">
        <f t="array" ref="T136">_xlfn.IFS(L136&gt;5,"High",L136=5,"mediam",L136&lt;5,"low")</f>
        <v>High</v>
      </c>
      <c r="U136" s="1" t="str">
        <f t="shared" si="14"/>
        <v>High</v>
      </c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0"/>
        <v>10855.74</v>
      </c>
      <c r="Q137" s="10">
        <f t="shared" si="11"/>
        <v>0</v>
      </c>
      <c r="R137" s="11">
        <f t="shared" si="12"/>
        <v>10855.74</v>
      </c>
      <c r="S137" s="1" t="str">
        <f t="shared" si="13"/>
        <v>High</v>
      </c>
      <c r="T137" s="1" t="str" cm="1">
        <f t="array" ref="T137">_xlfn.IFS(L137&gt;5,"High",L137=5,"mediam",L137&lt;5,"low")</f>
        <v>High</v>
      </c>
      <c r="U137" s="1" t="str">
        <f t="shared" si="14"/>
        <v>High</v>
      </c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0"/>
        <v>2644.6</v>
      </c>
      <c r="Q138" s="10">
        <f t="shared" si="11"/>
        <v>337.18649999999997</v>
      </c>
      <c r="R138" s="11">
        <f t="shared" si="12"/>
        <v>2307.4135000000001</v>
      </c>
      <c r="S138" s="1" t="str">
        <f t="shared" si="13"/>
        <v>Low</v>
      </c>
      <c r="T138" s="1" t="str" cm="1">
        <f t="array" ref="T138">_xlfn.IFS(L138&gt;5,"High",L138=5,"mediam",L138&lt;5,"low")</f>
        <v>low</v>
      </c>
      <c r="U138" s="1" t="b">
        <f t="shared" si="14"/>
        <v>0</v>
      </c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0"/>
        <v>912.67</v>
      </c>
      <c r="Q139" s="10">
        <f t="shared" si="11"/>
        <v>0</v>
      </c>
      <c r="R139" s="11">
        <f t="shared" si="12"/>
        <v>912.67</v>
      </c>
      <c r="S139" s="1" t="str">
        <f t="shared" si="13"/>
        <v>Low</v>
      </c>
      <c r="T139" s="1" t="str" cm="1">
        <f t="array" ref="T139">_xlfn.IFS(L139&gt;5,"High",L139=5,"mediam",L139&lt;5,"low")</f>
        <v>low</v>
      </c>
      <c r="U139" s="1" t="b">
        <f t="shared" si="14"/>
        <v>0</v>
      </c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0"/>
        <v>805.82</v>
      </c>
      <c r="Q140" s="10">
        <f t="shared" si="11"/>
        <v>72.524000000000001</v>
      </c>
      <c r="R140" s="11">
        <f t="shared" si="12"/>
        <v>733.29600000000005</v>
      </c>
      <c r="S140" s="1" t="str">
        <f t="shared" si="13"/>
        <v>Low</v>
      </c>
      <c r="T140" s="1" t="str" cm="1">
        <f t="array" ref="T140">_xlfn.IFS(L140&gt;5,"High",L140=5,"mediam",L140&lt;5,"low")</f>
        <v>low</v>
      </c>
      <c r="U140" s="1" t="b">
        <f t="shared" si="14"/>
        <v>0</v>
      </c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0"/>
        <v>14261.64</v>
      </c>
      <c r="Q141" s="10">
        <f t="shared" si="11"/>
        <v>2281.8620000000001</v>
      </c>
      <c r="R141" s="11">
        <f t="shared" si="12"/>
        <v>11979.777999999998</v>
      </c>
      <c r="S141" s="1" t="str">
        <f t="shared" si="13"/>
        <v>Low</v>
      </c>
      <c r="T141" s="1" t="str" cm="1">
        <f t="array" ref="T141">_xlfn.IFS(L141&gt;5,"High",L141=5,"mediam",L141&lt;5,"low")</f>
        <v>low</v>
      </c>
      <c r="U141" s="1" t="b">
        <f t="shared" si="14"/>
        <v>0</v>
      </c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0"/>
        <v>3532.84</v>
      </c>
      <c r="Q142" s="10">
        <f t="shared" si="11"/>
        <v>317.95600000000002</v>
      </c>
      <c r="R142" s="11">
        <f t="shared" si="12"/>
        <v>3214.884</v>
      </c>
      <c r="S142" s="1" t="str">
        <f t="shared" si="13"/>
        <v>Low</v>
      </c>
      <c r="T142" s="1" t="str" cm="1">
        <f t="array" ref="T142">_xlfn.IFS(L142&gt;5,"High",L142=5,"mediam",L142&lt;5,"low")</f>
        <v>low</v>
      </c>
      <c r="U142" s="1" t="b">
        <f t="shared" si="14"/>
        <v>0</v>
      </c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0"/>
        <v>2063.0500000000002</v>
      </c>
      <c r="Q143" s="10">
        <f t="shared" si="11"/>
        <v>0</v>
      </c>
      <c r="R143" s="11">
        <f t="shared" si="12"/>
        <v>2063.0500000000002</v>
      </c>
      <c r="S143" s="1" t="str">
        <f t="shared" si="13"/>
        <v>Low</v>
      </c>
      <c r="T143" s="1" t="str" cm="1">
        <f t="array" ref="T143">_xlfn.IFS(L143&gt;5,"High",L143=5,"mediam",L143&lt;5,"low")</f>
        <v>low</v>
      </c>
      <c r="U143" s="1" t="b">
        <f t="shared" si="14"/>
        <v>0</v>
      </c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0"/>
        <v>25761.61</v>
      </c>
      <c r="Q144" s="10">
        <f t="shared" si="11"/>
        <v>1223.6765</v>
      </c>
      <c r="R144" s="11">
        <f t="shared" si="12"/>
        <v>24537.933499999999</v>
      </c>
      <c r="S144" s="1" t="str">
        <f t="shared" si="13"/>
        <v>High</v>
      </c>
      <c r="T144" s="1" t="str" cm="1">
        <f t="array" ref="T144">_xlfn.IFS(L144&gt;5,"High",L144=5,"mediam",L144&lt;5,"low")</f>
        <v>High</v>
      </c>
      <c r="U144" s="1" t="str">
        <f t="shared" si="14"/>
        <v>High</v>
      </c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0"/>
        <v>25109.759999999998</v>
      </c>
      <c r="Q145" s="10">
        <f t="shared" si="11"/>
        <v>4017.5620000000004</v>
      </c>
      <c r="R145" s="11">
        <f t="shared" si="12"/>
        <v>21092.197999999997</v>
      </c>
      <c r="S145" s="1" t="str">
        <f t="shared" si="13"/>
        <v>High</v>
      </c>
      <c r="T145" s="1" t="str" cm="1">
        <f t="array" ref="T145">_xlfn.IFS(L145&gt;5,"High",L145=5,"mediam",L145&lt;5,"low")</f>
        <v>High</v>
      </c>
      <c r="U145" s="1" t="str">
        <f t="shared" si="14"/>
        <v>High</v>
      </c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0"/>
        <v>3914.58</v>
      </c>
      <c r="Q146" s="10">
        <f t="shared" si="11"/>
        <v>352.31200000000001</v>
      </c>
      <c r="R146" s="11">
        <f t="shared" si="12"/>
        <v>3562.268</v>
      </c>
      <c r="S146" s="1" t="str">
        <f t="shared" si="13"/>
        <v>High</v>
      </c>
      <c r="T146" s="1" t="str" cm="1">
        <f t="array" ref="T146">_xlfn.IFS(L146&gt;5,"High",L146=5,"mediam",L146&lt;5,"low")</f>
        <v>High</v>
      </c>
      <c r="U146" s="1" t="str">
        <f t="shared" si="14"/>
        <v>High</v>
      </c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0"/>
        <v>9307.48</v>
      </c>
      <c r="Q147" s="10">
        <f t="shared" si="11"/>
        <v>1186.704</v>
      </c>
      <c r="R147" s="11">
        <f t="shared" si="12"/>
        <v>8120.7759999999998</v>
      </c>
      <c r="S147" s="1" t="str">
        <f t="shared" si="13"/>
        <v>Low</v>
      </c>
      <c r="T147" s="1" t="str" cm="1">
        <f t="array" ref="T147">_xlfn.IFS(L147&gt;5,"High",L147=5,"mediam",L147&lt;5,"low")</f>
        <v>low</v>
      </c>
      <c r="U147" s="1" t="b">
        <f t="shared" si="14"/>
        <v>0</v>
      </c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0"/>
        <v>11116.02</v>
      </c>
      <c r="Q148" s="10">
        <f t="shared" si="11"/>
        <v>528.01099999999997</v>
      </c>
      <c r="R148" s="11">
        <f t="shared" si="12"/>
        <v>10588.009</v>
      </c>
      <c r="S148" s="1" t="str">
        <f t="shared" si="13"/>
        <v>High</v>
      </c>
      <c r="T148" s="1" t="str" cm="1">
        <f t="array" ref="T148">_xlfn.IFS(L148&gt;5,"High",L148=5,"mediam",L148&lt;5,"low")</f>
        <v>High</v>
      </c>
      <c r="U148" s="1" t="str">
        <f t="shared" si="14"/>
        <v>High</v>
      </c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0"/>
        <v>9657.7800000000007</v>
      </c>
      <c r="Q149" s="10">
        <f t="shared" si="11"/>
        <v>869.2</v>
      </c>
      <c r="R149" s="11">
        <f t="shared" si="12"/>
        <v>8788.58</v>
      </c>
      <c r="S149" s="1" t="str">
        <f t="shared" si="13"/>
        <v>Low</v>
      </c>
      <c r="T149" s="1" t="str" cm="1">
        <f t="array" ref="T149">_xlfn.IFS(L149&gt;5,"High",L149=5,"mediam",L149&lt;5,"low")</f>
        <v>low</v>
      </c>
      <c r="U149" s="1" t="b">
        <f t="shared" si="14"/>
        <v>0</v>
      </c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0"/>
        <v>23506.400000000001</v>
      </c>
      <c r="Q150" s="10">
        <f t="shared" si="11"/>
        <v>2997.0659999999998</v>
      </c>
      <c r="R150" s="11">
        <f t="shared" si="12"/>
        <v>20509.334000000003</v>
      </c>
      <c r="S150" s="1" t="str">
        <f t="shared" si="13"/>
        <v>High</v>
      </c>
      <c r="T150" s="1" t="str" cm="1">
        <f t="array" ref="T150">_xlfn.IFS(L150&gt;5,"High",L150=5,"mediam",L150&lt;5,"low")</f>
        <v>High</v>
      </c>
      <c r="U150" s="1" t="str">
        <f t="shared" si="14"/>
        <v>High</v>
      </c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0"/>
        <v>5616.12</v>
      </c>
      <c r="Q151" s="10">
        <f t="shared" si="11"/>
        <v>0</v>
      </c>
      <c r="R151" s="11">
        <f t="shared" si="12"/>
        <v>5616.12</v>
      </c>
      <c r="S151" s="1" t="str">
        <f t="shared" si="13"/>
        <v>Low</v>
      </c>
      <c r="T151" s="1" t="str" cm="1">
        <f t="array" ref="T151">_xlfn.IFS(L151&gt;5,"High",L151=5,"mediam",L151&lt;5,"low")</f>
        <v>low</v>
      </c>
      <c r="U151" s="1" t="b">
        <f t="shared" si="14"/>
        <v>0</v>
      </c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0"/>
        <v>7305.5</v>
      </c>
      <c r="Q152" s="10">
        <f t="shared" si="11"/>
        <v>931.452</v>
      </c>
      <c r="R152" s="11">
        <f t="shared" si="12"/>
        <v>6374.0479999999998</v>
      </c>
      <c r="S152" s="1" t="str">
        <f t="shared" si="13"/>
        <v>High</v>
      </c>
      <c r="T152" s="1" t="str" cm="1">
        <f t="array" ref="T152">_xlfn.IFS(L152&gt;5,"High",L152=5,"mediam",L152&lt;5,"low")</f>
        <v>mediam</v>
      </c>
      <c r="U152" s="1" t="b">
        <f t="shared" si="14"/>
        <v>0</v>
      </c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0"/>
        <v>3249.11</v>
      </c>
      <c r="Q153" s="10">
        <f t="shared" si="11"/>
        <v>292.42</v>
      </c>
      <c r="R153" s="11">
        <f t="shared" si="12"/>
        <v>2956.69</v>
      </c>
      <c r="S153" s="1" t="str">
        <f t="shared" si="13"/>
        <v>Low</v>
      </c>
      <c r="T153" s="1" t="str" cm="1">
        <f t="array" ref="T153">_xlfn.IFS(L153&gt;5,"High",L153=5,"mediam",L153&lt;5,"low")</f>
        <v>low</v>
      </c>
      <c r="U153" s="1" t="b">
        <f t="shared" si="14"/>
        <v>0</v>
      </c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0"/>
        <v>2110.2599999999998</v>
      </c>
      <c r="Q154" s="10">
        <f t="shared" si="11"/>
        <v>189.923</v>
      </c>
      <c r="R154" s="11">
        <f t="shared" si="12"/>
        <v>1920.3369999999998</v>
      </c>
      <c r="S154" s="1" t="str">
        <f t="shared" si="13"/>
        <v>High</v>
      </c>
      <c r="T154" s="1" t="str" cm="1">
        <f t="array" ref="T154">_xlfn.IFS(L154&gt;5,"High",L154=5,"mediam",L154&lt;5,"low")</f>
        <v>High</v>
      </c>
      <c r="U154" s="1" t="str">
        <f t="shared" si="14"/>
        <v>High</v>
      </c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0"/>
        <v>1529.12</v>
      </c>
      <c r="Q155" s="10">
        <f t="shared" si="11"/>
        <v>0</v>
      </c>
      <c r="R155" s="11">
        <f t="shared" si="12"/>
        <v>1529.12</v>
      </c>
      <c r="S155" s="1" t="str">
        <f t="shared" si="13"/>
        <v>Low</v>
      </c>
      <c r="T155" s="1" t="str" cm="1">
        <f t="array" ref="T155">_xlfn.IFS(L155&gt;5,"High",L155=5,"mediam",L155&lt;5,"low")</f>
        <v>low</v>
      </c>
      <c r="U155" s="1" t="b">
        <f t="shared" si="14"/>
        <v>0</v>
      </c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0"/>
        <v>5768.6</v>
      </c>
      <c r="Q156" s="10">
        <f t="shared" si="11"/>
        <v>735.49650000000008</v>
      </c>
      <c r="R156" s="11">
        <f t="shared" si="12"/>
        <v>5033.1035000000002</v>
      </c>
      <c r="S156" s="1" t="str">
        <f t="shared" si="13"/>
        <v>Low</v>
      </c>
      <c r="T156" s="1" t="str" cm="1">
        <f t="array" ref="T156">_xlfn.IFS(L156&gt;5,"High",L156=5,"mediam",L156&lt;5,"low")</f>
        <v>low</v>
      </c>
      <c r="U156" s="1" t="b">
        <f t="shared" si="14"/>
        <v>0</v>
      </c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0"/>
        <v>2674.2599999999998</v>
      </c>
      <c r="Q157" s="10">
        <f t="shared" si="11"/>
        <v>340.96799999999996</v>
      </c>
      <c r="R157" s="11">
        <f t="shared" si="12"/>
        <v>2333.2919999999999</v>
      </c>
      <c r="S157" s="1" t="str">
        <f t="shared" si="13"/>
        <v>High</v>
      </c>
      <c r="T157" s="1" t="str" cm="1">
        <f t="array" ref="T157">_xlfn.IFS(L157&gt;5,"High",L157=5,"mediam",L157&lt;5,"low")</f>
        <v>High</v>
      </c>
      <c r="U157" s="1" t="str">
        <f t="shared" si="14"/>
        <v>High</v>
      </c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0"/>
        <v>8437.84</v>
      </c>
      <c r="Q158" s="10">
        <f t="shared" si="11"/>
        <v>0</v>
      </c>
      <c r="R158" s="11">
        <f t="shared" si="12"/>
        <v>8437.84</v>
      </c>
      <c r="S158" s="1" t="str">
        <f t="shared" si="13"/>
        <v>High</v>
      </c>
      <c r="T158" s="1" t="str" cm="1">
        <f t="array" ref="T158">_xlfn.IFS(L158&gt;5,"High",L158=5,"mediam",L158&lt;5,"low")</f>
        <v>High</v>
      </c>
      <c r="U158" s="1" t="str">
        <f t="shared" si="14"/>
        <v>High</v>
      </c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0"/>
        <v>26768.639999999999</v>
      </c>
      <c r="Q159" s="10">
        <f t="shared" si="11"/>
        <v>3413.0009999999997</v>
      </c>
      <c r="R159" s="11">
        <f t="shared" si="12"/>
        <v>23355.638999999999</v>
      </c>
      <c r="S159" s="1" t="str">
        <f t="shared" si="13"/>
        <v>High</v>
      </c>
      <c r="T159" s="1" t="str" cm="1">
        <f t="array" ref="T159">_xlfn.IFS(L159&gt;5,"High",L159=5,"mediam",L159&lt;5,"low")</f>
        <v>High</v>
      </c>
      <c r="U159" s="1" t="str">
        <f t="shared" si="14"/>
        <v>High</v>
      </c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0"/>
        <v>22804.62</v>
      </c>
      <c r="Q160" s="10">
        <f t="shared" si="11"/>
        <v>0</v>
      </c>
      <c r="R160" s="11">
        <f t="shared" si="12"/>
        <v>22804.62</v>
      </c>
      <c r="S160" s="1" t="str">
        <f t="shared" si="13"/>
        <v>High</v>
      </c>
      <c r="T160" s="1" t="str" cm="1">
        <f t="array" ref="T160">_xlfn.IFS(L160&gt;5,"High",L160=5,"mediam",L160&lt;5,"low")</f>
        <v>High</v>
      </c>
      <c r="U160" s="1" t="str">
        <f t="shared" si="14"/>
        <v>High</v>
      </c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0"/>
        <v>5290.88</v>
      </c>
      <c r="Q161" s="10">
        <f t="shared" si="11"/>
        <v>251.31700000000001</v>
      </c>
      <c r="R161" s="11">
        <f t="shared" si="12"/>
        <v>5039.5630000000001</v>
      </c>
      <c r="S161" s="1" t="str">
        <f t="shared" si="13"/>
        <v>Low</v>
      </c>
      <c r="T161" s="1" t="str" cm="1">
        <f t="array" ref="T161">_xlfn.IFS(L161&gt;5,"High",L161=5,"mediam",L161&lt;5,"low")</f>
        <v>low</v>
      </c>
      <c r="U161" s="1" t="b">
        <f t="shared" si="14"/>
        <v>0</v>
      </c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0"/>
        <v>9347.1200000000008</v>
      </c>
      <c r="Q162" s="10">
        <f t="shared" si="11"/>
        <v>841.24099999999999</v>
      </c>
      <c r="R162" s="11">
        <f t="shared" si="12"/>
        <v>8505.8790000000008</v>
      </c>
      <c r="S162" s="1" t="str">
        <f t="shared" si="13"/>
        <v>High</v>
      </c>
      <c r="T162" s="1" t="str" cm="1">
        <f t="array" ref="T162">_xlfn.IFS(L162&gt;5,"High",L162=5,"mediam",L162&lt;5,"low")</f>
        <v>High</v>
      </c>
      <c r="U162" s="1" t="str">
        <f t="shared" si="14"/>
        <v>High</v>
      </c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0"/>
        <v>9820.7199999999993</v>
      </c>
      <c r="Q163" s="10">
        <f t="shared" si="11"/>
        <v>466.48400000000004</v>
      </c>
      <c r="R163" s="11">
        <f t="shared" si="12"/>
        <v>9354.235999999999</v>
      </c>
      <c r="S163" s="1" t="str">
        <f t="shared" si="13"/>
        <v>High</v>
      </c>
      <c r="T163" s="1" t="str" cm="1">
        <f t="array" ref="T163">_xlfn.IFS(L163&gt;5,"High",L163=5,"mediam",L163&lt;5,"low")</f>
        <v>High</v>
      </c>
      <c r="U163" s="1" t="str">
        <f t="shared" si="14"/>
        <v>High</v>
      </c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0"/>
        <v>1219.22</v>
      </c>
      <c r="Q164" s="10">
        <f t="shared" si="11"/>
        <v>195.07600000000002</v>
      </c>
      <c r="R164" s="11">
        <f t="shared" si="12"/>
        <v>1024.144</v>
      </c>
      <c r="S164" s="1" t="str">
        <f t="shared" si="13"/>
        <v>Low</v>
      </c>
      <c r="T164" s="1" t="str" cm="1">
        <f t="array" ref="T164">_xlfn.IFS(L164&gt;5,"High",L164=5,"mediam",L164&lt;5,"low")</f>
        <v>low</v>
      </c>
      <c r="U164" s="1" t="b">
        <f t="shared" si="14"/>
        <v>0</v>
      </c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0"/>
        <v>1153.32</v>
      </c>
      <c r="Q165" s="10">
        <f t="shared" si="11"/>
        <v>184.53200000000001</v>
      </c>
      <c r="R165" s="11">
        <f t="shared" si="12"/>
        <v>968.7879999999999</v>
      </c>
      <c r="S165" s="1" t="str">
        <f t="shared" si="13"/>
        <v>Low</v>
      </c>
      <c r="T165" s="1" t="str" cm="1">
        <f t="array" ref="T165">_xlfn.IFS(L165&gt;5,"High",L165=5,"mediam",L165&lt;5,"low")</f>
        <v>low</v>
      </c>
      <c r="U165" s="1" t="b">
        <f t="shared" si="14"/>
        <v>0</v>
      </c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0"/>
        <v>14874.52</v>
      </c>
      <c r="Q166" s="10">
        <f t="shared" si="11"/>
        <v>2379.9240000000004</v>
      </c>
      <c r="R166" s="11">
        <f t="shared" si="12"/>
        <v>12494.596</v>
      </c>
      <c r="S166" s="1" t="str">
        <f t="shared" si="13"/>
        <v>Low</v>
      </c>
      <c r="T166" s="1" t="str" cm="1">
        <f t="array" ref="T166">_xlfn.IFS(L166&gt;5,"High",L166=5,"mediam",L166&lt;5,"low")</f>
        <v>low</v>
      </c>
      <c r="U166" s="1" t="b">
        <f t="shared" si="14"/>
        <v>0</v>
      </c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0"/>
        <v>6809.18</v>
      </c>
      <c r="Q167" s="10">
        <f t="shared" si="11"/>
        <v>0</v>
      </c>
      <c r="R167" s="11">
        <f t="shared" si="12"/>
        <v>6809.18</v>
      </c>
      <c r="S167" s="1" t="str">
        <f t="shared" si="13"/>
        <v>High</v>
      </c>
      <c r="T167" s="1" t="str" cm="1">
        <f t="array" ref="T167">_xlfn.IFS(L167&gt;5,"High",L167=5,"mediam",L167&lt;5,"low")</f>
        <v>High</v>
      </c>
      <c r="U167" s="1" t="str">
        <f t="shared" si="14"/>
        <v>High</v>
      </c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0"/>
        <v>12369.14</v>
      </c>
      <c r="Q168" s="10">
        <f t="shared" si="11"/>
        <v>1577.0654999999999</v>
      </c>
      <c r="R168" s="11">
        <f t="shared" si="12"/>
        <v>10792.074499999999</v>
      </c>
      <c r="S168" s="1" t="str">
        <f t="shared" si="13"/>
        <v>High</v>
      </c>
      <c r="T168" s="1" t="str" cm="1">
        <f t="array" ref="T168">_xlfn.IFS(L168&gt;5,"High",L168=5,"mediam",L168&lt;5,"low")</f>
        <v>High</v>
      </c>
      <c r="U168" s="1" t="str">
        <f t="shared" si="14"/>
        <v>High</v>
      </c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0"/>
        <v>1498.32</v>
      </c>
      <c r="Q169" s="10">
        <f t="shared" si="11"/>
        <v>71.17</v>
      </c>
      <c r="R169" s="11">
        <f t="shared" si="12"/>
        <v>1427.1499999999999</v>
      </c>
      <c r="S169" s="1" t="str">
        <f t="shared" si="13"/>
        <v>High</v>
      </c>
      <c r="T169" s="1" t="str" cm="1">
        <f t="array" ref="T169">_xlfn.IFS(L169&gt;5,"High",L169=5,"mediam",L169&lt;5,"low")</f>
        <v>High</v>
      </c>
      <c r="U169" s="1" t="str">
        <f t="shared" si="14"/>
        <v>High</v>
      </c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0"/>
        <v>17265.650000000001</v>
      </c>
      <c r="Q170" s="10">
        <f t="shared" si="11"/>
        <v>820.11850000000004</v>
      </c>
      <c r="R170" s="11">
        <f t="shared" si="12"/>
        <v>16445.531500000001</v>
      </c>
      <c r="S170" s="1" t="str">
        <f t="shared" si="13"/>
        <v>High</v>
      </c>
      <c r="T170" s="1" t="str" cm="1">
        <f t="array" ref="T170">_xlfn.IFS(L170&gt;5,"High",L170=5,"mediam",L170&lt;5,"low")</f>
        <v>mediam</v>
      </c>
      <c r="U170" s="1" t="b">
        <f t="shared" si="14"/>
        <v>0</v>
      </c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0"/>
        <v>20754.72</v>
      </c>
      <c r="Q171" s="10">
        <f t="shared" si="11"/>
        <v>985.84900000000005</v>
      </c>
      <c r="R171" s="11">
        <f t="shared" si="12"/>
        <v>19768.871000000003</v>
      </c>
      <c r="S171" s="1" t="str">
        <f t="shared" si="13"/>
        <v>High</v>
      </c>
      <c r="T171" s="1" t="str" cm="1">
        <f t="array" ref="T171">_xlfn.IFS(L171&gt;5,"High",L171=5,"mediam",L171&lt;5,"low")</f>
        <v>High</v>
      </c>
      <c r="U171" s="1" t="str">
        <f t="shared" si="14"/>
        <v>High</v>
      </c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0"/>
        <v>30360.080000000002</v>
      </c>
      <c r="Q172" s="10">
        <f t="shared" si="11"/>
        <v>1442.1040000000003</v>
      </c>
      <c r="R172" s="11">
        <f t="shared" si="12"/>
        <v>28917.976000000002</v>
      </c>
      <c r="S172" s="1" t="str">
        <f t="shared" si="13"/>
        <v>High</v>
      </c>
      <c r="T172" s="1" t="str" cm="1">
        <f t="array" ref="T172">_xlfn.IFS(L172&gt;5,"High",L172=5,"mediam",L172&lt;5,"low")</f>
        <v>High</v>
      </c>
      <c r="U172" s="1" t="str">
        <f t="shared" si="14"/>
        <v>High</v>
      </c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0"/>
        <v>28432.98</v>
      </c>
      <c r="Q173" s="10">
        <f t="shared" si="11"/>
        <v>4549.2760000000007</v>
      </c>
      <c r="R173" s="11">
        <f t="shared" si="12"/>
        <v>23883.703999999998</v>
      </c>
      <c r="S173" s="1" t="str">
        <f t="shared" si="13"/>
        <v>High</v>
      </c>
      <c r="T173" s="1" t="str" cm="1">
        <f t="array" ref="T173">_xlfn.IFS(L173&gt;5,"High",L173=5,"mediam",L173&lt;5,"low")</f>
        <v>High</v>
      </c>
      <c r="U173" s="1" t="str">
        <f t="shared" si="14"/>
        <v>High</v>
      </c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0"/>
        <v>4073.31</v>
      </c>
      <c r="Q174" s="10">
        <f t="shared" si="11"/>
        <v>193.482</v>
      </c>
      <c r="R174" s="11">
        <f t="shared" si="12"/>
        <v>3879.828</v>
      </c>
      <c r="S174" s="1" t="str">
        <f t="shared" si="13"/>
        <v>Low</v>
      </c>
      <c r="T174" s="1" t="str" cm="1">
        <f t="array" ref="T174">_xlfn.IFS(L174&gt;5,"High",L174=5,"mediam",L174&lt;5,"low")</f>
        <v>low</v>
      </c>
      <c r="U174" s="1" t="b">
        <f t="shared" si="14"/>
        <v>0</v>
      </c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0"/>
        <v>3312.93</v>
      </c>
      <c r="Q175" s="10">
        <f t="shared" si="11"/>
        <v>422.39849999999996</v>
      </c>
      <c r="R175" s="11">
        <f t="shared" si="12"/>
        <v>2890.5315000000001</v>
      </c>
      <c r="S175" s="1" t="str">
        <f t="shared" si="13"/>
        <v>Low</v>
      </c>
      <c r="T175" s="1" t="str" cm="1">
        <f t="array" ref="T175">_xlfn.IFS(L175&gt;5,"High",L175=5,"mediam",L175&lt;5,"low")</f>
        <v>low</v>
      </c>
      <c r="U175" s="1" t="b">
        <f t="shared" si="14"/>
        <v>0</v>
      </c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0"/>
        <v>11344.84</v>
      </c>
      <c r="Q176" s="10">
        <f t="shared" si="11"/>
        <v>1815.1740000000002</v>
      </c>
      <c r="R176" s="11">
        <f t="shared" si="12"/>
        <v>9529.6659999999993</v>
      </c>
      <c r="S176" s="1" t="str">
        <f t="shared" si="13"/>
        <v>Low</v>
      </c>
      <c r="T176" s="1" t="str" cm="1">
        <f t="array" ref="T176">_xlfn.IFS(L176&gt;5,"High",L176=5,"mediam",L176&lt;5,"low")</f>
        <v>low</v>
      </c>
      <c r="U176" s="1" t="b">
        <f t="shared" si="14"/>
        <v>0</v>
      </c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0"/>
        <v>7759.15</v>
      </c>
      <c r="Q177" s="10">
        <f t="shared" si="11"/>
        <v>368.55950000000001</v>
      </c>
      <c r="R177" s="11">
        <f t="shared" si="12"/>
        <v>7390.5904999999993</v>
      </c>
      <c r="S177" s="1" t="str">
        <f t="shared" si="13"/>
        <v>High</v>
      </c>
      <c r="T177" s="1" t="str" cm="1">
        <f t="array" ref="T177">_xlfn.IFS(L177&gt;5,"High",L177=5,"mediam",L177&lt;5,"low")</f>
        <v>mediam</v>
      </c>
      <c r="U177" s="1" t="b">
        <f t="shared" si="14"/>
        <v>0</v>
      </c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0"/>
        <v>2329.9299999999998</v>
      </c>
      <c r="Q178" s="10">
        <f t="shared" si="11"/>
        <v>0</v>
      </c>
      <c r="R178" s="11">
        <f t="shared" si="12"/>
        <v>2329.9299999999998</v>
      </c>
      <c r="S178" s="1" t="str">
        <f t="shared" si="13"/>
        <v>Low</v>
      </c>
      <c r="T178" s="1" t="str" cm="1">
        <f t="array" ref="T178">_xlfn.IFS(L178&gt;5,"High",L178=5,"mediam",L178&lt;5,"low")</f>
        <v>low</v>
      </c>
      <c r="U178" s="1" t="b">
        <f t="shared" si="14"/>
        <v>0</v>
      </c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0"/>
        <v>1218.6300000000001</v>
      </c>
      <c r="Q179" s="10">
        <f t="shared" si="11"/>
        <v>109.67700000000001</v>
      </c>
      <c r="R179" s="11">
        <f t="shared" si="12"/>
        <v>1108.9530000000002</v>
      </c>
      <c r="S179" s="1" t="str">
        <f t="shared" si="13"/>
        <v>High</v>
      </c>
      <c r="T179" s="1" t="str" cm="1">
        <f t="array" ref="T179">_xlfn.IFS(L179&gt;5,"High",L179=5,"mediam",L179&lt;5,"low")</f>
        <v>High</v>
      </c>
      <c r="U179" s="1" t="str">
        <f t="shared" si="14"/>
        <v>High</v>
      </c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0"/>
        <v>3494.34</v>
      </c>
      <c r="Q180" s="10">
        <f t="shared" si="11"/>
        <v>314.49099999999999</v>
      </c>
      <c r="R180" s="11">
        <f t="shared" si="12"/>
        <v>3179.8490000000002</v>
      </c>
      <c r="S180" s="1" t="str">
        <f t="shared" si="13"/>
        <v>High</v>
      </c>
      <c r="T180" s="1" t="str" cm="1">
        <f t="array" ref="T180">_xlfn.IFS(L180&gt;5,"High",L180=5,"mediam",L180&lt;5,"low")</f>
        <v>High</v>
      </c>
      <c r="U180" s="1" t="str">
        <f t="shared" si="14"/>
        <v>High</v>
      </c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0"/>
        <v>17689.36</v>
      </c>
      <c r="Q181" s="10">
        <f t="shared" si="11"/>
        <v>1592.0420000000001</v>
      </c>
      <c r="R181" s="11">
        <f t="shared" si="12"/>
        <v>16097.318000000001</v>
      </c>
      <c r="S181" s="1" t="str">
        <f t="shared" si="13"/>
        <v>High</v>
      </c>
      <c r="T181" s="1" t="str" cm="1">
        <f t="array" ref="T181">_xlfn.IFS(L181&gt;5,"High",L181=5,"mediam",L181&lt;5,"low")</f>
        <v>High</v>
      </c>
      <c r="U181" s="1" t="str">
        <f t="shared" si="14"/>
        <v>High</v>
      </c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0"/>
        <v>11646.900000000001</v>
      </c>
      <c r="Q182" s="10">
        <f t="shared" si="11"/>
        <v>1863.5040000000001</v>
      </c>
      <c r="R182" s="11">
        <f t="shared" si="12"/>
        <v>9783.3960000000006</v>
      </c>
      <c r="S182" s="1" t="str">
        <f t="shared" si="13"/>
        <v>High</v>
      </c>
      <c r="T182" s="1" t="str" cm="1">
        <f t="array" ref="T182">_xlfn.IFS(L182&gt;5,"High",L182=5,"mediam",L182&lt;5,"low")</f>
        <v>mediam</v>
      </c>
      <c r="U182" s="1" t="b">
        <f t="shared" si="14"/>
        <v>0</v>
      </c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0"/>
        <v>12172.36</v>
      </c>
      <c r="Q183" s="10">
        <f t="shared" si="11"/>
        <v>578.18700000000001</v>
      </c>
      <c r="R183" s="11">
        <f t="shared" si="12"/>
        <v>11594.173000000001</v>
      </c>
      <c r="S183" s="1" t="str">
        <f t="shared" si="13"/>
        <v>Low</v>
      </c>
      <c r="T183" s="1" t="str" cm="1">
        <f t="array" ref="T183">_xlfn.IFS(L183&gt;5,"High",L183=5,"mediam",L183&lt;5,"low")</f>
        <v>low</v>
      </c>
      <c r="U183" s="1" t="b">
        <f t="shared" si="14"/>
        <v>0</v>
      </c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0"/>
        <v>4606.4900000000007</v>
      </c>
      <c r="Q184" s="10">
        <f t="shared" si="11"/>
        <v>737.03800000000001</v>
      </c>
      <c r="R184" s="11">
        <f t="shared" si="12"/>
        <v>3869.4520000000007</v>
      </c>
      <c r="S184" s="1" t="str">
        <f t="shared" si="13"/>
        <v>High</v>
      </c>
      <c r="T184" s="1" t="str" cm="1">
        <f t="array" ref="T184">_xlfn.IFS(L184&gt;5,"High",L184=5,"mediam",L184&lt;5,"low")</f>
        <v>High</v>
      </c>
      <c r="U184" s="1" t="str">
        <f t="shared" si="14"/>
        <v>High</v>
      </c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0"/>
        <v>10628.75</v>
      </c>
      <c r="Q185" s="10">
        <f t="shared" si="11"/>
        <v>1355.1659999999999</v>
      </c>
      <c r="R185" s="11">
        <f t="shared" si="12"/>
        <v>9273.5840000000007</v>
      </c>
      <c r="S185" s="1" t="str">
        <f t="shared" si="13"/>
        <v>High</v>
      </c>
      <c r="T185" s="1" t="str" cm="1">
        <f t="array" ref="T185">_xlfn.IFS(L185&gt;5,"High",L185=5,"mediam",L185&lt;5,"low")</f>
        <v>mediam</v>
      </c>
      <c r="U185" s="1" t="b">
        <f t="shared" si="14"/>
        <v>0</v>
      </c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0"/>
        <v>6290.34</v>
      </c>
      <c r="Q186" s="10">
        <f t="shared" si="11"/>
        <v>0</v>
      </c>
      <c r="R186" s="11">
        <f t="shared" si="12"/>
        <v>6290.34</v>
      </c>
      <c r="S186" s="1" t="str">
        <f t="shared" si="13"/>
        <v>High</v>
      </c>
      <c r="T186" s="1" t="str" cm="1">
        <f t="array" ref="T186">_xlfn.IFS(L186&gt;5,"High",L186=5,"mediam",L186&lt;5,"low")</f>
        <v>High</v>
      </c>
      <c r="U186" s="1" t="str">
        <f t="shared" si="14"/>
        <v>High</v>
      </c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0"/>
        <v>508.81</v>
      </c>
      <c r="Q187" s="10">
        <f t="shared" si="11"/>
        <v>0</v>
      </c>
      <c r="R187" s="11">
        <f t="shared" si="12"/>
        <v>508.81</v>
      </c>
      <c r="S187" s="1" t="str">
        <f t="shared" si="13"/>
        <v>Low</v>
      </c>
      <c r="T187" s="1" t="str" cm="1">
        <f t="array" ref="T187">_xlfn.IFS(L187&gt;5,"High",L187=5,"mediam",L187&lt;5,"low")</f>
        <v>low</v>
      </c>
      <c r="U187" s="1" t="b">
        <f t="shared" si="14"/>
        <v>0</v>
      </c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0"/>
        <v>1730.41</v>
      </c>
      <c r="Q188" s="10">
        <f t="shared" si="11"/>
        <v>155.73699999999999</v>
      </c>
      <c r="R188" s="11">
        <f t="shared" si="12"/>
        <v>1574.673</v>
      </c>
      <c r="S188" s="1" t="str">
        <f t="shared" si="13"/>
        <v>Low</v>
      </c>
      <c r="T188" s="1" t="str" cm="1">
        <f t="array" ref="T188">_xlfn.IFS(L188&gt;5,"High",L188=5,"mediam",L188&lt;5,"low")</f>
        <v>low</v>
      </c>
      <c r="U188" s="1" t="b">
        <f t="shared" si="14"/>
        <v>0</v>
      </c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0"/>
        <v>2336.5500000000002</v>
      </c>
      <c r="Q189" s="10">
        <f t="shared" si="11"/>
        <v>210.28899999999999</v>
      </c>
      <c r="R189" s="11">
        <f t="shared" si="12"/>
        <v>2126.2610000000004</v>
      </c>
      <c r="S189" s="1" t="str">
        <f t="shared" si="13"/>
        <v>Low</v>
      </c>
      <c r="T189" s="1" t="str" cm="1">
        <f t="array" ref="T189">_xlfn.IFS(L189&gt;5,"High",L189=5,"mediam",L189&lt;5,"low")</f>
        <v>low</v>
      </c>
      <c r="U189" s="1" t="b">
        <f t="shared" si="14"/>
        <v>0</v>
      </c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0"/>
        <v>2007.72</v>
      </c>
      <c r="Q190" s="10">
        <f t="shared" si="11"/>
        <v>180.69500000000002</v>
      </c>
      <c r="R190" s="11">
        <f t="shared" si="12"/>
        <v>1827.0250000000001</v>
      </c>
      <c r="S190" s="1" t="str">
        <f t="shared" si="13"/>
        <v>Low</v>
      </c>
      <c r="T190" s="1" t="str" cm="1">
        <f t="array" ref="T190">_xlfn.IFS(L190&gt;5,"High",L190=5,"mediam",L190&lt;5,"low")</f>
        <v>low</v>
      </c>
      <c r="U190" s="1" t="b">
        <f t="shared" si="14"/>
        <v>0</v>
      </c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0"/>
        <v>2745.18</v>
      </c>
      <c r="Q191" s="10">
        <f t="shared" si="11"/>
        <v>130.39600000000002</v>
      </c>
      <c r="R191" s="11">
        <f t="shared" si="12"/>
        <v>2614.7839999999997</v>
      </c>
      <c r="S191" s="1" t="str">
        <f t="shared" si="13"/>
        <v>Low</v>
      </c>
      <c r="T191" s="1" t="str" cm="1">
        <f t="array" ref="T191">_xlfn.IFS(L191&gt;5,"High",L191=5,"mediam",L191&lt;5,"low")</f>
        <v>low</v>
      </c>
      <c r="U191" s="1" t="b">
        <f t="shared" si="14"/>
        <v>0</v>
      </c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0"/>
        <v>8040.5500000000011</v>
      </c>
      <c r="Q192" s="10">
        <f t="shared" si="11"/>
        <v>1025.1704999999999</v>
      </c>
      <c r="R192" s="11">
        <f t="shared" si="12"/>
        <v>7015.3795000000009</v>
      </c>
      <c r="S192" s="1" t="str">
        <f t="shared" si="13"/>
        <v>High</v>
      </c>
      <c r="T192" s="1" t="str" cm="1">
        <f t="array" ref="T192">_xlfn.IFS(L192&gt;5,"High",L192=5,"mediam",L192&lt;5,"low")</f>
        <v>High</v>
      </c>
      <c r="U192" s="1" t="str">
        <f t="shared" si="14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0"/>
        <v>974.46</v>
      </c>
      <c r="Q193" s="10">
        <f t="shared" si="11"/>
        <v>124.24349999999998</v>
      </c>
      <c r="R193" s="11">
        <f t="shared" si="12"/>
        <v>850.2165</v>
      </c>
      <c r="S193" s="1" t="str">
        <f t="shared" si="13"/>
        <v>Low</v>
      </c>
      <c r="T193" s="1" t="str" cm="1">
        <f t="array" ref="T193">_xlfn.IFS(L193&gt;5,"High",L193=5,"mediam",L193&lt;5,"low")</f>
        <v>low</v>
      </c>
      <c r="U193" s="1" t="b">
        <f t="shared" si="14"/>
        <v>0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0"/>
        <v>1984.72</v>
      </c>
      <c r="Q194" s="10">
        <f t="shared" si="11"/>
        <v>253.05149999999998</v>
      </c>
      <c r="R194" s="11">
        <f t="shared" si="12"/>
        <v>1731.6685</v>
      </c>
      <c r="S194" s="1" t="str">
        <f t="shared" si="13"/>
        <v>Low</v>
      </c>
      <c r="T194" s="1" t="str" cm="1">
        <f t="array" ref="T194">_xlfn.IFS(L194&gt;5,"High",L194=5,"mediam",L194&lt;5,"low")</f>
        <v>low</v>
      </c>
      <c r="U194" s="1" t="b">
        <f t="shared" si="14"/>
        <v>0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5">L195*M195</f>
        <v>1788.02</v>
      </c>
      <c r="Q195" s="10">
        <f t="shared" ref="Q195:Q258" si="16">O195*N195%</f>
        <v>227.97299999999998</v>
      </c>
      <c r="R195" s="11">
        <f t="shared" ref="R195:R258" si="17">P195-Q195</f>
        <v>1560.047</v>
      </c>
      <c r="S195" s="1" t="str">
        <f t="shared" ref="S195:S258" si="18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ref="U195:U258" si="19">IF(L195&gt;5,"High",IF(L195="Mediam","Low"))</f>
        <v>0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5"/>
        <v>2067.8999999999996</v>
      </c>
      <c r="Q196" s="10">
        <f t="shared" si="16"/>
        <v>186.11099999999999</v>
      </c>
      <c r="R196" s="11">
        <f t="shared" si="17"/>
        <v>1881.7889999999998</v>
      </c>
      <c r="S196" s="1" t="str">
        <f t="shared" si="18"/>
        <v>High</v>
      </c>
      <c r="T196" s="1" t="str" cm="1">
        <f t="array" ref="T196">_xlfn.IFS(L196&gt;5,"High",L196=5,"mediam",L196&lt;5,"low")</f>
        <v>High</v>
      </c>
      <c r="U196" s="1" t="str">
        <f t="shared" si="19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5"/>
        <v>20494.88</v>
      </c>
      <c r="Q197" s="10">
        <f t="shared" si="16"/>
        <v>0</v>
      </c>
      <c r="R197" s="11">
        <f t="shared" si="17"/>
        <v>20494.88</v>
      </c>
      <c r="S197" s="1" t="str">
        <f t="shared" si="18"/>
        <v>High</v>
      </c>
      <c r="T197" s="1" t="str" cm="1">
        <f t="array" ref="T197">_xlfn.IFS(L197&gt;5,"High",L197=5,"mediam",L197&lt;5,"low")</f>
        <v>High</v>
      </c>
      <c r="U197" s="1" t="str">
        <f t="shared" si="19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5"/>
        <v>5024.84</v>
      </c>
      <c r="Q198" s="10">
        <f t="shared" si="16"/>
        <v>452.23599999999999</v>
      </c>
      <c r="R198" s="11">
        <f t="shared" si="17"/>
        <v>4572.6040000000003</v>
      </c>
      <c r="S198" s="1" t="str">
        <f t="shared" si="18"/>
        <v>Low</v>
      </c>
      <c r="T198" s="1" t="str" cm="1">
        <f t="array" ref="T198">_xlfn.IFS(L198&gt;5,"High",L198=5,"mediam",L198&lt;5,"low")</f>
        <v>low</v>
      </c>
      <c r="U198" s="1" t="b">
        <f t="shared" si="19"/>
        <v>0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5"/>
        <v>6135.1</v>
      </c>
      <c r="Q199" s="10">
        <f t="shared" si="16"/>
        <v>782.226</v>
      </c>
      <c r="R199" s="11">
        <f t="shared" si="17"/>
        <v>5352.8740000000007</v>
      </c>
      <c r="S199" s="1" t="str">
        <f t="shared" si="18"/>
        <v>High</v>
      </c>
      <c r="T199" s="1" t="str" cm="1">
        <f t="array" ref="T199">_xlfn.IFS(L199&gt;5,"High",L199=5,"mediam",L199&lt;5,"low")</f>
        <v>mediam</v>
      </c>
      <c r="U199" s="1" t="b">
        <f t="shared" si="19"/>
        <v>0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5"/>
        <v>5712.76</v>
      </c>
      <c r="Q200" s="10">
        <f t="shared" si="16"/>
        <v>514.14800000000002</v>
      </c>
      <c r="R200" s="11">
        <f t="shared" si="17"/>
        <v>5198.6120000000001</v>
      </c>
      <c r="S200" s="1" t="str">
        <f t="shared" si="18"/>
        <v>Low</v>
      </c>
      <c r="T200" s="1" t="str" cm="1">
        <f t="array" ref="T200">_xlfn.IFS(L200&gt;5,"High",L200=5,"mediam",L200&lt;5,"low")</f>
        <v>low</v>
      </c>
      <c r="U200" s="1" t="b">
        <f t="shared" si="19"/>
        <v>0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5"/>
        <v>8105.3099999999995</v>
      </c>
      <c r="Q201" s="10">
        <f t="shared" si="16"/>
        <v>1033.4265</v>
      </c>
      <c r="R201" s="11">
        <f t="shared" si="17"/>
        <v>7071.8834999999999</v>
      </c>
      <c r="S201" s="1" t="str">
        <f t="shared" si="18"/>
        <v>Low</v>
      </c>
      <c r="T201" s="1" t="str" cm="1">
        <f t="array" ref="T201">_xlfn.IFS(L201&gt;5,"High",L201=5,"mediam",L201&lt;5,"low")</f>
        <v>low</v>
      </c>
      <c r="U201" s="1" t="b">
        <f t="shared" si="19"/>
        <v>0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5"/>
        <v>17509.7</v>
      </c>
      <c r="Q202" s="10">
        <f t="shared" si="16"/>
        <v>2801.5520000000001</v>
      </c>
      <c r="R202" s="11">
        <f t="shared" si="17"/>
        <v>14708.148000000001</v>
      </c>
      <c r="S202" s="1" t="str">
        <f t="shared" si="18"/>
        <v>High</v>
      </c>
      <c r="T202" s="1" t="str" cm="1">
        <f t="array" ref="T202">_xlfn.IFS(L202&gt;5,"High",L202=5,"mediam",L202&lt;5,"low")</f>
        <v>mediam</v>
      </c>
      <c r="U202" s="1" t="b">
        <f t="shared" si="19"/>
        <v>0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5"/>
        <v>27652.32</v>
      </c>
      <c r="Q203" s="10">
        <f t="shared" si="16"/>
        <v>0</v>
      </c>
      <c r="R203" s="11">
        <f t="shared" si="17"/>
        <v>27652.32</v>
      </c>
      <c r="S203" s="1" t="str">
        <f t="shared" si="18"/>
        <v>High</v>
      </c>
      <c r="T203" s="1" t="str" cm="1">
        <f t="array" ref="T203">_xlfn.IFS(L203&gt;5,"High",L203=5,"mediam",L203&lt;5,"low")</f>
        <v>High</v>
      </c>
      <c r="U203" s="1" t="str">
        <f t="shared" si="19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5"/>
        <v>23607.919999999998</v>
      </c>
      <c r="Q204" s="10">
        <f t="shared" si="16"/>
        <v>3777.268</v>
      </c>
      <c r="R204" s="11">
        <f t="shared" si="17"/>
        <v>19830.651999999998</v>
      </c>
      <c r="S204" s="1" t="str">
        <f t="shared" si="18"/>
        <v>High</v>
      </c>
      <c r="T204" s="1" t="str" cm="1">
        <f t="array" ref="T204">_xlfn.IFS(L204&gt;5,"High",L204=5,"mediam",L204&lt;5,"low")</f>
        <v>High</v>
      </c>
      <c r="U204" s="1" t="str">
        <f t="shared" si="19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5"/>
        <v>16119.28</v>
      </c>
      <c r="Q205" s="10">
        <f t="shared" si="16"/>
        <v>765.66600000000005</v>
      </c>
      <c r="R205" s="11">
        <f t="shared" si="17"/>
        <v>15353.614000000001</v>
      </c>
      <c r="S205" s="1" t="str">
        <f t="shared" si="18"/>
        <v>High</v>
      </c>
      <c r="T205" s="1" t="str" cm="1">
        <f t="array" ref="T205">_xlfn.IFS(L205&gt;5,"High",L205=5,"mediam",L205&lt;5,"low")</f>
        <v>High</v>
      </c>
      <c r="U205" s="1" t="str">
        <f t="shared" si="19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5"/>
        <v>22569.200000000001</v>
      </c>
      <c r="Q206" s="10">
        <f t="shared" si="16"/>
        <v>2031.2280000000001</v>
      </c>
      <c r="R206" s="11">
        <f t="shared" si="17"/>
        <v>20537.972000000002</v>
      </c>
      <c r="S206" s="1" t="str">
        <f t="shared" si="18"/>
        <v>High</v>
      </c>
      <c r="T206" s="1" t="str" cm="1">
        <f t="array" ref="T206">_xlfn.IFS(L206&gt;5,"High",L206=5,"mediam",L206&lt;5,"low")</f>
        <v>High</v>
      </c>
      <c r="U206" s="1" t="str">
        <f t="shared" si="19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5"/>
        <v>18225.12</v>
      </c>
      <c r="Q207" s="10">
        <f t="shared" si="16"/>
        <v>865.6930000000001</v>
      </c>
      <c r="R207" s="11">
        <f t="shared" si="17"/>
        <v>17359.427</v>
      </c>
      <c r="S207" s="1" t="str">
        <f t="shared" si="18"/>
        <v>High</v>
      </c>
      <c r="T207" s="1" t="str" cm="1">
        <f t="array" ref="T207">_xlfn.IFS(L207&gt;5,"High",L207=5,"mediam",L207&lt;5,"low")</f>
        <v>High</v>
      </c>
      <c r="U207" s="1" t="str">
        <f t="shared" si="19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5"/>
        <v>6877.92</v>
      </c>
      <c r="Q208" s="10">
        <f t="shared" si="16"/>
        <v>619.01300000000003</v>
      </c>
      <c r="R208" s="11">
        <f t="shared" si="17"/>
        <v>6258.9070000000002</v>
      </c>
      <c r="S208" s="1" t="str">
        <f t="shared" si="18"/>
        <v>High</v>
      </c>
      <c r="T208" s="1" t="str" cm="1">
        <f t="array" ref="T208">_xlfn.IFS(L208&gt;5,"High",L208=5,"mediam",L208&lt;5,"low")</f>
        <v>High</v>
      </c>
      <c r="U208" s="1" t="str">
        <f t="shared" si="19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5"/>
        <v>7624.56</v>
      </c>
      <c r="Q209" s="10">
        <f t="shared" si="16"/>
        <v>1219.93</v>
      </c>
      <c r="R209" s="11">
        <f t="shared" si="17"/>
        <v>6404.63</v>
      </c>
      <c r="S209" s="1" t="str">
        <f t="shared" si="18"/>
        <v>High</v>
      </c>
      <c r="T209" s="1" t="str" cm="1">
        <f t="array" ref="T209">_xlfn.IFS(L209&gt;5,"High",L209=5,"mediam",L209&lt;5,"low")</f>
        <v>High</v>
      </c>
      <c r="U209" s="1" t="str">
        <f t="shared" si="19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5"/>
        <v>10328.879999999999</v>
      </c>
      <c r="Q210" s="10">
        <f t="shared" si="16"/>
        <v>1316.9324999999999</v>
      </c>
      <c r="R210" s="11">
        <f t="shared" si="17"/>
        <v>9011.9474999999984</v>
      </c>
      <c r="S210" s="1" t="str">
        <f t="shared" si="18"/>
        <v>High</v>
      </c>
      <c r="T210" s="1" t="str" cm="1">
        <f t="array" ref="T210">_xlfn.IFS(L210&gt;5,"High",L210=5,"mediam",L210&lt;5,"low")</f>
        <v>High</v>
      </c>
      <c r="U210" s="1" t="str">
        <f t="shared" si="19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5"/>
        <v>29252.720000000001</v>
      </c>
      <c r="Q211" s="10">
        <f t="shared" si="16"/>
        <v>3729.7215000000001</v>
      </c>
      <c r="R211" s="11">
        <f t="shared" si="17"/>
        <v>25522.998500000002</v>
      </c>
      <c r="S211" s="1" t="str">
        <f t="shared" si="18"/>
        <v>High</v>
      </c>
      <c r="T211" s="1" t="str" cm="1">
        <f t="array" ref="T211">_xlfn.IFS(L211&gt;5,"High",L211=5,"mediam",L211&lt;5,"low")</f>
        <v>High</v>
      </c>
      <c r="U211" s="1" t="str">
        <f t="shared" si="19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5"/>
        <v>15802.850000000002</v>
      </c>
      <c r="Q212" s="10">
        <f t="shared" si="16"/>
        <v>1422.2560000000001</v>
      </c>
      <c r="R212" s="11">
        <f t="shared" si="17"/>
        <v>14380.594000000003</v>
      </c>
      <c r="S212" s="1" t="str">
        <f t="shared" si="18"/>
        <v>High</v>
      </c>
      <c r="T212" s="1" t="str" cm="1">
        <f t="array" ref="T212">_xlfn.IFS(L212&gt;5,"High",L212=5,"mediam",L212&lt;5,"low")</f>
        <v>High</v>
      </c>
      <c r="U212" s="1" t="str">
        <f t="shared" si="19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5"/>
        <v>2975.54</v>
      </c>
      <c r="Q213" s="10">
        <f t="shared" si="16"/>
        <v>379.38150000000002</v>
      </c>
      <c r="R213" s="11">
        <f t="shared" si="17"/>
        <v>2596.1585</v>
      </c>
      <c r="S213" s="1" t="str">
        <f t="shared" si="18"/>
        <v>Low</v>
      </c>
      <c r="T213" s="1" t="str" cm="1">
        <f t="array" ref="T213">_xlfn.IFS(L213&gt;5,"High",L213=5,"mediam",L213&lt;5,"low")</f>
        <v>low</v>
      </c>
      <c r="U213" s="1" t="b">
        <f t="shared" si="19"/>
        <v>0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5"/>
        <v>5937</v>
      </c>
      <c r="Q214" s="10">
        <f t="shared" si="16"/>
        <v>949.92000000000007</v>
      </c>
      <c r="R214" s="11">
        <f t="shared" si="17"/>
        <v>4987.08</v>
      </c>
      <c r="S214" s="1" t="str">
        <f t="shared" si="18"/>
        <v>Low</v>
      </c>
      <c r="T214" s="1" t="str" cm="1">
        <f t="array" ref="T214">_xlfn.IFS(L214&gt;5,"High",L214=5,"mediam",L214&lt;5,"low")</f>
        <v>low</v>
      </c>
      <c r="U214" s="1" t="b">
        <f t="shared" si="19"/>
        <v>0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5"/>
        <v>6878.84</v>
      </c>
      <c r="Q215" s="10">
        <f t="shared" si="16"/>
        <v>877.05150000000003</v>
      </c>
      <c r="R215" s="11">
        <f t="shared" si="17"/>
        <v>6001.7885000000006</v>
      </c>
      <c r="S215" s="1" t="str">
        <f t="shared" si="18"/>
        <v>Low</v>
      </c>
      <c r="T215" s="1" t="str" cm="1">
        <f t="array" ref="T215">_xlfn.IFS(L215&gt;5,"High",L215=5,"mediam",L215&lt;5,"low")</f>
        <v>low</v>
      </c>
      <c r="U215" s="1" t="b">
        <f t="shared" si="19"/>
        <v>0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5"/>
        <v>3167.1499999999996</v>
      </c>
      <c r="Q216" s="10">
        <f t="shared" si="16"/>
        <v>506.74399999999997</v>
      </c>
      <c r="R216" s="11">
        <f t="shared" si="17"/>
        <v>2660.4059999999995</v>
      </c>
      <c r="S216" s="1" t="str">
        <f t="shared" si="18"/>
        <v>High</v>
      </c>
      <c r="T216" s="1" t="str" cm="1">
        <f t="array" ref="T216">_xlfn.IFS(L216&gt;5,"High",L216=5,"mediam",L216&lt;5,"low")</f>
        <v>mediam</v>
      </c>
      <c r="U216" s="1" t="b">
        <f t="shared" si="19"/>
        <v>0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5"/>
        <v>4856.9400000000005</v>
      </c>
      <c r="Q217" s="10">
        <f t="shared" si="16"/>
        <v>230.70450000000002</v>
      </c>
      <c r="R217" s="11">
        <f t="shared" si="17"/>
        <v>4626.2355000000007</v>
      </c>
      <c r="S217" s="1" t="str">
        <f t="shared" si="18"/>
        <v>High</v>
      </c>
      <c r="T217" s="1" t="str" cm="1">
        <f t="array" ref="T217">_xlfn.IFS(L217&gt;5,"High",L217=5,"mediam",L217&lt;5,"low")</f>
        <v>High</v>
      </c>
      <c r="U217" s="1" t="str">
        <f t="shared" si="19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5"/>
        <v>13341.28</v>
      </c>
      <c r="Q218" s="10">
        <f t="shared" si="16"/>
        <v>2134.6040000000003</v>
      </c>
      <c r="R218" s="11">
        <f t="shared" si="17"/>
        <v>11206.675999999999</v>
      </c>
      <c r="S218" s="1" t="str">
        <f t="shared" si="18"/>
        <v>Low</v>
      </c>
      <c r="T218" s="1" t="str" cm="1">
        <f t="array" ref="T218">_xlfn.IFS(L218&gt;5,"High",L218=5,"mediam",L218&lt;5,"low")</f>
        <v>low</v>
      </c>
      <c r="U218" s="1" t="b">
        <f t="shared" si="19"/>
        <v>0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5"/>
        <v>4803.26</v>
      </c>
      <c r="Q219" s="10">
        <f t="shared" si="16"/>
        <v>0</v>
      </c>
      <c r="R219" s="11">
        <f t="shared" si="17"/>
        <v>4803.26</v>
      </c>
      <c r="S219" s="1" t="str">
        <f t="shared" si="18"/>
        <v>Low</v>
      </c>
      <c r="T219" s="1" t="str" cm="1">
        <f t="array" ref="T219">_xlfn.IFS(L219&gt;5,"High",L219=5,"mediam",L219&lt;5,"low")</f>
        <v>low</v>
      </c>
      <c r="U219" s="1" t="b">
        <f t="shared" si="19"/>
        <v>0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5"/>
        <v>8697</v>
      </c>
      <c r="Q220" s="10">
        <f t="shared" si="16"/>
        <v>0</v>
      </c>
      <c r="R220" s="11">
        <f t="shared" si="17"/>
        <v>8697</v>
      </c>
      <c r="S220" s="1" t="str">
        <f t="shared" si="18"/>
        <v>High</v>
      </c>
      <c r="T220" s="1" t="str" cm="1">
        <f t="array" ref="T220">_xlfn.IFS(L220&gt;5,"High",L220=5,"mediam",L220&lt;5,"low")</f>
        <v>High</v>
      </c>
      <c r="U220" s="1" t="str">
        <f t="shared" si="19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5"/>
        <v>25927.84</v>
      </c>
      <c r="Q221" s="10">
        <f t="shared" si="16"/>
        <v>0</v>
      </c>
      <c r="R221" s="11">
        <f t="shared" si="17"/>
        <v>25927.84</v>
      </c>
      <c r="S221" s="1" t="str">
        <f t="shared" si="18"/>
        <v>High</v>
      </c>
      <c r="T221" s="1" t="str" cm="1">
        <f t="array" ref="T221">_xlfn.IFS(L221&gt;5,"High",L221=5,"mediam",L221&lt;5,"low")</f>
        <v>High</v>
      </c>
      <c r="U221" s="1" t="str">
        <f t="shared" si="19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5"/>
        <v>8792.7999999999993</v>
      </c>
      <c r="Q222" s="10">
        <f t="shared" si="16"/>
        <v>791.35200000000009</v>
      </c>
      <c r="R222" s="11">
        <f t="shared" si="17"/>
        <v>8001.4479999999994</v>
      </c>
      <c r="S222" s="1" t="str">
        <f t="shared" si="18"/>
        <v>High</v>
      </c>
      <c r="T222" s="1" t="str" cm="1">
        <f t="array" ref="T222">_xlfn.IFS(L222&gt;5,"High",L222=5,"mediam",L222&lt;5,"low")</f>
        <v>High</v>
      </c>
      <c r="U222" s="1" t="str">
        <f t="shared" si="19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5"/>
        <v>27354.11</v>
      </c>
      <c r="Q223" s="10">
        <f t="shared" si="16"/>
        <v>2461.8700000000003</v>
      </c>
      <c r="R223" s="11">
        <f t="shared" si="17"/>
        <v>24892.240000000002</v>
      </c>
      <c r="S223" s="1" t="str">
        <f t="shared" si="18"/>
        <v>High</v>
      </c>
      <c r="T223" s="1" t="str" cm="1">
        <f t="array" ref="T223">_xlfn.IFS(L223&gt;5,"High",L223=5,"mediam",L223&lt;5,"low")</f>
        <v>High</v>
      </c>
      <c r="U223" s="1" t="str">
        <f t="shared" si="19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5"/>
        <v>8865.2999999999993</v>
      </c>
      <c r="Q224" s="10">
        <f t="shared" si="16"/>
        <v>797.87700000000007</v>
      </c>
      <c r="R224" s="11">
        <f t="shared" si="17"/>
        <v>8067.4229999999989</v>
      </c>
      <c r="S224" s="1" t="str">
        <f t="shared" si="18"/>
        <v>High</v>
      </c>
      <c r="T224" s="1" t="str" cm="1">
        <f t="array" ref="T224">_xlfn.IFS(L224&gt;5,"High",L224=5,"mediam",L224&lt;5,"low")</f>
        <v>High</v>
      </c>
      <c r="U224" s="1" t="str">
        <f t="shared" si="19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5"/>
        <v>2897.3</v>
      </c>
      <c r="Q225" s="10">
        <f t="shared" si="16"/>
        <v>463.56800000000004</v>
      </c>
      <c r="R225" s="11">
        <f t="shared" si="17"/>
        <v>2433.732</v>
      </c>
      <c r="S225" s="1" t="str">
        <f t="shared" si="18"/>
        <v>Low</v>
      </c>
      <c r="T225" s="1" t="str" cm="1">
        <f t="array" ref="T225">_xlfn.IFS(L225&gt;5,"High",L225=5,"mediam",L225&lt;5,"low")</f>
        <v>low</v>
      </c>
      <c r="U225" s="1" t="b">
        <f t="shared" si="19"/>
        <v>0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5"/>
        <v>9456.0199999999986</v>
      </c>
      <c r="Q226" s="10">
        <f t="shared" si="16"/>
        <v>851.04200000000003</v>
      </c>
      <c r="R226" s="11">
        <f t="shared" si="17"/>
        <v>8604.9779999999992</v>
      </c>
      <c r="S226" s="1" t="str">
        <f t="shared" si="18"/>
        <v>High</v>
      </c>
      <c r="T226" s="1" t="str" cm="1">
        <f t="array" ref="T226">_xlfn.IFS(L226&gt;5,"High",L226=5,"mediam",L226&lt;5,"low")</f>
        <v>High</v>
      </c>
      <c r="U226" s="1" t="str">
        <f t="shared" si="19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5"/>
        <v>3100.65</v>
      </c>
      <c r="Q227" s="10">
        <f t="shared" si="16"/>
        <v>147.28100000000001</v>
      </c>
      <c r="R227" s="11">
        <f t="shared" si="17"/>
        <v>2953.3690000000001</v>
      </c>
      <c r="S227" s="1" t="str">
        <f t="shared" si="18"/>
        <v>High</v>
      </c>
      <c r="T227" s="1" t="str" cm="1">
        <f t="array" ref="T227">_xlfn.IFS(L227&gt;5,"High",L227=5,"mediam",L227&lt;5,"low")</f>
        <v>mediam</v>
      </c>
      <c r="U227" s="1" t="b">
        <f t="shared" si="19"/>
        <v>0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5"/>
        <v>3467.2799999999997</v>
      </c>
      <c r="Q228" s="10">
        <f t="shared" si="16"/>
        <v>0</v>
      </c>
      <c r="R228" s="11">
        <f t="shared" si="17"/>
        <v>3467.2799999999997</v>
      </c>
      <c r="S228" s="1" t="str">
        <f t="shared" si="18"/>
        <v>High</v>
      </c>
      <c r="T228" s="1" t="str" cm="1">
        <f t="array" ref="T228">_xlfn.IFS(L228&gt;5,"High",L228=5,"mediam",L228&lt;5,"low")</f>
        <v>High</v>
      </c>
      <c r="U228" s="1" t="str">
        <f t="shared" si="19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5"/>
        <v>21161.599999999999</v>
      </c>
      <c r="Q229" s="10">
        <f t="shared" si="16"/>
        <v>3385.8559999999998</v>
      </c>
      <c r="R229" s="11">
        <f t="shared" si="17"/>
        <v>17775.743999999999</v>
      </c>
      <c r="S229" s="1" t="str">
        <f t="shared" si="18"/>
        <v>High</v>
      </c>
      <c r="T229" s="1" t="str" cm="1">
        <f t="array" ref="T229">_xlfn.IFS(L229&gt;5,"High",L229=5,"mediam",L229&lt;5,"low")</f>
        <v>High</v>
      </c>
      <c r="U229" s="1" t="str">
        <f t="shared" si="19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5"/>
        <v>28153.599999999999</v>
      </c>
      <c r="Q230" s="10">
        <f t="shared" si="16"/>
        <v>0</v>
      </c>
      <c r="R230" s="11">
        <f t="shared" si="17"/>
        <v>28153.599999999999</v>
      </c>
      <c r="S230" s="1" t="str">
        <f t="shared" si="18"/>
        <v>High</v>
      </c>
      <c r="T230" s="1" t="str" cm="1">
        <f t="array" ref="T230">_xlfn.IFS(L230&gt;5,"High",L230=5,"mediam",L230&lt;5,"low")</f>
        <v>High</v>
      </c>
      <c r="U230" s="1" t="str">
        <f t="shared" si="19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5"/>
        <v>9580.5</v>
      </c>
      <c r="Q231" s="10">
        <f t="shared" si="16"/>
        <v>862.24500000000012</v>
      </c>
      <c r="R231" s="11">
        <f t="shared" si="17"/>
        <v>8718.2549999999992</v>
      </c>
      <c r="S231" s="1" t="str">
        <f t="shared" si="18"/>
        <v>Low</v>
      </c>
      <c r="T231" s="1" t="str" cm="1">
        <f t="array" ref="T231">_xlfn.IFS(L231&gt;5,"High",L231=5,"mediam",L231&lt;5,"low")</f>
        <v>low</v>
      </c>
      <c r="U231" s="1" t="b">
        <f t="shared" si="19"/>
        <v>0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5"/>
        <v>4852.82</v>
      </c>
      <c r="Q232" s="10">
        <f t="shared" si="16"/>
        <v>776.45200000000011</v>
      </c>
      <c r="R232" s="11">
        <f t="shared" si="17"/>
        <v>4076.3679999999995</v>
      </c>
      <c r="S232" s="1" t="str">
        <f t="shared" si="18"/>
        <v>High</v>
      </c>
      <c r="T232" s="1" t="str" cm="1">
        <f t="array" ref="T232">_xlfn.IFS(L232&gt;5,"High",L232=5,"mediam",L232&lt;5,"low")</f>
        <v>High</v>
      </c>
      <c r="U232" s="1" t="str">
        <f t="shared" si="19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5"/>
        <v>2250.4899999999998</v>
      </c>
      <c r="Q233" s="10">
        <f t="shared" si="16"/>
        <v>286.93799999999999</v>
      </c>
      <c r="R233" s="11">
        <f t="shared" si="17"/>
        <v>1963.5519999999997</v>
      </c>
      <c r="S233" s="1" t="str">
        <f t="shared" si="18"/>
        <v>Low</v>
      </c>
      <c r="T233" s="1" t="str" cm="1">
        <f t="array" ref="T233">_xlfn.IFS(L233&gt;5,"High",L233=5,"mediam",L233&lt;5,"low")</f>
        <v>low</v>
      </c>
      <c r="U233" s="1" t="b">
        <f t="shared" si="19"/>
        <v>0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5"/>
        <v>556.53</v>
      </c>
      <c r="Q234" s="10">
        <f t="shared" si="16"/>
        <v>26.435000000000002</v>
      </c>
      <c r="R234" s="11">
        <f t="shared" si="17"/>
        <v>530.09500000000003</v>
      </c>
      <c r="S234" s="1" t="str">
        <f t="shared" si="18"/>
        <v>Low</v>
      </c>
      <c r="T234" s="1" t="str" cm="1">
        <f t="array" ref="T234">_xlfn.IFS(L234&gt;5,"High",L234=5,"mediam",L234&lt;5,"low")</f>
        <v>low</v>
      </c>
      <c r="U234" s="1" t="b">
        <f t="shared" si="19"/>
        <v>0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5"/>
        <v>2270.66</v>
      </c>
      <c r="Q235" s="10">
        <f t="shared" si="16"/>
        <v>204.35900000000001</v>
      </c>
      <c r="R235" s="11">
        <f t="shared" si="17"/>
        <v>2066.3009999999999</v>
      </c>
      <c r="S235" s="1" t="str">
        <f t="shared" si="18"/>
        <v>High</v>
      </c>
      <c r="T235" s="1" t="str" cm="1">
        <f t="array" ref="T235">_xlfn.IFS(L235&gt;5,"High",L235=5,"mediam",L235&lt;5,"low")</f>
        <v>High</v>
      </c>
      <c r="U235" s="1" t="str">
        <f t="shared" si="19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5"/>
        <v>24093.81</v>
      </c>
      <c r="Q236" s="10">
        <f t="shared" si="16"/>
        <v>2168.4430000000002</v>
      </c>
      <c r="R236" s="11">
        <f t="shared" si="17"/>
        <v>21925.367000000002</v>
      </c>
      <c r="S236" s="1" t="str">
        <f t="shared" si="18"/>
        <v>High</v>
      </c>
      <c r="T236" s="1" t="str" cm="1">
        <f t="array" ref="T236">_xlfn.IFS(L236&gt;5,"High",L236=5,"mediam",L236&lt;5,"low")</f>
        <v>High</v>
      </c>
      <c r="U236" s="1" t="str">
        <f t="shared" si="19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5"/>
        <v>15472.380000000001</v>
      </c>
      <c r="Q237" s="10">
        <f t="shared" si="16"/>
        <v>734.9380000000001</v>
      </c>
      <c r="R237" s="11">
        <f t="shared" si="17"/>
        <v>14737.442000000001</v>
      </c>
      <c r="S237" s="1" t="str">
        <f t="shared" si="18"/>
        <v>High</v>
      </c>
      <c r="T237" s="1" t="str" cm="1">
        <f t="array" ref="T237">_xlfn.IFS(L237&gt;5,"High",L237=5,"mediam",L237&lt;5,"low")</f>
        <v>High</v>
      </c>
      <c r="U237" s="1" t="str">
        <f t="shared" si="19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5"/>
        <v>2328.9500000000003</v>
      </c>
      <c r="Q238" s="10">
        <f t="shared" si="16"/>
        <v>110.625</v>
      </c>
      <c r="R238" s="11">
        <f t="shared" si="17"/>
        <v>2218.3250000000003</v>
      </c>
      <c r="S238" s="1" t="str">
        <f t="shared" si="18"/>
        <v>High</v>
      </c>
      <c r="T238" s="1" t="str" cm="1">
        <f t="array" ref="T238">_xlfn.IFS(L238&gt;5,"High",L238=5,"mediam",L238&lt;5,"low")</f>
        <v>mediam</v>
      </c>
      <c r="U238" s="1" t="b">
        <f t="shared" si="19"/>
        <v>0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5"/>
        <v>2276.16</v>
      </c>
      <c r="Q239" s="10">
        <f t="shared" si="16"/>
        <v>290.21100000000001</v>
      </c>
      <c r="R239" s="11">
        <f t="shared" si="17"/>
        <v>1985.9489999999998</v>
      </c>
      <c r="S239" s="1" t="str">
        <f t="shared" si="18"/>
        <v>High</v>
      </c>
      <c r="T239" s="1" t="str" cm="1">
        <f t="array" ref="T239">_xlfn.IFS(L239&gt;5,"High",L239=5,"mediam",L239&lt;5,"low")</f>
        <v>High</v>
      </c>
      <c r="U239" s="1" t="str">
        <f t="shared" si="19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5"/>
        <v>7921.12</v>
      </c>
      <c r="Q240" s="10">
        <f t="shared" si="16"/>
        <v>712.90100000000007</v>
      </c>
      <c r="R240" s="11">
        <f t="shared" si="17"/>
        <v>7208.2190000000001</v>
      </c>
      <c r="S240" s="1" t="str">
        <f t="shared" si="18"/>
        <v>Low</v>
      </c>
      <c r="T240" s="1" t="str" cm="1">
        <f t="array" ref="T240">_xlfn.IFS(L240&gt;5,"High",L240=5,"mediam",L240&lt;5,"low")</f>
        <v>low</v>
      </c>
      <c r="U240" s="1" t="b">
        <f t="shared" si="19"/>
        <v>0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5"/>
        <v>2390.2199999999998</v>
      </c>
      <c r="Q241" s="10">
        <f t="shared" si="16"/>
        <v>215.12</v>
      </c>
      <c r="R241" s="11">
        <f t="shared" si="17"/>
        <v>2175.1</v>
      </c>
      <c r="S241" s="1" t="str">
        <f t="shared" si="18"/>
        <v>High</v>
      </c>
      <c r="T241" s="1" t="str" cm="1">
        <f t="array" ref="T241">_xlfn.IFS(L241&gt;5,"High",L241=5,"mediam",L241&lt;5,"low")</f>
        <v>High</v>
      </c>
      <c r="U241" s="1" t="str">
        <f t="shared" si="19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5"/>
        <v>11168.58</v>
      </c>
      <c r="Q242" s="10">
        <f t="shared" si="16"/>
        <v>0</v>
      </c>
      <c r="R242" s="11">
        <f t="shared" si="17"/>
        <v>11168.58</v>
      </c>
      <c r="S242" s="1" t="str">
        <f t="shared" si="18"/>
        <v>High</v>
      </c>
      <c r="T242" s="1" t="str" cm="1">
        <f t="array" ref="T242">_xlfn.IFS(L242&gt;5,"High",L242=5,"mediam",L242&lt;5,"low")</f>
        <v>High</v>
      </c>
      <c r="U242" s="1" t="str">
        <f t="shared" si="19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5"/>
        <v>18835.02</v>
      </c>
      <c r="Q243" s="10">
        <f t="shared" si="16"/>
        <v>3013.6040000000003</v>
      </c>
      <c r="R243" s="11">
        <f t="shared" si="17"/>
        <v>15821.416000000001</v>
      </c>
      <c r="S243" s="1" t="str">
        <f t="shared" si="18"/>
        <v>High</v>
      </c>
      <c r="T243" s="1" t="str" cm="1">
        <f t="array" ref="T243">_xlfn.IFS(L243&gt;5,"High",L243=5,"mediam",L243&lt;5,"low")</f>
        <v>High</v>
      </c>
      <c r="U243" s="1" t="str">
        <f t="shared" si="19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5"/>
        <v>1203.06</v>
      </c>
      <c r="Q244" s="10">
        <f t="shared" si="16"/>
        <v>192.49</v>
      </c>
      <c r="R244" s="11">
        <f t="shared" si="17"/>
        <v>1010.5699999999999</v>
      </c>
      <c r="S244" s="1" t="str">
        <f t="shared" si="18"/>
        <v>Low</v>
      </c>
      <c r="T244" s="1" t="str" cm="1">
        <f t="array" ref="T244">_xlfn.IFS(L244&gt;5,"High",L244=5,"mediam",L244&lt;5,"low")</f>
        <v>low</v>
      </c>
      <c r="U244" s="1" t="b">
        <f t="shared" si="19"/>
        <v>0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5"/>
        <v>2402.67</v>
      </c>
      <c r="Q245" s="10">
        <f t="shared" si="16"/>
        <v>0</v>
      </c>
      <c r="R245" s="11">
        <f t="shared" si="17"/>
        <v>2402.67</v>
      </c>
      <c r="S245" s="1" t="str">
        <f t="shared" si="18"/>
        <v>Low</v>
      </c>
      <c r="T245" s="1" t="str" cm="1">
        <f t="array" ref="T245">_xlfn.IFS(L245&gt;5,"High",L245=5,"mediam",L245&lt;5,"low")</f>
        <v>low</v>
      </c>
      <c r="U245" s="1" t="b">
        <f t="shared" si="19"/>
        <v>0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5"/>
        <v>12035.6</v>
      </c>
      <c r="Q246" s="10">
        <f t="shared" si="16"/>
        <v>1925.6959999999999</v>
      </c>
      <c r="R246" s="11">
        <f t="shared" si="17"/>
        <v>10109.904</v>
      </c>
      <c r="S246" s="1" t="str">
        <f t="shared" si="18"/>
        <v>High</v>
      </c>
      <c r="T246" s="1" t="str" cm="1">
        <f t="array" ref="T246">_xlfn.IFS(L246&gt;5,"High",L246=5,"mediam",L246&lt;5,"low")</f>
        <v>High</v>
      </c>
      <c r="U246" s="1" t="str">
        <f t="shared" si="19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5"/>
        <v>3082.45</v>
      </c>
      <c r="Q247" s="10">
        <f t="shared" si="16"/>
        <v>146.41650000000001</v>
      </c>
      <c r="R247" s="11">
        <f t="shared" si="17"/>
        <v>2936.0335</v>
      </c>
      <c r="S247" s="1" t="str">
        <f t="shared" si="18"/>
        <v>Low</v>
      </c>
      <c r="T247" s="1" t="str" cm="1">
        <f t="array" ref="T247">_xlfn.IFS(L247&gt;5,"High",L247=5,"mediam",L247&lt;5,"low")</f>
        <v>low</v>
      </c>
      <c r="U247" s="1" t="b">
        <f t="shared" si="19"/>
        <v>0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5"/>
        <v>14715.89</v>
      </c>
      <c r="Q248" s="10">
        <f t="shared" si="16"/>
        <v>2354.5419999999999</v>
      </c>
      <c r="R248" s="11">
        <f t="shared" si="17"/>
        <v>12361.348</v>
      </c>
      <c r="S248" s="1" t="str">
        <f t="shared" si="18"/>
        <v>High</v>
      </c>
      <c r="T248" s="1" t="str" cm="1">
        <f t="array" ref="T248">_xlfn.IFS(L248&gt;5,"High",L248=5,"mediam",L248&lt;5,"low")</f>
        <v>High</v>
      </c>
      <c r="U248" s="1" t="str">
        <f t="shared" si="19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5"/>
        <v>18241.440000000002</v>
      </c>
      <c r="Q249" s="10">
        <f t="shared" si="16"/>
        <v>2918.63</v>
      </c>
      <c r="R249" s="11">
        <f t="shared" si="17"/>
        <v>15322.810000000001</v>
      </c>
      <c r="S249" s="1" t="str">
        <f t="shared" si="18"/>
        <v>High</v>
      </c>
      <c r="T249" s="1" t="str" cm="1">
        <f t="array" ref="T249">_xlfn.IFS(L249&gt;5,"High",L249=5,"mediam",L249&lt;5,"low")</f>
        <v>High</v>
      </c>
      <c r="U249" s="1" t="str">
        <f t="shared" si="19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5"/>
        <v>3942.92</v>
      </c>
      <c r="Q250" s="10">
        <f t="shared" si="16"/>
        <v>0</v>
      </c>
      <c r="R250" s="11">
        <f t="shared" si="17"/>
        <v>3942.92</v>
      </c>
      <c r="S250" s="1" t="str">
        <f t="shared" si="18"/>
        <v>Low</v>
      </c>
      <c r="T250" s="1" t="str" cm="1">
        <f t="array" ref="T250">_xlfn.IFS(L250&gt;5,"High",L250=5,"mediam",L250&lt;5,"low")</f>
        <v>low</v>
      </c>
      <c r="U250" s="1" t="b">
        <f t="shared" si="19"/>
        <v>0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5"/>
        <v>27961.38</v>
      </c>
      <c r="Q251" s="10">
        <f t="shared" si="16"/>
        <v>3565.0754999999995</v>
      </c>
      <c r="R251" s="11">
        <f t="shared" si="17"/>
        <v>24396.304500000002</v>
      </c>
      <c r="S251" s="1" t="str">
        <f t="shared" si="18"/>
        <v>High</v>
      </c>
      <c r="T251" s="1" t="str" cm="1">
        <f t="array" ref="T251">_xlfn.IFS(L251&gt;5,"High",L251=5,"mediam",L251&lt;5,"low")</f>
        <v>High</v>
      </c>
      <c r="U251" s="1" t="str">
        <f t="shared" si="19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5"/>
        <v>14578.32</v>
      </c>
      <c r="Q252" s="10">
        <f t="shared" si="16"/>
        <v>2332.5320000000002</v>
      </c>
      <c r="R252" s="11">
        <f t="shared" si="17"/>
        <v>12245.788</v>
      </c>
      <c r="S252" s="1" t="str">
        <f t="shared" si="18"/>
        <v>High</v>
      </c>
      <c r="T252" s="1" t="str" cm="1">
        <f t="array" ref="T252">_xlfn.IFS(L252&gt;5,"High",L252=5,"mediam",L252&lt;5,"low")</f>
        <v>High</v>
      </c>
      <c r="U252" s="1" t="str">
        <f t="shared" si="19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5"/>
        <v>7475.2</v>
      </c>
      <c r="Q253" s="10">
        <f t="shared" si="16"/>
        <v>1196.0319999999999</v>
      </c>
      <c r="R253" s="11">
        <f t="shared" si="17"/>
        <v>6279.1679999999997</v>
      </c>
      <c r="S253" s="1" t="str">
        <f t="shared" si="18"/>
        <v>Low</v>
      </c>
      <c r="T253" s="1" t="str" cm="1">
        <f t="array" ref="T253">_xlfn.IFS(L253&gt;5,"High",L253=5,"mediam",L253&lt;5,"low")</f>
        <v>low</v>
      </c>
      <c r="U253" s="1" t="b">
        <f t="shared" si="19"/>
        <v>0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5"/>
        <v>12661.35</v>
      </c>
      <c r="Q254" s="10">
        <f t="shared" si="16"/>
        <v>1614.3225</v>
      </c>
      <c r="R254" s="11">
        <f t="shared" si="17"/>
        <v>11047.0275</v>
      </c>
      <c r="S254" s="1" t="str">
        <f t="shared" si="18"/>
        <v>High</v>
      </c>
      <c r="T254" s="1" t="str" cm="1">
        <f t="array" ref="T254">_xlfn.IFS(L254&gt;5,"High",L254=5,"mediam",L254&lt;5,"low")</f>
        <v>mediam</v>
      </c>
      <c r="U254" s="1" t="b">
        <f t="shared" si="19"/>
        <v>0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5"/>
        <v>5423.32</v>
      </c>
      <c r="Q255" s="10">
        <f t="shared" si="16"/>
        <v>0</v>
      </c>
      <c r="R255" s="11">
        <f t="shared" si="17"/>
        <v>5423.32</v>
      </c>
      <c r="S255" s="1" t="str">
        <f t="shared" si="18"/>
        <v>Low</v>
      </c>
      <c r="T255" s="1" t="str" cm="1">
        <f t="array" ref="T255">_xlfn.IFS(L255&gt;5,"High",L255=5,"mediam",L255&lt;5,"low")</f>
        <v>low</v>
      </c>
      <c r="U255" s="1" t="b">
        <f t="shared" si="19"/>
        <v>0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5"/>
        <v>18699.659999999996</v>
      </c>
      <c r="Q256" s="10">
        <f t="shared" si="16"/>
        <v>2384.2064999999998</v>
      </c>
      <c r="R256" s="11">
        <f t="shared" si="17"/>
        <v>16315.453499999996</v>
      </c>
      <c r="S256" s="1" t="str">
        <f t="shared" si="18"/>
        <v>High</v>
      </c>
      <c r="T256" s="1" t="str" cm="1">
        <f t="array" ref="T256">_xlfn.IFS(L256&gt;5,"High",L256=5,"mediam",L256&lt;5,"low")</f>
        <v>High</v>
      </c>
      <c r="U256" s="1" t="str">
        <f t="shared" si="19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5"/>
        <v>15796.32</v>
      </c>
      <c r="Q257" s="10">
        <f t="shared" si="16"/>
        <v>0</v>
      </c>
      <c r="R257" s="11">
        <f t="shared" si="17"/>
        <v>15796.32</v>
      </c>
      <c r="S257" s="1" t="str">
        <f t="shared" si="18"/>
        <v>High</v>
      </c>
      <c r="T257" s="1" t="str" cm="1">
        <f t="array" ref="T257">_xlfn.IFS(L257&gt;5,"High",L257=5,"mediam",L257&lt;5,"low")</f>
        <v>High</v>
      </c>
      <c r="U257" s="1" t="str">
        <f t="shared" si="19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5"/>
        <v>721.8</v>
      </c>
      <c r="Q258" s="10">
        <f t="shared" si="16"/>
        <v>34.285500000000006</v>
      </c>
      <c r="R258" s="11">
        <f t="shared" si="17"/>
        <v>687.5145</v>
      </c>
      <c r="S258" s="1" t="str">
        <f t="shared" si="18"/>
        <v>Low</v>
      </c>
      <c r="T258" s="1" t="str" cm="1">
        <f t="array" ref="T258">_xlfn.IFS(L258&gt;5,"High",L258=5,"mediam",L258&lt;5,"low")</f>
        <v>low</v>
      </c>
      <c r="U258" s="1" t="b">
        <f t="shared" si="19"/>
        <v>0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0">L259*M259</f>
        <v>12628.35</v>
      </c>
      <c r="Q259" s="10">
        <f t="shared" ref="Q259:Q322" si="21">O259*N259%</f>
        <v>0</v>
      </c>
      <c r="R259" s="11">
        <f t="shared" ref="R259:R322" si="22">P259-Q259</f>
        <v>12628.35</v>
      </c>
      <c r="S259" s="1" t="str">
        <f t="shared" ref="S259:S322" si="23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ref="U259:U322" si="24">IF(L259&gt;5,"High",IF(L259="Mediam","Low"))</f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0"/>
        <v>11015.19</v>
      </c>
      <c r="Q260" s="10">
        <f t="shared" si="21"/>
        <v>523.22149999999999</v>
      </c>
      <c r="R260" s="11">
        <f t="shared" si="22"/>
        <v>10491.968500000001</v>
      </c>
      <c r="S260" s="1" t="str">
        <f t="shared" si="23"/>
        <v>High</v>
      </c>
      <c r="T260" s="1" t="str" cm="1">
        <f t="array" ref="T260">_xlfn.IFS(L260&gt;5,"High",L260=5,"mediam",L260&lt;5,"low")</f>
        <v>High</v>
      </c>
      <c r="U260" s="1" t="str">
        <f t="shared" si="24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0"/>
        <v>1941.96</v>
      </c>
      <c r="Q261" s="10">
        <f t="shared" si="21"/>
        <v>92.242999999999995</v>
      </c>
      <c r="R261" s="11">
        <f t="shared" si="22"/>
        <v>1849.7170000000001</v>
      </c>
      <c r="S261" s="1" t="str">
        <f t="shared" si="23"/>
        <v>Low</v>
      </c>
      <c r="T261" s="1" t="str" cm="1">
        <f t="array" ref="T261">_xlfn.IFS(L261&gt;5,"High",L261=5,"mediam",L261&lt;5,"low")</f>
        <v>low</v>
      </c>
      <c r="U261" s="1" t="b">
        <f t="shared" si="24"/>
        <v>0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0"/>
        <v>1066.5</v>
      </c>
      <c r="Q262" s="10">
        <f t="shared" si="21"/>
        <v>0</v>
      </c>
      <c r="R262" s="11">
        <f t="shared" si="22"/>
        <v>1066.5</v>
      </c>
      <c r="S262" s="1" t="str">
        <f t="shared" si="23"/>
        <v>Low</v>
      </c>
      <c r="T262" s="1" t="str" cm="1">
        <f t="array" ref="T262">_xlfn.IFS(L262&gt;5,"High",L262=5,"mediam",L262&lt;5,"low")</f>
        <v>low</v>
      </c>
      <c r="U262" s="1" t="b">
        <f t="shared" si="24"/>
        <v>0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0"/>
        <v>17306.03</v>
      </c>
      <c r="Q263" s="10">
        <f t="shared" si="21"/>
        <v>1557.5430000000001</v>
      </c>
      <c r="R263" s="11">
        <f t="shared" si="22"/>
        <v>15748.486999999999</v>
      </c>
      <c r="S263" s="1" t="str">
        <f t="shared" si="23"/>
        <v>High</v>
      </c>
      <c r="T263" s="1" t="str" cm="1">
        <f t="array" ref="T263">_xlfn.IFS(L263&gt;5,"High",L263=5,"mediam",L263&lt;5,"low")</f>
        <v>High</v>
      </c>
      <c r="U263" s="1" t="str">
        <f t="shared" si="24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0"/>
        <v>15161.02</v>
      </c>
      <c r="Q264" s="10">
        <f t="shared" si="21"/>
        <v>0</v>
      </c>
      <c r="R264" s="11">
        <f t="shared" si="22"/>
        <v>15161.02</v>
      </c>
      <c r="S264" s="1" t="str">
        <f t="shared" si="23"/>
        <v>High</v>
      </c>
      <c r="T264" s="1" t="str" cm="1">
        <f t="array" ref="T264">_xlfn.IFS(L264&gt;5,"High",L264=5,"mediam",L264&lt;5,"low")</f>
        <v>High</v>
      </c>
      <c r="U264" s="1" t="str">
        <f t="shared" si="24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0"/>
        <v>4505.2</v>
      </c>
      <c r="Q265" s="10">
        <f t="shared" si="21"/>
        <v>720.83199999999999</v>
      </c>
      <c r="R265" s="11">
        <f t="shared" si="22"/>
        <v>3784.3679999999999</v>
      </c>
      <c r="S265" s="1" t="str">
        <f t="shared" si="23"/>
        <v>Low</v>
      </c>
      <c r="T265" s="1" t="str" cm="1">
        <f t="array" ref="T265">_xlfn.IFS(L265&gt;5,"High",L265=5,"mediam",L265&lt;5,"low")</f>
        <v>low</v>
      </c>
      <c r="U265" s="1" t="b">
        <f t="shared" si="24"/>
        <v>0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0"/>
        <v>17668.440000000002</v>
      </c>
      <c r="Q266" s="10">
        <f t="shared" si="21"/>
        <v>2826.9500000000003</v>
      </c>
      <c r="R266" s="11">
        <f t="shared" si="22"/>
        <v>14841.490000000002</v>
      </c>
      <c r="S266" s="1" t="str">
        <f t="shared" si="23"/>
        <v>High</v>
      </c>
      <c r="T266" s="1" t="str" cm="1">
        <f t="array" ref="T266">_xlfn.IFS(L266&gt;5,"High",L266=5,"mediam",L266&lt;5,"low")</f>
        <v>High</v>
      </c>
      <c r="U266" s="1" t="str">
        <f t="shared" si="24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0"/>
        <v>16360.72</v>
      </c>
      <c r="Q267" s="10">
        <f t="shared" si="21"/>
        <v>1472.4650000000001</v>
      </c>
      <c r="R267" s="11">
        <f t="shared" si="22"/>
        <v>14888.254999999999</v>
      </c>
      <c r="S267" s="1" t="str">
        <f t="shared" si="23"/>
        <v>High</v>
      </c>
      <c r="T267" s="1" t="str" cm="1">
        <f t="array" ref="T267">_xlfn.IFS(L267&gt;5,"High",L267=5,"mediam",L267&lt;5,"low")</f>
        <v>High</v>
      </c>
      <c r="U267" s="1" t="str">
        <f t="shared" si="24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0"/>
        <v>900.78</v>
      </c>
      <c r="Q268" s="10">
        <f t="shared" si="21"/>
        <v>42.787000000000006</v>
      </c>
      <c r="R268" s="11">
        <f t="shared" si="22"/>
        <v>857.99299999999994</v>
      </c>
      <c r="S268" s="1" t="str">
        <f t="shared" si="23"/>
        <v>Low</v>
      </c>
      <c r="T268" s="1" t="str" cm="1">
        <f t="array" ref="T268">_xlfn.IFS(L268&gt;5,"High",L268=5,"mediam",L268&lt;5,"low")</f>
        <v>low</v>
      </c>
      <c r="U268" s="1" t="b">
        <f t="shared" si="24"/>
        <v>0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0"/>
        <v>2660.56</v>
      </c>
      <c r="Q269" s="10">
        <f t="shared" si="21"/>
        <v>239.45000000000002</v>
      </c>
      <c r="R269" s="11">
        <f t="shared" si="22"/>
        <v>2421.11</v>
      </c>
      <c r="S269" s="1" t="str">
        <f t="shared" si="23"/>
        <v>Low</v>
      </c>
      <c r="T269" s="1" t="str" cm="1">
        <f t="array" ref="T269">_xlfn.IFS(L269&gt;5,"High",L269=5,"mediam",L269&lt;5,"low")</f>
        <v>low</v>
      </c>
      <c r="U269" s="1" t="b">
        <f t="shared" si="24"/>
        <v>0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0"/>
        <v>15782.7</v>
      </c>
      <c r="Q270" s="10">
        <f t="shared" si="21"/>
        <v>2525.232</v>
      </c>
      <c r="R270" s="11">
        <f t="shared" si="22"/>
        <v>13257.468000000001</v>
      </c>
      <c r="S270" s="1" t="str">
        <f t="shared" si="23"/>
        <v>High</v>
      </c>
      <c r="T270" s="1" t="str" cm="1">
        <f t="array" ref="T270">_xlfn.IFS(L270&gt;5,"High",L270=5,"mediam",L270&lt;5,"low")</f>
        <v>mediam</v>
      </c>
      <c r="U270" s="1" t="b">
        <f t="shared" si="24"/>
        <v>0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0"/>
        <v>19182.78</v>
      </c>
      <c r="Q271" s="10">
        <f t="shared" si="21"/>
        <v>1726.45</v>
      </c>
      <c r="R271" s="11">
        <f t="shared" si="22"/>
        <v>17456.329999999998</v>
      </c>
      <c r="S271" s="1" t="str">
        <f t="shared" si="23"/>
        <v>High</v>
      </c>
      <c r="T271" s="1" t="str" cm="1">
        <f t="array" ref="T271">_xlfn.IFS(L271&gt;5,"High",L271=5,"mediam",L271&lt;5,"low")</f>
        <v>High</v>
      </c>
      <c r="U271" s="1" t="str">
        <f t="shared" si="24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0"/>
        <v>7408.5300000000007</v>
      </c>
      <c r="Q272" s="10">
        <f t="shared" si="21"/>
        <v>0</v>
      </c>
      <c r="R272" s="11">
        <f t="shared" si="22"/>
        <v>7408.5300000000007</v>
      </c>
      <c r="S272" s="1" t="str">
        <f t="shared" si="23"/>
        <v>Low</v>
      </c>
      <c r="T272" s="1" t="str" cm="1">
        <f t="array" ref="T272">_xlfn.IFS(L272&gt;5,"High",L272=5,"mediam",L272&lt;5,"low")</f>
        <v>low</v>
      </c>
      <c r="U272" s="1" t="b">
        <f t="shared" si="24"/>
        <v>0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0"/>
        <v>19078.29</v>
      </c>
      <c r="Q273" s="10">
        <f t="shared" si="21"/>
        <v>1717.046</v>
      </c>
      <c r="R273" s="11">
        <f t="shared" si="22"/>
        <v>17361.244000000002</v>
      </c>
      <c r="S273" s="1" t="str">
        <f t="shared" si="23"/>
        <v>High</v>
      </c>
      <c r="T273" s="1" t="str" cm="1">
        <f t="array" ref="T273">_xlfn.IFS(L273&gt;5,"High",L273=5,"mediam",L273&lt;5,"low")</f>
        <v>High</v>
      </c>
      <c r="U273" s="1" t="str">
        <f t="shared" si="24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0"/>
        <v>2309.2799999999997</v>
      </c>
      <c r="Q274" s="10">
        <f t="shared" si="21"/>
        <v>109.69100000000002</v>
      </c>
      <c r="R274" s="11">
        <f t="shared" si="22"/>
        <v>2199.5889999999999</v>
      </c>
      <c r="S274" s="1" t="str">
        <f t="shared" si="23"/>
        <v>High</v>
      </c>
      <c r="T274" s="1" t="str" cm="1">
        <f t="array" ref="T274">_xlfn.IFS(L274&gt;5,"High",L274=5,"mediam",L274&lt;5,"low")</f>
        <v>High</v>
      </c>
      <c r="U274" s="1" t="str">
        <f t="shared" si="24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0"/>
        <v>5032.6000000000004</v>
      </c>
      <c r="Q275" s="10">
        <f t="shared" si="21"/>
        <v>0</v>
      </c>
      <c r="R275" s="11">
        <f t="shared" si="22"/>
        <v>5032.6000000000004</v>
      </c>
      <c r="S275" s="1" t="str">
        <f t="shared" si="23"/>
        <v>Low</v>
      </c>
      <c r="T275" s="1" t="str" cm="1">
        <f t="array" ref="T275">_xlfn.IFS(L275&gt;5,"High",L275=5,"mediam",L275&lt;5,"low")</f>
        <v>low</v>
      </c>
      <c r="U275" s="1" t="b">
        <f t="shared" si="24"/>
        <v>0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0"/>
        <v>3563.7000000000003</v>
      </c>
      <c r="Q276" s="10">
        <f t="shared" si="21"/>
        <v>454.37099999999998</v>
      </c>
      <c r="R276" s="11">
        <f t="shared" si="22"/>
        <v>3109.3290000000002</v>
      </c>
      <c r="S276" s="1" t="str">
        <f t="shared" si="23"/>
        <v>High</v>
      </c>
      <c r="T276" s="1" t="str" cm="1">
        <f t="array" ref="T276">_xlfn.IFS(L276&gt;5,"High",L276=5,"mediam",L276&lt;5,"low")</f>
        <v>High</v>
      </c>
      <c r="U276" s="1" t="str">
        <f t="shared" si="24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0"/>
        <v>30885.759999999998</v>
      </c>
      <c r="Q277" s="10">
        <f t="shared" si="21"/>
        <v>4941.7220000000007</v>
      </c>
      <c r="R277" s="11">
        <f t="shared" si="22"/>
        <v>25944.037999999997</v>
      </c>
      <c r="S277" s="1" t="str">
        <f t="shared" si="23"/>
        <v>High</v>
      </c>
      <c r="T277" s="1" t="str" cm="1">
        <f t="array" ref="T277">_xlfn.IFS(L277&gt;5,"High",L277=5,"mediam",L277&lt;5,"low")</f>
        <v>High</v>
      </c>
      <c r="U277" s="1" t="str">
        <f t="shared" si="24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0"/>
        <v>6030.5399999999991</v>
      </c>
      <c r="Q278" s="10">
        <f t="shared" si="21"/>
        <v>964.88600000000008</v>
      </c>
      <c r="R278" s="11">
        <f t="shared" si="22"/>
        <v>5065.6539999999986</v>
      </c>
      <c r="S278" s="1" t="str">
        <f t="shared" si="23"/>
        <v>High</v>
      </c>
      <c r="T278" s="1" t="str" cm="1">
        <f t="array" ref="T278">_xlfn.IFS(L278&gt;5,"High",L278=5,"mediam",L278&lt;5,"low")</f>
        <v>High</v>
      </c>
      <c r="U278" s="1" t="str">
        <f t="shared" si="24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0"/>
        <v>4406.04</v>
      </c>
      <c r="Q279" s="10">
        <f t="shared" si="21"/>
        <v>396.54400000000004</v>
      </c>
      <c r="R279" s="11">
        <f t="shared" si="22"/>
        <v>4009.4960000000001</v>
      </c>
      <c r="S279" s="1" t="str">
        <f t="shared" si="23"/>
        <v>High</v>
      </c>
      <c r="T279" s="1" t="str" cm="1">
        <f t="array" ref="T279">_xlfn.IFS(L279&gt;5,"High",L279=5,"mediam",L279&lt;5,"low")</f>
        <v>High</v>
      </c>
      <c r="U279" s="1" t="str">
        <f t="shared" si="24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0"/>
        <v>21449.22</v>
      </c>
      <c r="Q280" s="10">
        <f t="shared" si="21"/>
        <v>0</v>
      </c>
      <c r="R280" s="11">
        <f t="shared" si="22"/>
        <v>21449.22</v>
      </c>
      <c r="S280" s="1" t="str">
        <f t="shared" si="23"/>
        <v>High</v>
      </c>
      <c r="T280" s="1" t="str" cm="1">
        <f t="array" ref="T280">_xlfn.IFS(L280&gt;5,"High",L280=5,"mediam",L280&lt;5,"low")</f>
        <v>High</v>
      </c>
      <c r="U280" s="1" t="str">
        <f t="shared" si="24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0"/>
        <v>30272.959999999999</v>
      </c>
      <c r="Q281" s="10">
        <f t="shared" si="21"/>
        <v>3859.8029999999999</v>
      </c>
      <c r="R281" s="11">
        <f t="shared" si="22"/>
        <v>26413.156999999999</v>
      </c>
      <c r="S281" s="1" t="str">
        <f t="shared" si="23"/>
        <v>High</v>
      </c>
      <c r="T281" s="1" t="str" cm="1">
        <f t="array" ref="T281">_xlfn.IFS(L281&gt;5,"High",L281=5,"mediam",L281&lt;5,"low")</f>
        <v>High</v>
      </c>
      <c r="U281" s="1" t="str">
        <f t="shared" si="24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0"/>
        <v>15492.2</v>
      </c>
      <c r="Q282" s="10">
        <f t="shared" si="21"/>
        <v>0</v>
      </c>
      <c r="R282" s="11">
        <f t="shared" si="22"/>
        <v>15492.2</v>
      </c>
      <c r="S282" s="1" t="str">
        <f t="shared" si="23"/>
        <v>High</v>
      </c>
      <c r="T282" s="1" t="str" cm="1">
        <f t="array" ref="T282">_xlfn.IFS(L282&gt;5,"High",L282=5,"mediam",L282&lt;5,"low")</f>
        <v>mediam</v>
      </c>
      <c r="U282" s="1" t="b">
        <f t="shared" si="24"/>
        <v>0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0"/>
        <v>512.43000000000006</v>
      </c>
      <c r="Q283" s="10">
        <f t="shared" si="21"/>
        <v>81.988</v>
      </c>
      <c r="R283" s="11">
        <f t="shared" si="22"/>
        <v>430.44200000000006</v>
      </c>
      <c r="S283" s="1" t="str">
        <f t="shared" si="23"/>
        <v>Low</v>
      </c>
      <c r="T283" s="1" t="str" cm="1">
        <f t="array" ref="T283">_xlfn.IFS(L283&gt;5,"High",L283=5,"mediam",L283&lt;5,"low")</f>
        <v>low</v>
      </c>
      <c r="U283" s="1" t="b">
        <f t="shared" si="24"/>
        <v>0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0"/>
        <v>465.54</v>
      </c>
      <c r="Q284" s="10">
        <f t="shared" si="21"/>
        <v>0</v>
      </c>
      <c r="R284" s="11">
        <f t="shared" si="22"/>
        <v>465.54</v>
      </c>
      <c r="S284" s="1" t="str">
        <f t="shared" si="23"/>
        <v>Low</v>
      </c>
      <c r="T284" s="1" t="str" cm="1">
        <f t="array" ref="T284">_xlfn.IFS(L284&gt;5,"High",L284=5,"mediam",L284&lt;5,"low")</f>
        <v>low</v>
      </c>
      <c r="U284" s="1" t="b">
        <f t="shared" si="24"/>
        <v>0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0"/>
        <v>9634.14</v>
      </c>
      <c r="Q285" s="10">
        <f t="shared" si="21"/>
        <v>1228.3530000000001</v>
      </c>
      <c r="R285" s="11">
        <f t="shared" si="22"/>
        <v>8405.7870000000003</v>
      </c>
      <c r="S285" s="1" t="str">
        <f t="shared" si="23"/>
        <v>High</v>
      </c>
      <c r="T285" s="1" t="str" cm="1">
        <f t="array" ref="T285">_xlfn.IFS(L285&gt;5,"High",L285=5,"mediam",L285&lt;5,"low")</f>
        <v>High</v>
      </c>
      <c r="U285" s="1" t="str">
        <f t="shared" si="24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0"/>
        <v>1404.14</v>
      </c>
      <c r="Q286" s="10">
        <f t="shared" si="21"/>
        <v>126.373</v>
      </c>
      <c r="R286" s="11">
        <f t="shared" si="22"/>
        <v>1277.7670000000001</v>
      </c>
      <c r="S286" s="1" t="str">
        <f t="shared" si="23"/>
        <v>Low</v>
      </c>
      <c r="T286" s="1" t="str" cm="1">
        <f t="array" ref="T286">_xlfn.IFS(L286&gt;5,"High",L286=5,"mediam",L286&lt;5,"low")</f>
        <v>low</v>
      </c>
      <c r="U286" s="1" t="b">
        <f t="shared" si="24"/>
        <v>0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0"/>
        <v>1324.74</v>
      </c>
      <c r="Q287" s="10">
        <f t="shared" si="21"/>
        <v>62.925000000000004</v>
      </c>
      <c r="R287" s="11">
        <f t="shared" si="22"/>
        <v>1261.8150000000001</v>
      </c>
      <c r="S287" s="1" t="str">
        <f t="shared" si="23"/>
        <v>High</v>
      </c>
      <c r="T287" s="1" t="str" cm="1">
        <f t="array" ref="T287">_xlfn.IFS(L287&gt;5,"High",L287=5,"mediam",L287&lt;5,"low")</f>
        <v>High</v>
      </c>
      <c r="U287" s="1" t="str">
        <f t="shared" si="24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0"/>
        <v>11619.960000000001</v>
      </c>
      <c r="Q288" s="10">
        <f t="shared" si="21"/>
        <v>0</v>
      </c>
      <c r="R288" s="11">
        <f t="shared" si="22"/>
        <v>11619.960000000001</v>
      </c>
      <c r="S288" s="1" t="str">
        <f t="shared" si="23"/>
        <v>High</v>
      </c>
      <c r="T288" s="1" t="str" cm="1">
        <f t="array" ref="T288">_xlfn.IFS(L288&gt;5,"High",L288=5,"mediam",L288&lt;5,"low")</f>
        <v>High</v>
      </c>
      <c r="U288" s="1" t="str">
        <f t="shared" si="24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0"/>
        <v>30246.32</v>
      </c>
      <c r="Q289" s="10">
        <f t="shared" si="21"/>
        <v>1436.7</v>
      </c>
      <c r="R289" s="11">
        <f t="shared" si="22"/>
        <v>28809.62</v>
      </c>
      <c r="S289" s="1" t="str">
        <f t="shared" si="23"/>
        <v>High</v>
      </c>
      <c r="T289" s="1" t="str" cm="1">
        <f t="array" ref="T289">_xlfn.IFS(L289&gt;5,"High",L289=5,"mediam",L289&lt;5,"low")</f>
        <v>High</v>
      </c>
      <c r="U289" s="1" t="str">
        <f t="shared" si="24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0"/>
        <v>9776.9700000000012</v>
      </c>
      <c r="Q290" s="10">
        <f t="shared" si="21"/>
        <v>1564.316</v>
      </c>
      <c r="R290" s="11">
        <f t="shared" si="22"/>
        <v>8212.6540000000005</v>
      </c>
      <c r="S290" s="1" t="str">
        <f t="shared" si="23"/>
        <v>High</v>
      </c>
      <c r="T290" s="1" t="str" cm="1">
        <f t="array" ref="T290">_xlfn.IFS(L290&gt;5,"High",L290=5,"mediam",L290&lt;5,"low")</f>
        <v>High</v>
      </c>
      <c r="U290" s="1" t="str">
        <f t="shared" si="24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0"/>
        <v>21563.119999999999</v>
      </c>
      <c r="Q291" s="10">
        <f t="shared" si="21"/>
        <v>1940.6810000000003</v>
      </c>
      <c r="R291" s="11">
        <f t="shared" si="22"/>
        <v>19622.438999999998</v>
      </c>
      <c r="S291" s="1" t="str">
        <f t="shared" si="23"/>
        <v>High</v>
      </c>
      <c r="T291" s="1" t="str" cm="1">
        <f t="array" ref="T291">_xlfn.IFS(L291&gt;5,"High",L291=5,"mediam",L291&lt;5,"low")</f>
        <v>High</v>
      </c>
      <c r="U291" s="1" t="str">
        <f t="shared" si="24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0"/>
        <v>23949.99</v>
      </c>
      <c r="Q292" s="10">
        <f t="shared" si="21"/>
        <v>2155.4990000000003</v>
      </c>
      <c r="R292" s="11">
        <f t="shared" si="22"/>
        <v>21794.491000000002</v>
      </c>
      <c r="S292" s="1" t="str">
        <f t="shared" si="23"/>
        <v>High</v>
      </c>
      <c r="T292" s="1" t="str" cm="1">
        <f t="array" ref="T292">_xlfn.IFS(L292&gt;5,"High",L292=5,"mediam",L292&lt;5,"low")</f>
        <v>High</v>
      </c>
      <c r="U292" s="1" t="str">
        <f t="shared" si="24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0"/>
        <v>6699.9600000000009</v>
      </c>
      <c r="Q293" s="10">
        <f t="shared" si="21"/>
        <v>0</v>
      </c>
      <c r="R293" s="11">
        <f t="shared" si="22"/>
        <v>6699.9600000000009</v>
      </c>
      <c r="S293" s="1" t="str">
        <f t="shared" si="23"/>
        <v>High</v>
      </c>
      <c r="T293" s="1" t="str" cm="1">
        <f t="array" ref="T293">_xlfn.IFS(L293&gt;5,"High",L293=5,"mediam",L293&lt;5,"low")</f>
        <v>High</v>
      </c>
      <c r="U293" s="1" t="str">
        <f t="shared" si="24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0"/>
        <v>7962.42</v>
      </c>
      <c r="Q294" s="10">
        <f t="shared" si="21"/>
        <v>716.61800000000005</v>
      </c>
      <c r="R294" s="11">
        <f t="shared" si="22"/>
        <v>7245.8019999999997</v>
      </c>
      <c r="S294" s="1" t="str">
        <f t="shared" si="23"/>
        <v>Low</v>
      </c>
      <c r="T294" s="1" t="str" cm="1">
        <f t="array" ref="T294">_xlfn.IFS(L294&gt;5,"High",L294=5,"mediam",L294&lt;5,"low")</f>
        <v>low</v>
      </c>
      <c r="U294" s="1" t="b">
        <f t="shared" si="24"/>
        <v>0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0"/>
        <v>2902.4700000000003</v>
      </c>
      <c r="Q295" s="10">
        <f t="shared" si="21"/>
        <v>0</v>
      </c>
      <c r="R295" s="11">
        <f t="shared" si="22"/>
        <v>2902.4700000000003</v>
      </c>
      <c r="S295" s="1" t="str">
        <f t="shared" si="23"/>
        <v>Low</v>
      </c>
      <c r="T295" s="1" t="str" cm="1">
        <f t="array" ref="T295">_xlfn.IFS(L295&gt;5,"High",L295=5,"mediam",L295&lt;5,"low")</f>
        <v>low</v>
      </c>
      <c r="U295" s="1" t="b">
        <f t="shared" si="24"/>
        <v>0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0"/>
        <v>619.73</v>
      </c>
      <c r="Q296" s="10">
        <f t="shared" si="21"/>
        <v>0</v>
      </c>
      <c r="R296" s="11">
        <f t="shared" si="22"/>
        <v>619.73</v>
      </c>
      <c r="S296" s="1" t="str">
        <f t="shared" si="23"/>
        <v>Low</v>
      </c>
      <c r="T296" s="1" t="str" cm="1">
        <f t="array" ref="T296">_xlfn.IFS(L296&gt;5,"High",L296=5,"mediam",L296&lt;5,"low")</f>
        <v>low</v>
      </c>
      <c r="U296" s="1" t="b">
        <f t="shared" si="24"/>
        <v>0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0"/>
        <v>14251.65</v>
      </c>
      <c r="Q297" s="10">
        <f t="shared" si="21"/>
        <v>676.95350000000008</v>
      </c>
      <c r="R297" s="11">
        <f t="shared" si="22"/>
        <v>13574.6965</v>
      </c>
      <c r="S297" s="1" t="str">
        <f t="shared" si="23"/>
        <v>High</v>
      </c>
      <c r="T297" s="1" t="str" cm="1">
        <f t="array" ref="T297">_xlfn.IFS(L297&gt;5,"High",L297=5,"mediam",L297&lt;5,"low")</f>
        <v>mediam</v>
      </c>
      <c r="U297" s="1" t="b">
        <f t="shared" si="24"/>
        <v>0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0"/>
        <v>2347</v>
      </c>
      <c r="Q298" s="10">
        <f t="shared" si="21"/>
        <v>211.23000000000002</v>
      </c>
      <c r="R298" s="11">
        <f t="shared" si="22"/>
        <v>2135.77</v>
      </c>
      <c r="S298" s="1" t="str">
        <f t="shared" si="23"/>
        <v>Low</v>
      </c>
      <c r="T298" s="1" t="str" cm="1">
        <f t="array" ref="T298">_xlfn.IFS(L298&gt;5,"High",L298=5,"mediam",L298&lt;5,"low")</f>
        <v>low</v>
      </c>
      <c r="U298" s="1" t="b">
        <f t="shared" si="24"/>
        <v>0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0"/>
        <v>35892.9</v>
      </c>
      <c r="Q299" s="10">
        <f t="shared" si="21"/>
        <v>0</v>
      </c>
      <c r="R299" s="11">
        <f t="shared" si="22"/>
        <v>35892.9</v>
      </c>
      <c r="S299" s="1" t="str">
        <f t="shared" si="23"/>
        <v>High</v>
      </c>
      <c r="T299" s="1" t="str" cm="1">
        <f t="array" ref="T299">_xlfn.IFS(L299&gt;5,"High",L299=5,"mediam",L299&lt;5,"low")</f>
        <v>High</v>
      </c>
      <c r="U299" s="1" t="str">
        <f t="shared" si="24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0"/>
        <v>7706.61</v>
      </c>
      <c r="Q300" s="10">
        <f t="shared" si="21"/>
        <v>366.06400000000002</v>
      </c>
      <c r="R300" s="11">
        <f t="shared" si="22"/>
        <v>7340.5459999999994</v>
      </c>
      <c r="S300" s="1" t="str">
        <f t="shared" si="23"/>
        <v>High</v>
      </c>
      <c r="T300" s="1" t="str" cm="1">
        <f t="array" ref="T300">_xlfn.IFS(L300&gt;5,"High",L300=5,"mediam",L300&lt;5,"low")</f>
        <v>High</v>
      </c>
      <c r="U300" s="1" t="str">
        <f t="shared" si="24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0"/>
        <v>12187.25</v>
      </c>
      <c r="Q301" s="10">
        <f t="shared" si="21"/>
        <v>1553.874</v>
      </c>
      <c r="R301" s="11">
        <f t="shared" si="22"/>
        <v>10633.376</v>
      </c>
      <c r="S301" s="1" t="str">
        <f t="shared" si="23"/>
        <v>High</v>
      </c>
      <c r="T301" s="1" t="str" cm="1">
        <f t="array" ref="T301">_xlfn.IFS(L301&gt;5,"High",L301=5,"mediam",L301&lt;5,"low")</f>
        <v>mediam</v>
      </c>
      <c r="U301" s="1" t="b">
        <f t="shared" si="24"/>
        <v>0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0"/>
        <v>6935.16</v>
      </c>
      <c r="Q302" s="10">
        <f t="shared" si="21"/>
        <v>329.42</v>
      </c>
      <c r="R302" s="11">
        <f t="shared" si="22"/>
        <v>6605.74</v>
      </c>
      <c r="S302" s="1" t="str">
        <f t="shared" si="23"/>
        <v>Low</v>
      </c>
      <c r="T302" s="1" t="str" cm="1">
        <f t="array" ref="T302">_xlfn.IFS(L302&gt;5,"High",L302=5,"mediam",L302&lt;5,"low")</f>
        <v>low</v>
      </c>
      <c r="U302" s="1" t="b">
        <f t="shared" si="24"/>
        <v>0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0"/>
        <v>4456.13</v>
      </c>
      <c r="Q303" s="10">
        <f t="shared" si="21"/>
        <v>211.666</v>
      </c>
      <c r="R303" s="11">
        <f t="shared" si="22"/>
        <v>4244.4639999999999</v>
      </c>
      <c r="S303" s="1" t="str">
        <f t="shared" si="23"/>
        <v>High</v>
      </c>
      <c r="T303" s="1" t="str" cm="1">
        <f t="array" ref="T303">_xlfn.IFS(L303&gt;5,"High",L303=5,"mediam",L303&lt;5,"low")</f>
        <v>High</v>
      </c>
      <c r="U303" s="1" t="str">
        <f t="shared" si="24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0"/>
        <v>1543.1999999999998</v>
      </c>
      <c r="Q304" s="10">
        <f t="shared" si="21"/>
        <v>0</v>
      </c>
      <c r="R304" s="11">
        <f t="shared" si="22"/>
        <v>1543.1999999999998</v>
      </c>
      <c r="S304" s="1" t="str">
        <f t="shared" si="23"/>
        <v>High</v>
      </c>
      <c r="T304" s="1" t="str" cm="1">
        <f t="array" ref="T304">_xlfn.IFS(L304&gt;5,"High",L304=5,"mediam",L304&lt;5,"low")</f>
        <v>High</v>
      </c>
      <c r="U304" s="1" t="str">
        <f t="shared" si="24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0"/>
        <v>10190.08</v>
      </c>
      <c r="Q305" s="10">
        <f t="shared" si="21"/>
        <v>1630.4120000000003</v>
      </c>
      <c r="R305" s="11">
        <f t="shared" si="22"/>
        <v>8559.6679999999997</v>
      </c>
      <c r="S305" s="1" t="str">
        <f t="shared" si="23"/>
        <v>Low</v>
      </c>
      <c r="T305" s="1" t="str" cm="1">
        <f t="array" ref="T305">_xlfn.IFS(L305&gt;5,"High",L305=5,"mediam",L305&lt;5,"low")</f>
        <v>low</v>
      </c>
      <c r="U305" s="1" t="b">
        <f t="shared" si="24"/>
        <v>0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0"/>
        <v>6512.04</v>
      </c>
      <c r="Q306" s="10">
        <f t="shared" si="21"/>
        <v>1041.9260000000002</v>
      </c>
      <c r="R306" s="11">
        <f t="shared" si="22"/>
        <v>5470.1139999999996</v>
      </c>
      <c r="S306" s="1" t="str">
        <f t="shared" si="23"/>
        <v>Low</v>
      </c>
      <c r="T306" s="1" t="str" cm="1">
        <f t="array" ref="T306">_xlfn.IFS(L306&gt;5,"High",L306=5,"mediam",L306&lt;5,"low")</f>
        <v>low</v>
      </c>
      <c r="U306" s="1" t="b">
        <f t="shared" si="24"/>
        <v>0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0"/>
        <v>3391.76</v>
      </c>
      <c r="Q307" s="10">
        <f t="shared" si="21"/>
        <v>542.68200000000002</v>
      </c>
      <c r="R307" s="11">
        <f t="shared" si="22"/>
        <v>2849.0780000000004</v>
      </c>
      <c r="S307" s="1" t="str">
        <f t="shared" si="23"/>
        <v>Low</v>
      </c>
      <c r="T307" s="1" t="str" cm="1">
        <f t="array" ref="T307">_xlfn.IFS(L307&gt;5,"High",L307=5,"mediam",L307&lt;5,"low")</f>
        <v>low</v>
      </c>
      <c r="U307" s="1" t="b">
        <f t="shared" si="24"/>
        <v>0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0"/>
        <v>8033.8</v>
      </c>
      <c r="Q308" s="10">
        <f t="shared" si="21"/>
        <v>381.60550000000001</v>
      </c>
      <c r="R308" s="11">
        <f t="shared" si="22"/>
        <v>7652.1945000000005</v>
      </c>
      <c r="S308" s="1" t="str">
        <f t="shared" si="23"/>
        <v>Low</v>
      </c>
      <c r="T308" s="1" t="str" cm="1">
        <f t="array" ref="T308">_xlfn.IFS(L308&gt;5,"High",L308=5,"mediam",L308&lt;5,"low")</f>
        <v>low</v>
      </c>
      <c r="U308" s="1" t="b">
        <f t="shared" si="24"/>
        <v>0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0"/>
        <v>12572.8</v>
      </c>
      <c r="Q309" s="10">
        <f t="shared" si="21"/>
        <v>0</v>
      </c>
      <c r="R309" s="11">
        <f t="shared" si="22"/>
        <v>12572.8</v>
      </c>
      <c r="S309" s="1" t="str">
        <f t="shared" si="23"/>
        <v>Low</v>
      </c>
      <c r="T309" s="1" t="str" cm="1">
        <f t="array" ref="T309">_xlfn.IFS(L309&gt;5,"High",L309=5,"mediam",L309&lt;5,"low")</f>
        <v>low</v>
      </c>
      <c r="U309" s="1" t="b">
        <f t="shared" si="24"/>
        <v>0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0"/>
        <v>2740.46</v>
      </c>
      <c r="Q310" s="10">
        <f t="shared" si="21"/>
        <v>246.64099999999999</v>
      </c>
      <c r="R310" s="11">
        <f t="shared" si="22"/>
        <v>2493.819</v>
      </c>
      <c r="S310" s="1" t="str">
        <f t="shared" si="23"/>
        <v>Low</v>
      </c>
      <c r="T310" s="1" t="str" cm="1">
        <f t="array" ref="T310">_xlfn.IFS(L310&gt;5,"High",L310=5,"mediam",L310&lt;5,"low")</f>
        <v>low</v>
      </c>
      <c r="U310" s="1" t="b">
        <f t="shared" si="24"/>
        <v>0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0"/>
        <v>17630.28</v>
      </c>
      <c r="Q311" s="10">
        <f t="shared" si="21"/>
        <v>837.43850000000009</v>
      </c>
      <c r="R311" s="11">
        <f t="shared" si="22"/>
        <v>16792.841499999999</v>
      </c>
      <c r="S311" s="1" t="str">
        <f t="shared" si="23"/>
        <v>High</v>
      </c>
      <c r="T311" s="1" t="str" cm="1">
        <f t="array" ref="T311">_xlfn.IFS(L311&gt;5,"High",L311=5,"mediam",L311&lt;5,"low")</f>
        <v>High</v>
      </c>
      <c r="U311" s="1" t="str">
        <f t="shared" si="24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0"/>
        <v>8186.04</v>
      </c>
      <c r="Q312" s="10">
        <f t="shared" si="21"/>
        <v>388.83699999999999</v>
      </c>
      <c r="R312" s="11">
        <f t="shared" si="22"/>
        <v>7797.2029999999995</v>
      </c>
      <c r="S312" s="1" t="str">
        <f t="shared" si="23"/>
        <v>Low</v>
      </c>
      <c r="T312" s="1" t="str" cm="1">
        <f t="array" ref="T312">_xlfn.IFS(L312&gt;5,"High",L312=5,"mediam",L312&lt;5,"low")</f>
        <v>low</v>
      </c>
      <c r="U312" s="1" t="b">
        <f t="shared" si="24"/>
        <v>0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0"/>
        <v>2588.64</v>
      </c>
      <c r="Q313" s="10">
        <f t="shared" si="21"/>
        <v>0</v>
      </c>
      <c r="R313" s="11">
        <f t="shared" si="22"/>
        <v>2588.64</v>
      </c>
      <c r="S313" s="1" t="str">
        <f t="shared" si="23"/>
        <v>Low</v>
      </c>
      <c r="T313" s="1" t="str" cm="1">
        <f t="array" ref="T313">_xlfn.IFS(L313&gt;5,"High",L313=5,"mediam",L313&lt;5,"low")</f>
        <v>low</v>
      </c>
      <c r="U313" s="1" t="b">
        <f t="shared" si="24"/>
        <v>0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0"/>
        <v>3251.27</v>
      </c>
      <c r="Q314" s="10">
        <f t="shared" si="21"/>
        <v>414.53699999999998</v>
      </c>
      <c r="R314" s="11">
        <f t="shared" si="22"/>
        <v>2836.7330000000002</v>
      </c>
      <c r="S314" s="1" t="str">
        <f t="shared" si="23"/>
        <v>Low</v>
      </c>
      <c r="T314" s="1" t="str" cm="1">
        <f t="array" ref="T314">_xlfn.IFS(L314&gt;5,"High",L314=5,"mediam",L314&lt;5,"low")</f>
        <v>low</v>
      </c>
      <c r="U314" s="1" t="b">
        <f t="shared" si="24"/>
        <v>0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0"/>
        <v>1681.85</v>
      </c>
      <c r="Q315" s="10">
        <f t="shared" si="21"/>
        <v>79.888000000000005</v>
      </c>
      <c r="R315" s="11">
        <f t="shared" si="22"/>
        <v>1601.962</v>
      </c>
      <c r="S315" s="1" t="str">
        <f t="shared" si="23"/>
        <v>Low</v>
      </c>
      <c r="T315" s="1" t="str" cm="1">
        <f t="array" ref="T315">_xlfn.IFS(L315&gt;5,"High",L315=5,"mediam",L315&lt;5,"low")</f>
        <v>low</v>
      </c>
      <c r="U315" s="1" t="b">
        <f t="shared" si="24"/>
        <v>0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0"/>
        <v>26024.16</v>
      </c>
      <c r="Q316" s="10">
        <f t="shared" si="21"/>
        <v>3318.0810000000001</v>
      </c>
      <c r="R316" s="11">
        <f t="shared" si="22"/>
        <v>22706.078999999998</v>
      </c>
      <c r="S316" s="1" t="str">
        <f t="shared" si="23"/>
        <v>High</v>
      </c>
      <c r="T316" s="1" t="str" cm="1">
        <f t="array" ref="T316">_xlfn.IFS(L316&gt;5,"High",L316=5,"mediam",L316&lt;5,"low")</f>
        <v>High</v>
      </c>
      <c r="U316" s="1" t="str">
        <f t="shared" si="24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0"/>
        <v>19434.080000000002</v>
      </c>
      <c r="Q317" s="10">
        <f t="shared" si="21"/>
        <v>2477.8454999999999</v>
      </c>
      <c r="R317" s="11">
        <f t="shared" si="22"/>
        <v>16956.234500000002</v>
      </c>
      <c r="S317" s="1" t="str">
        <f t="shared" si="23"/>
        <v>High</v>
      </c>
      <c r="T317" s="1" t="str" cm="1">
        <f t="array" ref="T317">_xlfn.IFS(L317&gt;5,"High",L317=5,"mediam",L317&lt;5,"low")</f>
        <v>High</v>
      </c>
      <c r="U317" s="1" t="str">
        <f t="shared" si="24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0"/>
        <v>1577.44</v>
      </c>
      <c r="Q318" s="10">
        <f t="shared" si="21"/>
        <v>252.39000000000001</v>
      </c>
      <c r="R318" s="11">
        <f t="shared" si="22"/>
        <v>1325.05</v>
      </c>
      <c r="S318" s="1" t="str">
        <f t="shared" si="23"/>
        <v>Low</v>
      </c>
      <c r="T318" s="1" t="str" cm="1">
        <f t="array" ref="T318">_xlfn.IFS(L318&gt;5,"High",L318=5,"mediam",L318&lt;5,"low")</f>
        <v>low</v>
      </c>
      <c r="U318" s="1" t="b">
        <f t="shared" si="24"/>
        <v>0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0"/>
        <v>1715.21</v>
      </c>
      <c r="Q319" s="10">
        <f t="shared" si="21"/>
        <v>0</v>
      </c>
      <c r="R319" s="11">
        <f t="shared" si="22"/>
        <v>1715.21</v>
      </c>
      <c r="S319" s="1" t="str">
        <f t="shared" si="23"/>
        <v>High</v>
      </c>
      <c r="T319" s="1" t="str" cm="1">
        <f t="array" ref="T319">_xlfn.IFS(L319&gt;5,"High",L319=5,"mediam",L319&lt;5,"low")</f>
        <v>High</v>
      </c>
      <c r="U319" s="1" t="str">
        <f t="shared" si="24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0"/>
        <v>12372.8</v>
      </c>
      <c r="Q320" s="10">
        <f t="shared" si="21"/>
        <v>1577.5319999999999</v>
      </c>
      <c r="R320" s="11">
        <f t="shared" si="22"/>
        <v>10795.268</v>
      </c>
      <c r="S320" s="1" t="str">
        <f t="shared" si="23"/>
        <v>High</v>
      </c>
      <c r="T320" s="1" t="str" cm="1">
        <f t="array" ref="T320">_xlfn.IFS(L320&gt;5,"High",L320=5,"mediam",L320&lt;5,"low")</f>
        <v>High</v>
      </c>
      <c r="U320" s="1" t="str">
        <f t="shared" si="24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0"/>
        <v>18038.240000000002</v>
      </c>
      <c r="Q321" s="10">
        <f t="shared" si="21"/>
        <v>0</v>
      </c>
      <c r="R321" s="11">
        <f t="shared" si="22"/>
        <v>18038.240000000002</v>
      </c>
      <c r="S321" s="1" t="str">
        <f t="shared" si="23"/>
        <v>High</v>
      </c>
      <c r="T321" s="1" t="str" cm="1">
        <f t="array" ref="T321">_xlfn.IFS(L321&gt;5,"High",L321=5,"mediam",L321&lt;5,"low")</f>
        <v>High</v>
      </c>
      <c r="U321" s="1" t="str">
        <f t="shared" si="24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0"/>
        <v>23683.17</v>
      </c>
      <c r="Q322" s="10">
        <f t="shared" si="21"/>
        <v>3789.3080000000004</v>
      </c>
      <c r="R322" s="11">
        <f t="shared" si="22"/>
        <v>19893.861999999997</v>
      </c>
      <c r="S322" s="1" t="str">
        <f t="shared" si="23"/>
        <v>High</v>
      </c>
      <c r="T322" s="1" t="str" cm="1">
        <f t="array" ref="T322">_xlfn.IFS(L322&gt;5,"High",L322=5,"mediam",L322&lt;5,"low")</f>
        <v>High</v>
      </c>
      <c r="U322" s="1" t="str">
        <f t="shared" si="24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5">L323*M323</f>
        <v>3204.1000000000004</v>
      </c>
      <c r="Q323" s="10">
        <f t="shared" ref="Q323:Q386" si="26">O323*N323%</f>
        <v>0</v>
      </c>
      <c r="R323" s="11">
        <f t="shared" ref="R323:R386" si="27">P323-Q323</f>
        <v>3204.1000000000004</v>
      </c>
      <c r="S323" s="1" t="str">
        <f t="shared" ref="S323:S386" si="28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ref="U323:U386" si="29">IF(L323&gt;5,"High",IF(L323="Mediam","Low"))</f>
        <v>0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5"/>
        <v>3230.79</v>
      </c>
      <c r="Q324" s="10">
        <f t="shared" si="26"/>
        <v>153.46250000000001</v>
      </c>
      <c r="R324" s="11">
        <f t="shared" si="27"/>
        <v>3077.3274999999999</v>
      </c>
      <c r="S324" s="1" t="str">
        <f t="shared" si="28"/>
        <v>Low</v>
      </c>
      <c r="T324" s="1" t="str" cm="1">
        <f t="array" ref="T324">_xlfn.IFS(L324&gt;5,"High",L324=5,"mediam",L324&lt;5,"low")</f>
        <v>low</v>
      </c>
      <c r="U324" s="1" t="b">
        <f t="shared" si="29"/>
        <v>0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5"/>
        <v>31253.22</v>
      </c>
      <c r="Q325" s="10">
        <f t="shared" si="26"/>
        <v>3984.7860000000001</v>
      </c>
      <c r="R325" s="11">
        <f t="shared" si="27"/>
        <v>27268.434000000001</v>
      </c>
      <c r="S325" s="1" t="str">
        <f t="shared" si="28"/>
        <v>High</v>
      </c>
      <c r="T325" s="1" t="str" cm="1">
        <f t="array" ref="T325">_xlfn.IFS(L325&gt;5,"High",L325=5,"mediam",L325&lt;5,"low")</f>
        <v>High</v>
      </c>
      <c r="U325" s="1" t="str">
        <f t="shared" si="29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5"/>
        <v>5111.05</v>
      </c>
      <c r="Q326" s="10">
        <f t="shared" si="26"/>
        <v>0</v>
      </c>
      <c r="R326" s="11">
        <f t="shared" si="27"/>
        <v>5111.05</v>
      </c>
      <c r="S326" s="1" t="str">
        <f t="shared" si="28"/>
        <v>High</v>
      </c>
      <c r="T326" s="1" t="str" cm="1">
        <f t="array" ref="T326">_xlfn.IFS(L326&gt;5,"High",L326=5,"mediam",L326&lt;5,"low")</f>
        <v>High</v>
      </c>
      <c r="U326" s="1" t="str">
        <f t="shared" si="29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5"/>
        <v>6857.28</v>
      </c>
      <c r="Q327" s="10">
        <f t="shared" si="26"/>
        <v>617.15500000000009</v>
      </c>
      <c r="R327" s="11">
        <f t="shared" si="27"/>
        <v>6240.125</v>
      </c>
      <c r="S327" s="1" t="str">
        <f t="shared" si="28"/>
        <v>Low</v>
      </c>
      <c r="T327" s="1" t="str" cm="1">
        <f t="array" ref="T327">_xlfn.IFS(L327&gt;5,"High",L327=5,"mediam",L327&lt;5,"low")</f>
        <v>low</v>
      </c>
      <c r="U327" s="1" t="b">
        <f t="shared" si="29"/>
        <v>0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5"/>
        <v>23802.6</v>
      </c>
      <c r="Q328" s="10">
        <f t="shared" si="26"/>
        <v>0</v>
      </c>
      <c r="R328" s="11">
        <f t="shared" si="27"/>
        <v>23802.6</v>
      </c>
      <c r="S328" s="1" t="str">
        <f t="shared" si="28"/>
        <v>High</v>
      </c>
      <c r="T328" s="1" t="str" cm="1">
        <f t="array" ref="T328">_xlfn.IFS(L328&gt;5,"High",L328=5,"mediam",L328&lt;5,"low")</f>
        <v>High</v>
      </c>
      <c r="U328" s="1" t="str">
        <f t="shared" si="29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5"/>
        <v>5896.66</v>
      </c>
      <c r="Q329" s="10">
        <f t="shared" si="26"/>
        <v>751.82399999999996</v>
      </c>
      <c r="R329" s="11">
        <f t="shared" si="27"/>
        <v>5144.8360000000002</v>
      </c>
      <c r="S329" s="1" t="str">
        <f t="shared" si="28"/>
        <v>Low</v>
      </c>
      <c r="T329" s="1" t="str" cm="1">
        <f t="array" ref="T329">_xlfn.IFS(L329&gt;5,"High",L329=5,"mediam",L329&lt;5,"low")</f>
        <v>low</v>
      </c>
      <c r="U329" s="1" t="b">
        <f t="shared" si="29"/>
        <v>0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5"/>
        <v>3171.36</v>
      </c>
      <c r="Q330" s="10">
        <f t="shared" si="26"/>
        <v>507.41800000000006</v>
      </c>
      <c r="R330" s="11">
        <f t="shared" si="27"/>
        <v>2663.942</v>
      </c>
      <c r="S330" s="1" t="str">
        <f t="shared" si="28"/>
        <v>Low</v>
      </c>
      <c r="T330" s="1" t="str" cm="1">
        <f t="array" ref="T330">_xlfn.IFS(L330&gt;5,"High",L330=5,"mediam",L330&lt;5,"low")</f>
        <v>low</v>
      </c>
      <c r="U330" s="1" t="b">
        <f t="shared" si="29"/>
        <v>0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5"/>
        <v>27849.5</v>
      </c>
      <c r="Q331" s="10">
        <f t="shared" si="26"/>
        <v>4455.92</v>
      </c>
      <c r="R331" s="11">
        <f t="shared" si="27"/>
        <v>23393.58</v>
      </c>
      <c r="S331" s="1" t="str">
        <f t="shared" si="28"/>
        <v>High</v>
      </c>
      <c r="T331" s="1" t="str" cm="1">
        <f t="array" ref="T331">_xlfn.IFS(L331&gt;5,"High",L331=5,"mediam",L331&lt;5,"low")</f>
        <v>High</v>
      </c>
      <c r="U331" s="1" t="str">
        <f t="shared" si="29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5"/>
        <v>4962.2</v>
      </c>
      <c r="Q332" s="10">
        <f t="shared" si="26"/>
        <v>632.68049999999994</v>
      </c>
      <c r="R332" s="11">
        <f t="shared" si="27"/>
        <v>4329.5195000000003</v>
      </c>
      <c r="S332" s="1" t="str">
        <f t="shared" si="28"/>
        <v>Low</v>
      </c>
      <c r="T332" s="1" t="str" cm="1">
        <f t="array" ref="T332">_xlfn.IFS(L332&gt;5,"High",L332=5,"mediam",L332&lt;5,"low")</f>
        <v>low</v>
      </c>
      <c r="U332" s="1" t="b">
        <f t="shared" si="29"/>
        <v>0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5"/>
        <v>2670.72</v>
      </c>
      <c r="Q333" s="10">
        <f t="shared" si="26"/>
        <v>126.85899999999999</v>
      </c>
      <c r="R333" s="11">
        <f t="shared" si="27"/>
        <v>2543.8609999999999</v>
      </c>
      <c r="S333" s="1" t="str">
        <f t="shared" si="28"/>
        <v>Low</v>
      </c>
      <c r="T333" s="1" t="str" cm="1">
        <f t="array" ref="T333">_xlfn.IFS(L333&gt;5,"High",L333=5,"mediam",L333&lt;5,"low")</f>
        <v>low</v>
      </c>
      <c r="U333" s="1" t="b">
        <f t="shared" si="29"/>
        <v>0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5"/>
        <v>16872.449999999997</v>
      </c>
      <c r="Q334" s="10">
        <f t="shared" si="26"/>
        <v>801.44150000000002</v>
      </c>
      <c r="R334" s="11">
        <f t="shared" si="27"/>
        <v>16071.008499999996</v>
      </c>
      <c r="S334" s="1" t="str">
        <f t="shared" si="28"/>
        <v>High</v>
      </c>
      <c r="T334" s="1" t="str" cm="1">
        <f t="array" ref="T334">_xlfn.IFS(L334&gt;5,"High",L334=5,"mediam",L334&lt;5,"low")</f>
        <v>mediam</v>
      </c>
      <c r="U334" s="1" t="b">
        <f t="shared" si="29"/>
        <v>0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5"/>
        <v>12578.85</v>
      </c>
      <c r="Q335" s="10">
        <f t="shared" si="26"/>
        <v>2012.616</v>
      </c>
      <c r="R335" s="11">
        <f t="shared" si="27"/>
        <v>10566.234</v>
      </c>
      <c r="S335" s="1" t="str">
        <f t="shared" si="28"/>
        <v>High</v>
      </c>
      <c r="T335" s="1" t="str" cm="1">
        <f t="array" ref="T335">_xlfn.IFS(L335&gt;5,"High",L335=5,"mediam",L335&lt;5,"low")</f>
        <v>mediam</v>
      </c>
      <c r="U335" s="1" t="b">
        <f t="shared" si="29"/>
        <v>0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5"/>
        <v>16713.2</v>
      </c>
      <c r="Q336" s="10">
        <f t="shared" si="26"/>
        <v>2674.1120000000001</v>
      </c>
      <c r="R336" s="11">
        <f t="shared" si="27"/>
        <v>14039.088</v>
      </c>
      <c r="S336" s="1" t="str">
        <f t="shared" si="28"/>
        <v>High</v>
      </c>
      <c r="T336" s="1" t="str" cm="1">
        <f t="array" ref="T336">_xlfn.IFS(L336&gt;5,"High",L336=5,"mediam",L336&lt;5,"low")</f>
        <v>High</v>
      </c>
      <c r="U336" s="1" t="str">
        <f t="shared" si="29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5"/>
        <v>1126.5</v>
      </c>
      <c r="Q337" s="10">
        <f t="shared" si="26"/>
        <v>143.62799999999999</v>
      </c>
      <c r="R337" s="11">
        <f t="shared" si="27"/>
        <v>982.87200000000007</v>
      </c>
      <c r="S337" s="1" t="str">
        <f t="shared" si="28"/>
        <v>Low</v>
      </c>
      <c r="T337" s="1" t="str" cm="1">
        <f t="array" ref="T337">_xlfn.IFS(L337&gt;5,"High",L337=5,"mediam",L337&lt;5,"low")</f>
        <v>low</v>
      </c>
      <c r="U337" s="1" t="b">
        <f t="shared" si="29"/>
        <v>0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5"/>
        <v>24495.119999999999</v>
      </c>
      <c r="Q338" s="10">
        <f t="shared" si="26"/>
        <v>1163.518</v>
      </c>
      <c r="R338" s="11">
        <f t="shared" si="27"/>
        <v>23331.601999999999</v>
      </c>
      <c r="S338" s="1" t="str">
        <f t="shared" si="28"/>
        <v>High</v>
      </c>
      <c r="T338" s="1" t="str" cm="1">
        <f t="array" ref="T338">_xlfn.IFS(L338&gt;5,"High",L338=5,"mediam",L338&lt;5,"low")</f>
        <v>High</v>
      </c>
      <c r="U338" s="1" t="str">
        <f t="shared" si="29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5"/>
        <v>1393.26</v>
      </c>
      <c r="Q339" s="10">
        <f t="shared" si="26"/>
        <v>222.922</v>
      </c>
      <c r="R339" s="11">
        <f t="shared" si="27"/>
        <v>1170.338</v>
      </c>
      <c r="S339" s="1" t="str">
        <f t="shared" si="28"/>
        <v>Low</v>
      </c>
      <c r="T339" s="1" t="str" cm="1">
        <f t="array" ref="T339">_xlfn.IFS(L339&gt;5,"High",L339=5,"mediam",L339&lt;5,"low")</f>
        <v>low</v>
      </c>
      <c r="U339" s="1" t="b">
        <f t="shared" si="29"/>
        <v>0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5"/>
        <v>14834.04</v>
      </c>
      <c r="Q340" s="10">
        <f t="shared" si="26"/>
        <v>704.61700000000008</v>
      </c>
      <c r="R340" s="11">
        <f t="shared" si="27"/>
        <v>14129.423000000001</v>
      </c>
      <c r="S340" s="1" t="str">
        <f t="shared" si="28"/>
        <v>Low</v>
      </c>
      <c r="T340" s="1" t="str" cm="1">
        <f t="array" ref="T340">_xlfn.IFS(L340&gt;5,"High",L340=5,"mediam",L340&lt;5,"low")</f>
        <v>low</v>
      </c>
      <c r="U340" s="1" t="b">
        <f t="shared" si="29"/>
        <v>0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5"/>
        <v>12639.78</v>
      </c>
      <c r="Q341" s="10">
        <f t="shared" si="26"/>
        <v>2022.364</v>
      </c>
      <c r="R341" s="11">
        <f t="shared" si="27"/>
        <v>10617.416000000001</v>
      </c>
      <c r="S341" s="1" t="str">
        <f t="shared" si="28"/>
        <v>High</v>
      </c>
      <c r="T341" s="1" t="str" cm="1">
        <f t="array" ref="T341">_xlfn.IFS(L341&gt;5,"High",L341=5,"mediam",L341&lt;5,"low")</f>
        <v>High</v>
      </c>
      <c r="U341" s="1" t="str">
        <f t="shared" si="29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5"/>
        <v>2567.7199999999998</v>
      </c>
      <c r="Q342" s="10">
        <f t="shared" si="26"/>
        <v>0</v>
      </c>
      <c r="R342" s="11">
        <f t="shared" si="27"/>
        <v>2567.7199999999998</v>
      </c>
      <c r="S342" s="1" t="str">
        <f t="shared" si="28"/>
        <v>Low</v>
      </c>
      <c r="T342" s="1" t="str" cm="1">
        <f t="array" ref="T342">_xlfn.IFS(L342&gt;5,"High",L342=5,"mediam",L342&lt;5,"low")</f>
        <v>low</v>
      </c>
      <c r="U342" s="1" t="b">
        <f t="shared" si="29"/>
        <v>0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5"/>
        <v>9265.5499999999993</v>
      </c>
      <c r="Q343" s="10">
        <f t="shared" si="26"/>
        <v>833.899</v>
      </c>
      <c r="R343" s="11">
        <f t="shared" si="27"/>
        <v>8431.6509999999998</v>
      </c>
      <c r="S343" s="1" t="str">
        <f t="shared" si="28"/>
        <v>High</v>
      </c>
      <c r="T343" s="1" t="str" cm="1">
        <f t="array" ref="T343">_xlfn.IFS(L343&gt;5,"High",L343=5,"mediam",L343&lt;5,"low")</f>
        <v>mediam</v>
      </c>
      <c r="U343" s="1" t="b">
        <f t="shared" si="29"/>
        <v>0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5"/>
        <v>2194.5699999999997</v>
      </c>
      <c r="Q344" s="10">
        <f t="shared" si="26"/>
        <v>0</v>
      </c>
      <c r="R344" s="11">
        <f t="shared" si="27"/>
        <v>2194.5699999999997</v>
      </c>
      <c r="S344" s="1" t="str">
        <f t="shared" si="28"/>
        <v>High</v>
      </c>
      <c r="T344" s="1" t="str" cm="1">
        <f t="array" ref="T344">_xlfn.IFS(L344&gt;5,"High",L344=5,"mediam",L344&lt;5,"low")</f>
        <v>High</v>
      </c>
      <c r="U344" s="1" t="str">
        <f t="shared" si="29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5"/>
        <v>11143.24</v>
      </c>
      <c r="Q345" s="10">
        <f t="shared" si="26"/>
        <v>1782.9180000000001</v>
      </c>
      <c r="R345" s="11">
        <f t="shared" si="27"/>
        <v>9360.3220000000001</v>
      </c>
      <c r="S345" s="1" t="str">
        <f t="shared" si="28"/>
        <v>Low</v>
      </c>
      <c r="T345" s="1" t="str" cm="1">
        <f t="array" ref="T345">_xlfn.IFS(L345&gt;5,"High",L345=5,"mediam",L345&lt;5,"low")</f>
        <v>low</v>
      </c>
      <c r="U345" s="1" t="b">
        <f t="shared" si="29"/>
        <v>0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5"/>
        <v>3625.42</v>
      </c>
      <c r="Q346" s="10">
        <f t="shared" si="26"/>
        <v>326.28800000000001</v>
      </c>
      <c r="R346" s="11">
        <f t="shared" si="27"/>
        <v>3299.1320000000001</v>
      </c>
      <c r="S346" s="1" t="str">
        <f t="shared" si="28"/>
        <v>Low</v>
      </c>
      <c r="T346" s="1" t="str" cm="1">
        <f t="array" ref="T346">_xlfn.IFS(L346&gt;5,"High",L346=5,"mediam",L346&lt;5,"low")</f>
        <v>low</v>
      </c>
      <c r="U346" s="1" t="b">
        <f t="shared" si="29"/>
        <v>0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5"/>
        <v>30361.14</v>
      </c>
      <c r="Q347" s="10">
        <f t="shared" si="26"/>
        <v>2732.5030000000002</v>
      </c>
      <c r="R347" s="11">
        <f t="shared" si="27"/>
        <v>27628.636999999999</v>
      </c>
      <c r="S347" s="1" t="str">
        <f t="shared" si="28"/>
        <v>High</v>
      </c>
      <c r="T347" s="1" t="str" cm="1">
        <f t="array" ref="T347">_xlfn.IFS(L347&gt;5,"High",L347=5,"mediam",L347&lt;5,"low")</f>
        <v>High</v>
      </c>
      <c r="U347" s="1" t="str">
        <f t="shared" si="29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5"/>
        <v>2561.48</v>
      </c>
      <c r="Q348" s="10">
        <f t="shared" si="26"/>
        <v>409.83600000000001</v>
      </c>
      <c r="R348" s="11">
        <f t="shared" si="27"/>
        <v>2151.6440000000002</v>
      </c>
      <c r="S348" s="1" t="str">
        <f t="shared" si="28"/>
        <v>Low</v>
      </c>
      <c r="T348" s="1" t="str" cm="1">
        <f t="array" ref="T348">_xlfn.IFS(L348&gt;5,"High",L348=5,"mediam",L348&lt;5,"low")</f>
        <v>low</v>
      </c>
      <c r="U348" s="1" t="b">
        <f t="shared" si="29"/>
        <v>0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5"/>
        <v>5725.26</v>
      </c>
      <c r="Q349" s="10">
        <f t="shared" si="26"/>
        <v>916.04200000000003</v>
      </c>
      <c r="R349" s="11">
        <f t="shared" si="27"/>
        <v>4809.2179999999998</v>
      </c>
      <c r="S349" s="1" t="str">
        <f t="shared" si="28"/>
        <v>High</v>
      </c>
      <c r="T349" s="1" t="str" cm="1">
        <f t="array" ref="T349">_xlfn.IFS(L349&gt;5,"High",L349=5,"mediam",L349&lt;5,"low")</f>
        <v>High</v>
      </c>
      <c r="U349" s="1" t="str">
        <f t="shared" si="29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5"/>
        <v>19690.32</v>
      </c>
      <c r="Q350" s="10">
        <f t="shared" si="26"/>
        <v>935.29</v>
      </c>
      <c r="R350" s="11">
        <f t="shared" si="27"/>
        <v>18755.03</v>
      </c>
      <c r="S350" s="1" t="str">
        <f t="shared" si="28"/>
        <v>High</v>
      </c>
      <c r="T350" s="1" t="str" cm="1">
        <f t="array" ref="T350">_xlfn.IFS(L350&gt;5,"High",L350=5,"mediam",L350&lt;5,"low")</f>
        <v>High</v>
      </c>
      <c r="U350" s="1" t="str">
        <f t="shared" si="29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5"/>
        <v>3708.38</v>
      </c>
      <c r="Q351" s="10">
        <f t="shared" si="26"/>
        <v>593.34</v>
      </c>
      <c r="R351" s="11">
        <f t="shared" si="27"/>
        <v>3115.04</v>
      </c>
      <c r="S351" s="1" t="str">
        <f t="shared" si="28"/>
        <v>Low</v>
      </c>
      <c r="T351" s="1" t="str" cm="1">
        <f t="array" ref="T351">_xlfn.IFS(L351&gt;5,"High",L351=5,"mediam",L351&lt;5,"low")</f>
        <v>low</v>
      </c>
      <c r="U351" s="1" t="b">
        <f t="shared" si="29"/>
        <v>0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5"/>
        <v>5770.74</v>
      </c>
      <c r="Q352" s="10">
        <f t="shared" si="26"/>
        <v>735.76949999999999</v>
      </c>
      <c r="R352" s="11">
        <f t="shared" si="27"/>
        <v>5034.9704999999994</v>
      </c>
      <c r="S352" s="1" t="str">
        <f t="shared" si="28"/>
        <v>Low</v>
      </c>
      <c r="T352" s="1" t="str" cm="1">
        <f t="array" ref="T352">_xlfn.IFS(L352&gt;5,"High",L352=5,"mediam",L352&lt;5,"low")</f>
        <v>low</v>
      </c>
      <c r="U352" s="1" t="b">
        <f t="shared" si="29"/>
        <v>0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5"/>
        <v>4142.08</v>
      </c>
      <c r="Q353" s="10">
        <f t="shared" si="26"/>
        <v>662.73199999999997</v>
      </c>
      <c r="R353" s="11">
        <f t="shared" si="27"/>
        <v>3479.348</v>
      </c>
      <c r="S353" s="1" t="str">
        <f t="shared" si="28"/>
        <v>Low</v>
      </c>
      <c r="T353" s="1" t="str" cm="1">
        <f t="array" ref="T353">_xlfn.IFS(L353&gt;5,"High",L353=5,"mediam",L353&lt;5,"low")</f>
        <v>low</v>
      </c>
      <c r="U353" s="1" t="b">
        <f t="shared" si="29"/>
        <v>0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5"/>
        <v>12377.789999999999</v>
      </c>
      <c r="Q354" s="10">
        <f t="shared" si="26"/>
        <v>1578.1680000000001</v>
      </c>
      <c r="R354" s="11">
        <f t="shared" si="27"/>
        <v>10799.621999999999</v>
      </c>
      <c r="S354" s="1" t="str">
        <f t="shared" si="28"/>
        <v>High</v>
      </c>
      <c r="T354" s="1" t="str" cm="1">
        <f t="array" ref="T354">_xlfn.IFS(L354&gt;5,"High",L354=5,"mediam",L354&lt;5,"low")</f>
        <v>High</v>
      </c>
      <c r="U354" s="1" t="str">
        <f t="shared" si="29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5"/>
        <v>3592.92</v>
      </c>
      <c r="Q355" s="10">
        <f t="shared" si="26"/>
        <v>574.86800000000005</v>
      </c>
      <c r="R355" s="11">
        <f t="shared" si="27"/>
        <v>3018.0520000000001</v>
      </c>
      <c r="S355" s="1" t="str">
        <f t="shared" si="28"/>
        <v>Low</v>
      </c>
      <c r="T355" s="1" t="str" cm="1">
        <f t="array" ref="T355">_xlfn.IFS(L355&gt;5,"High",L355=5,"mediam",L355&lt;5,"low")</f>
        <v>low</v>
      </c>
      <c r="U355" s="1" t="b">
        <f t="shared" si="29"/>
        <v>0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5"/>
        <v>23695.920000000002</v>
      </c>
      <c r="Q356" s="10">
        <f t="shared" si="26"/>
        <v>1125.556</v>
      </c>
      <c r="R356" s="11">
        <f t="shared" si="27"/>
        <v>22570.364000000001</v>
      </c>
      <c r="S356" s="1" t="str">
        <f t="shared" si="28"/>
        <v>High</v>
      </c>
      <c r="T356" s="1" t="str" cm="1">
        <f t="array" ref="T356">_xlfn.IFS(L356&gt;5,"High",L356=5,"mediam",L356&lt;5,"low")</f>
        <v>High</v>
      </c>
      <c r="U356" s="1" t="str">
        <f t="shared" si="29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5"/>
        <v>11337.93</v>
      </c>
      <c r="Q357" s="10">
        <f t="shared" si="26"/>
        <v>1445.586</v>
      </c>
      <c r="R357" s="11">
        <f t="shared" si="27"/>
        <v>9892.344000000001</v>
      </c>
      <c r="S357" s="1" t="str">
        <f t="shared" si="28"/>
        <v>High</v>
      </c>
      <c r="T357" s="1" t="str" cm="1">
        <f t="array" ref="T357">_xlfn.IFS(L357&gt;5,"High",L357=5,"mediam",L357&lt;5,"low")</f>
        <v>High</v>
      </c>
      <c r="U357" s="1" t="str">
        <f t="shared" si="29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5"/>
        <v>10402.48</v>
      </c>
      <c r="Q358" s="10">
        <f t="shared" si="26"/>
        <v>0</v>
      </c>
      <c r="R358" s="11">
        <f t="shared" si="27"/>
        <v>10402.48</v>
      </c>
      <c r="S358" s="1" t="str">
        <f t="shared" si="28"/>
        <v>High</v>
      </c>
      <c r="T358" s="1" t="str" cm="1">
        <f t="array" ref="T358">_xlfn.IFS(L358&gt;5,"High",L358=5,"mediam",L358&lt;5,"low")</f>
        <v>High</v>
      </c>
      <c r="U358" s="1" t="str">
        <f t="shared" si="29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5"/>
        <v>28648.959999999999</v>
      </c>
      <c r="Q359" s="10">
        <f t="shared" si="26"/>
        <v>3652.7429999999999</v>
      </c>
      <c r="R359" s="11">
        <f t="shared" si="27"/>
        <v>24996.217000000001</v>
      </c>
      <c r="S359" s="1" t="str">
        <f t="shared" si="28"/>
        <v>High</v>
      </c>
      <c r="T359" s="1" t="str" cm="1">
        <f t="array" ref="T359">_xlfn.IFS(L359&gt;5,"High",L359=5,"mediam",L359&lt;5,"low")</f>
        <v>High</v>
      </c>
      <c r="U359" s="1" t="str">
        <f t="shared" si="29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5"/>
        <v>202.49</v>
      </c>
      <c r="Q360" s="10">
        <f t="shared" si="26"/>
        <v>9.6185000000000009</v>
      </c>
      <c r="R360" s="11">
        <f t="shared" si="27"/>
        <v>192.8715</v>
      </c>
      <c r="S360" s="1" t="str">
        <f t="shared" si="28"/>
        <v>Low</v>
      </c>
      <c r="T360" s="1" t="str" cm="1">
        <f t="array" ref="T360">_xlfn.IFS(L360&gt;5,"High",L360=5,"mediam",L360&lt;5,"low")</f>
        <v>low</v>
      </c>
      <c r="U360" s="1" t="b">
        <f t="shared" si="29"/>
        <v>0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5"/>
        <v>11140</v>
      </c>
      <c r="Q361" s="10">
        <f t="shared" si="26"/>
        <v>1420.35</v>
      </c>
      <c r="R361" s="11">
        <f t="shared" si="27"/>
        <v>9719.65</v>
      </c>
      <c r="S361" s="1" t="str">
        <f t="shared" si="28"/>
        <v>High</v>
      </c>
      <c r="T361" s="1" t="str" cm="1">
        <f t="array" ref="T361">_xlfn.IFS(L361&gt;5,"High",L361=5,"mediam",L361&lt;5,"low")</f>
        <v>High</v>
      </c>
      <c r="U361" s="1" t="str">
        <f t="shared" si="29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5"/>
        <v>6852.8099999999995</v>
      </c>
      <c r="Q362" s="10">
        <f t="shared" si="26"/>
        <v>1096.45</v>
      </c>
      <c r="R362" s="11">
        <f t="shared" si="27"/>
        <v>5756.36</v>
      </c>
      <c r="S362" s="1" t="str">
        <f t="shared" si="28"/>
        <v>Low</v>
      </c>
      <c r="T362" s="1" t="str" cm="1">
        <f t="array" ref="T362">_xlfn.IFS(L362&gt;5,"High",L362=5,"mediam",L362&lt;5,"low")</f>
        <v>low</v>
      </c>
      <c r="U362" s="1" t="b">
        <f t="shared" si="29"/>
        <v>0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5"/>
        <v>5044.4799999999996</v>
      </c>
      <c r="Q363" s="10">
        <f t="shared" si="26"/>
        <v>807.11599999999999</v>
      </c>
      <c r="R363" s="11">
        <f t="shared" si="27"/>
        <v>4237.3639999999996</v>
      </c>
      <c r="S363" s="1" t="str">
        <f t="shared" si="28"/>
        <v>High</v>
      </c>
      <c r="T363" s="1" t="str" cm="1">
        <f t="array" ref="T363">_xlfn.IFS(L363&gt;5,"High",L363=5,"mediam",L363&lt;5,"low")</f>
        <v>High</v>
      </c>
      <c r="U363" s="1" t="str">
        <f t="shared" si="29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5"/>
        <v>504.58</v>
      </c>
      <c r="Q364" s="10">
        <f t="shared" si="26"/>
        <v>23.967500000000001</v>
      </c>
      <c r="R364" s="11">
        <f t="shared" si="27"/>
        <v>480.61249999999995</v>
      </c>
      <c r="S364" s="1" t="str">
        <f t="shared" si="28"/>
        <v>Low</v>
      </c>
      <c r="T364" s="1" t="str" cm="1">
        <f t="array" ref="T364">_xlfn.IFS(L364&gt;5,"High",L364=5,"mediam",L364&lt;5,"low")</f>
        <v>low</v>
      </c>
      <c r="U364" s="1" t="b">
        <f t="shared" si="29"/>
        <v>0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5"/>
        <v>3288.81</v>
      </c>
      <c r="Q365" s="10">
        <f t="shared" si="26"/>
        <v>295.99299999999999</v>
      </c>
      <c r="R365" s="11">
        <f t="shared" si="27"/>
        <v>2992.817</v>
      </c>
      <c r="S365" s="1" t="str">
        <f t="shared" si="28"/>
        <v>Low</v>
      </c>
      <c r="T365" s="1" t="str" cm="1">
        <f t="array" ref="T365">_xlfn.IFS(L365&gt;5,"High",L365=5,"mediam",L365&lt;5,"low")</f>
        <v>low</v>
      </c>
      <c r="U365" s="1" t="b">
        <f t="shared" si="29"/>
        <v>0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5"/>
        <v>17967.3</v>
      </c>
      <c r="Q366" s="10">
        <f t="shared" si="26"/>
        <v>2874.768</v>
      </c>
      <c r="R366" s="11">
        <f t="shared" si="27"/>
        <v>15092.531999999999</v>
      </c>
      <c r="S366" s="1" t="str">
        <f t="shared" si="28"/>
        <v>High</v>
      </c>
      <c r="T366" s="1" t="str" cm="1">
        <f t="array" ref="T366">_xlfn.IFS(L366&gt;5,"High",L366=5,"mediam",L366&lt;5,"low")</f>
        <v>mediam</v>
      </c>
      <c r="U366" s="1" t="b">
        <f t="shared" si="29"/>
        <v>0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5"/>
        <v>16604.400000000001</v>
      </c>
      <c r="Q367" s="10">
        <f t="shared" si="26"/>
        <v>0</v>
      </c>
      <c r="R367" s="11">
        <f t="shared" si="27"/>
        <v>16604.400000000001</v>
      </c>
      <c r="S367" s="1" t="str">
        <f t="shared" si="28"/>
        <v>High</v>
      </c>
      <c r="T367" s="1" t="str" cm="1">
        <f t="array" ref="T367">_xlfn.IFS(L367&gt;5,"High",L367=5,"mediam",L367&lt;5,"low")</f>
        <v>mediam</v>
      </c>
      <c r="U367" s="1" t="b">
        <f t="shared" si="29"/>
        <v>0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5"/>
        <v>28882.639999999999</v>
      </c>
      <c r="Q368" s="10">
        <f t="shared" si="26"/>
        <v>1371.9255000000001</v>
      </c>
      <c r="R368" s="11">
        <f t="shared" si="27"/>
        <v>27510.714499999998</v>
      </c>
      <c r="S368" s="1" t="str">
        <f t="shared" si="28"/>
        <v>High</v>
      </c>
      <c r="T368" s="1" t="str" cm="1">
        <f t="array" ref="T368">_xlfn.IFS(L368&gt;5,"High",L368=5,"mediam",L368&lt;5,"low")</f>
        <v>High</v>
      </c>
      <c r="U368" s="1" t="str">
        <f t="shared" si="29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5"/>
        <v>15956.36</v>
      </c>
      <c r="Q369" s="10">
        <f t="shared" si="26"/>
        <v>2034.4364999999998</v>
      </c>
      <c r="R369" s="11">
        <f t="shared" si="27"/>
        <v>13921.923500000001</v>
      </c>
      <c r="S369" s="1" t="str">
        <f t="shared" si="28"/>
        <v>High</v>
      </c>
      <c r="T369" s="1" t="str" cm="1">
        <f t="array" ref="T369">_xlfn.IFS(L369&gt;5,"High",L369=5,"mediam",L369&lt;5,"low")</f>
        <v>High</v>
      </c>
      <c r="U369" s="1" t="str">
        <f t="shared" si="29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5"/>
        <v>26217.52</v>
      </c>
      <c r="Q370" s="10">
        <f t="shared" si="26"/>
        <v>3342.7334999999998</v>
      </c>
      <c r="R370" s="11">
        <f t="shared" si="27"/>
        <v>22874.786500000002</v>
      </c>
      <c r="S370" s="1" t="str">
        <f t="shared" si="28"/>
        <v>High</v>
      </c>
      <c r="T370" s="1" t="str" cm="1">
        <f t="array" ref="T370">_xlfn.IFS(L370&gt;5,"High",L370=5,"mediam",L370&lt;5,"low")</f>
        <v>High</v>
      </c>
      <c r="U370" s="1" t="str">
        <f t="shared" si="29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5"/>
        <v>9771.36</v>
      </c>
      <c r="Q371" s="10">
        <f t="shared" si="26"/>
        <v>0</v>
      </c>
      <c r="R371" s="11">
        <f t="shared" si="27"/>
        <v>9771.36</v>
      </c>
      <c r="S371" s="1" t="str">
        <f t="shared" si="28"/>
        <v>High</v>
      </c>
      <c r="T371" s="1" t="str" cm="1">
        <f t="array" ref="T371">_xlfn.IFS(L371&gt;5,"High",L371=5,"mediam",L371&lt;5,"low")</f>
        <v>High</v>
      </c>
      <c r="U371" s="1" t="str">
        <f t="shared" si="29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5"/>
        <v>16290.78</v>
      </c>
      <c r="Q372" s="10">
        <f t="shared" si="26"/>
        <v>2606.5240000000003</v>
      </c>
      <c r="R372" s="11">
        <f t="shared" si="27"/>
        <v>13684.256000000001</v>
      </c>
      <c r="S372" s="1" t="str">
        <f t="shared" si="28"/>
        <v>High</v>
      </c>
      <c r="T372" s="1" t="str" cm="1">
        <f t="array" ref="T372">_xlfn.IFS(L372&gt;5,"High",L372=5,"mediam",L372&lt;5,"low")</f>
        <v>High</v>
      </c>
      <c r="U372" s="1" t="str">
        <f t="shared" si="29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5"/>
        <v>7914.04</v>
      </c>
      <c r="Q373" s="10">
        <f t="shared" si="26"/>
        <v>375.91700000000003</v>
      </c>
      <c r="R373" s="11">
        <f t="shared" si="27"/>
        <v>7538.1229999999996</v>
      </c>
      <c r="S373" s="1" t="str">
        <f t="shared" si="28"/>
        <v>Low</v>
      </c>
      <c r="T373" s="1" t="str" cm="1">
        <f t="array" ref="T373">_xlfn.IFS(L373&gt;5,"High",L373=5,"mediam",L373&lt;5,"low")</f>
        <v>low</v>
      </c>
      <c r="U373" s="1" t="b">
        <f t="shared" si="29"/>
        <v>0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5"/>
        <v>6114.2999999999993</v>
      </c>
      <c r="Q374" s="10">
        <f t="shared" si="26"/>
        <v>0</v>
      </c>
      <c r="R374" s="11">
        <f t="shared" si="27"/>
        <v>6114.2999999999993</v>
      </c>
      <c r="S374" s="1" t="str">
        <f t="shared" si="28"/>
        <v>High</v>
      </c>
      <c r="T374" s="1" t="str" cm="1">
        <f t="array" ref="T374">_xlfn.IFS(L374&gt;5,"High",L374=5,"mediam",L374&lt;5,"low")</f>
        <v>High</v>
      </c>
      <c r="U374" s="1" t="str">
        <f t="shared" si="29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5"/>
        <v>8255.5499999999993</v>
      </c>
      <c r="Q375" s="10">
        <f t="shared" si="26"/>
        <v>1320.8879999999999</v>
      </c>
      <c r="R375" s="11">
        <f t="shared" si="27"/>
        <v>6934.6619999999994</v>
      </c>
      <c r="S375" s="1" t="str">
        <f t="shared" si="28"/>
        <v>High</v>
      </c>
      <c r="T375" s="1" t="str" cm="1">
        <f t="array" ref="T375">_xlfn.IFS(L375&gt;5,"High",L375=5,"mediam",L375&lt;5,"low")</f>
        <v>mediam</v>
      </c>
      <c r="U375" s="1" t="b">
        <f t="shared" si="29"/>
        <v>0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5"/>
        <v>5994.54</v>
      </c>
      <c r="Q376" s="10">
        <f t="shared" si="26"/>
        <v>284.74050000000005</v>
      </c>
      <c r="R376" s="11">
        <f t="shared" si="27"/>
        <v>5709.7995000000001</v>
      </c>
      <c r="S376" s="1" t="str">
        <f t="shared" si="28"/>
        <v>Low</v>
      </c>
      <c r="T376" s="1" t="str" cm="1">
        <f t="array" ref="T376">_xlfn.IFS(L376&gt;5,"High",L376=5,"mediam",L376&lt;5,"low")</f>
        <v>low</v>
      </c>
      <c r="U376" s="1" t="b">
        <f t="shared" si="29"/>
        <v>0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5"/>
        <v>4088.16</v>
      </c>
      <c r="Q377" s="10">
        <f t="shared" si="26"/>
        <v>521.24099999999999</v>
      </c>
      <c r="R377" s="11">
        <f t="shared" si="27"/>
        <v>3566.9189999999999</v>
      </c>
      <c r="S377" s="1" t="str">
        <f t="shared" si="28"/>
        <v>High</v>
      </c>
      <c r="T377" s="1" t="str" cm="1">
        <f t="array" ref="T377">_xlfn.IFS(L377&gt;5,"High",L377=5,"mediam",L377&lt;5,"low")</f>
        <v>High</v>
      </c>
      <c r="U377" s="1" t="str">
        <f t="shared" si="29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5"/>
        <v>3696</v>
      </c>
      <c r="Q378" s="10">
        <f t="shared" si="26"/>
        <v>175.56</v>
      </c>
      <c r="R378" s="11">
        <f t="shared" si="27"/>
        <v>3520.44</v>
      </c>
      <c r="S378" s="1" t="str">
        <f t="shared" si="28"/>
        <v>High</v>
      </c>
      <c r="T378" s="1" t="str" cm="1">
        <f t="array" ref="T378">_xlfn.IFS(L378&gt;5,"High",L378=5,"mediam",L378&lt;5,"low")</f>
        <v>High</v>
      </c>
      <c r="U378" s="1" t="str">
        <f t="shared" si="29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5"/>
        <v>30099.87</v>
      </c>
      <c r="Q379" s="10">
        <f t="shared" si="26"/>
        <v>2708.9880000000003</v>
      </c>
      <c r="R379" s="11">
        <f t="shared" si="27"/>
        <v>27390.881999999998</v>
      </c>
      <c r="S379" s="1" t="str">
        <f t="shared" si="28"/>
        <v>High</v>
      </c>
      <c r="T379" s="1" t="str" cm="1">
        <f t="array" ref="T379">_xlfn.IFS(L379&gt;5,"High",L379=5,"mediam",L379&lt;5,"low")</f>
        <v>High</v>
      </c>
      <c r="U379" s="1" t="str">
        <f t="shared" si="29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5"/>
        <v>3910.66</v>
      </c>
      <c r="Q380" s="10">
        <f t="shared" si="26"/>
        <v>185.75650000000002</v>
      </c>
      <c r="R380" s="11">
        <f t="shared" si="27"/>
        <v>3724.9034999999999</v>
      </c>
      <c r="S380" s="1" t="str">
        <f t="shared" si="28"/>
        <v>Low</v>
      </c>
      <c r="T380" s="1" t="str" cm="1">
        <f t="array" ref="T380">_xlfn.IFS(L380&gt;5,"High",L380=5,"mediam",L380&lt;5,"low")</f>
        <v>low</v>
      </c>
      <c r="U380" s="1" t="b">
        <f t="shared" si="29"/>
        <v>0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5"/>
        <v>5124.57</v>
      </c>
      <c r="Q381" s="10">
        <f t="shared" si="26"/>
        <v>461.21100000000001</v>
      </c>
      <c r="R381" s="11">
        <f t="shared" si="27"/>
        <v>4663.3589999999995</v>
      </c>
      <c r="S381" s="1" t="str">
        <f t="shared" si="28"/>
        <v>Low</v>
      </c>
      <c r="T381" s="1" t="str" cm="1">
        <f t="array" ref="T381">_xlfn.IFS(L381&gt;5,"High",L381=5,"mediam",L381&lt;5,"low")</f>
        <v>low</v>
      </c>
      <c r="U381" s="1" t="b">
        <f t="shared" si="29"/>
        <v>0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5"/>
        <v>1462.35</v>
      </c>
      <c r="Q382" s="10">
        <f t="shared" si="26"/>
        <v>69.461500000000001</v>
      </c>
      <c r="R382" s="11">
        <f t="shared" si="27"/>
        <v>1392.8885</v>
      </c>
      <c r="S382" s="1" t="str">
        <f t="shared" si="28"/>
        <v>Low</v>
      </c>
      <c r="T382" s="1" t="str" cm="1">
        <f t="array" ref="T382">_xlfn.IFS(L382&gt;5,"High",L382=5,"mediam",L382&lt;5,"low")</f>
        <v>low</v>
      </c>
      <c r="U382" s="1" t="b">
        <f t="shared" si="29"/>
        <v>0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5"/>
        <v>3227.04</v>
      </c>
      <c r="Q383" s="10">
        <f t="shared" si="26"/>
        <v>290.43400000000003</v>
      </c>
      <c r="R383" s="11">
        <f t="shared" si="27"/>
        <v>2936.6059999999998</v>
      </c>
      <c r="S383" s="1" t="str">
        <f t="shared" si="28"/>
        <v>High</v>
      </c>
      <c r="T383" s="1" t="str" cm="1">
        <f t="array" ref="T383">_xlfn.IFS(L383&gt;5,"High",L383=5,"mediam",L383&lt;5,"low")</f>
        <v>High</v>
      </c>
      <c r="U383" s="1" t="str">
        <f t="shared" si="29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5"/>
        <v>3581.58</v>
      </c>
      <c r="Q384" s="10">
        <f t="shared" si="26"/>
        <v>456.65100000000001</v>
      </c>
      <c r="R384" s="11">
        <f t="shared" si="27"/>
        <v>3124.9290000000001</v>
      </c>
      <c r="S384" s="1" t="str">
        <f t="shared" si="28"/>
        <v>Low</v>
      </c>
      <c r="T384" s="1" t="str" cm="1">
        <f t="array" ref="T384">_xlfn.IFS(L384&gt;5,"High",L384=5,"mediam",L384&lt;5,"low")</f>
        <v>low</v>
      </c>
      <c r="U384" s="1" t="b">
        <f t="shared" si="29"/>
        <v>0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5"/>
        <v>9678.4</v>
      </c>
      <c r="Q385" s="10">
        <f t="shared" si="26"/>
        <v>1548.5440000000001</v>
      </c>
      <c r="R385" s="11">
        <f t="shared" si="27"/>
        <v>8129.8559999999998</v>
      </c>
      <c r="S385" s="1" t="str">
        <f t="shared" si="28"/>
        <v>High</v>
      </c>
      <c r="T385" s="1" t="str" cm="1">
        <f t="array" ref="T385">_xlfn.IFS(L385&gt;5,"High",L385=5,"mediam",L385&lt;5,"low")</f>
        <v>mediam</v>
      </c>
      <c r="U385" s="1" t="b">
        <f t="shared" si="29"/>
        <v>0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5"/>
        <v>4146.33</v>
      </c>
      <c r="Q386" s="10">
        <f t="shared" si="26"/>
        <v>373.17</v>
      </c>
      <c r="R386" s="11">
        <f t="shared" si="27"/>
        <v>3773.16</v>
      </c>
      <c r="S386" s="1" t="str">
        <f t="shared" si="28"/>
        <v>Low</v>
      </c>
      <c r="T386" s="1" t="str" cm="1">
        <f t="array" ref="T386">_xlfn.IFS(L386&gt;5,"High",L386=5,"mediam",L386&lt;5,"low")</f>
        <v>low</v>
      </c>
      <c r="U386" s="1" t="b">
        <f t="shared" si="29"/>
        <v>0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0">L387*M387</f>
        <v>3968.76</v>
      </c>
      <c r="Q387" s="10">
        <f t="shared" ref="Q387:Q450" si="31">O387*N387%</f>
        <v>357.18800000000005</v>
      </c>
      <c r="R387" s="11">
        <f t="shared" ref="R387:R450" si="32">P387-Q387</f>
        <v>3611.5720000000001</v>
      </c>
      <c r="S387" s="1" t="str">
        <f t="shared" ref="S387:S450" si="33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ref="U387:U450" si="34">IF(L387&gt;5,"High",IF(L387="Mediam","Low"))</f>
        <v>0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0"/>
        <v>11003.76</v>
      </c>
      <c r="Q388" s="10">
        <f t="shared" si="31"/>
        <v>1402.98</v>
      </c>
      <c r="R388" s="11">
        <f t="shared" si="32"/>
        <v>9600.7800000000007</v>
      </c>
      <c r="S388" s="1" t="str">
        <f t="shared" si="33"/>
        <v>High</v>
      </c>
      <c r="T388" s="1" t="str" cm="1">
        <f t="array" ref="T388">_xlfn.IFS(L388&gt;5,"High",L388=5,"mediam",L388&lt;5,"low")</f>
        <v>High</v>
      </c>
      <c r="U388" s="1" t="str">
        <f t="shared" si="34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0"/>
        <v>6098.37</v>
      </c>
      <c r="Q389" s="10">
        <f t="shared" si="31"/>
        <v>548.85299999999995</v>
      </c>
      <c r="R389" s="11">
        <f t="shared" si="32"/>
        <v>5549.5169999999998</v>
      </c>
      <c r="S389" s="1" t="str">
        <f t="shared" si="33"/>
        <v>Low</v>
      </c>
      <c r="T389" s="1" t="str" cm="1">
        <f t="array" ref="T389">_xlfn.IFS(L389&gt;5,"High",L389=5,"mediam",L389&lt;5,"low")</f>
        <v>low</v>
      </c>
      <c r="U389" s="1" t="b">
        <f t="shared" si="34"/>
        <v>0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0"/>
        <v>24215.03</v>
      </c>
      <c r="Q390" s="10">
        <f t="shared" si="31"/>
        <v>0</v>
      </c>
      <c r="R390" s="11">
        <f t="shared" si="32"/>
        <v>24215.03</v>
      </c>
      <c r="S390" s="1" t="str">
        <f t="shared" si="33"/>
        <v>High</v>
      </c>
      <c r="T390" s="1" t="str" cm="1">
        <f t="array" ref="T390">_xlfn.IFS(L390&gt;5,"High",L390=5,"mediam",L390&lt;5,"low")</f>
        <v>High</v>
      </c>
      <c r="U390" s="1" t="str">
        <f t="shared" si="34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0"/>
        <v>2430.36</v>
      </c>
      <c r="Q391" s="10">
        <f t="shared" si="31"/>
        <v>309.87149999999997</v>
      </c>
      <c r="R391" s="11">
        <f t="shared" si="32"/>
        <v>2120.4885000000004</v>
      </c>
      <c r="S391" s="1" t="str">
        <f t="shared" si="33"/>
        <v>Low</v>
      </c>
      <c r="T391" s="1" t="str" cm="1">
        <f t="array" ref="T391">_xlfn.IFS(L391&gt;5,"High",L391=5,"mediam",L391&lt;5,"low")</f>
        <v>low</v>
      </c>
      <c r="U391" s="1" t="b">
        <f t="shared" si="34"/>
        <v>0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0"/>
        <v>16946.52</v>
      </c>
      <c r="Q392" s="10">
        <f t="shared" si="31"/>
        <v>0</v>
      </c>
      <c r="R392" s="11">
        <f t="shared" si="32"/>
        <v>16946.52</v>
      </c>
      <c r="S392" s="1" t="str">
        <f t="shared" si="33"/>
        <v>High</v>
      </c>
      <c r="T392" s="1" t="str" cm="1">
        <f t="array" ref="T392">_xlfn.IFS(L392&gt;5,"High",L392=5,"mediam",L392&lt;5,"low")</f>
        <v>High</v>
      </c>
      <c r="U392" s="1" t="str">
        <f t="shared" si="34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0"/>
        <v>4661.9400000000005</v>
      </c>
      <c r="Q393" s="10">
        <f t="shared" si="31"/>
        <v>594.39750000000004</v>
      </c>
      <c r="R393" s="11">
        <f t="shared" si="32"/>
        <v>4067.5425000000005</v>
      </c>
      <c r="S393" s="1" t="str">
        <f t="shared" si="33"/>
        <v>Low</v>
      </c>
      <c r="T393" s="1" t="str" cm="1">
        <f t="array" ref="T393">_xlfn.IFS(L393&gt;5,"High",L393=5,"mediam",L393&lt;5,"low")</f>
        <v>low</v>
      </c>
      <c r="U393" s="1" t="b">
        <f t="shared" si="34"/>
        <v>0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0"/>
        <v>23946</v>
      </c>
      <c r="Q394" s="10">
        <f t="shared" si="31"/>
        <v>2155.1400000000003</v>
      </c>
      <c r="R394" s="11">
        <f t="shared" si="32"/>
        <v>21790.86</v>
      </c>
      <c r="S394" s="1" t="str">
        <f t="shared" si="33"/>
        <v>High</v>
      </c>
      <c r="T394" s="1" t="str" cm="1">
        <f t="array" ref="T394">_xlfn.IFS(L394&gt;5,"High",L394=5,"mediam",L394&lt;5,"low")</f>
        <v>High</v>
      </c>
      <c r="U394" s="1" t="str">
        <f t="shared" si="34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0"/>
        <v>16298.880000000001</v>
      </c>
      <c r="Q395" s="10">
        <f t="shared" si="31"/>
        <v>0</v>
      </c>
      <c r="R395" s="11">
        <f t="shared" si="32"/>
        <v>16298.880000000001</v>
      </c>
      <c r="S395" s="1" t="str">
        <f t="shared" si="33"/>
        <v>High</v>
      </c>
      <c r="T395" s="1" t="str" cm="1">
        <f t="array" ref="T395">_xlfn.IFS(L395&gt;5,"High",L395=5,"mediam",L395&lt;5,"low")</f>
        <v>High</v>
      </c>
      <c r="U395" s="1" t="str">
        <f t="shared" si="34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0"/>
        <v>1220.6199999999999</v>
      </c>
      <c r="Q396" s="10">
        <f t="shared" si="31"/>
        <v>109.85599999999999</v>
      </c>
      <c r="R396" s="11">
        <f t="shared" si="32"/>
        <v>1110.7639999999999</v>
      </c>
      <c r="S396" s="1" t="str">
        <f t="shared" si="33"/>
        <v>Low</v>
      </c>
      <c r="T396" s="1" t="str" cm="1">
        <f t="array" ref="T396">_xlfn.IFS(L396&gt;5,"High",L396=5,"mediam",L396&lt;5,"low")</f>
        <v>low</v>
      </c>
      <c r="U396" s="1" t="b">
        <f t="shared" si="34"/>
        <v>0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0"/>
        <v>14128.02</v>
      </c>
      <c r="Q397" s="10">
        <f t="shared" si="31"/>
        <v>1801.3229999999999</v>
      </c>
      <c r="R397" s="11">
        <f t="shared" si="32"/>
        <v>12326.697</v>
      </c>
      <c r="S397" s="1" t="str">
        <f t="shared" si="33"/>
        <v>High</v>
      </c>
      <c r="T397" s="1" t="str" cm="1">
        <f t="array" ref="T397">_xlfn.IFS(L397&gt;5,"High",L397=5,"mediam",L397&lt;5,"low")</f>
        <v>High</v>
      </c>
      <c r="U397" s="1" t="str">
        <f t="shared" si="34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0"/>
        <v>7969.22</v>
      </c>
      <c r="Q398" s="10">
        <f t="shared" si="31"/>
        <v>717.23</v>
      </c>
      <c r="R398" s="11">
        <f t="shared" si="32"/>
        <v>7251.99</v>
      </c>
      <c r="S398" s="1" t="str">
        <f t="shared" si="33"/>
        <v>High</v>
      </c>
      <c r="T398" s="1" t="str" cm="1">
        <f t="array" ref="T398">_xlfn.IFS(L398&gt;5,"High",L398=5,"mediam",L398&lt;5,"low")</f>
        <v>High</v>
      </c>
      <c r="U398" s="1" t="str">
        <f t="shared" si="34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0"/>
        <v>16228.85</v>
      </c>
      <c r="Q399" s="10">
        <f t="shared" si="31"/>
        <v>0</v>
      </c>
      <c r="R399" s="11">
        <f t="shared" si="32"/>
        <v>16228.85</v>
      </c>
      <c r="S399" s="1" t="str">
        <f t="shared" si="33"/>
        <v>High</v>
      </c>
      <c r="T399" s="1" t="str" cm="1">
        <f t="array" ref="T399">_xlfn.IFS(L399&gt;5,"High",L399=5,"mediam",L399&lt;5,"low")</f>
        <v>mediam</v>
      </c>
      <c r="U399" s="1" t="b">
        <f t="shared" si="34"/>
        <v>0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0"/>
        <v>5369.58</v>
      </c>
      <c r="Q400" s="10">
        <f t="shared" si="31"/>
        <v>0</v>
      </c>
      <c r="R400" s="11">
        <f t="shared" si="32"/>
        <v>5369.58</v>
      </c>
      <c r="S400" s="1" t="str">
        <f t="shared" si="33"/>
        <v>Low</v>
      </c>
      <c r="T400" s="1" t="str" cm="1">
        <f t="array" ref="T400">_xlfn.IFS(L400&gt;5,"High",L400=5,"mediam",L400&lt;5,"low")</f>
        <v>low</v>
      </c>
      <c r="U400" s="1" t="b">
        <f t="shared" si="34"/>
        <v>0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0"/>
        <v>15918.12</v>
      </c>
      <c r="Q401" s="10">
        <f t="shared" si="31"/>
        <v>1432.6310000000001</v>
      </c>
      <c r="R401" s="11">
        <f t="shared" si="32"/>
        <v>14485.489000000001</v>
      </c>
      <c r="S401" s="1" t="str">
        <f t="shared" si="33"/>
        <v>Low</v>
      </c>
      <c r="T401" s="1" t="str" cm="1">
        <f t="array" ref="T401">_xlfn.IFS(L401&gt;5,"High",L401=5,"mediam",L401&lt;5,"low")</f>
        <v>low</v>
      </c>
      <c r="U401" s="1" t="b">
        <f t="shared" si="34"/>
        <v>0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0"/>
        <v>2024.52</v>
      </c>
      <c r="Q402" s="10">
        <f t="shared" si="31"/>
        <v>96.164500000000004</v>
      </c>
      <c r="R402" s="11">
        <f t="shared" si="32"/>
        <v>1928.3554999999999</v>
      </c>
      <c r="S402" s="1" t="str">
        <f t="shared" si="33"/>
        <v>Low</v>
      </c>
      <c r="T402" s="1" t="str" cm="1">
        <f t="array" ref="T402">_xlfn.IFS(L402&gt;5,"High",L402=5,"mediam",L402&lt;5,"low")</f>
        <v>low</v>
      </c>
      <c r="U402" s="1" t="b">
        <f t="shared" si="34"/>
        <v>0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0"/>
        <v>18926.04</v>
      </c>
      <c r="Q403" s="10">
        <f t="shared" si="31"/>
        <v>2413.0694999999996</v>
      </c>
      <c r="R403" s="11">
        <f t="shared" si="32"/>
        <v>16512.970500000003</v>
      </c>
      <c r="S403" s="1" t="str">
        <f t="shared" si="33"/>
        <v>High</v>
      </c>
      <c r="T403" s="1" t="str" cm="1">
        <f t="array" ref="T403">_xlfn.IFS(L403&gt;5,"High",L403=5,"mediam",L403&lt;5,"low")</f>
        <v>High</v>
      </c>
      <c r="U403" s="1" t="str">
        <f t="shared" si="34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0"/>
        <v>2743.75</v>
      </c>
      <c r="Q404" s="10">
        <f t="shared" si="31"/>
        <v>349.82850000000002</v>
      </c>
      <c r="R404" s="11">
        <f t="shared" si="32"/>
        <v>2393.9214999999999</v>
      </c>
      <c r="S404" s="1" t="str">
        <f t="shared" si="33"/>
        <v>Low</v>
      </c>
      <c r="T404" s="1" t="str" cm="1">
        <f t="array" ref="T404">_xlfn.IFS(L404&gt;5,"High",L404=5,"mediam",L404&lt;5,"low")</f>
        <v>low</v>
      </c>
      <c r="U404" s="1" t="b">
        <f t="shared" si="34"/>
        <v>0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0"/>
        <v>12419.48</v>
      </c>
      <c r="Q405" s="10">
        <f t="shared" si="31"/>
        <v>1117.7530000000002</v>
      </c>
      <c r="R405" s="11">
        <f t="shared" si="32"/>
        <v>11301.726999999999</v>
      </c>
      <c r="S405" s="1" t="str">
        <f t="shared" si="33"/>
        <v>Low</v>
      </c>
      <c r="T405" s="1" t="str" cm="1">
        <f t="array" ref="T405">_xlfn.IFS(L405&gt;5,"High",L405=5,"mediam",L405&lt;5,"low")</f>
        <v>low</v>
      </c>
      <c r="U405" s="1" t="b">
        <f t="shared" si="34"/>
        <v>0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0"/>
        <v>5335.96</v>
      </c>
      <c r="Q406" s="10">
        <f t="shared" si="31"/>
        <v>253.458</v>
      </c>
      <c r="R406" s="11">
        <f t="shared" si="32"/>
        <v>5082.5020000000004</v>
      </c>
      <c r="S406" s="1" t="str">
        <f t="shared" si="33"/>
        <v>Low</v>
      </c>
      <c r="T406" s="1" t="str" cm="1">
        <f t="array" ref="T406">_xlfn.IFS(L406&gt;5,"High",L406=5,"mediam",L406&lt;5,"low")</f>
        <v>low</v>
      </c>
      <c r="U406" s="1" t="b">
        <f t="shared" si="34"/>
        <v>0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0"/>
        <v>2044.41</v>
      </c>
      <c r="Q407" s="10">
        <f t="shared" si="31"/>
        <v>0</v>
      </c>
      <c r="R407" s="11">
        <f t="shared" si="32"/>
        <v>2044.41</v>
      </c>
      <c r="S407" s="1" t="str">
        <f t="shared" si="33"/>
        <v>Low</v>
      </c>
      <c r="T407" s="1" t="str" cm="1">
        <f t="array" ref="T407">_xlfn.IFS(L407&gt;5,"High",L407=5,"mediam",L407&lt;5,"low")</f>
        <v>low</v>
      </c>
      <c r="U407" s="1" t="b">
        <f t="shared" si="34"/>
        <v>0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0"/>
        <v>28949.040000000001</v>
      </c>
      <c r="Q408" s="10">
        <f t="shared" si="31"/>
        <v>4631.8460000000005</v>
      </c>
      <c r="R408" s="11">
        <f t="shared" si="32"/>
        <v>24317.194</v>
      </c>
      <c r="S408" s="1" t="str">
        <f t="shared" si="33"/>
        <v>High</v>
      </c>
      <c r="T408" s="1" t="str" cm="1">
        <f t="array" ref="T408">_xlfn.IFS(L408&gt;5,"High",L408=5,"mediam",L408&lt;5,"low")</f>
        <v>High</v>
      </c>
      <c r="U408" s="1" t="str">
        <f t="shared" si="34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0"/>
        <v>4181.12</v>
      </c>
      <c r="Q409" s="10">
        <f t="shared" si="31"/>
        <v>668.98</v>
      </c>
      <c r="R409" s="11">
        <f t="shared" si="32"/>
        <v>3512.14</v>
      </c>
      <c r="S409" s="1" t="str">
        <f t="shared" si="33"/>
        <v>Low</v>
      </c>
      <c r="T409" s="1" t="str" cm="1">
        <f t="array" ref="T409">_xlfn.IFS(L409&gt;5,"High",L409=5,"mediam",L409&lt;5,"low")</f>
        <v>low</v>
      </c>
      <c r="U409" s="1" t="b">
        <f t="shared" si="34"/>
        <v>0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0"/>
        <v>7141.6100000000006</v>
      </c>
      <c r="Q410" s="10">
        <f t="shared" si="31"/>
        <v>642.745</v>
      </c>
      <c r="R410" s="11">
        <f t="shared" si="32"/>
        <v>6498.8650000000007</v>
      </c>
      <c r="S410" s="1" t="str">
        <f t="shared" si="33"/>
        <v>High</v>
      </c>
      <c r="T410" s="1" t="str" cm="1">
        <f t="array" ref="T410">_xlfn.IFS(L410&gt;5,"High",L410=5,"mediam",L410&lt;5,"low")</f>
        <v>High</v>
      </c>
      <c r="U410" s="1" t="str">
        <f t="shared" si="34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0"/>
        <v>6814.6500000000005</v>
      </c>
      <c r="Q411" s="10">
        <f t="shared" si="31"/>
        <v>323.69600000000003</v>
      </c>
      <c r="R411" s="11">
        <f t="shared" si="32"/>
        <v>6490.9540000000006</v>
      </c>
      <c r="S411" s="1" t="str">
        <f t="shared" si="33"/>
        <v>Low</v>
      </c>
      <c r="T411" s="1" t="str" cm="1">
        <f t="array" ref="T411">_xlfn.IFS(L411&gt;5,"High",L411=5,"mediam",L411&lt;5,"low")</f>
        <v>low</v>
      </c>
      <c r="U411" s="1" t="b">
        <f t="shared" si="34"/>
        <v>0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0"/>
        <v>6497.16</v>
      </c>
      <c r="Q412" s="10">
        <f t="shared" si="31"/>
        <v>308.61500000000001</v>
      </c>
      <c r="R412" s="11">
        <f t="shared" si="32"/>
        <v>6188.5450000000001</v>
      </c>
      <c r="S412" s="1" t="str">
        <f t="shared" si="33"/>
        <v>Low</v>
      </c>
      <c r="T412" s="1" t="str" cm="1">
        <f t="array" ref="T412">_xlfn.IFS(L412&gt;5,"High",L412=5,"mediam",L412&lt;5,"low")</f>
        <v>low</v>
      </c>
      <c r="U412" s="1" t="b">
        <f t="shared" si="34"/>
        <v>0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0"/>
        <v>9893.68</v>
      </c>
      <c r="Q413" s="10">
        <f t="shared" si="31"/>
        <v>1261.4444999999998</v>
      </c>
      <c r="R413" s="11">
        <f t="shared" si="32"/>
        <v>8632.2355000000007</v>
      </c>
      <c r="S413" s="1" t="str">
        <f t="shared" si="33"/>
        <v>High</v>
      </c>
      <c r="T413" s="1" t="str" cm="1">
        <f t="array" ref="T413">_xlfn.IFS(L413&gt;5,"High",L413=5,"mediam",L413&lt;5,"low")</f>
        <v>High</v>
      </c>
      <c r="U413" s="1" t="str">
        <f t="shared" si="34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0"/>
        <v>10380.719999999999</v>
      </c>
      <c r="Q414" s="10">
        <f t="shared" si="31"/>
        <v>0</v>
      </c>
      <c r="R414" s="11">
        <f t="shared" si="32"/>
        <v>10380.719999999999</v>
      </c>
      <c r="S414" s="1" t="str">
        <f t="shared" si="33"/>
        <v>High</v>
      </c>
      <c r="T414" s="1" t="str" cm="1">
        <f t="array" ref="T414">_xlfn.IFS(L414&gt;5,"High",L414=5,"mediam",L414&lt;5,"low")</f>
        <v>High</v>
      </c>
      <c r="U414" s="1" t="str">
        <f t="shared" si="34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0"/>
        <v>1219.7</v>
      </c>
      <c r="Q415" s="10">
        <f t="shared" si="31"/>
        <v>57.935500000000005</v>
      </c>
      <c r="R415" s="11">
        <f t="shared" si="32"/>
        <v>1161.7645</v>
      </c>
      <c r="S415" s="1" t="str">
        <f t="shared" si="33"/>
        <v>Low</v>
      </c>
      <c r="T415" s="1" t="str" cm="1">
        <f t="array" ref="T415">_xlfn.IFS(L415&gt;5,"High",L415=5,"mediam",L415&lt;5,"low")</f>
        <v>low</v>
      </c>
      <c r="U415" s="1" t="b">
        <f t="shared" si="34"/>
        <v>0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0"/>
        <v>6240.64</v>
      </c>
      <c r="Q416" s="10">
        <f t="shared" si="31"/>
        <v>998.50200000000007</v>
      </c>
      <c r="R416" s="11">
        <f t="shared" si="32"/>
        <v>5242.1379999999999</v>
      </c>
      <c r="S416" s="1" t="str">
        <f t="shared" si="33"/>
        <v>Low</v>
      </c>
      <c r="T416" s="1" t="str" cm="1">
        <f t="array" ref="T416">_xlfn.IFS(L416&gt;5,"High",L416=5,"mediam",L416&lt;5,"low")</f>
        <v>low</v>
      </c>
      <c r="U416" s="1" t="b">
        <f t="shared" si="34"/>
        <v>0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0"/>
        <v>21278.560000000001</v>
      </c>
      <c r="Q417" s="10">
        <f t="shared" si="31"/>
        <v>0</v>
      </c>
      <c r="R417" s="11">
        <f t="shared" si="32"/>
        <v>21278.560000000001</v>
      </c>
      <c r="S417" s="1" t="str">
        <f t="shared" si="33"/>
        <v>High</v>
      </c>
      <c r="T417" s="1" t="str" cm="1">
        <f t="array" ref="T417">_xlfn.IFS(L417&gt;5,"High",L417=5,"mediam",L417&lt;5,"low")</f>
        <v>High</v>
      </c>
      <c r="U417" s="1" t="str">
        <f t="shared" si="34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0"/>
        <v>3354.81</v>
      </c>
      <c r="Q418" s="10">
        <f t="shared" si="31"/>
        <v>0</v>
      </c>
      <c r="R418" s="11">
        <f t="shared" si="32"/>
        <v>3354.81</v>
      </c>
      <c r="S418" s="1" t="str">
        <f t="shared" si="33"/>
        <v>Low</v>
      </c>
      <c r="T418" s="1" t="str" cm="1">
        <f t="array" ref="T418">_xlfn.IFS(L418&gt;5,"High",L418=5,"mediam",L418&lt;5,"low")</f>
        <v>low</v>
      </c>
      <c r="U418" s="1" t="b">
        <f t="shared" si="34"/>
        <v>0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0"/>
        <v>31244.560000000001</v>
      </c>
      <c r="Q419" s="10">
        <f t="shared" si="31"/>
        <v>2812.01</v>
      </c>
      <c r="R419" s="11">
        <f t="shared" si="32"/>
        <v>28432.550000000003</v>
      </c>
      <c r="S419" s="1" t="str">
        <f t="shared" si="33"/>
        <v>High</v>
      </c>
      <c r="T419" s="1" t="str" cm="1">
        <f t="array" ref="T419">_xlfn.IFS(L419&gt;5,"High",L419=5,"mediam",L419&lt;5,"low")</f>
        <v>High</v>
      </c>
      <c r="U419" s="1" t="str">
        <f t="shared" si="34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0"/>
        <v>15804.24</v>
      </c>
      <c r="Q420" s="10">
        <f t="shared" si="31"/>
        <v>750.70150000000012</v>
      </c>
      <c r="R420" s="11">
        <f t="shared" si="32"/>
        <v>15053.538499999999</v>
      </c>
      <c r="S420" s="1" t="str">
        <f t="shared" si="33"/>
        <v>High</v>
      </c>
      <c r="T420" s="1" t="str" cm="1">
        <f t="array" ref="T420">_xlfn.IFS(L420&gt;5,"High",L420=5,"mediam",L420&lt;5,"low")</f>
        <v>High</v>
      </c>
      <c r="U420" s="1" t="str">
        <f t="shared" si="34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0"/>
        <v>813.54</v>
      </c>
      <c r="Q421" s="10">
        <f t="shared" si="31"/>
        <v>73.219000000000008</v>
      </c>
      <c r="R421" s="11">
        <f t="shared" si="32"/>
        <v>740.32099999999991</v>
      </c>
      <c r="S421" s="1" t="str">
        <f t="shared" si="33"/>
        <v>Low</v>
      </c>
      <c r="T421" s="1" t="str" cm="1">
        <f t="array" ref="T421">_xlfn.IFS(L421&gt;5,"High",L421=5,"mediam",L421&lt;5,"low")</f>
        <v>low</v>
      </c>
      <c r="U421" s="1" t="b">
        <f t="shared" si="34"/>
        <v>0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0"/>
        <v>1340.64</v>
      </c>
      <c r="Q422" s="10">
        <f t="shared" si="31"/>
        <v>63.680499999999995</v>
      </c>
      <c r="R422" s="11">
        <f t="shared" si="32"/>
        <v>1276.9595000000002</v>
      </c>
      <c r="S422" s="1" t="str">
        <f t="shared" si="33"/>
        <v>Low</v>
      </c>
      <c r="T422" s="1" t="str" cm="1">
        <f t="array" ref="T422">_xlfn.IFS(L422&gt;5,"High",L422=5,"mediam",L422&lt;5,"low")</f>
        <v>low</v>
      </c>
      <c r="U422" s="1" t="b">
        <f t="shared" si="34"/>
        <v>0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0"/>
        <v>7729.86</v>
      </c>
      <c r="Q423" s="10">
        <f t="shared" si="31"/>
        <v>985.55700000000002</v>
      </c>
      <c r="R423" s="11">
        <f t="shared" si="32"/>
        <v>6744.3029999999999</v>
      </c>
      <c r="S423" s="1" t="str">
        <f t="shared" si="33"/>
        <v>High</v>
      </c>
      <c r="T423" s="1" t="str" cm="1">
        <f t="array" ref="T423">_xlfn.IFS(L423&gt;5,"High",L423=5,"mediam",L423&lt;5,"low")</f>
        <v>High</v>
      </c>
      <c r="U423" s="1" t="str">
        <f t="shared" si="34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0"/>
        <v>33662.700000000004</v>
      </c>
      <c r="Q424" s="10">
        <f t="shared" si="31"/>
        <v>3029.643</v>
      </c>
      <c r="R424" s="11">
        <f t="shared" si="32"/>
        <v>30633.057000000004</v>
      </c>
      <c r="S424" s="1" t="str">
        <f t="shared" si="33"/>
        <v>High</v>
      </c>
      <c r="T424" s="1" t="str" cm="1">
        <f t="array" ref="T424">_xlfn.IFS(L424&gt;5,"High",L424=5,"mediam",L424&lt;5,"low")</f>
        <v>High</v>
      </c>
      <c r="U424" s="1" t="str">
        <f t="shared" si="34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0"/>
        <v>17314.96</v>
      </c>
      <c r="Q425" s="10">
        <f t="shared" si="31"/>
        <v>1558.346</v>
      </c>
      <c r="R425" s="11">
        <f t="shared" si="32"/>
        <v>15756.614</v>
      </c>
      <c r="S425" s="1" t="str">
        <f t="shared" si="33"/>
        <v>High</v>
      </c>
      <c r="T425" s="1" t="str" cm="1">
        <f t="array" ref="T425">_xlfn.IFS(L425&gt;5,"High",L425=5,"mediam",L425&lt;5,"low")</f>
        <v>High</v>
      </c>
      <c r="U425" s="1" t="str">
        <f t="shared" si="34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0"/>
        <v>9571.0400000000009</v>
      </c>
      <c r="Q426" s="10">
        <f t="shared" si="31"/>
        <v>1531.366</v>
      </c>
      <c r="R426" s="11">
        <f t="shared" si="32"/>
        <v>8039.6740000000009</v>
      </c>
      <c r="S426" s="1" t="str">
        <f t="shared" si="33"/>
        <v>High</v>
      </c>
      <c r="T426" s="1" t="str" cm="1">
        <f t="array" ref="T426">_xlfn.IFS(L426&gt;5,"High",L426=5,"mediam",L426&lt;5,"low")</f>
        <v>High</v>
      </c>
      <c r="U426" s="1" t="str">
        <f t="shared" si="34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0"/>
        <v>11807.529999999999</v>
      </c>
      <c r="Q427" s="10">
        <f t="shared" si="31"/>
        <v>1062.6780000000001</v>
      </c>
      <c r="R427" s="11">
        <f t="shared" si="32"/>
        <v>10744.851999999999</v>
      </c>
      <c r="S427" s="1" t="str">
        <f t="shared" si="33"/>
        <v>High</v>
      </c>
      <c r="T427" s="1" t="str" cm="1">
        <f t="array" ref="T427">_xlfn.IFS(L427&gt;5,"High",L427=5,"mediam",L427&lt;5,"low")</f>
        <v>High</v>
      </c>
      <c r="U427" s="1" t="str">
        <f t="shared" si="34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0"/>
        <v>22091.31</v>
      </c>
      <c r="Q428" s="10">
        <f t="shared" si="31"/>
        <v>1049.3370000000002</v>
      </c>
      <c r="R428" s="11">
        <f t="shared" si="32"/>
        <v>21041.973000000002</v>
      </c>
      <c r="S428" s="1" t="str">
        <f t="shared" si="33"/>
        <v>High</v>
      </c>
      <c r="T428" s="1" t="str" cm="1">
        <f t="array" ref="T428">_xlfn.IFS(L428&gt;5,"High",L428=5,"mediam",L428&lt;5,"low")</f>
        <v>High</v>
      </c>
      <c r="U428" s="1" t="str">
        <f t="shared" si="34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0"/>
        <v>5327.72</v>
      </c>
      <c r="Q429" s="10">
        <f t="shared" si="31"/>
        <v>852.43600000000015</v>
      </c>
      <c r="R429" s="11">
        <f t="shared" si="32"/>
        <v>4475.2839999999997</v>
      </c>
      <c r="S429" s="1" t="str">
        <f t="shared" si="33"/>
        <v>Low</v>
      </c>
      <c r="T429" s="1" t="str" cm="1">
        <f t="array" ref="T429">_xlfn.IFS(L429&gt;5,"High",L429=5,"mediam",L429&lt;5,"low")</f>
        <v>low</v>
      </c>
      <c r="U429" s="1" t="b">
        <f t="shared" si="34"/>
        <v>0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0"/>
        <v>2227.77</v>
      </c>
      <c r="Q430" s="10">
        <f t="shared" si="31"/>
        <v>200.49900000000002</v>
      </c>
      <c r="R430" s="11">
        <f t="shared" si="32"/>
        <v>2027.271</v>
      </c>
      <c r="S430" s="1" t="str">
        <f t="shared" si="33"/>
        <v>Low</v>
      </c>
      <c r="T430" s="1" t="str" cm="1">
        <f t="array" ref="T430">_xlfn.IFS(L430&gt;5,"High",L430=5,"mediam",L430&lt;5,"low")</f>
        <v>low</v>
      </c>
      <c r="U430" s="1" t="b">
        <f t="shared" si="34"/>
        <v>0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0"/>
        <v>31292.560000000001</v>
      </c>
      <c r="Q431" s="10">
        <f t="shared" si="31"/>
        <v>2816.33</v>
      </c>
      <c r="R431" s="11">
        <f t="shared" si="32"/>
        <v>28476.230000000003</v>
      </c>
      <c r="S431" s="1" t="str">
        <f t="shared" si="33"/>
        <v>High</v>
      </c>
      <c r="T431" s="1" t="str" cm="1">
        <f t="array" ref="T431">_xlfn.IFS(L431&gt;5,"High",L431=5,"mediam",L431&lt;5,"low")</f>
        <v>High</v>
      </c>
      <c r="U431" s="1" t="str">
        <f t="shared" si="34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0"/>
        <v>13484.22</v>
      </c>
      <c r="Q432" s="10">
        <f t="shared" si="31"/>
        <v>1719.2384999999999</v>
      </c>
      <c r="R432" s="11">
        <f t="shared" si="32"/>
        <v>11764.9815</v>
      </c>
      <c r="S432" s="1" t="str">
        <f t="shared" si="33"/>
        <v>High</v>
      </c>
      <c r="T432" s="1" t="str" cm="1">
        <f t="array" ref="T432">_xlfn.IFS(L432&gt;5,"High",L432=5,"mediam",L432&lt;5,"low")</f>
        <v>High</v>
      </c>
      <c r="U432" s="1" t="str">
        <f t="shared" si="34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0"/>
        <v>6051.5999999999995</v>
      </c>
      <c r="Q433" s="10">
        <f t="shared" si="31"/>
        <v>544.64400000000001</v>
      </c>
      <c r="R433" s="11">
        <f t="shared" si="32"/>
        <v>5506.9559999999992</v>
      </c>
      <c r="S433" s="1" t="str">
        <f t="shared" si="33"/>
        <v>High</v>
      </c>
      <c r="T433" s="1" t="str" cm="1">
        <f t="array" ref="T433">_xlfn.IFS(L433&gt;5,"High",L433=5,"mediam",L433&lt;5,"low")</f>
        <v>High</v>
      </c>
      <c r="U433" s="1" t="str">
        <f t="shared" si="34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0"/>
        <v>14362</v>
      </c>
      <c r="Q434" s="10">
        <f t="shared" si="31"/>
        <v>0</v>
      </c>
      <c r="R434" s="11">
        <f t="shared" si="32"/>
        <v>14362</v>
      </c>
      <c r="S434" s="1" t="str">
        <f t="shared" si="33"/>
        <v>Low</v>
      </c>
      <c r="T434" s="1" t="str" cm="1">
        <f t="array" ref="T434">_xlfn.IFS(L434&gt;5,"High",L434=5,"mediam",L434&lt;5,"low")</f>
        <v>low</v>
      </c>
      <c r="U434" s="1" t="b">
        <f t="shared" si="34"/>
        <v>0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0"/>
        <v>3498.88</v>
      </c>
      <c r="Q435" s="10">
        <f t="shared" si="31"/>
        <v>559.82000000000005</v>
      </c>
      <c r="R435" s="11">
        <f t="shared" si="32"/>
        <v>2939.06</v>
      </c>
      <c r="S435" s="1" t="str">
        <f t="shared" si="33"/>
        <v>High</v>
      </c>
      <c r="T435" s="1" t="str" cm="1">
        <f t="array" ref="T435">_xlfn.IFS(L435&gt;5,"High",L435=5,"mediam",L435&lt;5,"low")</f>
        <v>High</v>
      </c>
      <c r="U435" s="1" t="str">
        <f t="shared" si="34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0"/>
        <v>10934.34</v>
      </c>
      <c r="Q436" s="10">
        <f t="shared" si="31"/>
        <v>0</v>
      </c>
      <c r="R436" s="11">
        <f t="shared" si="32"/>
        <v>10934.34</v>
      </c>
      <c r="S436" s="1" t="str">
        <f t="shared" si="33"/>
        <v>Low</v>
      </c>
      <c r="T436" s="1" t="str" cm="1">
        <f t="array" ref="T436">_xlfn.IFS(L436&gt;5,"High",L436=5,"mediam",L436&lt;5,"low")</f>
        <v>low</v>
      </c>
      <c r="U436" s="1" t="b">
        <f t="shared" si="34"/>
        <v>0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0"/>
        <v>11960.34</v>
      </c>
      <c r="Q437" s="10">
        <f t="shared" si="31"/>
        <v>1913.6540000000002</v>
      </c>
      <c r="R437" s="11">
        <f t="shared" si="32"/>
        <v>10046.686</v>
      </c>
      <c r="S437" s="1" t="str">
        <f t="shared" si="33"/>
        <v>Low</v>
      </c>
      <c r="T437" s="1" t="str" cm="1">
        <f t="array" ref="T437">_xlfn.IFS(L437&gt;5,"High",L437=5,"mediam",L437&lt;5,"low")</f>
        <v>low</v>
      </c>
      <c r="U437" s="1" t="b">
        <f t="shared" si="34"/>
        <v>0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0"/>
        <v>22773.279999999999</v>
      </c>
      <c r="Q438" s="10">
        <f t="shared" si="31"/>
        <v>2903.5934999999999</v>
      </c>
      <c r="R438" s="11">
        <f t="shared" si="32"/>
        <v>19869.6865</v>
      </c>
      <c r="S438" s="1" t="str">
        <f t="shared" si="33"/>
        <v>High</v>
      </c>
      <c r="T438" s="1" t="str" cm="1">
        <f t="array" ref="T438">_xlfn.IFS(L438&gt;5,"High",L438=5,"mediam",L438&lt;5,"low")</f>
        <v>High</v>
      </c>
      <c r="U438" s="1" t="str">
        <f t="shared" si="34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0"/>
        <v>15581.099999999999</v>
      </c>
      <c r="Q439" s="10">
        <f t="shared" si="31"/>
        <v>1402.299</v>
      </c>
      <c r="R439" s="11">
        <f t="shared" si="32"/>
        <v>14178.800999999999</v>
      </c>
      <c r="S439" s="1" t="str">
        <f t="shared" si="33"/>
        <v>High</v>
      </c>
      <c r="T439" s="1" t="str" cm="1">
        <f t="array" ref="T439">_xlfn.IFS(L439&gt;5,"High",L439=5,"mediam",L439&lt;5,"low")</f>
        <v>mediam</v>
      </c>
      <c r="U439" s="1" t="b">
        <f t="shared" si="34"/>
        <v>0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0"/>
        <v>4345.8599999999997</v>
      </c>
      <c r="Q440" s="10">
        <f t="shared" si="31"/>
        <v>391.12700000000001</v>
      </c>
      <c r="R440" s="11">
        <f t="shared" si="32"/>
        <v>3954.7329999999997</v>
      </c>
      <c r="S440" s="1" t="str">
        <f t="shared" si="33"/>
        <v>Low</v>
      </c>
      <c r="T440" s="1" t="str" cm="1">
        <f t="array" ref="T440">_xlfn.IFS(L440&gt;5,"High",L440=5,"mediam",L440&lt;5,"low")</f>
        <v>low</v>
      </c>
      <c r="U440" s="1" t="b">
        <f t="shared" si="34"/>
        <v>0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0"/>
        <v>3775.07</v>
      </c>
      <c r="Q441" s="10">
        <f t="shared" si="31"/>
        <v>339.75600000000003</v>
      </c>
      <c r="R441" s="11">
        <f t="shared" si="32"/>
        <v>3435.3140000000003</v>
      </c>
      <c r="S441" s="1" t="str">
        <f t="shared" si="33"/>
        <v>Low</v>
      </c>
      <c r="T441" s="1" t="str" cm="1">
        <f t="array" ref="T441">_xlfn.IFS(L441&gt;5,"High",L441=5,"mediam",L441&lt;5,"low")</f>
        <v>low</v>
      </c>
      <c r="U441" s="1" t="b">
        <f t="shared" si="34"/>
        <v>0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0"/>
        <v>6568.2000000000007</v>
      </c>
      <c r="Q442" s="10">
        <f t="shared" si="31"/>
        <v>1050.912</v>
      </c>
      <c r="R442" s="11">
        <f t="shared" si="32"/>
        <v>5517.2880000000005</v>
      </c>
      <c r="S442" s="1" t="str">
        <f t="shared" si="33"/>
        <v>Low</v>
      </c>
      <c r="T442" s="1" t="str" cm="1">
        <f t="array" ref="T442">_xlfn.IFS(L442&gt;5,"High",L442=5,"mediam",L442&lt;5,"low")</f>
        <v>low</v>
      </c>
      <c r="U442" s="1" t="b">
        <f t="shared" si="34"/>
        <v>0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0"/>
        <v>26727.3</v>
      </c>
      <c r="Q443" s="10">
        <f t="shared" si="31"/>
        <v>2405.4569999999999</v>
      </c>
      <c r="R443" s="11">
        <f t="shared" si="32"/>
        <v>24321.843000000001</v>
      </c>
      <c r="S443" s="1" t="str">
        <f t="shared" si="33"/>
        <v>High</v>
      </c>
      <c r="T443" s="1" t="str" cm="1">
        <f t="array" ref="T443">_xlfn.IFS(L443&gt;5,"High",L443=5,"mediam",L443&lt;5,"low")</f>
        <v>High</v>
      </c>
      <c r="U443" s="1" t="str">
        <f t="shared" si="34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0"/>
        <v>18539.05</v>
      </c>
      <c r="Q444" s="10">
        <f t="shared" si="31"/>
        <v>0</v>
      </c>
      <c r="R444" s="11">
        <f t="shared" si="32"/>
        <v>18539.05</v>
      </c>
      <c r="S444" s="1" t="str">
        <f t="shared" si="33"/>
        <v>High</v>
      </c>
      <c r="T444" s="1" t="str" cm="1">
        <f t="array" ref="T444">_xlfn.IFS(L444&gt;5,"High",L444=5,"mediam",L444&lt;5,"low")</f>
        <v>mediam</v>
      </c>
      <c r="U444" s="1" t="b">
        <f t="shared" si="34"/>
        <v>0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0"/>
        <v>7808.88</v>
      </c>
      <c r="Q445" s="10">
        <f t="shared" si="31"/>
        <v>702.79899999999998</v>
      </c>
      <c r="R445" s="11">
        <f t="shared" si="32"/>
        <v>7106.0810000000001</v>
      </c>
      <c r="S445" s="1" t="str">
        <f t="shared" si="33"/>
        <v>Low</v>
      </c>
      <c r="T445" s="1" t="str" cm="1">
        <f t="array" ref="T445">_xlfn.IFS(L445&gt;5,"High",L445=5,"mediam",L445&lt;5,"low")</f>
        <v>low</v>
      </c>
      <c r="U445" s="1" t="b">
        <f t="shared" si="34"/>
        <v>0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0"/>
        <v>23504.880000000001</v>
      </c>
      <c r="Q446" s="10">
        <f t="shared" si="31"/>
        <v>2996.8724999999999</v>
      </c>
      <c r="R446" s="11">
        <f t="shared" si="32"/>
        <v>20508.0075</v>
      </c>
      <c r="S446" s="1" t="str">
        <f t="shared" si="33"/>
        <v>High</v>
      </c>
      <c r="T446" s="1" t="str" cm="1">
        <f t="array" ref="T446">_xlfn.IFS(L446&gt;5,"High",L446=5,"mediam",L446&lt;5,"low")</f>
        <v>High</v>
      </c>
      <c r="U446" s="1" t="str">
        <f t="shared" si="34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0"/>
        <v>2633.24</v>
      </c>
      <c r="Q447" s="10">
        <f t="shared" si="31"/>
        <v>0</v>
      </c>
      <c r="R447" s="11">
        <f t="shared" si="32"/>
        <v>2633.24</v>
      </c>
      <c r="S447" s="1" t="str">
        <f t="shared" si="33"/>
        <v>Low</v>
      </c>
      <c r="T447" s="1" t="str" cm="1">
        <f t="array" ref="T447">_xlfn.IFS(L447&gt;5,"High",L447=5,"mediam",L447&lt;5,"low")</f>
        <v>low</v>
      </c>
      <c r="U447" s="1" t="b">
        <f t="shared" si="34"/>
        <v>0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0"/>
        <v>15484.84</v>
      </c>
      <c r="Q448" s="10">
        <f t="shared" si="31"/>
        <v>1393.6360000000002</v>
      </c>
      <c r="R448" s="11">
        <f t="shared" si="32"/>
        <v>14091.204</v>
      </c>
      <c r="S448" s="1" t="str">
        <f t="shared" si="33"/>
        <v>Low</v>
      </c>
      <c r="T448" s="1" t="str" cm="1">
        <f t="array" ref="T448">_xlfn.IFS(L448&gt;5,"High",L448=5,"mediam",L448&lt;5,"low")</f>
        <v>low</v>
      </c>
      <c r="U448" s="1" t="b">
        <f t="shared" si="34"/>
        <v>0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0"/>
        <v>17977.82</v>
      </c>
      <c r="Q449" s="10">
        <f t="shared" si="31"/>
        <v>1618.0040000000001</v>
      </c>
      <c r="R449" s="11">
        <f t="shared" si="32"/>
        <v>16359.815999999999</v>
      </c>
      <c r="S449" s="1" t="str">
        <f t="shared" si="33"/>
        <v>High</v>
      </c>
      <c r="T449" s="1" t="str" cm="1">
        <f t="array" ref="T449">_xlfn.IFS(L449&gt;5,"High",L449=5,"mediam",L449&lt;5,"low")</f>
        <v>High</v>
      </c>
      <c r="U449" s="1" t="str">
        <f t="shared" si="34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0"/>
        <v>14931.88</v>
      </c>
      <c r="Q450" s="10">
        <f t="shared" si="31"/>
        <v>709.26450000000011</v>
      </c>
      <c r="R450" s="11">
        <f t="shared" si="32"/>
        <v>14222.6155</v>
      </c>
      <c r="S450" s="1" t="str">
        <f t="shared" si="33"/>
        <v>Low</v>
      </c>
      <c r="T450" s="1" t="str" cm="1">
        <f t="array" ref="T450">_xlfn.IFS(L450&gt;5,"High",L450=5,"mediam",L450&lt;5,"low")</f>
        <v>low</v>
      </c>
      <c r="U450" s="1" t="b">
        <f t="shared" si="34"/>
        <v>0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5">L451*M451</f>
        <v>19271</v>
      </c>
      <c r="Q451" s="10">
        <f t="shared" ref="Q451:Q501" si="36">O451*N451%</f>
        <v>3083.36</v>
      </c>
      <c r="R451" s="11">
        <f t="shared" ref="R451:R501" si="37">P451-Q451</f>
        <v>16187.64</v>
      </c>
      <c r="S451" s="1" t="str">
        <f t="shared" ref="S451:S501" si="38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ref="U451:U501" si="39">IF(L451&gt;5,"High",IF(L451="Mediam","Low"))</f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5"/>
        <v>9330.09</v>
      </c>
      <c r="Q452" s="10">
        <f t="shared" si="36"/>
        <v>0</v>
      </c>
      <c r="R452" s="11">
        <f t="shared" si="37"/>
        <v>9330.09</v>
      </c>
      <c r="S452" s="1" t="str">
        <f t="shared" si="38"/>
        <v>High</v>
      </c>
      <c r="T452" s="1" t="str" cm="1">
        <f t="array" ref="T452">_xlfn.IFS(L452&gt;5,"High",L452=5,"mediam",L452&lt;5,"low")</f>
        <v>High</v>
      </c>
      <c r="U452" s="1" t="str">
        <f t="shared" si="39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5"/>
        <v>1574.59</v>
      </c>
      <c r="Q453" s="10">
        <f t="shared" si="36"/>
        <v>74.792999999999992</v>
      </c>
      <c r="R453" s="11">
        <f t="shared" si="37"/>
        <v>1499.797</v>
      </c>
      <c r="S453" s="1" t="str">
        <f t="shared" si="38"/>
        <v>Low</v>
      </c>
      <c r="T453" s="1" t="str" cm="1">
        <f t="array" ref="T453">_xlfn.IFS(L453&gt;5,"High",L453=5,"mediam",L453&lt;5,"low")</f>
        <v>low</v>
      </c>
      <c r="U453" s="1" t="b">
        <f t="shared" si="39"/>
        <v>0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5"/>
        <v>13615.920000000002</v>
      </c>
      <c r="Q454" s="10">
        <f t="shared" si="36"/>
        <v>1736.0295000000001</v>
      </c>
      <c r="R454" s="11">
        <f t="shared" si="37"/>
        <v>11879.890500000001</v>
      </c>
      <c r="S454" s="1" t="str">
        <f t="shared" si="38"/>
        <v>High</v>
      </c>
      <c r="T454" s="1" t="str" cm="1">
        <f t="array" ref="T454">_xlfn.IFS(L454&gt;5,"High",L454=5,"mediam",L454&lt;5,"low")</f>
        <v>High</v>
      </c>
      <c r="U454" s="1" t="str">
        <f t="shared" si="39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5"/>
        <v>28724.04</v>
      </c>
      <c r="Q455" s="10">
        <f t="shared" si="36"/>
        <v>4595.8460000000005</v>
      </c>
      <c r="R455" s="11">
        <f t="shared" si="37"/>
        <v>24128.194</v>
      </c>
      <c r="S455" s="1" t="str">
        <f t="shared" si="38"/>
        <v>High</v>
      </c>
      <c r="T455" s="1" t="str" cm="1">
        <f t="array" ref="T455">_xlfn.IFS(L455&gt;5,"High",L455=5,"mediam",L455&lt;5,"low")</f>
        <v>High</v>
      </c>
      <c r="U455" s="1" t="str">
        <f t="shared" si="39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5"/>
        <v>2748.46</v>
      </c>
      <c r="Q456" s="10">
        <f t="shared" si="36"/>
        <v>0</v>
      </c>
      <c r="R456" s="11">
        <f t="shared" si="37"/>
        <v>2748.46</v>
      </c>
      <c r="S456" s="1" t="str">
        <f t="shared" si="38"/>
        <v>Low</v>
      </c>
      <c r="T456" s="1" t="str" cm="1">
        <f t="array" ref="T456">_xlfn.IFS(L456&gt;5,"High",L456=5,"mediam",L456&lt;5,"low")</f>
        <v>low</v>
      </c>
      <c r="U456" s="1" t="b">
        <f t="shared" si="39"/>
        <v>0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5"/>
        <v>7145.88</v>
      </c>
      <c r="Q457" s="10">
        <f t="shared" si="36"/>
        <v>643.12900000000002</v>
      </c>
      <c r="R457" s="11">
        <f t="shared" si="37"/>
        <v>6502.7510000000002</v>
      </c>
      <c r="S457" s="1" t="str">
        <f t="shared" si="38"/>
        <v>Low</v>
      </c>
      <c r="T457" s="1" t="str" cm="1">
        <f t="array" ref="T457">_xlfn.IFS(L457&gt;5,"High",L457=5,"mediam",L457&lt;5,"low")</f>
        <v>low</v>
      </c>
      <c r="U457" s="1" t="b">
        <f t="shared" si="39"/>
        <v>0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5"/>
        <v>7403.3</v>
      </c>
      <c r="Q458" s="10">
        <f t="shared" si="36"/>
        <v>0</v>
      </c>
      <c r="R458" s="11">
        <f t="shared" si="37"/>
        <v>7403.3</v>
      </c>
      <c r="S458" s="1" t="str">
        <f t="shared" si="38"/>
        <v>High</v>
      </c>
      <c r="T458" s="1" t="str" cm="1">
        <f t="array" ref="T458">_xlfn.IFS(L458&gt;5,"High",L458=5,"mediam",L458&lt;5,"low")</f>
        <v>mediam</v>
      </c>
      <c r="U458" s="1" t="b">
        <f t="shared" si="39"/>
        <v>0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5"/>
        <v>29616.39</v>
      </c>
      <c r="Q459" s="10">
        <f t="shared" si="36"/>
        <v>2665.4750000000004</v>
      </c>
      <c r="R459" s="11">
        <f t="shared" si="37"/>
        <v>26950.915000000001</v>
      </c>
      <c r="S459" s="1" t="str">
        <f t="shared" si="38"/>
        <v>High</v>
      </c>
      <c r="T459" s="1" t="str" cm="1">
        <f t="array" ref="T459">_xlfn.IFS(L459&gt;5,"High",L459=5,"mediam",L459&lt;5,"low")</f>
        <v>High</v>
      </c>
      <c r="U459" s="1" t="str">
        <f t="shared" si="39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5"/>
        <v>7787.6</v>
      </c>
      <c r="Q460" s="10">
        <f t="shared" si="36"/>
        <v>1246.0160000000001</v>
      </c>
      <c r="R460" s="11">
        <f t="shared" si="37"/>
        <v>6541.5840000000007</v>
      </c>
      <c r="S460" s="1" t="str">
        <f t="shared" si="38"/>
        <v>Low</v>
      </c>
      <c r="T460" s="1" t="str" cm="1">
        <f t="array" ref="T460">_xlfn.IFS(L460&gt;5,"High",L460=5,"mediam",L460&lt;5,"low")</f>
        <v>low</v>
      </c>
      <c r="U460" s="1" t="b">
        <f t="shared" si="39"/>
        <v>0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5"/>
        <v>445.38</v>
      </c>
      <c r="Q461" s="10">
        <f t="shared" si="36"/>
        <v>40.084000000000003</v>
      </c>
      <c r="R461" s="11">
        <f t="shared" si="37"/>
        <v>405.29599999999999</v>
      </c>
      <c r="S461" s="1" t="str">
        <f t="shared" si="38"/>
        <v>Low</v>
      </c>
      <c r="T461" s="1" t="str" cm="1">
        <f t="array" ref="T461">_xlfn.IFS(L461&gt;5,"High",L461=5,"mediam",L461&lt;5,"low")</f>
        <v>low</v>
      </c>
      <c r="U461" s="1" t="b">
        <f t="shared" si="39"/>
        <v>0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5"/>
        <v>3157.2</v>
      </c>
      <c r="Q462" s="10">
        <f t="shared" si="36"/>
        <v>402.54299999999995</v>
      </c>
      <c r="R462" s="11">
        <f t="shared" si="37"/>
        <v>2754.6569999999997</v>
      </c>
      <c r="S462" s="1" t="str">
        <f t="shared" si="38"/>
        <v>Low</v>
      </c>
      <c r="T462" s="1" t="str" cm="1">
        <f t="array" ref="T462">_xlfn.IFS(L462&gt;5,"High",L462=5,"mediam",L462&lt;5,"low")</f>
        <v>low</v>
      </c>
      <c r="U462" s="1" t="b">
        <f t="shared" si="39"/>
        <v>0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5"/>
        <v>2311.5</v>
      </c>
      <c r="Q463" s="10">
        <f t="shared" si="36"/>
        <v>208.035</v>
      </c>
      <c r="R463" s="11">
        <f t="shared" si="37"/>
        <v>2103.4650000000001</v>
      </c>
      <c r="S463" s="1" t="str">
        <f t="shared" si="38"/>
        <v>High</v>
      </c>
      <c r="T463" s="1" t="str" cm="1">
        <f t="array" ref="T463">_xlfn.IFS(L463&gt;5,"High",L463=5,"mediam",L463&lt;5,"low")</f>
        <v>High</v>
      </c>
      <c r="U463" s="1" t="str">
        <f t="shared" si="39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5"/>
        <v>10361.6</v>
      </c>
      <c r="Q464" s="10">
        <f t="shared" si="36"/>
        <v>1321.104</v>
      </c>
      <c r="R464" s="11">
        <f t="shared" si="37"/>
        <v>9040.496000000001</v>
      </c>
      <c r="S464" s="1" t="str">
        <f t="shared" si="38"/>
        <v>High</v>
      </c>
      <c r="T464" s="1" t="str" cm="1">
        <f t="array" ref="T464">_xlfn.IFS(L464&gt;5,"High",L464=5,"mediam",L464&lt;5,"low")</f>
        <v>mediam</v>
      </c>
      <c r="U464" s="1" t="b">
        <f t="shared" si="39"/>
        <v>0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5"/>
        <v>559.4</v>
      </c>
      <c r="Q465" s="10">
        <f t="shared" si="36"/>
        <v>89.504000000000005</v>
      </c>
      <c r="R465" s="11">
        <f t="shared" si="37"/>
        <v>469.89599999999996</v>
      </c>
      <c r="S465" s="1" t="str">
        <f t="shared" si="38"/>
        <v>Low</v>
      </c>
      <c r="T465" s="1" t="str" cm="1">
        <f t="array" ref="T465">_xlfn.IFS(L465&gt;5,"High",L465=5,"mediam",L465&lt;5,"low")</f>
        <v>low</v>
      </c>
      <c r="U465" s="1" t="b">
        <f t="shared" si="39"/>
        <v>0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5"/>
        <v>2357.7600000000002</v>
      </c>
      <c r="Q466" s="10">
        <f t="shared" si="36"/>
        <v>377.24200000000002</v>
      </c>
      <c r="R466" s="11">
        <f t="shared" si="37"/>
        <v>1980.5180000000003</v>
      </c>
      <c r="S466" s="1" t="str">
        <f t="shared" si="38"/>
        <v>Low</v>
      </c>
      <c r="T466" s="1" t="str" cm="1">
        <f t="array" ref="T466">_xlfn.IFS(L466&gt;5,"High",L466=5,"mediam",L466&lt;5,"low")</f>
        <v>low</v>
      </c>
      <c r="U466" s="1" t="b">
        <f t="shared" si="39"/>
        <v>0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5"/>
        <v>22638.239999999998</v>
      </c>
      <c r="Q467" s="10">
        <f t="shared" si="36"/>
        <v>0</v>
      </c>
      <c r="R467" s="11">
        <f t="shared" si="37"/>
        <v>22638.239999999998</v>
      </c>
      <c r="S467" s="1" t="str">
        <f t="shared" si="38"/>
        <v>High</v>
      </c>
      <c r="T467" s="1" t="str" cm="1">
        <f t="array" ref="T467">_xlfn.IFS(L467&gt;5,"High",L467=5,"mediam",L467&lt;5,"low")</f>
        <v>High</v>
      </c>
      <c r="U467" s="1" t="str">
        <f t="shared" si="39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5"/>
        <v>14038.88</v>
      </c>
      <c r="Q468" s="10">
        <f t="shared" si="36"/>
        <v>1789.9574999999998</v>
      </c>
      <c r="R468" s="11">
        <f t="shared" si="37"/>
        <v>12248.922499999999</v>
      </c>
      <c r="S468" s="1" t="str">
        <f t="shared" si="38"/>
        <v>Low</v>
      </c>
      <c r="T468" s="1" t="str" cm="1">
        <f t="array" ref="T468">_xlfn.IFS(L468&gt;5,"High",L468=5,"mediam",L468&lt;5,"low")</f>
        <v>low</v>
      </c>
      <c r="U468" s="1" t="b">
        <f t="shared" si="39"/>
        <v>0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5"/>
        <v>17014.77</v>
      </c>
      <c r="Q469" s="10">
        <f t="shared" si="36"/>
        <v>2169.3824999999997</v>
      </c>
      <c r="R469" s="11">
        <f t="shared" si="37"/>
        <v>14845.387500000001</v>
      </c>
      <c r="S469" s="1" t="str">
        <f t="shared" si="38"/>
        <v>High</v>
      </c>
      <c r="T469" s="1" t="str" cm="1">
        <f t="array" ref="T469">_xlfn.IFS(L469&gt;5,"High",L469=5,"mediam",L469&lt;5,"low")</f>
        <v>High</v>
      </c>
      <c r="U469" s="1" t="str">
        <f t="shared" si="39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5"/>
        <v>19726.75</v>
      </c>
      <c r="Q470" s="10">
        <f t="shared" si="36"/>
        <v>937.02050000000008</v>
      </c>
      <c r="R470" s="11">
        <f t="shared" si="37"/>
        <v>18789.729500000001</v>
      </c>
      <c r="S470" s="1" t="str">
        <f t="shared" si="38"/>
        <v>High</v>
      </c>
      <c r="T470" s="1" t="str" cm="1">
        <f t="array" ref="T470">_xlfn.IFS(L470&gt;5,"High",L470=5,"mediam",L470&lt;5,"low")</f>
        <v>mediam</v>
      </c>
      <c r="U470" s="1" t="b">
        <f t="shared" si="39"/>
        <v>0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5"/>
        <v>1205.76</v>
      </c>
      <c r="Q471" s="10">
        <f t="shared" si="36"/>
        <v>57.273500000000006</v>
      </c>
      <c r="R471" s="11">
        <f t="shared" si="37"/>
        <v>1148.4865</v>
      </c>
      <c r="S471" s="1" t="str">
        <f t="shared" si="38"/>
        <v>High</v>
      </c>
      <c r="T471" s="1" t="str" cm="1">
        <f t="array" ref="T471">_xlfn.IFS(L471&gt;5,"High",L471=5,"mediam",L471&lt;5,"low")</f>
        <v>High</v>
      </c>
      <c r="U471" s="1" t="str">
        <f t="shared" si="39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5"/>
        <v>22624.38</v>
      </c>
      <c r="Q472" s="10">
        <f t="shared" si="36"/>
        <v>1074.6580000000001</v>
      </c>
      <c r="R472" s="11">
        <f t="shared" si="37"/>
        <v>21549.722000000002</v>
      </c>
      <c r="S472" s="1" t="str">
        <f t="shared" si="38"/>
        <v>High</v>
      </c>
      <c r="T472" s="1" t="str" cm="1">
        <f t="array" ref="T472">_xlfn.IFS(L472&gt;5,"High",L472=5,"mediam",L472&lt;5,"low")</f>
        <v>High</v>
      </c>
      <c r="U472" s="1" t="str">
        <f t="shared" si="39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5"/>
        <v>12616.25</v>
      </c>
      <c r="Q473" s="10">
        <f t="shared" si="36"/>
        <v>1135.463</v>
      </c>
      <c r="R473" s="11">
        <f t="shared" si="37"/>
        <v>11480.787</v>
      </c>
      <c r="S473" s="1" t="str">
        <f t="shared" si="38"/>
        <v>High</v>
      </c>
      <c r="T473" s="1" t="str" cm="1">
        <f t="array" ref="T473">_xlfn.IFS(L473&gt;5,"High",L473=5,"mediam",L473&lt;5,"low")</f>
        <v>mediam</v>
      </c>
      <c r="U473" s="1" t="b">
        <f t="shared" si="39"/>
        <v>0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5"/>
        <v>11466.960000000001</v>
      </c>
      <c r="Q474" s="10">
        <f t="shared" si="36"/>
        <v>544.68050000000005</v>
      </c>
      <c r="R474" s="11">
        <f t="shared" si="37"/>
        <v>10922.279500000001</v>
      </c>
      <c r="S474" s="1" t="str">
        <f t="shared" si="38"/>
        <v>High</v>
      </c>
      <c r="T474" s="1" t="str" cm="1">
        <f t="array" ref="T474">_xlfn.IFS(L474&gt;5,"High",L474=5,"mediam",L474&lt;5,"low")</f>
        <v>High</v>
      </c>
      <c r="U474" s="1" t="str">
        <f t="shared" si="39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5"/>
        <v>1678.25</v>
      </c>
      <c r="Q475" s="10">
        <f t="shared" si="36"/>
        <v>213.97649999999999</v>
      </c>
      <c r="R475" s="11">
        <f t="shared" si="37"/>
        <v>1464.2735</v>
      </c>
      <c r="S475" s="1" t="str">
        <f t="shared" si="38"/>
        <v>Low</v>
      </c>
      <c r="T475" s="1" t="str" cm="1">
        <f t="array" ref="T475">_xlfn.IFS(L475&gt;5,"High",L475=5,"mediam",L475&lt;5,"low")</f>
        <v>low</v>
      </c>
      <c r="U475" s="1" t="b">
        <f t="shared" si="39"/>
        <v>0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5"/>
        <v>13322.61</v>
      </c>
      <c r="Q476" s="10">
        <f t="shared" si="36"/>
        <v>1199.0350000000001</v>
      </c>
      <c r="R476" s="11">
        <f t="shared" si="37"/>
        <v>12123.575000000001</v>
      </c>
      <c r="S476" s="1" t="str">
        <f t="shared" si="38"/>
        <v>High</v>
      </c>
      <c r="T476" s="1" t="str" cm="1">
        <f t="array" ref="T476">_xlfn.IFS(L476&gt;5,"High",L476=5,"mediam",L476&lt;5,"low")</f>
        <v>High</v>
      </c>
      <c r="U476" s="1" t="str">
        <f t="shared" si="39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5"/>
        <v>6990.4</v>
      </c>
      <c r="Q477" s="10">
        <f t="shared" si="36"/>
        <v>1118.4639999999999</v>
      </c>
      <c r="R477" s="11">
        <f t="shared" si="37"/>
        <v>5871.9359999999997</v>
      </c>
      <c r="S477" s="1" t="str">
        <f t="shared" si="38"/>
        <v>Low</v>
      </c>
      <c r="T477" s="1" t="str" cm="1">
        <f t="array" ref="T477">_xlfn.IFS(L477&gt;5,"High",L477=5,"mediam",L477&lt;5,"low")</f>
        <v>low</v>
      </c>
      <c r="U477" s="1" t="b">
        <f t="shared" si="39"/>
        <v>0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5"/>
        <v>5924.8</v>
      </c>
      <c r="Q478" s="10">
        <f t="shared" si="36"/>
        <v>0</v>
      </c>
      <c r="R478" s="11">
        <f t="shared" si="37"/>
        <v>5924.8</v>
      </c>
      <c r="S478" s="1" t="str">
        <f t="shared" si="38"/>
        <v>Low</v>
      </c>
      <c r="T478" s="1" t="str" cm="1">
        <f t="array" ref="T478">_xlfn.IFS(L478&gt;5,"High",L478=5,"mediam",L478&lt;5,"low")</f>
        <v>low</v>
      </c>
      <c r="U478" s="1" t="b">
        <f t="shared" si="39"/>
        <v>0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5"/>
        <v>3355.6</v>
      </c>
      <c r="Q479" s="10">
        <f t="shared" si="36"/>
        <v>159.39100000000002</v>
      </c>
      <c r="R479" s="11">
        <f t="shared" si="37"/>
        <v>3196.2089999999998</v>
      </c>
      <c r="S479" s="1" t="str">
        <f t="shared" si="38"/>
        <v>High</v>
      </c>
      <c r="T479" s="1" t="str" cm="1">
        <f t="array" ref="T479">_xlfn.IFS(L479&gt;5,"High",L479=5,"mediam",L479&lt;5,"low")</f>
        <v>mediam</v>
      </c>
      <c r="U479" s="1" t="b">
        <f t="shared" si="39"/>
        <v>0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5"/>
        <v>2732.73</v>
      </c>
      <c r="Q480" s="10">
        <f t="shared" si="36"/>
        <v>437.23599999999999</v>
      </c>
      <c r="R480" s="11">
        <f t="shared" si="37"/>
        <v>2295.4940000000001</v>
      </c>
      <c r="S480" s="1" t="str">
        <f t="shared" si="38"/>
        <v>Low</v>
      </c>
      <c r="T480" s="1" t="str" cm="1">
        <f t="array" ref="T480">_xlfn.IFS(L480&gt;5,"High",L480=5,"mediam",L480&lt;5,"low")</f>
        <v>low</v>
      </c>
      <c r="U480" s="1" t="b">
        <f t="shared" si="39"/>
        <v>0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5"/>
        <v>5070</v>
      </c>
      <c r="Q481" s="10">
        <f t="shared" si="36"/>
        <v>646.42499999999995</v>
      </c>
      <c r="R481" s="11">
        <f t="shared" si="37"/>
        <v>4423.5749999999998</v>
      </c>
      <c r="S481" s="1" t="str">
        <f t="shared" si="38"/>
        <v>High</v>
      </c>
      <c r="T481" s="1" t="str" cm="1">
        <f t="array" ref="T481">_xlfn.IFS(L481&gt;5,"High",L481=5,"mediam",L481&lt;5,"low")</f>
        <v>High</v>
      </c>
      <c r="U481" s="1" t="str">
        <f t="shared" si="39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5"/>
        <v>9284.08</v>
      </c>
      <c r="Q482" s="10">
        <f t="shared" si="36"/>
        <v>0</v>
      </c>
      <c r="R482" s="11">
        <f t="shared" si="37"/>
        <v>9284.08</v>
      </c>
      <c r="S482" s="1" t="str">
        <f t="shared" si="38"/>
        <v>High</v>
      </c>
      <c r="T482" s="1" t="str" cm="1">
        <f t="array" ref="T482">_xlfn.IFS(L482&gt;5,"High",L482=5,"mediam",L482&lt;5,"low")</f>
        <v>High</v>
      </c>
      <c r="U482" s="1" t="str">
        <f t="shared" si="39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5"/>
        <v>15205.679999999998</v>
      </c>
      <c r="Q483" s="10">
        <f t="shared" si="36"/>
        <v>2432.9080000000004</v>
      </c>
      <c r="R483" s="11">
        <f t="shared" si="37"/>
        <v>12772.771999999997</v>
      </c>
      <c r="S483" s="1" t="str">
        <f t="shared" si="38"/>
        <v>High</v>
      </c>
      <c r="T483" s="1" t="str" cm="1">
        <f t="array" ref="T483">_xlfn.IFS(L483&gt;5,"High",L483=5,"mediam",L483&lt;5,"low")</f>
        <v>High</v>
      </c>
      <c r="U483" s="1" t="str">
        <f t="shared" si="39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5"/>
        <v>1734.4499999999998</v>
      </c>
      <c r="Q484" s="10">
        <f t="shared" si="36"/>
        <v>0</v>
      </c>
      <c r="R484" s="11">
        <f t="shared" si="37"/>
        <v>1734.4499999999998</v>
      </c>
      <c r="S484" s="1" t="str">
        <f t="shared" si="38"/>
        <v>Low</v>
      </c>
      <c r="T484" s="1" t="str" cm="1">
        <f t="array" ref="T484">_xlfn.IFS(L484&gt;5,"High",L484=5,"mediam",L484&lt;5,"low")</f>
        <v>low</v>
      </c>
      <c r="U484" s="1" t="b">
        <f t="shared" si="39"/>
        <v>0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5"/>
        <v>27939.599999999999</v>
      </c>
      <c r="Q485" s="10">
        <f t="shared" si="36"/>
        <v>1327.1310000000001</v>
      </c>
      <c r="R485" s="11">
        <f t="shared" si="37"/>
        <v>26612.468999999997</v>
      </c>
      <c r="S485" s="1" t="str">
        <f t="shared" si="38"/>
        <v>High</v>
      </c>
      <c r="T485" s="1" t="str" cm="1">
        <f t="array" ref="T485">_xlfn.IFS(L485&gt;5,"High",L485=5,"mediam",L485&lt;5,"low")</f>
        <v>High</v>
      </c>
      <c r="U485" s="1" t="str">
        <f t="shared" si="39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5"/>
        <v>2589.6799999999998</v>
      </c>
      <c r="Q486" s="10">
        <f t="shared" si="36"/>
        <v>330.18450000000001</v>
      </c>
      <c r="R486" s="11">
        <f t="shared" si="37"/>
        <v>2259.4955</v>
      </c>
      <c r="S486" s="1" t="str">
        <f t="shared" si="38"/>
        <v>Low</v>
      </c>
      <c r="T486" s="1" t="str" cm="1">
        <f t="array" ref="T486">_xlfn.IFS(L486&gt;5,"High",L486=5,"mediam",L486&lt;5,"low")</f>
        <v>low</v>
      </c>
      <c r="U486" s="1" t="b">
        <f t="shared" si="39"/>
        <v>0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5"/>
        <v>6981.93</v>
      </c>
      <c r="Q487" s="10">
        <f t="shared" si="36"/>
        <v>0</v>
      </c>
      <c r="R487" s="11">
        <f t="shared" si="37"/>
        <v>6981.93</v>
      </c>
      <c r="S487" s="1" t="str">
        <f t="shared" si="38"/>
        <v>High</v>
      </c>
      <c r="T487" s="1" t="str" cm="1">
        <f t="array" ref="T487">_xlfn.IFS(L487&gt;5,"High",L487=5,"mediam",L487&lt;5,"low")</f>
        <v>High</v>
      </c>
      <c r="U487" s="1" t="str">
        <f t="shared" si="39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5"/>
        <v>11004.56</v>
      </c>
      <c r="Q488" s="10">
        <f t="shared" si="36"/>
        <v>1760.73</v>
      </c>
      <c r="R488" s="11">
        <f t="shared" si="37"/>
        <v>9243.83</v>
      </c>
      <c r="S488" s="1" t="str">
        <f t="shared" si="38"/>
        <v>Low</v>
      </c>
      <c r="T488" s="1" t="str" cm="1">
        <f t="array" ref="T488">_xlfn.IFS(L488&gt;5,"High",L488=5,"mediam",L488&lt;5,"low")</f>
        <v>low</v>
      </c>
      <c r="U488" s="1" t="b">
        <f t="shared" si="39"/>
        <v>0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5"/>
        <v>296.63</v>
      </c>
      <c r="Q489" s="10">
        <f t="shared" si="36"/>
        <v>14.090000000000002</v>
      </c>
      <c r="R489" s="11">
        <f t="shared" si="37"/>
        <v>282.54000000000002</v>
      </c>
      <c r="S489" s="1" t="str">
        <f t="shared" si="38"/>
        <v>Low</v>
      </c>
      <c r="T489" s="1" t="str" cm="1">
        <f t="array" ref="T489">_xlfn.IFS(L489&gt;5,"High",L489=5,"mediam",L489&lt;5,"low")</f>
        <v>low</v>
      </c>
      <c r="U489" s="1" t="b">
        <f t="shared" si="39"/>
        <v>0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5"/>
        <v>20295.04</v>
      </c>
      <c r="Q490" s="10">
        <f t="shared" si="36"/>
        <v>964.01450000000011</v>
      </c>
      <c r="R490" s="11">
        <f t="shared" si="37"/>
        <v>19331.0255</v>
      </c>
      <c r="S490" s="1" t="str">
        <f t="shared" si="38"/>
        <v>High</v>
      </c>
      <c r="T490" s="1" t="str" cm="1">
        <f t="array" ref="T490">_xlfn.IFS(L490&gt;5,"High",L490=5,"mediam",L490&lt;5,"low")</f>
        <v>High</v>
      </c>
      <c r="U490" s="1" t="str">
        <f t="shared" si="39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5"/>
        <v>19866.419999999998</v>
      </c>
      <c r="Q491" s="10">
        <f t="shared" si="36"/>
        <v>3178.6280000000002</v>
      </c>
      <c r="R491" s="11">
        <f t="shared" si="37"/>
        <v>16687.791999999998</v>
      </c>
      <c r="S491" s="1" t="str">
        <f t="shared" si="38"/>
        <v>High</v>
      </c>
      <c r="T491" s="1" t="str" cm="1">
        <f t="array" ref="T491">_xlfn.IFS(L491&gt;5,"High",L491=5,"mediam",L491&lt;5,"low")</f>
        <v>High</v>
      </c>
      <c r="U491" s="1" t="str">
        <f t="shared" si="39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5"/>
        <v>4887.1499999999996</v>
      </c>
      <c r="Q492" s="10">
        <f t="shared" si="36"/>
        <v>781.94399999999996</v>
      </c>
      <c r="R492" s="11">
        <f t="shared" si="37"/>
        <v>4105.2060000000001</v>
      </c>
      <c r="S492" s="1" t="str">
        <f t="shared" si="38"/>
        <v>High</v>
      </c>
      <c r="T492" s="1" t="str" cm="1">
        <f t="array" ref="T492">_xlfn.IFS(L492&gt;5,"High",L492=5,"mediam",L492&lt;5,"low")</f>
        <v>mediam</v>
      </c>
      <c r="U492" s="1" t="b">
        <f t="shared" si="39"/>
        <v>0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5"/>
        <v>1557.8</v>
      </c>
      <c r="Q493" s="10">
        <f t="shared" si="36"/>
        <v>0</v>
      </c>
      <c r="R493" s="11">
        <f t="shared" si="37"/>
        <v>1557.8</v>
      </c>
      <c r="S493" s="1" t="str">
        <f t="shared" si="38"/>
        <v>High</v>
      </c>
      <c r="T493" s="1" t="str" cm="1">
        <f t="array" ref="T493">_xlfn.IFS(L493&gt;5,"High",L493=5,"mediam",L493&lt;5,"low")</f>
        <v>mediam</v>
      </c>
      <c r="U493" s="1" t="b">
        <f t="shared" si="39"/>
        <v>0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5"/>
        <v>10850.21</v>
      </c>
      <c r="Q494" s="10">
        <f t="shared" si="36"/>
        <v>976.51900000000012</v>
      </c>
      <c r="R494" s="11">
        <f t="shared" si="37"/>
        <v>9873.6909999999989</v>
      </c>
      <c r="S494" s="1" t="str">
        <f t="shared" si="38"/>
        <v>High</v>
      </c>
      <c r="T494" s="1" t="str" cm="1">
        <f t="array" ref="T494">_xlfn.IFS(L494&gt;5,"High",L494=5,"mediam",L494&lt;5,"low")</f>
        <v>High</v>
      </c>
      <c r="U494" s="1" t="str">
        <f t="shared" si="39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5"/>
        <v>2647.9500000000003</v>
      </c>
      <c r="Q495" s="10">
        <f t="shared" si="36"/>
        <v>125.77750000000002</v>
      </c>
      <c r="R495" s="11">
        <f t="shared" si="37"/>
        <v>2522.1725000000001</v>
      </c>
      <c r="S495" s="1" t="str">
        <f t="shared" si="38"/>
        <v>High</v>
      </c>
      <c r="T495" s="1" t="str" cm="1">
        <f t="array" ref="T495">_xlfn.IFS(L495&gt;5,"High",L495=5,"mediam",L495&lt;5,"low")</f>
        <v>mediam</v>
      </c>
      <c r="U495" s="1" t="b">
        <f t="shared" si="39"/>
        <v>0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5"/>
        <v>4787.5200000000004</v>
      </c>
      <c r="Q496" s="10">
        <f t="shared" si="36"/>
        <v>0</v>
      </c>
      <c r="R496" s="11">
        <f t="shared" si="37"/>
        <v>4787.5200000000004</v>
      </c>
      <c r="S496" s="1" t="str">
        <f t="shared" si="38"/>
        <v>High</v>
      </c>
      <c r="T496" s="1" t="str" cm="1">
        <f t="array" ref="T496">_xlfn.IFS(L496&gt;5,"High",L496=5,"mediam",L496&lt;5,"low")</f>
        <v>High</v>
      </c>
      <c r="U496" s="1" t="str">
        <f t="shared" si="39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5"/>
        <v>6773.4600000000009</v>
      </c>
      <c r="Q497" s="10">
        <f t="shared" si="36"/>
        <v>1083.7540000000001</v>
      </c>
      <c r="R497" s="11">
        <f t="shared" si="37"/>
        <v>5689.706000000001</v>
      </c>
      <c r="S497" s="1" t="str">
        <f t="shared" si="38"/>
        <v>High</v>
      </c>
      <c r="T497" s="1" t="str" cm="1">
        <f t="array" ref="T497">_xlfn.IFS(L497&gt;5,"High",L497=5,"mediam",L497&lt;5,"low")</f>
        <v>High</v>
      </c>
      <c r="U497" s="1" t="str">
        <f t="shared" si="39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5"/>
        <v>6437.75</v>
      </c>
      <c r="Q498" s="10">
        <f t="shared" si="36"/>
        <v>0</v>
      </c>
      <c r="R498" s="11">
        <f t="shared" si="37"/>
        <v>6437.75</v>
      </c>
      <c r="S498" s="1" t="str">
        <f t="shared" si="38"/>
        <v>High</v>
      </c>
      <c r="T498" s="1" t="str" cm="1">
        <f t="array" ref="T498">_xlfn.IFS(L498&gt;5,"High",L498=5,"mediam",L498&lt;5,"low")</f>
        <v>mediam</v>
      </c>
      <c r="U498" s="1" t="b">
        <f t="shared" si="39"/>
        <v>0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5"/>
        <v>19713.509999999998</v>
      </c>
      <c r="Q499" s="10">
        <f t="shared" si="36"/>
        <v>3154.1620000000003</v>
      </c>
      <c r="R499" s="11">
        <f t="shared" si="37"/>
        <v>16559.347999999998</v>
      </c>
      <c r="S499" s="1" t="str">
        <f t="shared" si="38"/>
        <v>High</v>
      </c>
      <c r="T499" s="1" t="str" cm="1">
        <f t="array" ref="T499">_xlfn.IFS(L499&gt;5,"High",L499=5,"mediam",L499&lt;5,"low")</f>
        <v>High</v>
      </c>
      <c r="U499" s="1" t="str">
        <f t="shared" si="39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5"/>
        <v>5523.62</v>
      </c>
      <c r="Q500" s="10">
        <f t="shared" si="36"/>
        <v>704.26199999999994</v>
      </c>
      <c r="R500" s="11">
        <f t="shared" si="37"/>
        <v>4819.3580000000002</v>
      </c>
      <c r="S500" s="1" t="str">
        <f t="shared" si="38"/>
        <v>Low</v>
      </c>
      <c r="T500" s="1" t="str" cm="1">
        <f t="array" ref="T500">_xlfn.IFS(L500&gt;5,"High",L500=5,"mediam",L500&lt;5,"low")</f>
        <v>low</v>
      </c>
      <c r="U500" s="1" t="b">
        <f t="shared" si="39"/>
        <v>0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0">
        <f t="shared" si="36"/>
        <v>389.14800000000002</v>
      </c>
      <c r="R501" s="11">
        <f t="shared" si="37"/>
        <v>2043.0219999999999</v>
      </c>
      <c r="S501" s="1" t="str">
        <f t="shared" si="38"/>
        <v>Low</v>
      </c>
      <c r="T501" s="1" t="str" cm="1">
        <f t="array" ref="T501">_xlfn.IFS(L501&gt;5,"High",L501=5,"mediam",L501&lt;5,"low")</f>
        <v>low</v>
      </c>
      <c r="U501" s="1" t="b">
        <f t="shared" si="39"/>
        <v>0</v>
      </c>
    </row>
    <row r="502" spans="1:21" x14ac:dyDescent="0.3">
      <c r="Q502" s="9"/>
    </row>
    <row r="503" spans="1:21" x14ac:dyDescent="0.3">
      <c r="Q503" s="9"/>
    </row>
  </sheetData>
  <dataValidations count="3">
    <dataValidation type="list" allowBlank="1" showInputMessage="1" showErrorMessage="1" sqref="Z5 Z9 Z11 Z13 Z15 Z17 Z21 Z24" xr:uid="{68652A77-381E-4013-8E74-1354F845E81E}">
      <formula1>$AB$2:$AB$6</formula1>
    </dataValidation>
    <dataValidation type="list" allowBlank="1" showInputMessage="1" showErrorMessage="1" sqref="AD2" xr:uid="{483D8737-B460-4C10-8A82-B607158CBBA3}">
      <formula1>$AD$2</formula1>
    </dataValidation>
    <dataValidation type="list" allowBlank="1" showInputMessage="1" showErrorMessage="1" sqref="Y21" xr:uid="{BBD66E6D-3B8B-4C62-9937-249438600082}">
      <formula1>$AD$2:$AD$8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EF7E-58AD-468B-B495-F83F689E4CA7}">
  <dimension ref="A1:AK501"/>
  <sheetViews>
    <sheetView workbookViewId="0">
      <selection activeCell="D19" sqref="A1:U501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8.21875" bestFit="1" customWidth="1"/>
    <col min="19" max="19" width="9.5546875" bestFit="1" customWidth="1"/>
    <col min="20" max="20" width="10.77734375" bestFit="1" customWidth="1"/>
    <col min="21" max="21" width="11" bestFit="1" customWidth="1"/>
    <col min="23" max="23" width="65.21875" customWidth="1"/>
    <col min="24" max="24" width="18.33203125" bestFit="1" customWidth="1"/>
    <col min="35" max="35" width="12" customWidth="1"/>
    <col min="36" max="36" width="12.109375" customWidth="1"/>
  </cols>
  <sheetData>
    <row r="1" spans="1:37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70</v>
      </c>
      <c r="Q1" s="8" t="s">
        <v>72</v>
      </c>
      <c r="R1" s="8" t="s">
        <v>71</v>
      </c>
      <c r="S1" s="12" t="s">
        <v>73</v>
      </c>
      <c r="T1" s="12" t="s">
        <v>74</v>
      </c>
      <c r="U1" s="12" t="s">
        <v>75</v>
      </c>
    </row>
    <row r="2" spans="1:37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0">
        <f>O2*N2%</f>
        <v>0</v>
      </c>
      <c r="R2" s="11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</row>
    <row r="3" spans="1:37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0">
        <f t="shared" ref="Q3:Q66" si="1">O3*N3%</f>
        <v>1079.5360000000001</v>
      </c>
      <c r="R3" s="11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7" si="4">IF(L3&gt;5,"High",IF(L3="Mediam","Low"))</f>
        <v>High</v>
      </c>
      <c r="X3">
        <v>1</v>
      </c>
      <c r="Y3" t="s">
        <v>140</v>
      </c>
    </row>
    <row r="4" spans="1:37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0">
        <f t="shared" si="1"/>
        <v>2657.8695000000002</v>
      </c>
      <c r="R4" s="11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X4">
        <v>2</v>
      </c>
      <c r="Y4" t="s">
        <v>141</v>
      </c>
      <c r="AB4" t="s">
        <v>142</v>
      </c>
      <c r="AK4" t="s">
        <v>143</v>
      </c>
    </row>
    <row r="5" spans="1:37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0">
        <f t="shared" si="1"/>
        <v>128.62049999999999</v>
      </c>
      <c r="R5" s="11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X5" t="s">
        <v>144</v>
      </c>
    </row>
    <row r="6" spans="1:37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0">
        <f t="shared" si="1"/>
        <v>3932.846</v>
      </c>
      <c r="R6" s="11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X6" t="s">
        <v>145</v>
      </c>
    </row>
    <row r="7" spans="1:37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0">
        <f t="shared" si="1"/>
        <v>861.17800000000011</v>
      </c>
      <c r="R7" s="11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X7" t="s">
        <v>146</v>
      </c>
    </row>
    <row r="8" spans="1:37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0">
        <f t="shared" si="1"/>
        <v>1363.6890000000001</v>
      </c>
      <c r="R8" s="11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W8">
        <v>6</v>
      </c>
      <c r="X8" t="s">
        <v>147</v>
      </c>
    </row>
    <row r="9" spans="1:37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0">
        <f t="shared" si="1"/>
        <v>831.899</v>
      </c>
      <c r="R9" s="11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ref="U9:U72" si="5">IF(L9&gt;5,"High",IF(L9="Mediam","Low"))</f>
        <v>0</v>
      </c>
    </row>
    <row r="10" spans="1:37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0">
        <f t="shared" si="1"/>
        <v>700.00049999999999</v>
      </c>
      <c r="R10" s="11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5"/>
        <v>0</v>
      </c>
    </row>
    <row r="11" spans="1:37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0">
        <f t="shared" si="1"/>
        <v>1424.5280000000002</v>
      </c>
      <c r="R11" s="11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5"/>
        <v>0</v>
      </c>
    </row>
    <row r="12" spans="1:37" ht="18" thickBot="1" x14ac:dyDescent="0.4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0">
        <f t="shared" si="1"/>
        <v>0</v>
      </c>
      <c r="R12" s="11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5"/>
        <v>High</v>
      </c>
      <c r="W12" s="18" t="s">
        <v>148</v>
      </c>
      <c r="X12" s="18" t="str">
        <f>IF(N2&gt;10%, "Heavy Discount", "Normal Discount")</f>
        <v>Normal Discount</v>
      </c>
    </row>
    <row r="13" spans="1:37" ht="18.600000000000001" thickTop="1" thickBot="1" x14ac:dyDescent="0.4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0">
        <f t="shared" si="1"/>
        <v>77.619500000000016</v>
      </c>
      <c r="R13" s="11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5"/>
        <v>High</v>
      </c>
      <c r="W13" s="18"/>
      <c r="X13" s="18"/>
    </row>
    <row r="14" spans="1:37" ht="18.600000000000001" thickTop="1" thickBot="1" x14ac:dyDescent="0.4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0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5"/>
        <v>High</v>
      </c>
      <c r="W14" s="18" t="s">
        <v>149</v>
      </c>
      <c r="X14" s="18" t="str">
        <f>IF(O2&gt;7000, "Excellent sales", IF(O2&gt;4000, "Good", "Average"))</f>
        <v>Excellent sales</v>
      </c>
    </row>
    <row r="15" spans="1:37" ht="18.600000000000001" thickTop="1" thickBot="1" x14ac:dyDescent="0.4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0">
        <f t="shared" si="1"/>
        <v>1095.7559999999999</v>
      </c>
      <c r="R15" s="11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5"/>
        <v>High</v>
      </c>
      <c r="W15" s="18"/>
      <c r="X15" s="18"/>
    </row>
    <row r="16" spans="1:37" ht="18.600000000000001" thickTop="1" thickBot="1" x14ac:dyDescent="0.4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0">
        <f t="shared" si="1"/>
        <v>571.52800000000002</v>
      </c>
      <c r="R16" s="11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5"/>
        <v>High</v>
      </c>
      <c r="W16" s="18" t="s">
        <v>150</v>
      </c>
      <c r="X16" s="18">
        <f>SUMIF(I2:I51, "Electronics", O2:O51)</f>
        <v>61479.619999999995</v>
      </c>
    </row>
    <row r="17" spans="1:24" ht="18.600000000000001" thickTop="1" thickBot="1" x14ac:dyDescent="0.4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0">
        <f t="shared" si="1"/>
        <v>226.27100000000002</v>
      </c>
      <c r="R17" s="11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5"/>
        <v>High</v>
      </c>
      <c r="W17" s="18"/>
      <c r="X17" s="18"/>
    </row>
    <row r="18" spans="1:24" ht="18.600000000000001" thickTop="1" thickBot="1" x14ac:dyDescent="0.4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0">
        <f t="shared" si="1"/>
        <v>65.002499999999998</v>
      </c>
      <c r="R18" s="11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5"/>
        <v>0</v>
      </c>
      <c r="W18" s="18" t="s">
        <v>151</v>
      </c>
      <c r="X18" s="18">
        <f>SUMIFS(O2:O51, I2:I51, "Electronics", G2:G51, "Website")</f>
        <v>31119.119999999995</v>
      </c>
    </row>
    <row r="19" spans="1:24" ht="18.600000000000001" thickTop="1" thickBot="1" x14ac:dyDescent="0.4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0">
        <f t="shared" si="1"/>
        <v>276.14100000000002</v>
      </c>
      <c r="R19" s="11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5"/>
        <v>0</v>
      </c>
      <c r="W19" s="18"/>
      <c r="X19" s="18"/>
    </row>
    <row r="20" spans="1:24" ht="18.600000000000001" thickTop="1" thickBot="1" x14ac:dyDescent="0.4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0">
        <f t="shared" si="1"/>
        <v>252.5265</v>
      </c>
      <c r="R20" s="11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5"/>
        <v>0</v>
      </c>
      <c r="W20" s="18" t="s">
        <v>152</v>
      </c>
      <c r="X20" s="18">
        <f>COUNTIF(I2:I51, "Beauty")</f>
        <v>4</v>
      </c>
    </row>
    <row r="21" spans="1:24" ht="18.600000000000001" thickTop="1" thickBot="1" x14ac:dyDescent="0.4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0">
        <f t="shared" si="1"/>
        <v>376.1345</v>
      </c>
      <c r="R21" s="11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5"/>
        <v>0</v>
      </c>
      <c r="W21" s="18"/>
      <c r="X21" s="18"/>
    </row>
    <row r="22" spans="1:24" ht="18.600000000000001" thickTop="1" thickBot="1" x14ac:dyDescent="0.4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0">
        <f t="shared" si="1"/>
        <v>336.52500000000003</v>
      </c>
      <c r="R22" s="11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5"/>
        <v>0</v>
      </c>
      <c r="W22" s="18" t="s">
        <v>153</v>
      </c>
      <c r="X22" s="18">
        <f>COUNTIF(N2:N501,"&lt;15")</f>
        <v>301</v>
      </c>
    </row>
    <row r="23" spans="1:24" ht="15" thickTop="1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0">
        <f t="shared" si="1"/>
        <v>762.56400000000008</v>
      </c>
      <c r="R23" s="11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5"/>
        <v>High</v>
      </c>
    </row>
    <row r="24" spans="1:24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0">
        <f t="shared" si="1"/>
        <v>896.55600000000004</v>
      </c>
      <c r="R24" s="11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5"/>
        <v>0</v>
      </c>
    </row>
    <row r="25" spans="1:24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0">
        <f t="shared" si="1"/>
        <v>0</v>
      </c>
      <c r="R25" s="11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5"/>
        <v>0</v>
      </c>
    </row>
    <row r="26" spans="1:24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0">
        <f t="shared" si="1"/>
        <v>860.39800000000002</v>
      </c>
      <c r="R26" s="11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5"/>
        <v>High</v>
      </c>
    </row>
    <row r="27" spans="1:24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0">
        <f t="shared" si="1"/>
        <v>189.934</v>
      </c>
      <c r="R27" s="11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5"/>
        <v>High</v>
      </c>
    </row>
    <row r="28" spans="1:24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0">
        <f t="shared" si="1"/>
        <v>512.87900000000002</v>
      </c>
      <c r="R28" s="11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5"/>
        <v>0</v>
      </c>
    </row>
    <row r="29" spans="1:24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0">
        <f t="shared" si="1"/>
        <v>3078.364</v>
      </c>
      <c r="R29" s="11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5"/>
        <v>High</v>
      </c>
    </row>
    <row r="30" spans="1:24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0">
        <f t="shared" si="1"/>
        <v>290.4975</v>
      </c>
      <c r="R30" s="11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5"/>
        <v>0</v>
      </c>
    </row>
    <row r="31" spans="1:24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0">
        <f t="shared" si="1"/>
        <v>31.444000000000003</v>
      </c>
      <c r="R31" s="11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5"/>
        <v>0</v>
      </c>
    </row>
    <row r="32" spans="1:24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0">
        <f t="shared" si="1"/>
        <v>1836.5200000000002</v>
      </c>
      <c r="R32" s="11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5"/>
        <v>0</v>
      </c>
    </row>
    <row r="33" spans="1:21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0">
        <f t="shared" si="1"/>
        <v>142.6405</v>
      </c>
      <c r="R33" s="11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5"/>
        <v>0</v>
      </c>
    </row>
    <row r="34" spans="1:21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0">
        <f t="shared" si="1"/>
        <v>3766.7620000000006</v>
      </c>
      <c r="R34" s="11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5"/>
        <v>High</v>
      </c>
    </row>
    <row r="35" spans="1:21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0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5"/>
        <v>High</v>
      </c>
    </row>
    <row r="36" spans="1:21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0">
        <f t="shared" si="1"/>
        <v>1218.4930000000002</v>
      </c>
      <c r="R36" s="11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5"/>
        <v>High</v>
      </c>
    </row>
    <row r="37" spans="1:21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0">
        <f t="shared" si="1"/>
        <v>0</v>
      </c>
      <c r="R37" s="11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5"/>
        <v>0</v>
      </c>
    </row>
    <row r="38" spans="1:21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0">
        <f t="shared" si="1"/>
        <v>162.125</v>
      </c>
      <c r="R38" s="11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5"/>
        <v>0</v>
      </c>
    </row>
    <row r="39" spans="1:21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0">
        <f t="shared" si="1"/>
        <v>769.95600000000013</v>
      </c>
      <c r="R39" s="11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5"/>
        <v>High</v>
      </c>
    </row>
    <row r="40" spans="1:21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0">
        <f t="shared" si="1"/>
        <v>2114.7075</v>
      </c>
      <c r="R40" s="11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5"/>
        <v>High</v>
      </c>
    </row>
    <row r="41" spans="1:21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0">
        <f t="shared" si="1"/>
        <v>1664.9549999999999</v>
      </c>
      <c r="R41" s="11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5"/>
        <v>High</v>
      </c>
    </row>
    <row r="42" spans="1:21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0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5"/>
        <v>High</v>
      </c>
    </row>
    <row r="43" spans="1:21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0">
        <f t="shared" si="1"/>
        <v>775.46800000000007</v>
      </c>
      <c r="R43" s="11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5"/>
        <v>0</v>
      </c>
    </row>
    <row r="44" spans="1:21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0">
        <f t="shared" si="1"/>
        <v>596.92349999999999</v>
      </c>
      <c r="R44" s="11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5"/>
        <v>0</v>
      </c>
    </row>
    <row r="45" spans="1:21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0">
        <f t="shared" si="1"/>
        <v>137.286</v>
      </c>
      <c r="R45" s="11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5"/>
        <v>0</v>
      </c>
    </row>
    <row r="46" spans="1:21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0">
        <f t="shared" si="1"/>
        <v>0</v>
      </c>
      <c r="R46" s="11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5"/>
        <v>0</v>
      </c>
    </row>
    <row r="47" spans="1:21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0">
        <f t="shared" si="1"/>
        <v>320.24900000000002</v>
      </c>
      <c r="R47" s="11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5"/>
        <v>High</v>
      </c>
    </row>
    <row r="48" spans="1:21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0">
        <f t="shared" si="1"/>
        <v>283.18800000000005</v>
      </c>
      <c r="R48" s="11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5"/>
        <v>0</v>
      </c>
    </row>
    <row r="49" spans="1:21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0">
        <f t="shared" si="1"/>
        <v>585.7890000000001</v>
      </c>
      <c r="R49" s="11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5"/>
        <v>0</v>
      </c>
    </row>
    <row r="50" spans="1:21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0">
        <f t="shared" si="1"/>
        <v>2874.7709999999997</v>
      </c>
      <c r="R50" s="11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5"/>
        <v>High</v>
      </c>
    </row>
    <row r="51" spans="1:21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0">
        <f t="shared" si="1"/>
        <v>1296.422</v>
      </c>
      <c r="R51" s="11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5"/>
        <v>High</v>
      </c>
    </row>
    <row r="52" spans="1:21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0">
        <f t="shared" si="1"/>
        <v>708.6585</v>
      </c>
      <c r="R52" s="11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5"/>
        <v>0</v>
      </c>
    </row>
    <row r="53" spans="1:21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0">
        <f t="shared" si="1"/>
        <v>380.26400000000001</v>
      </c>
      <c r="R53" s="11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5"/>
        <v>0</v>
      </c>
    </row>
    <row r="54" spans="1:21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0">
        <f t="shared" si="1"/>
        <v>1140.3309999999999</v>
      </c>
      <c r="R54" s="11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5"/>
        <v>0</v>
      </c>
    </row>
    <row r="55" spans="1:21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0">
        <f t="shared" si="1"/>
        <v>1028.606</v>
      </c>
      <c r="R55" s="11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5"/>
        <v>High</v>
      </c>
    </row>
    <row r="56" spans="1:21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0">
        <f t="shared" si="1"/>
        <v>353.70300000000003</v>
      </c>
      <c r="R56" s="11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5"/>
        <v>0</v>
      </c>
    </row>
    <row r="57" spans="1:21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0">
        <f t="shared" si="1"/>
        <v>2603.0804999999996</v>
      </c>
      <c r="R57" s="11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5"/>
        <v>High</v>
      </c>
    </row>
    <row r="58" spans="1:21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0">
        <f t="shared" si="1"/>
        <v>1457.7560000000001</v>
      </c>
      <c r="R58" s="11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5"/>
        <v>High</v>
      </c>
    </row>
    <row r="59" spans="1:21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0">
        <f t="shared" si="1"/>
        <v>406.86599999999999</v>
      </c>
      <c r="R59" s="11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5"/>
        <v>High</v>
      </c>
    </row>
    <row r="60" spans="1:21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0">
        <f t="shared" si="1"/>
        <v>0</v>
      </c>
      <c r="R60" s="11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5"/>
        <v>High</v>
      </c>
    </row>
    <row r="61" spans="1:21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0">
        <f t="shared" si="1"/>
        <v>3190.8149999999996</v>
      </c>
      <c r="R61" s="11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5"/>
        <v>High</v>
      </c>
    </row>
    <row r="62" spans="1:21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0">
        <f t="shared" si="1"/>
        <v>201.32300000000001</v>
      </c>
      <c r="R62" s="11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5"/>
        <v>High</v>
      </c>
    </row>
    <row r="63" spans="1:21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0">
        <f t="shared" si="1"/>
        <v>1071.3489999999999</v>
      </c>
      <c r="R63" s="11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5"/>
        <v>High</v>
      </c>
    </row>
    <row r="64" spans="1:21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0">
        <f t="shared" si="1"/>
        <v>1428.683</v>
      </c>
      <c r="R64" s="11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5"/>
        <v>High</v>
      </c>
    </row>
    <row r="65" spans="1:21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0">
        <f t="shared" si="1"/>
        <v>265.50599999999997</v>
      </c>
      <c r="R65" s="11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5"/>
        <v>0</v>
      </c>
    </row>
    <row r="66" spans="1:21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0">
        <f t="shared" si="1"/>
        <v>499.178</v>
      </c>
      <c r="R66" s="11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5"/>
        <v>0</v>
      </c>
    </row>
    <row r="67" spans="1:21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L67*M67</f>
        <v>30157.68</v>
      </c>
      <c r="Q67" s="10">
        <f t="shared" ref="Q67:Q130" si="7">O67*N67%</f>
        <v>1432.49</v>
      </c>
      <c r="R67" s="11">
        <f t="shared" ref="R67:R130" si="8">P67-Q67</f>
        <v>28725.19</v>
      </c>
      <c r="S67" s="1" t="str">
        <f t="shared" ref="S67:S130" si="9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si="5"/>
        <v>High</v>
      </c>
    </row>
    <row r="68" spans="1:21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330.13</v>
      </c>
      <c r="Q68" s="10">
        <f t="shared" si="7"/>
        <v>42.091500000000003</v>
      </c>
      <c r="R68" s="11">
        <f t="shared" si="8"/>
        <v>288.0385</v>
      </c>
      <c r="S68" s="1" t="str">
        <f t="shared" si="9"/>
        <v>Low</v>
      </c>
      <c r="T68" s="1" t="str" cm="1">
        <f t="array" ref="T68">_xlfn.IFS(L68&gt;5,"High",L68=5,"mediam",L68&lt;5,"low")</f>
        <v>low</v>
      </c>
      <c r="U68" s="1" t="b">
        <f t="shared" si="5"/>
        <v>0</v>
      </c>
    </row>
    <row r="69" spans="1:21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8283.9600000000009</v>
      </c>
      <c r="Q69" s="10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 cm="1">
        <f t="array" ref="T69">_xlfn.IFS(L69&gt;5,"High",L69=5,"mediam",L69&lt;5,"low")</f>
        <v>High</v>
      </c>
      <c r="U69" s="1" t="str">
        <f t="shared" si="5"/>
        <v>High</v>
      </c>
    </row>
    <row r="70" spans="1:21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11021.880000000001</v>
      </c>
      <c r="Q70" s="10">
        <f t="shared" si="7"/>
        <v>523.53950000000009</v>
      </c>
      <c r="R70" s="11">
        <f t="shared" si="8"/>
        <v>10498.3405</v>
      </c>
      <c r="S70" s="1" t="str">
        <f t="shared" si="9"/>
        <v>High</v>
      </c>
      <c r="T70" s="1" t="str" cm="1">
        <f t="array" ref="T70">_xlfn.IFS(L70&gt;5,"High",L70=5,"mediam",L70&lt;5,"low")</f>
        <v>High</v>
      </c>
      <c r="U70" s="1" t="str">
        <f t="shared" si="5"/>
        <v>High</v>
      </c>
    </row>
    <row r="71" spans="1:21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14448.6</v>
      </c>
      <c r="Q71" s="10">
        <f t="shared" si="7"/>
        <v>2311.7759999999998</v>
      </c>
      <c r="R71" s="11">
        <f t="shared" si="8"/>
        <v>12136.824000000001</v>
      </c>
      <c r="S71" s="1" t="str">
        <f t="shared" si="9"/>
        <v>Low</v>
      </c>
      <c r="T71" s="1" t="str" cm="1">
        <f t="array" ref="T71">_xlfn.IFS(L71&gt;5,"High",L71=5,"mediam",L71&lt;5,"low")</f>
        <v>low</v>
      </c>
      <c r="U71" s="1" t="b">
        <f t="shared" si="5"/>
        <v>0</v>
      </c>
    </row>
    <row r="72" spans="1:21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11564.130000000001</v>
      </c>
      <c r="Q72" s="10">
        <f t="shared" si="7"/>
        <v>549.29600000000005</v>
      </c>
      <c r="R72" s="11">
        <f t="shared" si="8"/>
        <v>11014.834000000001</v>
      </c>
      <c r="S72" s="1" t="str">
        <f t="shared" si="9"/>
        <v>Low</v>
      </c>
      <c r="T72" s="1" t="str" cm="1">
        <f t="array" ref="T72">_xlfn.IFS(L72&gt;5,"High",L72=5,"mediam",L72&lt;5,"low")</f>
        <v>low</v>
      </c>
      <c r="U72" s="1" t="b">
        <f t="shared" si="5"/>
        <v>0</v>
      </c>
    </row>
    <row r="73" spans="1:21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5579.5199999999995</v>
      </c>
      <c r="Q73" s="10">
        <f t="shared" si="7"/>
        <v>711.38850000000002</v>
      </c>
      <c r="R73" s="11">
        <f t="shared" si="8"/>
        <v>4868.1314999999995</v>
      </c>
      <c r="S73" s="1" t="str">
        <f t="shared" si="9"/>
        <v>Low</v>
      </c>
      <c r="T73" s="1" t="str" cm="1">
        <f t="array" ref="T73">_xlfn.IFS(L73&gt;5,"High",L73=5,"mediam",L73&lt;5,"low")</f>
        <v>low</v>
      </c>
      <c r="U73" s="1" t="b">
        <f t="shared" ref="U73:U136" si="10">IF(L73&gt;5,"High",IF(L73="Mediam","Low"))</f>
        <v>0</v>
      </c>
    </row>
    <row r="74" spans="1:21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3037.61</v>
      </c>
      <c r="Q74" s="10">
        <f t="shared" si="7"/>
        <v>144.28650000000002</v>
      </c>
      <c r="R74" s="11">
        <f t="shared" si="8"/>
        <v>2893.3235</v>
      </c>
      <c r="S74" s="1" t="str">
        <f t="shared" si="9"/>
        <v>Low</v>
      </c>
      <c r="T74" s="1" t="str" cm="1">
        <f t="array" ref="T74">_xlfn.IFS(L74&gt;5,"High",L74=5,"mediam",L74&lt;5,"low")</f>
        <v>low</v>
      </c>
      <c r="U74" s="1" t="b">
        <f t="shared" si="10"/>
        <v>0</v>
      </c>
    </row>
    <row r="75" spans="1:21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6590.67</v>
      </c>
      <c r="Q75" s="10">
        <f t="shared" si="7"/>
        <v>0</v>
      </c>
      <c r="R75" s="11">
        <f t="shared" si="8"/>
        <v>6590.67</v>
      </c>
      <c r="S75" s="1" t="str">
        <f t="shared" si="9"/>
        <v>Low</v>
      </c>
      <c r="T75" s="1" t="str" cm="1">
        <f t="array" ref="T75">_xlfn.IFS(L75&gt;5,"High",L75=5,"mediam",L75&lt;5,"low")</f>
        <v>low</v>
      </c>
      <c r="U75" s="1" t="b">
        <f t="shared" si="10"/>
        <v>0</v>
      </c>
    </row>
    <row r="76" spans="1:21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8881.84</v>
      </c>
      <c r="Q76" s="10">
        <f t="shared" si="7"/>
        <v>0</v>
      </c>
      <c r="R76" s="11">
        <f t="shared" si="8"/>
        <v>8881.84</v>
      </c>
      <c r="S76" s="1" t="str">
        <f t="shared" si="9"/>
        <v>Low</v>
      </c>
      <c r="T76" s="1" t="str" cm="1">
        <f t="array" ref="T76">_xlfn.IFS(L76&gt;5,"High",L76=5,"mediam",L76&lt;5,"low")</f>
        <v>low</v>
      </c>
      <c r="U76" s="1" t="b">
        <f t="shared" si="10"/>
        <v>0</v>
      </c>
    </row>
    <row r="77" spans="1:21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6103.4000000000005</v>
      </c>
      <c r="Q77" s="10">
        <f t="shared" si="7"/>
        <v>976.5440000000001</v>
      </c>
      <c r="R77" s="11">
        <f t="shared" si="8"/>
        <v>5126.8560000000007</v>
      </c>
      <c r="S77" s="1" t="str">
        <f t="shared" si="9"/>
        <v>High</v>
      </c>
      <c r="T77" s="1" t="str" cm="1">
        <f t="array" ref="T77">_xlfn.IFS(L77&gt;5,"High",L77=5,"mediam",L77&lt;5,"low")</f>
        <v>mediam</v>
      </c>
      <c r="U77" s="1" t="b">
        <f t="shared" si="10"/>
        <v>0</v>
      </c>
    </row>
    <row r="78" spans="1:21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2955.84</v>
      </c>
      <c r="Q78" s="10">
        <f t="shared" si="7"/>
        <v>266.02600000000001</v>
      </c>
      <c r="R78" s="11">
        <f t="shared" si="8"/>
        <v>2689.8140000000003</v>
      </c>
      <c r="S78" s="1" t="str">
        <f t="shared" si="9"/>
        <v>Low</v>
      </c>
      <c r="T78" s="1" t="str" cm="1">
        <f t="array" ref="T78">_xlfn.IFS(L78&gt;5,"High",L78=5,"mediam",L78&lt;5,"low")</f>
        <v>low</v>
      </c>
      <c r="U78" s="1" t="b">
        <f t="shared" si="10"/>
        <v>0</v>
      </c>
    </row>
    <row r="79" spans="1:21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7552.92</v>
      </c>
      <c r="Q79" s="10">
        <f t="shared" si="7"/>
        <v>962.99699999999984</v>
      </c>
      <c r="R79" s="11">
        <f t="shared" si="8"/>
        <v>6589.9230000000007</v>
      </c>
      <c r="S79" s="1" t="str">
        <f t="shared" si="9"/>
        <v>High</v>
      </c>
      <c r="T79" s="1" t="str" cm="1">
        <f t="array" ref="T79">_xlfn.IFS(L79&gt;5,"High",L79=5,"mediam",L79&lt;5,"low")</f>
        <v>High</v>
      </c>
      <c r="U79" s="1" t="str">
        <f t="shared" si="10"/>
        <v>High</v>
      </c>
    </row>
    <row r="80" spans="1:21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11459.300000000001</v>
      </c>
      <c r="Q80" s="10">
        <f t="shared" si="7"/>
        <v>1461.06</v>
      </c>
      <c r="R80" s="11">
        <f t="shared" si="8"/>
        <v>9998.2400000000016</v>
      </c>
      <c r="S80" s="1" t="str">
        <f t="shared" si="9"/>
        <v>High</v>
      </c>
      <c r="T80" s="1" t="str" cm="1">
        <f t="array" ref="T80">_xlfn.IFS(L80&gt;5,"High",L80=5,"mediam",L80&lt;5,"low")</f>
        <v>mediam</v>
      </c>
      <c r="U80" s="1" t="b">
        <f t="shared" si="10"/>
        <v>0</v>
      </c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786.75</v>
      </c>
      <c r="Q81" s="10">
        <f t="shared" si="7"/>
        <v>70.807000000000002</v>
      </c>
      <c r="R81" s="11">
        <f t="shared" si="8"/>
        <v>715.94299999999998</v>
      </c>
      <c r="S81" s="1" t="str">
        <f t="shared" si="9"/>
        <v>Low</v>
      </c>
      <c r="T81" s="1" t="str" cm="1">
        <f t="array" ref="T81">_xlfn.IFS(L81&gt;5,"High",L81=5,"mediam",L81&lt;5,"low")</f>
        <v>low</v>
      </c>
      <c r="U81" s="1" t="b">
        <f t="shared" si="10"/>
        <v>0</v>
      </c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21857.46</v>
      </c>
      <c r="Q82" s="10">
        <f t="shared" si="7"/>
        <v>0</v>
      </c>
      <c r="R82" s="11">
        <f t="shared" si="8"/>
        <v>21857.46</v>
      </c>
      <c r="S82" s="1" t="str">
        <f t="shared" si="9"/>
        <v>High</v>
      </c>
      <c r="T82" s="1" t="str" cm="1">
        <f t="array" ref="T82">_xlfn.IFS(L82&gt;5,"High",L82=5,"mediam",L82&lt;5,"low")</f>
        <v>High</v>
      </c>
      <c r="U82" s="1" t="str">
        <f t="shared" si="10"/>
        <v>High</v>
      </c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4510.1400000000003</v>
      </c>
      <c r="Q83" s="10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 cm="1">
        <f t="array" ref="T83">_xlfn.IFS(L83&gt;5,"High",L83=5,"mediam",L83&lt;5,"low")</f>
        <v>High</v>
      </c>
      <c r="U83" s="1" t="str">
        <f t="shared" si="10"/>
        <v>High</v>
      </c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7978.72</v>
      </c>
      <c r="Q84" s="10">
        <f t="shared" si="7"/>
        <v>378.98900000000003</v>
      </c>
      <c r="R84" s="11">
        <f t="shared" si="8"/>
        <v>7599.7309999999998</v>
      </c>
      <c r="S84" s="1" t="str">
        <f t="shared" si="9"/>
        <v>High</v>
      </c>
      <c r="T84" s="1" t="str" cm="1">
        <f t="array" ref="T84">_xlfn.IFS(L84&gt;5,"High",L84=5,"mediam",L84&lt;5,"low")</f>
        <v>High</v>
      </c>
      <c r="U84" s="1" t="str">
        <f t="shared" si="10"/>
        <v>High</v>
      </c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4290.72</v>
      </c>
      <c r="Q85" s="10">
        <f t="shared" si="7"/>
        <v>686.51600000000008</v>
      </c>
      <c r="R85" s="11">
        <f t="shared" si="8"/>
        <v>3604.2040000000002</v>
      </c>
      <c r="S85" s="1" t="str">
        <f t="shared" si="9"/>
        <v>Low</v>
      </c>
      <c r="T85" s="1" t="str" cm="1">
        <f t="array" ref="T85">_xlfn.IFS(L85&gt;5,"High",L85=5,"mediam",L85&lt;5,"low")</f>
        <v>low</v>
      </c>
      <c r="U85" s="1" t="b">
        <f t="shared" si="10"/>
        <v>0</v>
      </c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2883.94</v>
      </c>
      <c r="Q86" s="10">
        <f t="shared" si="7"/>
        <v>461.43000000000006</v>
      </c>
      <c r="R86" s="11">
        <f t="shared" si="8"/>
        <v>2422.5100000000002</v>
      </c>
      <c r="S86" s="1" t="str">
        <f t="shared" si="9"/>
        <v>Low</v>
      </c>
      <c r="T86" s="1" t="str" cm="1">
        <f t="array" ref="T86">_xlfn.IFS(L86&gt;5,"High",L86=5,"mediam",L86&lt;5,"low")</f>
        <v>low</v>
      </c>
      <c r="U86" s="1" t="b">
        <f t="shared" si="10"/>
        <v>0</v>
      </c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2074.2399999999998</v>
      </c>
      <c r="Q87" s="10">
        <f t="shared" si="7"/>
        <v>331.87800000000004</v>
      </c>
      <c r="R87" s="11">
        <f t="shared" si="8"/>
        <v>1742.3619999999996</v>
      </c>
      <c r="S87" s="1" t="str">
        <f t="shared" si="9"/>
        <v>Low</v>
      </c>
      <c r="T87" s="1" t="str" cm="1">
        <f t="array" ref="T87">_xlfn.IFS(L87&gt;5,"High",L87=5,"mediam",L87&lt;5,"low")</f>
        <v>low</v>
      </c>
      <c r="U87" s="1" t="b">
        <f t="shared" si="10"/>
        <v>0</v>
      </c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9611.84</v>
      </c>
      <c r="Q88" s="10">
        <f t="shared" si="7"/>
        <v>456.5625</v>
      </c>
      <c r="R88" s="11">
        <f t="shared" si="8"/>
        <v>9155.2775000000001</v>
      </c>
      <c r="S88" s="1" t="str">
        <f t="shared" si="9"/>
        <v>High</v>
      </c>
      <c r="T88" s="1" t="str" cm="1">
        <f t="array" ref="T88">_xlfn.IFS(L88&gt;5,"High",L88=5,"mediam",L88&lt;5,"low")</f>
        <v>High</v>
      </c>
      <c r="U88" s="1" t="str">
        <f t="shared" si="10"/>
        <v>High</v>
      </c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11638.2</v>
      </c>
      <c r="Q89" s="10">
        <f t="shared" si="7"/>
        <v>1862.1120000000001</v>
      </c>
      <c r="R89" s="11">
        <f t="shared" si="8"/>
        <v>9776.0879999999997</v>
      </c>
      <c r="S89" s="1" t="str">
        <f t="shared" si="9"/>
        <v>Low</v>
      </c>
      <c r="T89" s="1" t="str" cm="1">
        <f t="array" ref="T89">_xlfn.IFS(L89&gt;5,"High",L89=5,"mediam",L89&lt;5,"low")</f>
        <v>low</v>
      </c>
      <c r="U89" s="1" t="b">
        <f t="shared" si="10"/>
        <v>0</v>
      </c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3480.06</v>
      </c>
      <c r="Q90" s="10">
        <f t="shared" si="7"/>
        <v>313.20500000000004</v>
      </c>
      <c r="R90" s="11">
        <f t="shared" si="8"/>
        <v>3166.855</v>
      </c>
      <c r="S90" s="1" t="str">
        <f t="shared" si="9"/>
        <v>Low</v>
      </c>
      <c r="T90" s="1" t="str" cm="1">
        <f t="array" ref="T90">_xlfn.IFS(L90&gt;5,"High",L90=5,"mediam",L90&lt;5,"low")</f>
        <v>low</v>
      </c>
      <c r="U90" s="1" t="b">
        <f t="shared" si="10"/>
        <v>0</v>
      </c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6776.2</v>
      </c>
      <c r="Q91" s="10">
        <f t="shared" si="7"/>
        <v>321.86950000000002</v>
      </c>
      <c r="R91" s="11">
        <f t="shared" si="8"/>
        <v>6454.3305</v>
      </c>
      <c r="S91" s="1" t="str">
        <f t="shared" si="9"/>
        <v>High</v>
      </c>
      <c r="T91" s="1" t="str" cm="1">
        <f t="array" ref="T91">_xlfn.IFS(L91&gt;5,"High",L91=5,"mediam",L91&lt;5,"low")</f>
        <v>mediam</v>
      </c>
      <c r="U91" s="1" t="b">
        <f t="shared" si="10"/>
        <v>0</v>
      </c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16852.599999999999</v>
      </c>
      <c r="Q92" s="10">
        <f t="shared" si="7"/>
        <v>1516.7340000000002</v>
      </c>
      <c r="R92" s="11">
        <f t="shared" si="8"/>
        <v>15335.865999999998</v>
      </c>
      <c r="S92" s="1" t="str">
        <f t="shared" si="9"/>
        <v>High</v>
      </c>
      <c r="T92" s="1" t="str" cm="1">
        <f t="array" ref="T92">_xlfn.IFS(L92&gt;5,"High",L92=5,"mediam",L92&lt;5,"low")</f>
        <v>mediam</v>
      </c>
      <c r="U92" s="1" t="b">
        <f t="shared" si="10"/>
        <v>0</v>
      </c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1029.99</v>
      </c>
      <c r="Q93" s="10">
        <f t="shared" si="7"/>
        <v>48.924500000000002</v>
      </c>
      <c r="R93" s="11">
        <f t="shared" si="8"/>
        <v>981.06550000000004</v>
      </c>
      <c r="S93" s="1" t="str">
        <f t="shared" si="9"/>
        <v>Low</v>
      </c>
      <c r="T93" s="1" t="str" cm="1">
        <f t="array" ref="T93">_xlfn.IFS(L93&gt;5,"High",L93=5,"mediam",L93&lt;5,"low")</f>
        <v>low</v>
      </c>
      <c r="U93" s="1" t="b">
        <f t="shared" si="10"/>
        <v>0</v>
      </c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17448.84</v>
      </c>
      <c r="Q94" s="10">
        <f t="shared" si="7"/>
        <v>2791.8140000000003</v>
      </c>
      <c r="R94" s="11">
        <f t="shared" si="8"/>
        <v>14657.026</v>
      </c>
      <c r="S94" s="1" t="str">
        <f t="shared" si="9"/>
        <v>High</v>
      </c>
      <c r="T94" s="1" t="str" cm="1">
        <f t="array" ref="T94">_xlfn.IFS(L94&gt;5,"High",L94=5,"mediam",L94&lt;5,"low")</f>
        <v>High</v>
      </c>
      <c r="U94" s="1" t="str">
        <f t="shared" si="10"/>
        <v>High</v>
      </c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6446.08</v>
      </c>
      <c r="Q95" s="10">
        <f t="shared" si="7"/>
        <v>580.14700000000005</v>
      </c>
      <c r="R95" s="11">
        <f t="shared" si="8"/>
        <v>5865.933</v>
      </c>
      <c r="S95" s="1" t="str">
        <f t="shared" si="9"/>
        <v>Low</v>
      </c>
      <c r="T95" s="1" t="str" cm="1">
        <f t="array" ref="T95">_xlfn.IFS(L95&gt;5,"High",L95=5,"mediam",L95&lt;5,"low")</f>
        <v>low</v>
      </c>
      <c r="U95" s="1" t="b">
        <f t="shared" si="10"/>
        <v>0</v>
      </c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4106.58</v>
      </c>
      <c r="Q96" s="10">
        <f t="shared" si="7"/>
        <v>369.59200000000004</v>
      </c>
      <c r="R96" s="11">
        <f t="shared" si="8"/>
        <v>3736.9879999999998</v>
      </c>
      <c r="S96" s="1" t="str">
        <f t="shared" si="9"/>
        <v>Low</v>
      </c>
      <c r="T96" s="1" t="str" cm="1">
        <f t="array" ref="T96">_xlfn.IFS(L96&gt;5,"High",L96=5,"mediam",L96&lt;5,"low")</f>
        <v>low</v>
      </c>
      <c r="U96" s="1" t="b">
        <f t="shared" si="10"/>
        <v>0</v>
      </c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2499.88</v>
      </c>
      <c r="Q97" s="10">
        <f t="shared" si="7"/>
        <v>224.989</v>
      </c>
      <c r="R97" s="11">
        <f t="shared" si="8"/>
        <v>2274.8910000000001</v>
      </c>
      <c r="S97" s="1" t="str">
        <f t="shared" si="9"/>
        <v>Low</v>
      </c>
      <c r="T97" s="1" t="str" cm="1">
        <f t="array" ref="T97">_xlfn.IFS(L97&gt;5,"High",L97=5,"mediam",L97&lt;5,"low")</f>
        <v>low</v>
      </c>
      <c r="U97" s="1" t="b">
        <f t="shared" si="10"/>
        <v>0</v>
      </c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4516.1100000000006</v>
      </c>
      <c r="Q98" s="10">
        <f t="shared" si="7"/>
        <v>214.51500000000001</v>
      </c>
      <c r="R98" s="11">
        <f t="shared" si="8"/>
        <v>4301.5950000000003</v>
      </c>
      <c r="S98" s="1" t="str">
        <f t="shared" si="9"/>
        <v>High</v>
      </c>
      <c r="T98" s="1" t="str" cm="1">
        <f t="array" ref="T98">_xlfn.IFS(L98&gt;5,"High",L98=5,"mediam",L98&lt;5,"low")</f>
        <v>High</v>
      </c>
      <c r="U98" s="1" t="str">
        <f t="shared" si="10"/>
        <v>High</v>
      </c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5448.32</v>
      </c>
      <c r="Q99" s="10">
        <f t="shared" si="7"/>
        <v>694.66049999999996</v>
      </c>
      <c r="R99" s="11">
        <f t="shared" si="8"/>
        <v>4753.6594999999998</v>
      </c>
      <c r="S99" s="1" t="str">
        <f t="shared" si="9"/>
        <v>Low</v>
      </c>
      <c r="T99" s="1" t="str" cm="1">
        <f t="array" ref="T99">_xlfn.IFS(L99&gt;5,"High",L99=5,"mediam",L99&lt;5,"low")</f>
        <v>low</v>
      </c>
      <c r="U99" s="1" t="b">
        <f t="shared" si="10"/>
        <v>0</v>
      </c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947.25</v>
      </c>
      <c r="Q100" s="10">
        <f t="shared" si="7"/>
        <v>151.56</v>
      </c>
      <c r="R100" s="11">
        <f t="shared" si="8"/>
        <v>795.69</v>
      </c>
      <c r="S100" s="1" t="str">
        <f t="shared" si="9"/>
        <v>Low</v>
      </c>
      <c r="T100" s="1" t="str" cm="1">
        <f t="array" ref="T100">_xlfn.IFS(L100&gt;5,"High",L100=5,"mediam",L100&lt;5,"low")</f>
        <v>low</v>
      </c>
      <c r="U100" s="1" t="b">
        <f t="shared" si="10"/>
        <v>0</v>
      </c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22096.97</v>
      </c>
      <c r="Q101" s="10">
        <f t="shared" si="7"/>
        <v>1988.7270000000001</v>
      </c>
      <c r="R101" s="11">
        <f t="shared" si="8"/>
        <v>20108.243000000002</v>
      </c>
      <c r="S101" s="1" t="str">
        <f t="shared" si="9"/>
        <v>High</v>
      </c>
      <c r="T101" s="1" t="str" cm="1">
        <f t="array" ref="T101">_xlfn.IFS(L101&gt;5,"High",L101=5,"mediam",L101&lt;5,"low")</f>
        <v>High</v>
      </c>
      <c r="U101" s="1" t="str">
        <f t="shared" si="10"/>
        <v>High</v>
      </c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13465.44</v>
      </c>
      <c r="Q102" s="10">
        <f t="shared" si="7"/>
        <v>1716.8430000000001</v>
      </c>
      <c r="R102" s="11">
        <f t="shared" si="8"/>
        <v>11748.597</v>
      </c>
      <c r="S102" s="1" t="str">
        <f t="shared" si="9"/>
        <v>High</v>
      </c>
      <c r="T102" s="1" t="str" cm="1">
        <f t="array" ref="T102">_xlfn.IFS(L102&gt;5,"High",L102=5,"mediam",L102&lt;5,"low")</f>
        <v>High</v>
      </c>
      <c r="U102" s="1" t="str">
        <f t="shared" si="10"/>
        <v>High</v>
      </c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3718.06</v>
      </c>
      <c r="Q103" s="10">
        <f t="shared" si="7"/>
        <v>594.89</v>
      </c>
      <c r="R103" s="11">
        <f t="shared" si="8"/>
        <v>3123.17</v>
      </c>
      <c r="S103" s="1" t="str">
        <f t="shared" si="9"/>
        <v>Low</v>
      </c>
      <c r="T103" s="1" t="str" cm="1">
        <f t="array" ref="T103">_xlfn.IFS(L103&gt;5,"High",L103=5,"mediam",L103&lt;5,"low")</f>
        <v>low</v>
      </c>
      <c r="U103" s="1" t="b">
        <f t="shared" si="10"/>
        <v>0</v>
      </c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25132.38</v>
      </c>
      <c r="Q104" s="10">
        <f t="shared" si="7"/>
        <v>4021.1800000000003</v>
      </c>
      <c r="R104" s="11">
        <f t="shared" si="8"/>
        <v>21111.200000000001</v>
      </c>
      <c r="S104" s="1" t="str">
        <f t="shared" si="9"/>
        <v>High</v>
      </c>
      <c r="T104" s="1" t="str" cm="1">
        <f t="array" ref="T104">_xlfn.IFS(L104&gt;5,"High",L104=5,"mediam",L104&lt;5,"low")</f>
        <v>High</v>
      </c>
      <c r="U104" s="1" t="str">
        <f t="shared" si="10"/>
        <v>High</v>
      </c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13417.550000000001</v>
      </c>
      <c r="Q105" s="10">
        <f t="shared" si="7"/>
        <v>1207.5790000000002</v>
      </c>
      <c r="R105" s="11">
        <f t="shared" si="8"/>
        <v>12209.971000000001</v>
      </c>
      <c r="S105" s="1" t="str">
        <f t="shared" si="9"/>
        <v>High</v>
      </c>
      <c r="T105" s="1" t="str" cm="1">
        <f t="array" ref="T105">_xlfn.IFS(L105&gt;5,"High",L105=5,"mediam",L105&lt;5,"low")</f>
        <v>mediam</v>
      </c>
      <c r="U105" s="1" t="b">
        <f t="shared" si="10"/>
        <v>0</v>
      </c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905.15</v>
      </c>
      <c r="Q106" s="10">
        <f t="shared" si="7"/>
        <v>81.463000000000008</v>
      </c>
      <c r="R106" s="11">
        <f t="shared" si="8"/>
        <v>823.68700000000001</v>
      </c>
      <c r="S106" s="1" t="str">
        <f t="shared" si="9"/>
        <v>High</v>
      </c>
      <c r="T106" s="1" t="str" cm="1">
        <f t="array" ref="T106">_xlfn.IFS(L106&gt;5,"High",L106=5,"mediam",L106&lt;5,"low")</f>
        <v>mediam</v>
      </c>
      <c r="U106" s="1" t="b">
        <f t="shared" si="10"/>
        <v>0</v>
      </c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11343.66</v>
      </c>
      <c r="Q107" s="10">
        <f t="shared" si="7"/>
        <v>538.82399999999996</v>
      </c>
      <c r="R107" s="11">
        <f t="shared" si="8"/>
        <v>10804.835999999999</v>
      </c>
      <c r="S107" s="1" t="str">
        <f t="shared" si="9"/>
        <v>Low</v>
      </c>
      <c r="T107" s="1" t="str" cm="1">
        <f t="array" ref="T107">_xlfn.IFS(L107&gt;5,"High",L107=5,"mediam",L107&lt;5,"low")</f>
        <v>low</v>
      </c>
      <c r="U107" s="1" t="b">
        <f t="shared" si="10"/>
        <v>0</v>
      </c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5315.05</v>
      </c>
      <c r="Q108" s="10">
        <f t="shared" si="7"/>
        <v>677.66849999999999</v>
      </c>
      <c r="R108" s="11">
        <f t="shared" si="8"/>
        <v>4637.3815000000004</v>
      </c>
      <c r="S108" s="1" t="str">
        <f t="shared" si="9"/>
        <v>High</v>
      </c>
      <c r="T108" s="1" t="str" cm="1">
        <f t="array" ref="T108">_xlfn.IFS(L108&gt;5,"High",L108=5,"mediam",L108&lt;5,"low")</f>
        <v>mediam</v>
      </c>
      <c r="U108" s="1" t="b">
        <f t="shared" si="10"/>
        <v>0</v>
      </c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1128.6199999999999</v>
      </c>
      <c r="Q109" s="10">
        <f t="shared" si="7"/>
        <v>143.89949999999999</v>
      </c>
      <c r="R109" s="11">
        <f t="shared" si="8"/>
        <v>984.7204999999999</v>
      </c>
      <c r="S109" s="1" t="str">
        <f t="shared" si="9"/>
        <v>Low</v>
      </c>
      <c r="T109" s="1" t="str" cm="1">
        <f t="array" ref="T109">_xlfn.IFS(L109&gt;5,"High",L109=5,"mediam",L109&lt;5,"low")</f>
        <v>low</v>
      </c>
      <c r="U109" s="1" t="b">
        <f t="shared" si="10"/>
        <v>0</v>
      </c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12429.16</v>
      </c>
      <c r="Q110" s="10">
        <f t="shared" si="7"/>
        <v>1118.624</v>
      </c>
      <c r="R110" s="11">
        <f t="shared" si="8"/>
        <v>11310.536</v>
      </c>
      <c r="S110" s="1" t="str">
        <f t="shared" si="9"/>
        <v>Low</v>
      </c>
      <c r="T110" s="1" t="str" cm="1">
        <f t="array" ref="T110">_xlfn.IFS(L110&gt;5,"High",L110=5,"mediam",L110&lt;5,"low")</f>
        <v>low</v>
      </c>
      <c r="U110" s="1" t="b">
        <f t="shared" si="10"/>
        <v>0</v>
      </c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12461.04</v>
      </c>
      <c r="Q111" s="10">
        <f t="shared" si="7"/>
        <v>1993.7660000000001</v>
      </c>
      <c r="R111" s="11">
        <f t="shared" si="8"/>
        <v>10467.274000000001</v>
      </c>
      <c r="S111" s="1" t="str">
        <f t="shared" si="9"/>
        <v>High</v>
      </c>
      <c r="T111" s="1" t="str" cm="1">
        <f t="array" ref="T111">_xlfn.IFS(L111&gt;5,"High",L111=5,"mediam",L111&lt;5,"low")</f>
        <v>High</v>
      </c>
      <c r="U111" s="1" t="str">
        <f t="shared" si="10"/>
        <v>High</v>
      </c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1820.02</v>
      </c>
      <c r="Q112" s="10">
        <f t="shared" si="7"/>
        <v>163.80200000000002</v>
      </c>
      <c r="R112" s="11">
        <f t="shared" si="8"/>
        <v>1656.2179999999998</v>
      </c>
      <c r="S112" s="1" t="str">
        <f t="shared" si="9"/>
        <v>Low</v>
      </c>
      <c r="T112" s="1" t="str" cm="1">
        <f t="array" ref="T112">_xlfn.IFS(L112&gt;5,"High",L112=5,"mediam",L112&lt;5,"low")</f>
        <v>low</v>
      </c>
      <c r="U112" s="1" t="b">
        <f t="shared" si="10"/>
        <v>0</v>
      </c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4442.3599999999997</v>
      </c>
      <c r="Q113" s="10">
        <f t="shared" si="7"/>
        <v>710.77800000000002</v>
      </c>
      <c r="R113" s="11">
        <f t="shared" si="8"/>
        <v>3731.5819999999994</v>
      </c>
      <c r="S113" s="1" t="str">
        <f t="shared" si="9"/>
        <v>Low</v>
      </c>
      <c r="T113" s="1" t="str" cm="1">
        <f t="array" ref="T113">_xlfn.IFS(L113&gt;5,"High",L113=5,"mediam",L113&lt;5,"low")</f>
        <v>low</v>
      </c>
      <c r="U113" s="1" t="b">
        <f t="shared" si="10"/>
        <v>0</v>
      </c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13546.619999999999</v>
      </c>
      <c r="Q114" s="10">
        <f t="shared" si="7"/>
        <v>2167.46</v>
      </c>
      <c r="R114" s="11">
        <f t="shared" si="8"/>
        <v>11379.16</v>
      </c>
      <c r="S114" s="1" t="str">
        <f t="shared" si="9"/>
        <v>High</v>
      </c>
      <c r="T114" s="1" t="str" cm="1">
        <f t="array" ref="T114">_xlfn.IFS(L114&gt;5,"High",L114=5,"mediam",L114&lt;5,"low")</f>
        <v>High</v>
      </c>
      <c r="U114" s="1" t="str">
        <f t="shared" si="10"/>
        <v>High</v>
      </c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10857.420000000002</v>
      </c>
      <c r="Q115" s="10">
        <f t="shared" si="7"/>
        <v>977.16800000000012</v>
      </c>
      <c r="R115" s="11">
        <f t="shared" si="8"/>
        <v>9880.2520000000022</v>
      </c>
      <c r="S115" s="1" t="str">
        <f t="shared" si="9"/>
        <v>High</v>
      </c>
      <c r="T115" s="1" t="str" cm="1">
        <f t="array" ref="T115">_xlfn.IFS(L115&gt;5,"High",L115=5,"mediam",L115&lt;5,"low")</f>
        <v>High</v>
      </c>
      <c r="U115" s="1" t="str">
        <f t="shared" si="10"/>
        <v>High</v>
      </c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7242.18</v>
      </c>
      <c r="Q116" s="10">
        <f t="shared" si="7"/>
        <v>0</v>
      </c>
      <c r="R116" s="11">
        <f t="shared" si="8"/>
        <v>7242.18</v>
      </c>
      <c r="S116" s="1" t="str">
        <f t="shared" si="9"/>
        <v>Low</v>
      </c>
      <c r="T116" s="1" t="str" cm="1">
        <f t="array" ref="T116">_xlfn.IFS(L116&gt;5,"High",L116=5,"mediam",L116&lt;5,"low")</f>
        <v>low</v>
      </c>
      <c r="U116" s="1" t="b">
        <f t="shared" si="10"/>
        <v>0</v>
      </c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6849.78</v>
      </c>
      <c r="Q117" s="10">
        <f t="shared" si="7"/>
        <v>873.34649999999999</v>
      </c>
      <c r="R117" s="11">
        <f t="shared" si="8"/>
        <v>5976.4335000000001</v>
      </c>
      <c r="S117" s="1" t="str">
        <f t="shared" si="9"/>
        <v>High</v>
      </c>
      <c r="T117" s="1" t="str" cm="1">
        <f t="array" ref="T117">_xlfn.IFS(L117&gt;5,"High",L117=5,"mediam",L117&lt;5,"low")</f>
        <v>High</v>
      </c>
      <c r="U117" s="1" t="str">
        <f t="shared" si="10"/>
        <v>High</v>
      </c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21328.62</v>
      </c>
      <c r="Q118" s="10">
        <f t="shared" si="7"/>
        <v>3412.5800000000004</v>
      </c>
      <c r="R118" s="11">
        <f t="shared" si="8"/>
        <v>17916.039999999997</v>
      </c>
      <c r="S118" s="1" t="str">
        <f t="shared" si="9"/>
        <v>High</v>
      </c>
      <c r="T118" s="1" t="str" cm="1">
        <f t="array" ref="T118">_xlfn.IFS(L118&gt;5,"High",L118=5,"mediam",L118&lt;5,"low")</f>
        <v>High</v>
      </c>
      <c r="U118" s="1" t="str">
        <f t="shared" si="10"/>
        <v>High</v>
      </c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4607.42</v>
      </c>
      <c r="Q119" s="10">
        <f t="shared" si="7"/>
        <v>737.1880000000001</v>
      </c>
      <c r="R119" s="11">
        <f t="shared" si="8"/>
        <v>3870.232</v>
      </c>
      <c r="S119" s="1" t="str">
        <f t="shared" si="9"/>
        <v>Low</v>
      </c>
      <c r="T119" s="1" t="str" cm="1">
        <f t="array" ref="T119">_xlfn.IFS(L119&gt;5,"High",L119=5,"mediam",L119&lt;5,"low")</f>
        <v>low</v>
      </c>
      <c r="U119" s="1" t="b">
        <f t="shared" si="10"/>
        <v>0</v>
      </c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26717.439999999999</v>
      </c>
      <c r="Q120" s="10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 cm="1">
        <f t="array" ref="T120">_xlfn.IFS(L120&gt;5,"High",L120=5,"mediam",L120&lt;5,"low")</f>
        <v>High</v>
      </c>
      <c r="U120" s="1" t="str">
        <f t="shared" si="10"/>
        <v>High</v>
      </c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20261.22</v>
      </c>
      <c r="Q121" s="10">
        <f t="shared" si="7"/>
        <v>962.40800000000002</v>
      </c>
      <c r="R121" s="11">
        <f t="shared" si="8"/>
        <v>19298.812000000002</v>
      </c>
      <c r="S121" s="1" t="str">
        <f t="shared" si="9"/>
        <v>High</v>
      </c>
      <c r="T121" s="1" t="str" cm="1">
        <f t="array" ref="T121">_xlfn.IFS(L121&gt;5,"High",L121=5,"mediam",L121&lt;5,"low")</f>
        <v>High</v>
      </c>
      <c r="U121" s="1" t="str">
        <f t="shared" si="10"/>
        <v>High</v>
      </c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14161.400000000001</v>
      </c>
      <c r="Q122" s="10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 cm="1">
        <f t="array" ref="T122">_xlfn.IFS(L122&gt;5,"High",L122=5,"mediam",L122&lt;5,"low")</f>
        <v>mediam</v>
      </c>
      <c r="U122" s="1" t="b">
        <f t="shared" si="10"/>
        <v>0</v>
      </c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6993.65</v>
      </c>
      <c r="Q123" s="10">
        <f t="shared" si="7"/>
        <v>0</v>
      </c>
      <c r="R123" s="11">
        <f t="shared" si="8"/>
        <v>6993.65</v>
      </c>
      <c r="S123" s="1" t="str">
        <f t="shared" si="9"/>
        <v>High</v>
      </c>
      <c r="T123" s="1" t="str" cm="1">
        <f t="array" ref="T123">_xlfn.IFS(L123&gt;5,"High",L123=5,"mediam",L123&lt;5,"low")</f>
        <v>mediam</v>
      </c>
      <c r="U123" s="1" t="b">
        <f t="shared" si="10"/>
        <v>0</v>
      </c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7353.5</v>
      </c>
      <c r="Q124" s="10">
        <f t="shared" si="7"/>
        <v>1176.5600000000002</v>
      </c>
      <c r="R124" s="11">
        <f t="shared" si="8"/>
        <v>6176.94</v>
      </c>
      <c r="S124" s="1" t="str">
        <f t="shared" si="9"/>
        <v>High</v>
      </c>
      <c r="T124" s="1" t="str" cm="1">
        <f t="array" ref="T124">_xlfn.IFS(L124&gt;5,"High",L124=5,"mediam",L124&lt;5,"low")</f>
        <v>High</v>
      </c>
      <c r="U124" s="1" t="str">
        <f t="shared" si="10"/>
        <v>High</v>
      </c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8657.19</v>
      </c>
      <c r="Q125" s="10">
        <f t="shared" si="7"/>
        <v>1103.7914999999998</v>
      </c>
      <c r="R125" s="11">
        <f t="shared" si="8"/>
        <v>7553.3985000000011</v>
      </c>
      <c r="S125" s="1" t="str">
        <f t="shared" si="9"/>
        <v>High</v>
      </c>
      <c r="T125" s="1" t="str" cm="1">
        <f t="array" ref="T125">_xlfn.IFS(L125&gt;5,"High",L125=5,"mediam",L125&lt;5,"low")</f>
        <v>High</v>
      </c>
      <c r="U125" s="1" t="str">
        <f t="shared" si="10"/>
        <v>High</v>
      </c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31051.71</v>
      </c>
      <c r="Q126" s="10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 cm="1">
        <f t="array" ref="T126">_xlfn.IFS(L126&gt;5,"High",L126=5,"mediam",L126&lt;5,"low")</f>
        <v>High</v>
      </c>
      <c r="U126" s="1" t="str">
        <f t="shared" si="10"/>
        <v>High</v>
      </c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29777.759999999998</v>
      </c>
      <c r="Q127" s="10">
        <f t="shared" si="7"/>
        <v>1414.4435000000001</v>
      </c>
      <c r="R127" s="11">
        <f t="shared" si="8"/>
        <v>28363.316499999997</v>
      </c>
      <c r="S127" s="1" t="str">
        <f t="shared" si="9"/>
        <v>High</v>
      </c>
      <c r="T127" s="1" t="str" cm="1">
        <f t="array" ref="T127">_xlfn.IFS(L127&gt;5,"High",L127=5,"mediam",L127&lt;5,"low")</f>
        <v>High</v>
      </c>
      <c r="U127" s="1" t="str">
        <f t="shared" si="10"/>
        <v>High</v>
      </c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11077.26</v>
      </c>
      <c r="Q128" s="10">
        <f t="shared" si="7"/>
        <v>996.95300000000009</v>
      </c>
      <c r="R128" s="11">
        <f t="shared" si="8"/>
        <v>10080.307000000001</v>
      </c>
      <c r="S128" s="1" t="str">
        <f t="shared" si="9"/>
        <v>High</v>
      </c>
      <c r="T128" s="1" t="str" cm="1">
        <f t="array" ref="T128">_xlfn.IFS(L128&gt;5,"High",L128=5,"mediam",L128&lt;5,"low")</f>
        <v>High</v>
      </c>
      <c r="U128" s="1" t="str">
        <f t="shared" si="10"/>
        <v>High</v>
      </c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3958.56</v>
      </c>
      <c r="Q129" s="10">
        <f t="shared" si="7"/>
        <v>0</v>
      </c>
      <c r="R129" s="11">
        <f t="shared" si="8"/>
        <v>3958.56</v>
      </c>
      <c r="S129" s="1" t="str">
        <f t="shared" si="9"/>
        <v>High</v>
      </c>
      <c r="T129" s="1" t="str" cm="1">
        <f t="array" ref="T129">_xlfn.IFS(L129&gt;5,"High",L129=5,"mediam",L129&lt;5,"low")</f>
        <v>High</v>
      </c>
      <c r="U129" s="1" t="str">
        <f t="shared" si="10"/>
        <v>High</v>
      </c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4865.01</v>
      </c>
      <c r="Q130" s="10">
        <f t="shared" si="7"/>
        <v>0</v>
      </c>
      <c r="R130" s="11">
        <f t="shared" si="8"/>
        <v>4865.01</v>
      </c>
      <c r="S130" s="1" t="str">
        <f t="shared" si="9"/>
        <v>Low</v>
      </c>
      <c r="T130" s="1" t="str" cm="1">
        <f t="array" ref="T130">_xlfn.IFS(L130&gt;5,"High",L130=5,"mediam",L130&lt;5,"low")</f>
        <v>low</v>
      </c>
      <c r="U130" s="1" t="b">
        <f t="shared" si="10"/>
        <v>0</v>
      </c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1">L131*M131</f>
        <v>2534.4699999999998</v>
      </c>
      <c r="Q131" s="10">
        <f t="shared" ref="Q131:Q194" si="12">O131*N131%</f>
        <v>120.3875</v>
      </c>
      <c r="R131" s="11">
        <f t="shared" ref="R131:R194" si="13">P131-Q131</f>
        <v>2414.0825</v>
      </c>
      <c r="S131" s="1" t="str">
        <f t="shared" ref="S131:S194" si="14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si="10"/>
        <v>0</v>
      </c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1"/>
        <v>13296.15</v>
      </c>
      <c r="Q132" s="10">
        <f t="shared" si="12"/>
        <v>1695.2594999999999</v>
      </c>
      <c r="R132" s="11">
        <f t="shared" si="13"/>
        <v>11600.8905</v>
      </c>
      <c r="S132" s="1" t="str">
        <f t="shared" si="14"/>
        <v>High</v>
      </c>
      <c r="T132" s="1" t="str" cm="1">
        <f t="array" ref="T132">_xlfn.IFS(L132&gt;5,"High",L132=5,"mediam",L132&lt;5,"low")</f>
        <v>High</v>
      </c>
      <c r="U132" s="1" t="str">
        <f t="shared" si="10"/>
        <v>High</v>
      </c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1"/>
        <v>12614.92</v>
      </c>
      <c r="Q133" s="10">
        <f t="shared" si="12"/>
        <v>0</v>
      </c>
      <c r="R133" s="11">
        <f t="shared" si="13"/>
        <v>12614.92</v>
      </c>
      <c r="S133" s="1" t="str">
        <f t="shared" si="14"/>
        <v>Low</v>
      </c>
      <c r="T133" s="1" t="str" cm="1">
        <f t="array" ref="T133">_xlfn.IFS(L133&gt;5,"High",L133=5,"mediam",L133&lt;5,"low")</f>
        <v>low</v>
      </c>
      <c r="U133" s="1" t="b">
        <f t="shared" si="10"/>
        <v>0</v>
      </c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1"/>
        <v>3990.85</v>
      </c>
      <c r="Q134" s="10">
        <f t="shared" si="12"/>
        <v>0</v>
      </c>
      <c r="R134" s="11">
        <f t="shared" si="13"/>
        <v>3990.85</v>
      </c>
      <c r="S134" s="1" t="str">
        <f t="shared" si="14"/>
        <v>Low</v>
      </c>
      <c r="T134" s="1" t="str" cm="1">
        <f t="array" ref="T134">_xlfn.IFS(L134&gt;5,"High",L134=5,"mediam",L134&lt;5,"low")</f>
        <v>low</v>
      </c>
      <c r="U134" s="1" t="b">
        <f t="shared" si="10"/>
        <v>0</v>
      </c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1"/>
        <v>7086.88</v>
      </c>
      <c r="Q135" s="10">
        <f t="shared" si="12"/>
        <v>903.57749999999999</v>
      </c>
      <c r="R135" s="11">
        <f t="shared" si="13"/>
        <v>6183.3024999999998</v>
      </c>
      <c r="S135" s="1" t="str">
        <f t="shared" si="14"/>
        <v>High</v>
      </c>
      <c r="T135" s="1" t="str" cm="1">
        <f t="array" ref="T135">_xlfn.IFS(L135&gt;5,"High",L135=5,"mediam",L135&lt;5,"low")</f>
        <v>High</v>
      </c>
      <c r="U135" s="1" t="str">
        <f t="shared" si="10"/>
        <v>High</v>
      </c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1"/>
        <v>11517.960000000001</v>
      </c>
      <c r="Q136" s="10">
        <f t="shared" si="12"/>
        <v>547.10299999999995</v>
      </c>
      <c r="R136" s="11">
        <f t="shared" si="13"/>
        <v>10970.857000000002</v>
      </c>
      <c r="S136" s="1" t="str">
        <f t="shared" si="14"/>
        <v>High</v>
      </c>
      <c r="T136" s="1" t="str" cm="1">
        <f t="array" ref="T136">_xlfn.IFS(L136&gt;5,"High",L136=5,"mediam",L136&lt;5,"low")</f>
        <v>High</v>
      </c>
      <c r="U136" s="1" t="str">
        <f t="shared" si="10"/>
        <v>High</v>
      </c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1"/>
        <v>10855.74</v>
      </c>
      <c r="Q137" s="10">
        <f t="shared" si="12"/>
        <v>0</v>
      </c>
      <c r="R137" s="11">
        <f t="shared" si="13"/>
        <v>10855.74</v>
      </c>
      <c r="S137" s="1" t="str">
        <f t="shared" si="14"/>
        <v>High</v>
      </c>
      <c r="T137" s="1" t="str" cm="1">
        <f t="array" ref="T137">_xlfn.IFS(L137&gt;5,"High",L137=5,"mediam",L137&lt;5,"low")</f>
        <v>High</v>
      </c>
      <c r="U137" s="1" t="str">
        <f t="shared" ref="U137:U200" si="15">IF(L137&gt;5,"High",IF(L137="Mediam","Low"))</f>
        <v>High</v>
      </c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1"/>
        <v>2644.6</v>
      </c>
      <c r="Q138" s="10">
        <f t="shared" si="12"/>
        <v>337.18649999999997</v>
      </c>
      <c r="R138" s="11">
        <f t="shared" si="13"/>
        <v>2307.4135000000001</v>
      </c>
      <c r="S138" s="1" t="str">
        <f t="shared" si="14"/>
        <v>Low</v>
      </c>
      <c r="T138" s="1" t="str" cm="1">
        <f t="array" ref="T138">_xlfn.IFS(L138&gt;5,"High",L138=5,"mediam",L138&lt;5,"low")</f>
        <v>low</v>
      </c>
      <c r="U138" s="1" t="b">
        <f t="shared" si="15"/>
        <v>0</v>
      </c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1"/>
        <v>912.67</v>
      </c>
      <c r="Q139" s="10">
        <f t="shared" si="12"/>
        <v>0</v>
      </c>
      <c r="R139" s="11">
        <f t="shared" si="13"/>
        <v>912.67</v>
      </c>
      <c r="S139" s="1" t="str">
        <f t="shared" si="14"/>
        <v>Low</v>
      </c>
      <c r="T139" s="1" t="str" cm="1">
        <f t="array" ref="T139">_xlfn.IFS(L139&gt;5,"High",L139=5,"mediam",L139&lt;5,"low")</f>
        <v>low</v>
      </c>
      <c r="U139" s="1" t="b">
        <f t="shared" si="15"/>
        <v>0</v>
      </c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1"/>
        <v>805.82</v>
      </c>
      <c r="Q140" s="10">
        <f t="shared" si="12"/>
        <v>72.524000000000001</v>
      </c>
      <c r="R140" s="11">
        <f t="shared" si="13"/>
        <v>733.29600000000005</v>
      </c>
      <c r="S140" s="1" t="str">
        <f t="shared" si="14"/>
        <v>Low</v>
      </c>
      <c r="T140" s="1" t="str" cm="1">
        <f t="array" ref="T140">_xlfn.IFS(L140&gt;5,"High",L140=5,"mediam",L140&lt;5,"low")</f>
        <v>low</v>
      </c>
      <c r="U140" s="1" t="b">
        <f t="shared" si="15"/>
        <v>0</v>
      </c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1"/>
        <v>14261.64</v>
      </c>
      <c r="Q141" s="10">
        <f t="shared" si="12"/>
        <v>2281.8620000000001</v>
      </c>
      <c r="R141" s="11">
        <f t="shared" si="13"/>
        <v>11979.777999999998</v>
      </c>
      <c r="S141" s="1" t="str">
        <f t="shared" si="14"/>
        <v>Low</v>
      </c>
      <c r="T141" s="1" t="str" cm="1">
        <f t="array" ref="T141">_xlfn.IFS(L141&gt;5,"High",L141=5,"mediam",L141&lt;5,"low")</f>
        <v>low</v>
      </c>
      <c r="U141" s="1" t="b">
        <f t="shared" si="15"/>
        <v>0</v>
      </c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1"/>
        <v>3532.84</v>
      </c>
      <c r="Q142" s="10">
        <f t="shared" si="12"/>
        <v>317.95600000000002</v>
      </c>
      <c r="R142" s="11">
        <f t="shared" si="13"/>
        <v>3214.884</v>
      </c>
      <c r="S142" s="1" t="str">
        <f t="shared" si="14"/>
        <v>Low</v>
      </c>
      <c r="T142" s="1" t="str" cm="1">
        <f t="array" ref="T142">_xlfn.IFS(L142&gt;5,"High",L142=5,"mediam",L142&lt;5,"low")</f>
        <v>low</v>
      </c>
      <c r="U142" s="1" t="b">
        <f t="shared" si="15"/>
        <v>0</v>
      </c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1"/>
        <v>2063.0500000000002</v>
      </c>
      <c r="Q143" s="10">
        <f t="shared" si="12"/>
        <v>0</v>
      </c>
      <c r="R143" s="11">
        <f t="shared" si="13"/>
        <v>2063.0500000000002</v>
      </c>
      <c r="S143" s="1" t="str">
        <f t="shared" si="14"/>
        <v>Low</v>
      </c>
      <c r="T143" s="1" t="str" cm="1">
        <f t="array" ref="T143">_xlfn.IFS(L143&gt;5,"High",L143=5,"mediam",L143&lt;5,"low")</f>
        <v>low</v>
      </c>
      <c r="U143" s="1" t="b">
        <f t="shared" si="15"/>
        <v>0</v>
      </c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1"/>
        <v>25761.61</v>
      </c>
      <c r="Q144" s="10">
        <f t="shared" si="12"/>
        <v>1223.6765</v>
      </c>
      <c r="R144" s="11">
        <f t="shared" si="13"/>
        <v>24537.933499999999</v>
      </c>
      <c r="S144" s="1" t="str">
        <f t="shared" si="14"/>
        <v>High</v>
      </c>
      <c r="T144" s="1" t="str" cm="1">
        <f t="array" ref="T144">_xlfn.IFS(L144&gt;5,"High",L144=5,"mediam",L144&lt;5,"low")</f>
        <v>High</v>
      </c>
      <c r="U144" s="1" t="str">
        <f t="shared" si="15"/>
        <v>High</v>
      </c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1"/>
        <v>25109.759999999998</v>
      </c>
      <c r="Q145" s="10">
        <f t="shared" si="12"/>
        <v>4017.5620000000004</v>
      </c>
      <c r="R145" s="11">
        <f t="shared" si="13"/>
        <v>21092.197999999997</v>
      </c>
      <c r="S145" s="1" t="str">
        <f t="shared" si="14"/>
        <v>High</v>
      </c>
      <c r="T145" s="1" t="str" cm="1">
        <f t="array" ref="T145">_xlfn.IFS(L145&gt;5,"High",L145=5,"mediam",L145&lt;5,"low")</f>
        <v>High</v>
      </c>
      <c r="U145" s="1" t="str">
        <f t="shared" si="15"/>
        <v>High</v>
      </c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1"/>
        <v>3914.58</v>
      </c>
      <c r="Q146" s="10">
        <f t="shared" si="12"/>
        <v>352.31200000000001</v>
      </c>
      <c r="R146" s="11">
        <f t="shared" si="13"/>
        <v>3562.268</v>
      </c>
      <c r="S146" s="1" t="str">
        <f t="shared" si="14"/>
        <v>High</v>
      </c>
      <c r="T146" s="1" t="str" cm="1">
        <f t="array" ref="T146">_xlfn.IFS(L146&gt;5,"High",L146=5,"mediam",L146&lt;5,"low")</f>
        <v>High</v>
      </c>
      <c r="U146" s="1" t="str">
        <f t="shared" si="15"/>
        <v>High</v>
      </c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1"/>
        <v>9307.48</v>
      </c>
      <c r="Q147" s="10">
        <f t="shared" si="12"/>
        <v>1186.704</v>
      </c>
      <c r="R147" s="11">
        <f t="shared" si="13"/>
        <v>8120.7759999999998</v>
      </c>
      <c r="S147" s="1" t="str">
        <f t="shared" si="14"/>
        <v>Low</v>
      </c>
      <c r="T147" s="1" t="str" cm="1">
        <f t="array" ref="T147">_xlfn.IFS(L147&gt;5,"High",L147=5,"mediam",L147&lt;5,"low")</f>
        <v>low</v>
      </c>
      <c r="U147" s="1" t="b">
        <f t="shared" si="15"/>
        <v>0</v>
      </c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1"/>
        <v>11116.02</v>
      </c>
      <c r="Q148" s="10">
        <f t="shared" si="12"/>
        <v>528.01099999999997</v>
      </c>
      <c r="R148" s="11">
        <f t="shared" si="13"/>
        <v>10588.009</v>
      </c>
      <c r="S148" s="1" t="str">
        <f t="shared" si="14"/>
        <v>High</v>
      </c>
      <c r="T148" s="1" t="str" cm="1">
        <f t="array" ref="T148">_xlfn.IFS(L148&gt;5,"High",L148=5,"mediam",L148&lt;5,"low")</f>
        <v>High</v>
      </c>
      <c r="U148" s="1" t="str">
        <f t="shared" si="15"/>
        <v>High</v>
      </c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1"/>
        <v>9657.7800000000007</v>
      </c>
      <c r="Q149" s="10">
        <f t="shared" si="12"/>
        <v>869.2</v>
      </c>
      <c r="R149" s="11">
        <f t="shared" si="13"/>
        <v>8788.58</v>
      </c>
      <c r="S149" s="1" t="str">
        <f t="shared" si="14"/>
        <v>Low</v>
      </c>
      <c r="T149" s="1" t="str" cm="1">
        <f t="array" ref="T149">_xlfn.IFS(L149&gt;5,"High",L149=5,"mediam",L149&lt;5,"low")</f>
        <v>low</v>
      </c>
      <c r="U149" s="1" t="b">
        <f t="shared" si="15"/>
        <v>0</v>
      </c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1"/>
        <v>23506.400000000001</v>
      </c>
      <c r="Q150" s="10">
        <f t="shared" si="12"/>
        <v>2997.0659999999998</v>
      </c>
      <c r="R150" s="11">
        <f t="shared" si="13"/>
        <v>20509.334000000003</v>
      </c>
      <c r="S150" s="1" t="str">
        <f t="shared" si="14"/>
        <v>High</v>
      </c>
      <c r="T150" s="1" t="str" cm="1">
        <f t="array" ref="T150">_xlfn.IFS(L150&gt;5,"High",L150=5,"mediam",L150&lt;5,"low")</f>
        <v>High</v>
      </c>
      <c r="U150" s="1" t="str">
        <f t="shared" si="15"/>
        <v>High</v>
      </c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1"/>
        <v>5616.12</v>
      </c>
      <c r="Q151" s="10">
        <f t="shared" si="12"/>
        <v>0</v>
      </c>
      <c r="R151" s="11">
        <f t="shared" si="13"/>
        <v>5616.12</v>
      </c>
      <c r="S151" s="1" t="str">
        <f t="shared" si="14"/>
        <v>Low</v>
      </c>
      <c r="T151" s="1" t="str" cm="1">
        <f t="array" ref="T151">_xlfn.IFS(L151&gt;5,"High",L151=5,"mediam",L151&lt;5,"low")</f>
        <v>low</v>
      </c>
      <c r="U151" s="1" t="b">
        <f t="shared" si="15"/>
        <v>0</v>
      </c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1"/>
        <v>7305.5</v>
      </c>
      <c r="Q152" s="10">
        <f t="shared" si="12"/>
        <v>931.452</v>
      </c>
      <c r="R152" s="11">
        <f t="shared" si="13"/>
        <v>6374.0479999999998</v>
      </c>
      <c r="S152" s="1" t="str">
        <f t="shared" si="14"/>
        <v>High</v>
      </c>
      <c r="T152" s="1" t="str" cm="1">
        <f t="array" ref="T152">_xlfn.IFS(L152&gt;5,"High",L152=5,"mediam",L152&lt;5,"low")</f>
        <v>mediam</v>
      </c>
      <c r="U152" s="1" t="b">
        <f t="shared" si="15"/>
        <v>0</v>
      </c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1"/>
        <v>3249.11</v>
      </c>
      <c r="Q153" s="10">
        <f t="shared" si="12"/>
        <v>292.42</v>
      </c>
      <c r="R153" s="11">
        <f t="shared" si="13"/>
        <v>2956.69</v>
      </c>
      <c r="S153" s="1" t="str">
        <f t="shared" si="14"/>
        <v>Low</v>
      </c>
      <c r="T153" s="1" t="str" cm="1">
        <f t="array" ref="T153">_xlfn.IFS(L153&gt;5,"High",L153=5,"mediam",L153&lt;5,"low")</f>
        <v>low</v>
      </c>
      <c r="U153" s="1" t="b">
        <f t="shared" si="15"/>
        <v>0</v>
      </c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1"/>
        <v>2110.2599999999998</v>
      </c>
      <c r="Q154" s="10">
        <f t="shared" si="12"/>
        <v>189.923</v>
      </c>
      <c r="R154" s="11">
        <f t="shared" si="13"/>
        <v>1920.3369999999998</v>
      </c>
      <c r="S154" s="1" t="str">
        <f t="shared" si="14"/>
        <v>High</v>
      </c>
      <c r="T154" s="1" t="str" cm="1">
        <f t="array" ref="T154">_xlfn.IFS(L154&gt;5,"High",L154=5,"mediam",L154&lt;5,"low")</f>
        <v>High</v>
      </c>
      <c r="U154" s="1" t="str">
        <f t="shared" si="15"/>
        <v>High</v>
      </c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1"/>
        <v>1529.12</v>
      </c>
      <c r="Q155" s="10">
        <f t="shared" si="12"/>
        <v>0</v>
      </c>
      <c r="R155" s="11">
        <f t="shared" si="13"/>
        <v>1529.12</v>
      </c>
      <c r="S155" s="1" t="str">
        <f t="shared" si="14"/>
        <v>Low</v>
      </c>
      <c r="T155" s="1" t="str" cm="1">
        <f t="array" ref="T155">_xlfn.IFS(L155&gt;5,"High",L155=5,"mediam",L155&lt;5,"low")</f>
        <v>low</v>
      </c>
      <c r="U155" s="1" t="b">
        <f t="shared" si="15"/>
        <v>0</v>
      </c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1"/>
        <v>5768.6</v>
      </c>
      <c r="Q156" s="10">
        <f t="shared" si="12"/>
        <v>735.49650000000008</v>
      </c>
      <c r="R156" s="11">
        <f t="shared" si="13"/>
        <v>5033.1035000000002</v>
      </c>
      <c r="S156" s="1" t="str">
        <f t="shared" si="14"/>
        <v>Low</v>
      </c>
      <c r="T156" s="1" t="str" cm="1">
        <f t="array" ref="T156">_xlfn.IFS(L156&gt;5,"High",L156=5,"mediam",L156&lt;5,"low")</f>
        <v>low</v>
      </c>
      <c r="U156" s="1" t="b">
        <f t="shared" si="15"/>
        <v>0</v>
      </c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1"/>
        <v>2674.2599999999998</v>
      </c>
      <c r="Q157" s="10">
        <f t="shared" si="12"/>
        <v>340.96799999999996</v>
      </c>
      <c r="R157" s="11">
        <f t="shared" si="13"/>
        <v>2333.2919999999999</v>
      </c>
      <c r="S157" s="1" t="str">
        <f t="shared" si="14"/>
        <v>High</v>
      </c>
      <c r="T157" s="1" t="str" cm="1">
        <f t="array" ref="T157">_xlfn.IFS(L157&gt;5,"High",L157=5,"mediam",L157&lt;5,"low")</f>
        <v>High</v>
      </c>
      <c r="U157" s="1" t="str">
        <f t="shared" si="15"/>
        <v>High</v>
      </c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1"/>
        <v>8437.84</v>
      </c>
      <c r="Q158" s="10">
        <f t="shared" si="12"/>
        <v>0</v>
      </c>
      <c r="R158" s="11">
        <f t="shared" si="13"/>
        <v>8437.84</v>
      </c>
      <c r="S158" s="1" t="str">
        <f t="shared" si="14"/>
        <v>High</v>
      </c>
      <c r="T158" s="1" t="str" cm="1">
        <f t="array" ref="T158">_xlfn.IFS(L158&gt;5,"High",L158=5,"mediam",L158&lt;5,"low")</f>
        <v>High</v>
      </c>
      <c r="U158" s="1" t="str">
        <f t="shared" si="15"/>
        <v>High</v>
      </c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1"/>
        <v>26768.639999999999</v>
      </c>
      <c r="Q159" s="10">
        <f t="shared" si="12"/>
        <v>3413.0009999999997</v>
      </c>
      <c r="R159" s="11">
        <f t="shared" si="13"/>
        <v>23355.638999999999</v>
      </c>
      <c r="S159" s="1" t="str">
        <f t="shared" si="14"/>
        <v>High</v>
      </c>
      <c r="T159" s="1" t="str" cm="1">
        <f t="array" ref="T159">_xlfn.IFS(L159&gt;5,"High",L159=5,"mediam",L159&lt;5,"low")</f>
        <v>High</v>
      </c>
      <c r="U159" s="1" t="str">
        <f t="shared" si="15"/>
        <v>High</v>
      </c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1"/>
        <v>22804.62</v>
      </c>
      <c r="Q160" s="10">
        <f t="shared" si="12"/>
        <v>0</v>
      </c>
      <c r="R160" s="11">
        <f t="shared" si="13"/>
        <v>22804.62</v>
      </c>
      <c r="S160" s="1" t="str">
        <f t="shared" si="14"/>
        <v>High</v>
      </c>
      <c r="T160" s="1" t="str" cm="1">
        <f t="array" ref="T160">_xlfn.IFS(L160&gt;5,"High",L160=5,"mediam",L160&lt;5,"low")</f>
        <v>High</v>
      </c>
      <c r="U160" s="1" t="str">
        <f t="shared" si="15"/>
        <v>High</v>
      </c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1"/>
        <v>5290.88</v>
      </c>
      <c r="Q161" s="10">
        <f t="shared" si="12"/>
        <v>251.31700000000001</v>
      </c>
      <c r="R161" s="11">
        <f t="shared" si="13"/>
        <v>5039.5630000000001</v>
      </c>
      <c r="S161" s="1" t="str">
        <f t="shared" si="14"/>
        <v>Low</v>
      </c>
      <c r="T161" s="1" t="str" cm="1">
        <f t="array" ref="T161">_xlfn.IFS(L161&gt;5,"High",L161=5,"mediam",L161&lt;5,"low")</f>
        <v>low</v>
      </c>
      <c r="U161" s="1" t="b">
        <f t="shared" si="15"/>
        <v>0</v>
      </c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1"/>
        <v>9347.1200000000008</v>
      </c>
      <c r="Q162" s="10">
        <f t="shared" si="12"/>
        <v>841.24099999999999</v>
      </c>
      <c r="R162" s="11">
        <f t="shared" si="13"/>
        <v>8505.8790000000008</v>
      </c>
      <c r="S162" s="1" t="str">
        <f t="shared" si="14"/>
        <v>High</v>
      </c>
      <c r="T162" s="1" t="str" cm="1">
        <f t="array" ref="T162">_xlfn.IFS(L162&gt;5,"High",L162=5,"mediam",L162&lt;5,"low")</f>
        <v>High</v>
      </c>
      <c r="U162" s="1" t="str">
        <f t="shared" si="15"/>
        <v>High</v>
      </c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1"/>
        <v>9820.7199999999993</v>
      </c>
      <c r="Q163" s="10">
        <f t="shared" si="12"/>
        <v>466.48400000000004</v>
      </c>
      <c r="R163" s="11">
        <f t="shared" si="13"/>
        <v>9354.235999999999</v>
      </c>
      <c r="S163" s="1" t="str">
        <f t="shared" si="14"/>
        <v>High</v>
      </c>
      <c r="T163" s="1" t="str" cm="1">
        <f t="array" ref="T163">_xlfn.IFS(L163&gt;5,"High",L163=5,"mediam",L163&lt;5,"low")</f>
        <v>High</v>
      </c>
      <c r="U163" s="1" t="str">
        <f t="shared" si="15"/>
        <v>High</v>
      </c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1"/>
        <v>1219.22</v>
      </c>
      <c r="Q164" s="10">
        <f t="shared" si="12"/>
        <v>195.07600000000002</v>
      </c>
      <c r="R164" s="11">
        <f t="shared" si="13"/>
        <v>1024.144</v>
      </c>
      <c r="S164" s="1" t="str">
        <f t="shared" si="14"/>
        <v>Low</v>
      </c>
      <c r="T164" s="1" t="str" cm="1">
        <f t="array" ref="T164">_xlfn.IFS(L164&gt;5,"High",L164=5,"mediam",L164&lt;5,"low")</f>
        <v>low</v>
      </c>
      <c r="U164" s="1" t="b">
        <f t="shared" si="15"/>
        <v>0</v>
      </c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1"/>
        <v>1153.32</v>
      </c>
      <c r="Q165" s="10">
        <f t="shared" si="12"/>
        <v>184.53200000000001</v>
      </c>
      <c r="R165" s="11">
        <f t="shared" si="13"/>
        <v>968.7879999999999</v>
      </c>
      <c r="S165" s="1" t="str">
        <f t="shared" si="14"/>
        <v>Low</v>
      </c>
      <c r="T165" s="1" t="str" cm="1">
        <f t="array" ref="T165">_xlfn.IFS(L165&gt;5,"High",L165=5,"mediam",L165&lt;5,"low")</f>
        <v>low</v>
      </c>
      <c r="U165" s="1" t="b">
        <f t="shared" si="15"/>
        <v>0</v>
      </c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1"/>
        <v>14874.52</v>
      </c>
      <c r="Q166" s="10">
        <f t="shared" si="12"/>
        <v>2379.9240000000004</v>
      </c>
      <c r="R166" s="11">
        <f t="shared" si="13"/>
        <v>12494.596</v>
      </c>
      <c r="S166" s="1" t="str">
        <f t="shared" si="14"/>
        <v>Low</v>
      </c>
      <c r="T166" s="1" t="str" cm="1">
        <f t="array" ref="T166">_xlfn.IFS(L166&gt;5,"High",L166=5,"mediam",L166&lt;5,"low")</f>
        <v>low</v>
      </c>
      <c r="U166" s="1" t="b">
        <f t="shared" si="15"/>
        <v>0</v>
      </c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1"/>
        <v>6809.18</v>
      </c>
      <c r="Q167" s="10">
        <f t="shared" si="12"/>
        <v>0</v>
      </c>
      <c r="R167" s="11">
        <f t="shared" si="13"/>
        <v>6809.18</v>
      </c>
      <c r="S167" s="1" t="str">
        <f t="shared" si="14"/>
        <v>High</v>
      </c>
      <c r="T167" s="1" t="str" cm="1">
        <f t="array" ref="T167">_xlfn.IFS(L167&gt;5,"High",L167=5,"mediam",L167&lt;5,"low")</f>
        <v>High</v>
      </c>
      <c r="U167" s="1" t="str">
        <f t="shared" si="15"/>
        <v>High</v>
      </c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1"/>
        <v>12369.14</v>
      </c>
      <c r="Q168" s="10">
        <f t="shared" si="12"/>
        <v>1577.0654999999999</v>
      </c>
      <c r="R168" s="11">
        <f t="shared" si="13"/>
        <v>10792.074499999999</v>
      </c>
      <c r="S168" s="1" t="str">
        <f t="shared" si="14"/>
        <v>High</v>
      </c>
      <c r="T168" s="1" t="str" cm="1">
        <f t="array" ref="T168">_xlfn.IFS(L168&gt;5,"High",L168=5,"mediam",L168&lt;5,"low")</f>
        <v>High</v>
      </c>
      <c r="U168" s="1" t="str">
        <f t="shared" si="15"/>
        <v>High</v>
      </c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1"/>
        <v>1498.32</v>
      </c>
      <c r="Q169" s="10">
        <f t="shared" si="12"/>
        <v>71.17</v>
      </c>
      <c r="R169" s="11">
        <f t="shared" si="13"/>
        <v>1427.1499999999999</v>
      </c>
      <c r="S169" s="1" t="str">
        <f t="shared" si="14"/>
        <v>High</v>
      </c>
      <c r="T169" s="1" t="str" cm="1">
        <f t="array" ref="T169">_xlfn.IFS(L169&gt;5,"High",L169=5,"mediam",L169&lt;5,"low")</f>
        <v>High</v>
      </c>
      <c r="U169" s="1" t="str">
        <f t="shared" si="15"/>
        <v>High</v>
      </c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1"/>
        <v>17265.650000000001</v>
      </c>
      <c r="Q170" s="10">
        <f t="shared" si="12"/>
        <v>820.11850000000004</v>
      </c>
      <c r="R170" s="11">
        <f t="shared" si="13"/>
        <v>16445.531500000001</v>
      </c>
      <c r="S170" s="1" t="str">
        <f t="shared" si="14"/>
        <v>High</v>
      </c>
      <c r="T170" s="1" t="str" cm="1">
        <f t="array" ref="T170">_xlfn.IFS(L170&gt;5,"High",L170=5,"mediam",L170&lt;5,"low")</f>
        <v>mediam</v>
      </c>
      <c r="U170" s="1" t="b">
        <f t="shared" si="15"/>
        <v>0</v>
      </c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1"/>
        <v>20754.72</v>
      </c>
      <c r="Q171" s="10">
        <f t="shared" si="12"/>
        <v>985.84900000000005</v>
      </c>
      <c r="R171" s="11">
        <f t="shared" si="13"/>
        <v>19768.871000000003</v>
      </c>
      <c r="S171" s="1" t="str">
        <f t="shared" si="14"/>
        <v>High</v>
      </c>
      <c r="T171" s="1" t="str" cm="1">
        <f t="array" ref="T171">_xlfn.IFS(L171&gt;5,"High",L171=5,"mediam",L171&lt;5,"low")</f>
        <v>High</v>
      </c>
      <c r="U171" s="1" t="str">
        <f t="shared" si="15"/>
        <v>High</v>
      </c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1"/>
        <v>30360.080000000002</v>
      </c>
      <c r="Q172" s="10">
        <f t="shared" si="12"/>
        <v>1442.1040000000003</v>
      </c>
      <c r="R172" s="11">
        <f t="shared" si="13"/>
        <v>28917.976000000002</v>
      </c>
      <c r="S172" s="1" t="str">
        <f t="shared" si="14"/>
        <v>High</v>
      </c>
      <c r="T172" s="1" t="str" cm="1">
        <f t="array" ref="T172">_xlfn.IFS(L172&gt;5,"High",L172=5,"mediam",L172&lt;5,"low")</f>
        <v>High</v>
      </c>
      <c r="U172" s="1" t="str">
        <f t="shared" si="15"/>
        <v>High</v>
      </c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1"/>
        <v>28432.98</v>
      </c>
      <c r="Q173" s="10">
        <f t="shared" si="12"/>
        <v>4549.2760000000007</v>
      </c>
      <c r="R173" s="11">
        <f t="shared" si="13"/>
        <v>23883.703999999998</v>
      </c>
      <c r="S173" s="1" t="str">
        <f t="shared" si="14"/>
        <v>High</v>
      </c>
      <c r="T173" s="1" t="str" cm="1">
        <f t="array" ref="T173">_xlfn.IFS(L173&gt;5,"High",L173=5,"mediam",L173&lt;5,"low")</f>
        <v>High</v>
      </c>
      <c r="U173" s="1" t="str">
        <f t="shared" si="15"/>
        <v>High</v>
      </c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1"/>
        <v>4073.31</v>
      </c>
      <c r="Q174" s="10">
        <f t="shared" si="12"/>
        <v>193.482</v>
      </c>
      <c r="R174" s="11">
        <f t="shared" si="13"/>
        <v>3879.828</v>
      </c>
      <c r="S174" s="1" t="str">
        <f t="shared" si="14"/>
        <v>Low</v>
      </c>
      <c r="T174" s="1" t="str" cm="1">
        <f t="array" ref="T174">_xlfn.IFS(L174&gt;5,"High",L174=5,"mediam",L174&lt;5,"low")</f>
        <v>low</v>
      </c>
      <c r="U174" s="1" t="b">
        <f t="shared" si="15"/>
        <v>0</v>
      </c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1"/>
        <v>3312.93</v>
      </c>
      <c r="Q175" s="10">
        <f t="shared" si="12"/>
        <v>422.39849999999996</v>
      </c>
      <c r="R175" s="11">
        <f t="shared" si="13"/>
        <v>2890.5315000000001</v>
      </c>
      <c r="S175" s="1" t="str">
        <f t="shared" si="14"/>
        <v>Low</v>
      </c>
      <c r="T175" s="1" t="str" cm="1">
        <f t="array" ref="T175">_xlfn.IFS(L175&gt;5,"High",L175=5,"mediam",L175&lt;5,"low")</f>
        <v>low</v>
      </c>
      <c r="U175" s="1" t="b">
        <f t="shared" si="15"/>
        <v>0</v>
      </c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1"/>
        <v>11344.84</v>
      </c>
      <c r="Q176" s="10">
        <f t="shared" si="12"/>
        <v>1815.1740000000002</v>
      </c>
      <c r="R176" s="11">
        <f t="shared" si="13"/>
        <v>9529.6659999999993</v>
      </c>
      <c r="S176" s="1" t="str">
        <f t="shared" si="14"/>
        <v>Low</v>
      </c>
      <c r="T176" s="1" t="str" cm="1">
        <f t="array" ref="T176">_xlfn.IFS(L176&gt;5,"High",L176=5,"mediam",L176&lt;5,"low")</f>
        <v>low</v>
      </c>
      <c r="U176" s="1" t="b">
        <f t="shared" si="15"/>
        <v>0</v>
      </c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1"/>
        <v>7759.15</v>
      </c>
      <c r="Q177" s="10">
        <f t="shared" si="12"/>
        <v>368.55950000000001</v>
      </c>
      <c r="R177" s="11">
        <f t="shared" si="13"/>
        <v>7390.5904999999993</v>
      </c>
      <c r="S177" s="1" t="str">
        <f t="shared" si="14"/>
        <v>High</v>
      </c>
      <c r="T177" s="1" t="str" cm="1">
        <f t="array" ref="T177">_xlfn.IFS(L177&gt;5,"High",L177=5,"mediam",L177&lt;5,"low")</f>
        <v>mediam</v>
      </c>
      <c r="U177" s="1" t="b">
        <f t="shared" si="15"/>
        <v>0</v>
      </c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1"/>
        <v>2329.9299999999998</v>
      </c>
      <c r="Q178" s="10">
        <f t="shared" si="12"/>
        <v>0</v>
      </c>
      <c r="R178" s="11">
        <f t="shared" si="13"/>
        <v>2329.9299999999998</v>
      </c>
      <c r="S178" s="1" t="str">
        <f t="shared" si="14"/>
        <v>Low</v>
      </c>
      <c r="T178" s="1" t="str" cm="1">
        <f t="array" ref="T178">_xlfn.IFS(L178&gt;5,"High",L178=5,"mediam",L178&lt;5,"low")</f>
        <v>low</v>
      </c>
      <c r="U178" s="1" t="b">
        <f t="shared" si="15"/>
        <v>0</v>
      </c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1"/>
        <v>1218.6300000000001</v>
      </c>
      <c r="Q179" s="10">
        <f t="shared" si="12"/>
        <v>109.67700000000001</v>
      </c>
      <c r="R179" s="11">
        <f t="shared" si="13"/>
        <v>1108.9530000000002</v>
      </c>
      <c r="S179" s="1" t="str">
        <f t="shared" si="14"/>
        <v>High</v>
      </c>
      <c r="T179" s="1" t="str" cm="1">
        <f t="array" ref="T179">_xlfn.IFS(L179&gt;5,"High",L179=5,"mediam",L179&lt;5,"low")</f>
        <v>High</v>
      </c>
      <c r="U179" s="1" t="str">
        <f t="shared" si="15"/>
        <v>High</v>
      </c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1"/>
        <v>3494.34</v>
      </c>
      <c r="Q180" s="10">
        <f t="shared" si="12"/>
        <v>314.49099999999999</v>
      </c>
      <c r="R180" s="11">
        <f t="shared" si="13"/>
        <v>3179.8490000000002</v>
      </c>
      <c r="S180" s="1" t="str">
        <f t="shared" si="14"/>
        <v>High</v>
      </c>
      <c r="T180" s="1" t="str" cm="1">
        <f t="array" ref="T180">_xlfn.IFS(L180&gt;5,"High",L180=5,"mediam",L180&lt;5,"low")</f>
        <v>High</v>
      </c>
      <c r="U180" s="1" t="str">
        <f t="shared" si="15"/>
        <v>High</v>
      </c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1"/>
        <v>17689.36</v>
      </c>
      <c r="Q181" s="10">
        <f t="shared" si="12"/>
        <v>1592.0420000000001</v>
      </c>
      <c r="R181" s="11">
        <f t="shared" si="13"/>
        <v>16097.318000000001</v>
      </c>
      <c r="S181" s="1" t="str">
        <f t="shared" si="14"/>
        <v>High</v>
      </c>
      <c r="T181" s="1" t="str" cm="1">
        <f t="array" ref="T181">_xlfn.IFS(L181&gt;5,"High",L181=5,"mediam",L181&lt;5,"low")</f>
        <v>High</v>
      </c>
      <c r="U181" s="1" t="str">
        <f t="shared" si="15"/>
        <v>High</v>
      </c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1"/>
        <v>11646.900000000001</v>
      </c>
      <c r="Q182" s="10">
        <f t="shared" si="12"/>
        <v>1863.5040000000001</v>
      </c>
      <c r="R182" s="11">
        <f t="shared" si="13"/>
        <v>9783.3960000000006</v>
      </c>
      <c r="S182" s="1" t="str">
        <f t="shared" si="14"/>
        <v>High</v>
      </c>
      <c r="T182" s="1" t="str" cm="1">
        <f t="array" ref="T182">_xlfn.IFS(L182&gt;5,"High",L182=5,"mediam",L182&lt;5,"low")</f>
        <v>mediam</v>
      </c>
      <c r="U182" s="1" t="b">
        <f t="shared" si="15"/>
        <v>0</v>
      </c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1"/>
        <v>12172.36</v>
      </c>
      <c r="Q183" s="10">
        <f t="shared" si="12"/>
        <v>578.18700000000001</v>
      </c>
      <c r="R183" s="11">
        <f t="shared" si="13"/>
        <v>11594.173000000001</v>
      </c>
      <c r="S183" s="1" t="str">
        <f t="shared" si="14"/>
        <v>Low</v>
      </c>
      <c r="T183" s="1" t="str" cm="1">
        <f t="array" ref="T183">_xlfn.IFS(L183&gt;5,"High",L183=5,"mediam",L183&lt;5,"low")</f>
        <v>low</v>
      </c>
      <c r="U183" s="1" t="b">
        <f t="shared" si="15"/>
        <v>0</v>
      </c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1"/>
        <v>4606.4900000000007</v>
      </c>
      <c r="Q184" s="10">
        <f t="shared" si="12"/>
        <v>737.03800000000001</v>
      </c>
      <c r="R184" s="11">
        <f t="shared" si="13"/>
        <v>3869.4520000000007</v>
      </c>
      <c r="S184" s="1" t="str">
        <f t="shared" si="14"/>
        <v>High</v>
      </c>
      <c r="T184" s="1" t="str" cm="1">
        <f t="array" ref="T184">_xlfn.IFS(L184&gt;5,"High",L184=5,"mediam",L184&lt;5,"low")</f>
        <v>High</v>
      </c>
      <c r="U184" s="1" t="str">
        <f t="shared" si="15"/>
        <v>High</v>
      </c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1"/>
        <v>10628.75</v>
      </c>
      <c r="Q185" s="10">
        <f t="shared" si="12"/>
        <v>1355.1659999999999</v>
      </c>
      <c r="R185" s="11">
        <f t="shared" si="13"/>
        <v>9273.5840000000007</v>
      </c>
      <c r="S185" s="1" t="str">
        <f t="shared" si="14"/>
        <v>High</v>
      </c>
      <c r="T185" s="1" t="str" cm="1">
        <f t="array" ref="T185">_xlfn.IFS(L185&gt;5,"High",L185=5,"mediam",L185&lt;5,"low")</f>
        <v>mediam</v>
      </c>
      <c r="U185" s="1" t="b">
        <f t="shared" si="15"/>
        <v>0</v>
      </c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1"/>
        <v>6290.34</v>
      </c>
      <c r="Q186" s="10">
        <f t="shared" si="12"/>
        <v>0</v>
      </c>
      <c r="R186" s="11">
        <f t="shared" si="13"/>
        <v>6290.34</v>
      </c>
      <c r="S186" s="1" t="str">
        <f t="shared" si="14"/>
        <v>High</v>
      </c>
      <c r="T186" s="1" t="str" cm="1">
        <f t="array" ref="T186">_xlfn.IFS(L186&gt;5,"High",L186=5,"mediam",L186&lt;5,"low")</f>
        <v>High</v>
      </c>
      <c r="U186" s="1" t="str">
        <f t="shared" si="15"/>
        <v>High</v>
      </c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1"/>
        <v>508.81</v>
      </c>
      <c r="Q187" s="10">
        <f t="shared" si="12"/>
        <v>0</v>
      </c>
      <c r="R187" s="11">
        <f t="shared" si="13"/>
        <v>508.81</v>
      </c>
      <c r="S187" s="1" t="str">
        <f t="shared" si="14"/>
        <v>Low</v>
      </c>
      <c r="T187" s="1" t="str" cm="1">
        <f t="array" ref="T187">_xlfn.IFS(L187&gt;5,"High",L187=5,"mediam",L187&lt;5,"low")</f>
        <v>low</v>
      </c>
      <c r="U187" s="1" t="b">
        <f t="shared" si="15"/>
        <v>0</v>
      </c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1"/>
        <v>1730.41</v>
      </c>
      <c r="Q188" s="10">
        <f t="shared" si="12"/>
        <v>155.73699999999999</v>
      </c>
      <c r="R188" s="11">
        <f t="shared" si="13"/>
        <v>1574.673</v>
      </c>
      <c r="S188" s="1" t="str">
        <f t="shared" si="14"/>
        <v>Low</v>
      </c>
      <c r="T188" s="1" t="str" cm="1">
        <f t="array" ref="T188">_xlfn.IFS(L188&gt;5,"High",L188=5,"mediam",L188&lt;5,"low")</f>
        <v>low</v>
      </c>
      <c r="U188" s="1" t="b">
        <f t="shared" si="15"/>
        <v>0</v>
      </c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1"/>
        <v>2336.5500000000002</v>
      </c>
      <c r="Q189" s="10">
        <f t="shared" si="12"/>
        <v>210.28899999999999</v>
      </c>
      <c r="R189" s="11">
        <f t="shared" si="13"/>
        <v>2126.2610000000004</v>
      </c>
      <c r="S189" s="1" t="str">
        <f t="shared" si="14"/>
        <v>Low</v>
      </c>
      <c r="T189" s="1" t="str" cm="1">
        <f t="array" ref="T189">_xlfn.IFS(L189&gt;5,"High",L189=5,"mediam",L189&lt;5,"low")</f>
        <v>low</v>
      </c>
      <c r="U189" s="1" t="b">
        <f t="shared" si="15"/>
        <v>0</v>
      </c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1"/>
        <v>2007.72</v>
      </c>
      <c r="Q190" s="10">
        <f t="shared" si="12"/>
        <v>180.69500000000002</v>
      </c>
      <c r="R190" s="11">
        <f t="shared" si="13"/>
        <v>1827.0250000000001</v>
      </c>
      <c r="S190" s="1" t="str">
        <f t="shared" si="14"/>
        <v>Low</v>
      </c>
      <c r="T190" s="1" t="str" cm="1">
        <f t="array" ref="T190">_xlfn.IFS(L190&gt;5,"High",L190=5,"mediam",L190&lt;5,"low")</f>
        <v>low</v>
      </c>
      <c r="U190" s="1" t="b">
        <f t="shared" si="15"/>
        <v>0</v>
      </c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1"/>
        <v>2745.18</v>
      </c>
      <c r="Q191" s="10">
        <f t="shared" si="12"/>
        <v>130.39600000000002</v>
      </c>
      <c r="R191" s="11">
        <f t="shared" si="13"/>
        <v>2614.7839999999997</v>
      </c>
      <c r="S191" s="1" t="str">
        <f t="shared" si="14"/>
        <v>Low</v>
      </c>
      <c r="T191" s="1" t="str" cm="1">
        <f t="array" ref="T191">_xlfn.IFS(L191&gt;5,"High",L191=5,"mediam",L191&lt;5,"low")</f>
        <v>low</v>
      </c>
      <c r="U191" s="1" t="b">
        <f t="shared" si="15"/>
        <v>0</v>
      </c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1"/>
        <v>8040.5500000000011</v>
      </c>
      <c r="Q192" s="10">
        <f t="shared" si="12"/>
        <v>1025.1704999999999</v>
      </c>
      <c r="R192" s="11">
        <f t="shared" si="13"/>
        <v>7015.3795000000009</v>
      </c>
      <c r="S192" s="1" t="str">
        <f t="shared" si="14"/>
        <v>High</v>
      </c>
      <c r="T192" s="1" t="str" cm="1">
        <f t="array" ref="T192">_xlfn.IFS(L192&gt;5,"High",L192=5,"mediam",L192&lt;5,"low")</f>
        <v>High</v>
      </c>
      <c r="U192" s="1" t="str">
        <f t="shared" si="15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1"/>
        <v>974.46</v>
      </c>
      <c r="Q193" s="10">
        <f t="shared" si="12"/>
        <v>124.24349999999998</v>
      </c>
      <c r="R193" s="11">
        <f t="shared" si="13"/>
        <v>850.2165</v>
      </c>
      <c r="S193" s="1" t="str">
        <f t="shared" si="14"/>
        <v>Low</v>
      </c>
      <c r="T193" s="1" t="str" cm="1">
        <f t="array" ref="T193">_xlfn.IFS(L193&gt;5,"High",L193=5,"mediam",L193&lt;5,"low")</f>
        <v>low</v>
      </c>
      <c r="U193" s="1" t="b">
        <f t="shared" si="15"/>
        <v>0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1"/>
        <v>1984.72</v>
      </c>
      <c r="Q194" s="10">
        <f t="shared" si="12"/>
        <v>253.05149999999998</v>
      </c>
      <c r="R194" s="11">
        <f t="shared" si="13"/>
        <v>1731.6685</v>
      </c>
      <c r="S194" s="1" t="str">
        <f t="shared" si="14"/>
        <v>Low</v>
      </c>
      <c r="T194" s="1" t="str" cm="1">
        <f t="array" ref="T194">_xlfn.IFS(L194&gt;5,"High",L194=5,"mediam",L194&lt;5,"low")</f>
        <v>low</v>
      </c>
      <c r="U194" s="1" t="b">
        <f t="shared" si="15"/>
        <v>0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6">L195*M195</f>
        <v>1788.02</v>
      </c>
      <c r="Q195" s="10">
        <f t="shared" ref="Q195:Q258" si="17">O195*N195%</f>
        <v>227.97299999999998</v>
      </c>
      <c r="R195" s="11">
        <f t="shared" ref="R195:R258" si="18">P195-Q195</f>
        <v>1560.047</v>
      </c>
      <c r="S195" s="1" t="str">
        <f t="shared" ref="S195:S258" si="19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si="15"/>
        <v>0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6"/>
        <v>2067.8999999999996</v>
      </c>
      <c r="Q196" s="10">
        <f t="shared" si="17"/>
        <v>186.11099999999999</v>
      </c>
      <c r="R196" s="11">
        <f t="shared" si="18"/>
        <v>1881.7889999999998</v>
      </c>
      <c r="S196" s="1" t="str">
        <f t="shared" si="19"/>
        <v>High</v>
      </c>
      <c r="T196" s="1" t="str" cm="1">
        <f t="array" ref="T196">_xlfn.IFS(L196&gt;5,"High",L196=5,"mediam",L196&lt;5,"low")</f>
        <v>High</v>
      </c>
      <c r="U196" s="1" t="str">
        <f t="shared" si="15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6"/>
        <v>20494.88</v>
      </c>
      <c r="Q197" s="10">
        <f t="shared" si="17"/>
        <v>0</v>
      </c>
      <c r="R197" s="11">
        <f t="shared" si="18"/>
        <v>20494.88</v>
      </c>
      <c r="S197" s="1" t="str">
        <f t="shared" si="19"/>
        <v>High</v>
      </c>
      <c r="T197" s="1" t="str" cm="1">
        <f t="array" ref="T197">_xlfn.IFS(L197&gt;5,"High",L197=5,"mediam",L197&lt;5,"low")</f>
        <v>High</v>
      </c>
      <c r="U197" s="1" t="str">
        <f t="shared" si="15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6"/>
        <v>5024.84</v>
      </c>
      <c r="Q198" s="10">
        <f t="shared" si="17"/>
        <v>452.23599999999999</v>
      </c>
      <c r="R198" s="11">
        <f t="shared" si="18"/>
        <v>4572.6040000000003</v>
      </c>
      <c r="S198" s="1" t="str">
        <f t="shared" si="19"/>
        <v>Low</v>
      </c>
      <c r="T198" s="1" t="str" cm="1">
        <f t="array" ref="T198">_xlfn.IFS(L198&gt;5,"High",L198=5,"mediam",L198&lt;5,"low")</f>
        <v>low</v>
      </c>
      <c r="U198" s="1" t="b">
        <f t="shared" si="15"/>
        <v>0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6"/>
        <v>6135.1</v>
      </c>
      <c r="Q199" s="10">
        <f t="shared" si="17"/>
        <v>782.226</v>
      </c>
      <c r="R199" s="11">
        <f t="shared" si="18"/>
        <v>5352.8740000000007</v>
      </c>
      <c r="S199" s="1" t="str">
        <f t="shared" si="19"/>
        <v>High</v>
      </c>
      <c r="T199" s="1" t="str" cm="1">
        <f t="array" ref="T199">_xlfn.IFS(L199&gt;5,"High",L199=5,"mediam",L199&lt;5,"low")</f>
        <v>mediam</v>
      </c>
      <c r="U199" s="1" t="b">
        <f t="shared" si="15"/>
        <v>0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6"/>
        <v>5712.76</v>
      </c>
      <c r="Q200" s="10">
        <f t="shared" si="17"/>
        <v>514.14800000000002</v>
      </c>
      <c r="R200" s="11">
        <f t="shared" si="18"/>
        <v>5198.6120000000001</v>
      </c>
      <c r="S200" s="1" t="str">
        <f t="shared" si="19"/>
        <v>Low</v>
      </c>
      <c r="T200" s="1" t="str" cm="1">
        <f t="array" ref="T200">_xlfn.IFS(L200&gt;5,"High",L200=5,"mediam",L200&lt;5,"low")</f>
        <v>low</v>
      </c>
      <c r="U200" s="1" t="b">
        <f t="shared" si="15"/>
        <v>0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6"/>
        <v>8105.3099999999995</v>
      </c>
      <c r="Q201" s="10">
        <f t="shared" si="17"/>
        <v>1033.4265</v>
      </c>
      <c r="R201" s="11">
        <f t="shared" si="18"/>
        <v>7071.8834999999999</v>
      </c>
      <c r="S201" s="1" t="str">
        <f t="shared" si="19"/>
        <v>Low</v>
      </c>
      <c r="T201" s="1" t="str" cm="1">
        <f t="array" ref="T201">_xlfn.IFS(L201&gt;5,"High",L201=5,"mediam",L201&lt;5,"low")</f>
        <v>low</v>
      </c>
      <c r="U201" s="1" t="b">
        <f t="shared" ref="U201:U264" si="20">IF(L201&gt;5,"High",IF(L201="Mediam","Low"))</f>
        <v>0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6"/>
        <v>17509.7</v>
      </c>
      <c r="Q202" s="10">
        <f t="shared" si="17"/>
        <v>2801.5520000000001</v>
      </c>
      <c r="R202" s="11">
        <f t="shared" si="18"/>
        <v>14708.148000000001</v>
      </c>
      <c r="S202" s="1" t="str">
        <f t="shared" si="19"/>
        <v>High</v>
      </c>
      <c r="T202" s="1" t="str" cm="1">
        <f t="array" ref="T202">_xlfn.IFS(L202&gt;5,"High",L202=5,"mediam",L202&lt;5,"low")</f>
        <v>mediam</v>
      </c>
      <c r="U202" s="1" t="b">
        <f t="shared" si="20"/>
        <v>0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6"/>
        <v>27652.32</v>
      </c>
      <c r="Q203" s="10">
        <f t="shared" si="17"/>
        <v>0</v>
      </c>
      <c r="R203" s="11">
        <f t="shared" si="18"/>
        <v>27652.32</v>
      </c>
      <c r="S203" s="1" t="str">
        <f t="shared" si="19"/>
        <v>High</v>
      </c>
      <c r="T203" s="1" t="str" cm="1">
        <f t="array" ref="T203">_xlfn.IFS(L203&gt;5,"High",L203=5,"mediam",L203&lt;5,"low")</f>
        <v>High</v>
      </c>
      <c r="U203" s="1" t="str">
        <f t="shared" si="20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6"/>
        <v>23607.919999999998</v>
      </c>
      <c r="Q204" s="10">
        <f t="shared" si="17"/>
        <v>3777.268</v>
      </c>
      <c r="R204" s="11">
        <f t="shared" si="18"/>
        <v>19830.651999999998</v>
      </c>
      <c r="S204" s="1" t="str">
        <f t="shared" si="19"/>
        <v>High</v>
      </c>
      <c r="T204" s="1" t="str" cm="1">
        <f t="array" ref="T204">_xlfn.IFS(L204&gt;5,"High",L204=5,"mediam",L204&lt;5,"low")</f>
        <v>High</v>
      </c>
      <c r="U204" s="1" t="str">
        <f t="shared" si="20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6"/>
        <v>16119.28</v>
      </c>
      <c r="Q205" s="10">
        <f t="shared" si="17"/>
        <v>765.66600000000005</v>
      </c>
      <c r="R205" s="11">
        <f t="shared" si="18"/>
        <v>15353.614000000001</v>
      </c>
      <c r="S205" s="1" t="str">
        <f t="shared" si="19"/>
        <v>High</v>
      </c>
      <c r="T205" s="1" t="str" cm="1">
        <f t="array" ref="T205">_xlfn.IFS(L205&gt;5,"High",L205=5,"mediam",L205&lt;5,"low")</f>
        <v>High</v>
      </c>
      <c r="U205" s="1" t="str">
        <f t="shared" si="20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6"/>
        <v>22569.200000000001</v>
      </c>
      <c r="Q206" s="10">
        <f t="shared" si="17"/>
        <v>2031.2280000000001</v>
      </c>
      <c r="R206" s="11">
        <f t="shared" si="18"/>
        <v>20537.972000000002</v>
      </c>
      <c r="S206" s="1" t="str">
        <f t="shared" si="19"/>
        <v>High</v>
      </c>
      <c r="T206" s="1" t="str" cm="1">
        <f t="array" ref="T206">_xlfn.IFS(L206&gt;5,"High",L206=5,"mediam",L206&lt;5,"low")</f>
        <v>High</v>
      </c>
      <c r="U206" s="1" t="str">
        <f t="shared" si="20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6"/>
        <v>18225.12</v>
      </c>
      <c r="Q207" s="10">
        <f t="shared" si="17"/>
        <v>865.6930000000001</v>
      </c>
      <c r="R207" s="11">
        <f t="shared" si="18"/>
        <v>17359.427</v>
      </c>
      <c r="S207" s="1" t="str">
        <f t="shared" si="19"/>
        <v>High</v>
      </c>
      <c r="T207" s="1" t="str" cm="1">
        <f t="array" ref="T207">_xlfn.IFS(L207&gt;5,"High",L207=5,"mediam",L207&lt;5,"low")</f>
        <v>High</v>
      </c>
      <c r="U207" s="1" t="str">
        <f t="shared" si="20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6"/>
        <v>6877.92</v>
      </c>
      <c r="Q208" s="10">
        <f t="shared" si="17"/>
        <v>619.01300000000003</v>
      </c>
      <c r="R208" s="11">
        <f t="shared" si="18"/>
        <v>6258.9070000000002</v>
      </c>
      <c r="S208" s="1" t="str">
        <f t="shared" si="19"/>
        <v>High</v>
      </c>
      <c r="T208" s="1" t="str" cm="1">
        <f t="array" ref="T208">_xlfn.IFS(L208&gt;5,"High",L208=5,"mediam",L208&lt;5,"low")</f>
        <v>High</v>
      </c>
      <c r="U208" s="1" t="str">
        <f t="shared" si="20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6"/>
        <v>7624.56</v>
      </c>
      <c r="Q209" s="10">
        <f t="shared" si="17"/>
        <v>1219.93</v>
      </c>
      <c r="R209" s="11">
        <f t="shared" si="18"/>
        <v>6404.63</v>
      </c>
      <c r="S209" s="1" t="str">
        <f t="shared" si="19"/>
        <v>High</v>
      </c>
      <c r="T209" s="1" t="str" cm="1">
        <f t="array" ref="T209">_xlfn.IFS(L209&gt;5,"High",L209=5,"mediam",L209&lt;5,"low")</f>
        <v>High</v>
      </c>
      <c r="U209" s="1" t="str">
        <f t="shared" si="20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6"/>
        <v>10328.879999999999</v>
      </c>
      <c r="Q210" s="10">
        <f t="shared" si="17"/>
        <v>1316.9324999999999</v>
      </c>
      <c r="R210" s="11">
        <f t="shared" si="18"/>
        <v>9011.9474999999984</v>
      </c>
      <c r="S210" s="1" t="str">
        <f t="shared" si="19"/>
        <v>High</v>
      </c>
      <c r="T210" s="1" t="str" cm="1">
        <f t="array" ref="T210">_xlfn.IFS(L210&gt;5,"High",L210=5,"mediam",L210&lt;5,"low")</f>
        <v>High</v>
      </c>
      <c r="U210" s="1" t="str">
        <f t="shared" si="20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6"/>
        <v>29252.720000000001</v>
      </c>
      <c r="Q211" s="10">
        <f t="shared" si="17"/>
        <v>3729.7215000000001</v>
      </c>
      <c r="R211" s="11">
        <f t="shared" si="18"/>
        <v>25522.998500000002</v>
      </c>
      <c r="S211" s="1" t="str">
        <f t="shared" si="19"/>
        <v>High</v>
      </c>
      <c r="T211" s="1" t="str" cm="1">
        <f t="array" ref="T211">_xlfn.IFS(L211&gt;5,"High",L211=5,"mediam",L211&lt;5,"low")</f>
        <v>High</v>
      </c>
      <c r="U211" s="1" t="str">
        <f t="shared" si="20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6"/>
        <v>15802.850000000002</v>
      </c>
      <c r="Q212" s="10">
        <f t="shared" si="17"/>
        <v>1422.2560000000001</v>
      </c>
      <c r="R212" s="11">
        <f t="shared" si="18"/>
        <v>14380.594000000003</v>
      </c>
      <c r="S212" s="1" t="str">
        <f t="shared" si="19"/>
        <v>High</v>
      </c>
      <c r="T212" s="1" t="str" cm="1">
        <f t="array" ref="T212">_xlfn.IFS(L212&gt;5,"High",L212=5,"mediam",L212&lt;5,"low")</f>
        <v>High</v>
      </c>
      <c r="U212" s="1" t="str">
        <f t="shared" si="20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6"/>
        <v>2975.54</v>
      </c>
      <c r="Q213" s="10">
        <f t="shared" si="17"/>
        <v>379.38150000000002</v>
      </c>
      <c r="R213" s="11">
        <f t="shared" si="18"/>
        <v>2596.1585</v>
      </c>
      <c r="S213" s="1" t="str">
        <f t="shared" si="19"/>
        <v>Low</v>
      </c>
      <c r="T213" s="1" t="str" cm="1">
        <f t="array" ref="T213">_xlfn.IFS(L213&gt;5,"High",L213=5,"mediam",L213&lt;5,"low")</f>
        <v>low</v>
      </c>
      <c r="U213" s="1" t="b">
        <f t="shared" si="20"/>
        <v>0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6"/>
        <v>5937</v>
      </c>
      <c r="Q214" s="10">
        <f t="shared" si="17"/>
        <v>949.92000000000007</v>
      </c>
      <c r="R214" s="11">
        <f t="shared" si="18"/>
        <v>4987.08</v>
      </c>
      <c r="S214" s="1" t="str">
        <f t="shared" si="19"/>
        <v>Low</v>
      </c>
      <c r="T214" s="1" t="str" cm="1">
        <f t="array" ref="T214">_xlfn.IFS(L214&gt;5,"High",L214=5,"mediam",L214&lt;5,"low")</f>
        <v>low</v>
      </c>
      <c r="U214" s="1" t="b">
        <f t="shared" si="20"/>
        <v>0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6"/>
        <v>6878.84</v>
      </c>
      <c r="Q215" s="10">
        <f t="shared" si="17"/>
        <v>877.05150000000003</v>
      </c>
      <c r="R215" s="11">
        <f t="shared" si="18"/>
        <v>6001.7885000000006</v>
      </c>
      <c r="S215" s="1" t="str">
        <f t="shared" si="19"/>
        <v>Low</v>
      </c>
      <c r="T215" s="1" t="str" cm="1">
        <f t="array" ref="T215">_xlfn.IFS(L215&gt;5,"High",L215=5,"mediam",L215&lt;5,"low")</f>
        <v>low</v>
      </c>
      <c r="U215" s="1" t="b">
        <f t="shared" si="20"/>
        <v>0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6"/>
        <v>3167.1499999999996</v>
      </c>
      <c r="Q216" s="10">
        <f t="shared" si="17"/>
        <v>506.74399999999997</v>
      </c>
      <c r="R216" s="11">
        <f t="shared" si="18"/>
        <v>2660.4059999999995</v>
      </c>
      <c r="S216" s="1" t="str">
        <f t="shared" si="19"/>
        <v>High</v>
      </c>
      <c r="T216" s="1" t="str" cm="1">
        <f t="array" ref="T216">_xlfn.IFS(L216&gt;5,"High",L216=5,"mediam",L216&lt;5,"low")</f>
        <v>mediam</v>
      </c>
      <c r="U216" s="1" t="b">
        <f t="shared" si="20"/>
        <v>0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6"/>
        <v>4856.9400000000005</v>
      </c>
      <c r="Q217" s="10">
        <f t="shared" si="17"/>
        <v>230.70450000000002</v>
      </c>
      <c r="R217" s="11">
        <f t="shared" si="18"/>
        <v>4626.2355000000007</v>
      </c>
      <c r="S217" s="1" t="str">
        <f t="shared" si="19"/>
        <v>High</v>
      </c>
      <c r="T217" s="1" t="str" cm="1">
        <f t="array" ref="T217">_xlfn.IFS(L217&gt;5,"High",L217=5,"mediam",L217&lt;5,"low")</f>
        <v>High</v>
      </c>
      <c r="U217" s="1" t="str">
        <f t="shared" si="20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6"/>
        <v>13341.28</v>
      </c>
      <c r="Q218" s="10">
        <f t="shared" si="17"/>
        <v>2134.6040000000003</v>
      </c>
      <c r="R218" s="11">
        <f t="shared" si="18"/>
        <v>11206.675999999999</v>
      </c>
      <c r="S218" s="1" t="str">
        <f t="shared" si="19"/>
        <v>Low</v>
      </c>
      <c r="T218" s="1" t="str" cm="1">
        <f t="array" ref="T218">_xlfn.IFS(L218&gt;5,"High",L218=5,"mediam",L218&lt;5,"low")</f>
        <v>low</v>
      </c>
      <c r="U218" s="1" t="b">
        <f t="shared" si="20"/>
        <v>0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6"/>
        <v>4803.26</v>
      </c>
      <c r="Q219" s="10">
        <f t="shared" si="17"/>
        <v>0</v>
      </c>
      <c r="R219" s="11">
        <f t="shared" si="18"/>
        <v>4803.26</v>
      </c>
      <c r="S219" s="1" t="str">
        <f t="shared" si="19"/>
        <v>Low</v>
      </c>
      <c r="T219" s="1" t="str" cm="1">
        <f t="array" ref="T219">_xlfn.IFS(L219&gt;5,"High",L219=5,"mediam",L219&lt;5,"low")</f>
        <v>low</v>
      </c>
      <c r="U219" s="1" t="b">
        <f t="shared" si="20"/>
        <v>0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6"/>
        <v>8697</v>
      </c>
      <c r="Q220" s="10">
        <f t="shared" si="17"/>
        <v>0</v>
      </c>
      <c r="R220" s="11">
        <f t="shared" si="18"/>
        <v>8697</v>
      </c>
      <c r="S220" s="1" t="str">
        <f t="shared" si="19"/>
        <v>High</v>
      </c>
      <c r="T220" s="1" t="str" cm="1">
        <f t="array" ref="T220">_xlfn.IFS(L220&gt;5,"High",L220=5,"mediam",L220&lt;5,"low")</f>
        <v>High</v>
      </c>
      <c r="U220" s="1" t="str">
        <f t="shared" si="20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6"/>
        <v>25927.84</v>
      </c>
      <c r="Q221" s="10">
        <f t="shared" si="17"/>
        <v>0</v>
      </c>
      <c r="R221" s="11">
        <f t="shared" si="18"/>
        <v>25927.84</v>
      </c>
      <c r="S221" s="1" t="str">
        <f t="shared" si="19"/>
        <v>High</v>
      </c>
      <c r="T221" s="1" t="str" cm="1">
        <f t="array" ref="T221">_xlfn.IFS(L221&gt;5,"High",L221=5,"mediam",L221&lt;5,"low")</f>
        <v>High</v>
      </c>
      <c r="U221" s="1" t="str">
        <f t="shared" si="20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6"/>
        <v>8792.7999999999993</v>
      </c>
      <c r="Q222" s="10">
        <f t="shared" si="17"/>
        <v>791.35200000000009</v>
      </c>
      <c r="R222" s="11">
        <f t="shared" si="18"/>
        <v>8001.4479999999994</v>
      </c>
      <c r="S222" s="1" t="str">
        <f t="shared" si="19"/>
        <v>High</v>
      </c>
      <c r="T222" s="1" t="str" cm="1">
        <f t="array" ref="T222">_xlfn.IFS(L222&gt;5,"High",L222=5,"mediam",L222&lt;5,"low")</f>
        <v>High</v>
      </c>
      <c r="U222" s="1" t="str">
        <f t="shared" si="20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6"/>
        <v>27354.11</v>
      </c>
      <c r="Q223" s="10">
        <f t="shared" si="17"/>
        <v>2461.8700000000003</v>
      </c>
      <c r="R223" s="11">
        <f t="shared" si="18"/>
        <v>24892.240000000002</v>
      </c>
      <c r="S223" s="1" t="str">
        <f t="shared" si="19"/>
        <v>High</v>
      </c>
      <c r="T223" s="1" t="str" cm="1">
        <f t="array" ref="T223">_xlfn.IFS(L223&gt;5,"High",L223=5,"mediam",L223&lt;5,"low")</f>
        <v>High</v>
      </c>
      <c r="U223" s="1" t="str">
        <f t="shared" si="20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6"/>
        <v>8865.2999999999993</v>
      </c>
      <c r="Q224" s="10">
        <f t="shared" si="17"/>
        <v>797.87700000000007</v>
      </c>
      <c r="R224" s="11">
        <f t="shared" si="18"/>
        <v>8067.4229999999989</v>
      </c>
      <c r="S224" s="1" t="str">
        <f t="shared" si="19"/>
        <v>High</v>
      </c>
      <c r="T224" s="1" t="str" cm="1">
        <f t="array" ref="T224">_xlfn.IFS(L224&gt;5,"High",L224=5,"mediam",L224&lt;5,"low")</f>
        <v>High</v>
      </c>
      <c r="U224" s="1" t="str">
        <f t="shared" si="20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6"/>
        <v>2897.3</v>
      </c>
      <c r="Q225" s="10">
        <f t="shared" si="17"/>
        <v>463.56800000000004</v>
      </c>
      <c r="R225" s="11">
        <f t="shared" si="18"/>
        <v>2433.732</v>
      </c>
      <c r="S225" s="1" t="str">
        <f t="shared" si="19"/>
        <v>Low</v>
      </c>
      <c r="T225" s="1" t="str" cm="1">
        <f t="array" ref="T225">_xlfn.IFS(L225&gt;5,"High",L225=5,"mediam",L225&lt;5,"low")</f>
        <v>low</v>
      </c>
      <c r="U225" s="1" t="b">
        <f t="shared" si="20"/>
        <v>0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6"/>
        <v>9456.0199999999986</v>
      </c>
      <c r="Q226" s="10">
        <f t="shared" si="17"/>
        <v>851.04200000000003</v>
      </c>
      <c r="R226" s="11">
        <f t="shared" si="18"/>
        <v>8604.9779999999992</v>
      </c>
      <c r="S226" s="1" t="str">
        <f t="shared" si="19"/>
        <v>High</v>
      </c>
      <c r="T226" s="1" t="str" cm="1">
        <f t="array" ref="T226">_xlfn.IFS(L226&gt;5,"High",L226=5,"mediam",L226&lt;5,"low")</f>
        <v>High</v>
      </c>
      <c r="U226" s="1" t="str">
        <f t="shared" si="20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6"/>
        <v>3100.65</v>
      </c>
      <c r="Q227" s="10">
        <f t="shared" si="17"/>
        <v>147.28100000000001</v>
      </c>
      <c r="R227" s="11">
        <f t="shared" si="18"/>
        <v>2953.3690000000001</v>
      </c>
      <c r="S227" s="1" t="str">
        <f t="shared" si="19"/>
        <v>High</v>
      </c>
      <c r="T227" s="1" t="str" cm="1">
        <f t="array" ref="T227">_xlfn.IFS(L227&gt;5,"High",L227=5,"mediam",L227&lt;5,"low")</f>
        <v>mediam</v>
      </c>
      <c r="U227" s="1" t="b">
        <f t="shared" si="20"/>
        <v>0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6"/>
        <v>3467.2799999999997</v>
      </c>
      <c r="Q228" s="10">
        <f t="shared" si="17"/>
        <v>0</v>
      </c>
      <c r="R228" s="11">
        <f t="shared" si="18"/>
        <v>3467.2799999999997</v>
      </c>
      <c r="S228" s="1" t="str">
        <f t="shared" si="19"/>
        <v>High</v>
      </c>
      <c r="T228" s="1" t="str" cm="1">
        <f t="array" ref="T228">_xlfn.IFS(L228&gt;5,"High",L228=5,"mediam",L228&lt;5,"low")</f>
        <v>High</v>
      </c>
      <c r="U228" s="1" t="str">
        <f t="shared" si="20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6"/>
        <v>21161.599999999999</v>
      </c>
      <c r="Q229" s="10">
        <f t="shared" si="17"/>
        <v>3385.8559999999998</v>
      </c>
      <c r="R229" s="11">
        <f t="shared" si="18"/>
        <v>17775.743999999999</v>
      </c>
      <c r="S229" s="1" t="str">
        <f t="shared" si="19"/>
        <v>High</v>
      </c>
      <c r="T229" s="1" t="str" cm="1">
        <f t="array" ref="T229">_xlfn.IFS(L229&gt;5,"High",L229=5,"mediam",L229&lt;5,"low")</f>
        <v>High</v>
      </c>
      <c r="U229" s="1" t="str">
        <f t="shared" si="20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6"/>
        <v>28153.599999999999</v>
      </c>
      <c r="Q230" s="10">
        <f t="shared" si="17"/>
        <v>0</v>
      </c>
      <c r="R230" s="11">
        <f t="shared" si="18"/>
        <v>28153.599999999999</v>
      </c>
      <c r="S230" s="1" t="str">
        <f t="shared" si="19"/>
        <v>High</v>
      </c>
      <c r="T230" s="1" t="str" cm="1">
        <f t="array" ref="T230">_xlfn.IFS(L230&gt;5,"High",L230=5,"mediam",L230&lt;5,"low")</f>
        <v>High</v>
      </c>
      <c r="U230" s="1" t="str">
        <f t="shared" si="20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6"/>
        <v>9580.5</v>
      </c>
      <c r="Q231" s="10">
        <f t="shared" si="17"/>
        <v>862.24500000000012</v>
      </c>
      <c r="R231" s="11">
        <f t="shared" si="18"/>
        <v>8718.2549999999992</v>
      </c>
      <c r="S231" s="1" t="str">
        <f t="shared" si="19"/>
        <v>Low</v>
      </c>
      <c r="T231" s="1" t="str" cm="1">
        <f t="array" ref="T231">_xlfn.IFS(L231&gt;5,"High",L231=5,"mediam",L231&lt;5,"low")</f>
        <v>low</v>
      </c>
      <c r="U231" s="1" t="b">
        <f t="shared" si="20"/>
        <v>0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6"/>
        <v>4852.82</v>
      </c>
      <c r="Q232" s="10">
        <f t="shared" si="17"/>
        <v>776.45200000000011</v>
      </c>
      <c r="R232" s="11">
        <f t="shared" si="18"/>
        <v>4076.3679999999995</v>
      </c>
      <c r="S232" s="1" t="str">
        <f t="shared" si="19"/>
        <v>High</v>
      </c>
      <c r="T232" s="1" t="str" cm="1">
        <f t="array" ref="T232">_xlfn.IFS(L232&gt;5,"High",L232=5,"mediam",L232&lt;5,"low")</f>
        <v>High</v>
      </c>
      <c r="U232" s="1" t="str">
        <f t="shared" si="20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6"/>
        <v>2250.4899999999998</v>
      </c>
      <c r="Q233" s="10">
        <f t="shared" si="17"/>
        <v>286.93799999999999</v>
      </c>
      <c r="R233" s="11">
        <f t="shared" si="18"/>
        <v>1963.5519999999997</v>
      </c>
      <c r="S233" s="1" t="str">
        <f t="shared" si="19"/>
        <v>Low</v>
      </c>
      <c r="T233" s="1" t="str" cm="1">
        <f t="array" ref="T233">_xlfn.IFS(L233&gt;5,"High",L233=5,"mediam",L233&lt;5,"low")</f>
        <v>low</v>
      </c>
      <c r="U233" s="1" t="b">
        <f t="shared" si="20"/>
        <v>0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6"/>
        <v>556.53</v>
      </c>
      <c r="Q234" s="10">
        <f t="shared" si="17"/>
        <v>26.435000000000002</v>
      </c>
      <c r="R234" s="11">
        <f t="shared" si="18"/>
        <v>530.09500000000003</v>
      </c>
      <c r="S234" s="1" t="str">
        <f t="shared" si="19"/>
        <v>Low</v>
      </c>
      <c r="T234" s="1" t="str" cm="1">
        <f t="array" ref="T234">_xlfn.IFS(L234&gt;5,"High",L234=5,"mediam",L234&lt;5,"low")</f>
        <v>low</v>
      </c>
      <c r="U234" s="1" t="b">
        <f t="shared" si="20"/>
        <v>0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6"/>
        <v>2270.66</v>
      </c>
      <c r="Q235" s="10">
        <f t="shared" si="17"/>
        <v>204.35900000000001</v>
      </c>
      <c r="R235" s="11">
        <f t="shared" si="18"/>
        <v>2066.3009999999999</v>
      </c>
      <c r="S235" s="1" t="str">
        <f t="shared" si="19"/>
        <v>High</v>
      </c>
      <c r="T235" s="1" t="str" cm="1">
        <f t="array" ref="T235">_xlfn.IFS(L235&gt;5,"High",L235=5,"mediam",L235&lt;5,"low")</f>
        <v>High</v>
      </c>
      <c r="U235" s="1" t="str">
        <f t="shared" si="20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6"/>
        <v>24093.81</v>
      </c>
      <c r="Q236" s="10">
        <f t="shared" si="17"/>
        <v>2168.4430000000002</v>
      </c>
      <c r="R236" s="11">
        <f t="shared" si="18"/>
        <v>21925.367000000002</v>
      </c>
      <c r="S236" s="1" t="str">
        <f t="shared" si="19"/>
        <v>High</v>
      </c>
      <c r="T236" s="1" t="str" cm="1">
        <f t="array" ref="T236">_xlfn.IFS(L236&gt;5,"High",L236=5,"mediam",L236&lt;5,"low")</f>
        <v>High</v>
      </c>
      <c r="U236" s="1" t="str">
        <f t="shared" si="20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6"/>
        <v>15472.380000000001</v>
      </c>
      <c r="Q237" s="10">
        <f t="shared" si="17"/>
        <v>734.9380000000001</v>
      </c>
      <c r="R237" s="11">
        <f t="shared" si="18"/>
        <v>14737.442000000001</v>
      </c>
      <c r="S237" s="1" t="str">
        <f t="shared" si="19"/>
        <v>High</v>
      </c>
      <c r="T237" s="1" t="str" cm="1">
        <f t="array" ref="T237">_xlfn.IFS(L237&gt;5,"High",L237=5,"mediam",L237&lt;5,"low")</f>
        <v>High</v>
      </c>
      <c r="U237" s="1" t="str">
        <f t="shared" si="20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6"/>
        <v>2328.9500000000003</v>
      </c>
      <c r="Q238" s="10">
        <f t="shared" si="17"/>
        <v>110.625</v>
      </c>
      <c r="R238" s="11">
        <f t="shared" si="18"/>
        <v>2218.3250000000003</v>
      </c>
      <c r="S238" s="1" t="str">
        <f t="shared" si="19"/>
        <v>High</v>
      </c>
      <c r="T238" s="1" t="str" cm="1">
        <f t="array" ref="T238">_xlfn.IFS(L238&gt;5,"High",L238=5,"mediam",L238&lt;5,"low")</f>
        <v>mediam</v>
      </c>
      <c r="U238" s="1" t="b">
        <f t="shared" si="20"/>
        <v>0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6"/>
        <v>2276.16</v>
      </c>
      <c r="Q239" s="10">
        <f t="shared" si="17"/>
        <v>290.21100000000001</v>
      </c>
      <c r="R239" s="11">
        <f t="shared" si="18"/>
        <v>1985.9489999999998</v>
      </c>
      <c r="S239" s="1" t="str">
        <f t="shared" si="19"/>
        <v>High</v>
      </c>
      <c r="T239" s="1" t="str" cm="1">
        <f t="array" ref="T239">_xlfn.IFS(L239&gt;5,"High",L239=5,"mediam",L239&lt;5,"low")</f>
        <v>High</v>
      </c>
      <c r="U239" s="1" t="str">
        <f t="shared" si="20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6"/>
        <v>7921.12</v>
      </c>
      <c r="Q240" s="10">
        <f t="shared" si="17"/>
        <v>712.90100000000007</v>
      </c>
      <c r="R240" s="11">
        <f t="shared" si="18"/>
        <v>7208.2190000000001</v>
      </c>
      <c r="S240" s="1" t="str">
        <f t="shared" si="19"/>
        <v>Low</v>
      </c>
      <c r="T240" s="1" t="str" cm="1">
        <f t="array" ref="T240">_xlfn.IFS(L240&gt;5,"High",L240=5,"mediam",L240&lt;5,"low")</f>
        <v>low</v>
      </c>
      <c r="U240" s="1" t="b">
        <f t="shared" si="20"/>
        <v>0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6"/>
        <v>2390.2199999999998</v>
      </c>
      <c r="Q241" s="10">
        <f t="shared" si="17"/>
        <v>215.12</v>
      </c>
      <c r="R241" s="11">
        <f t="shared" si="18"/>
        <v>2175.1</v>
      </c>
      <c r="S241" s="1" t="str">
        <f t="shared" si="19"/>
        <v>High</v>
      </c>
      <c r="T241" s="1" t="str" cm="1">
        <f t="array" ref="T241">_xlfn.IFS(L241&gt;5,"High",L241=5,"mediam",L241&lt;5,"low")</f>
        <v>High</v>
      </c>
      <c r="U241" s="1" t="str">
        <f t="shared" si="20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6"/>
        <v>11168.58</v>
      </c>
      <c r="Q242" s="10">
        <f t="shared" si="17"/>
        <v>0</v>
      </c>
      <c r="R242" s="11">
        <f t="shared" si="18"/>
        <v>11168.58</v>
      </c>
      <c r="S242" s="1" t="str">
        <f t="shared" si="19"/>
        <v>High</v>
      </c>
      <c r="T242" s="1" t="str" cm="1">
        <f t="array" ref="T242">_xlfn.IFS(L242&gt;5,"High",L242=5,"mediam",L242&lt;5,"low")</f>
        <v>High</v>
      </c>
      <c r="U242" s="1" t="str">
        <f t="shared" si="20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6"/>
        <v>18835.02</v>
      </c>
      <c r="Q243" s="10">
        <f t="shared" si="17"/>
        <v>3013.6040000000003</v>
      </c>
      <c r="R243" s="11">
        <f t="shared" si="18"/>
        <v>15821.416000000001</v>
      </c>
      <c r="S243" s="1" t="str">
        <f t="shared" si="19"/>
        <v>High</v>
      </c>
      <c r="T243" s="1" t="str" cm="1">
        <f t="array" ref="T243">_xlfn.IFS(L243&gt;5,"High",L243=5,"mediam",L243&lt;5,"low")</f>
        <v>High</v>
      </c>
      <c r="U243" s="1" t="str">
        <f t="shared" si="20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6"/>
        <v>1203.06</v>
      </c>
      <c r="Q244" s="10">
        <f t="shared" si="17"/>
        <v>192.49</v>
      </c>
      <c r="R244" s="11">
        <f t="shared" si="18"/>
        <v>1010.5699999999999</v>
      </c>
      <c r="S244" s="1" t="str">
        <f t="shared" si="19"/>
        <v>Low</v>
      </c>
      <c r="T244" s="1" t="str" cm="1">
        <f t="array" ref="T244">_xlfn.IFS(L244&gt;5,"High",L244=5,"mediam",L244&lt;5,"low")</f>
        <v>low</v>
      </c>
      <c r="U244" s="1" t="b">
        <f t="shared" si="20"/>
        <v>0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6"/>
        <v>2402.67</v>
      </c>
      <c r="Q245" s="10">
        <f t="shared" si="17"/>
        <v>0</v>
      </c>
      <c r="R245" s="11">
        <f t="shared" si="18"/>
        <v>2402.67</v>
      </c>
      <c r="S245" s="1" t="str">
        <f t="shared" si="19"/>
        <v>Low</v>
      </c>
      <c r="T245" s="1" t="str" cm="1">
        <f t="array" ref="T245">_xlfn.IFS(L245&gt;5,"High",L245=5,"mediam",L245&lt;5,"low")</f>
        <v>low</v>
      </c>
      <c r="U245" s="1" t="b">
        <f t="shared" si="20"/>
        <v>0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6"/>
        <v>12035.6</v>
      </c>
      <c r="Q246" s="10">
        <f t="shared" si="17"/>
        <v>1925.6959999999999</v>
      </c>
      <c r="R246" s="11">
        <f t="shared" si="18"/>
        <v>10109.904</v>
      </c>
      <c r="S246" s="1" t="str">
        <f t="shared" si="19"/>
        <v>High</v>
      </c>
      <c r="T246" s="1" t="str" cm="1">
        <f t="array" ref="T246">_xlfn.IFS(L246&gt;5,"High",L246=5,"mediam",L246&lt;5,"low")</f>
        <v>High</v>
      </c>
      <c r="U246" s="1" t="str">
        <f t="shared" si="20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6"/>
        <v>3082.45</v>
      </c>
      <c r="Q247" s="10">
        <f t="shared" si="17"/>
        <v>146.41650000000001</v>
      </c>
      <c r="R247" s="11">
        <f t="shared" si="18"/>
        <v>2936.0335</v>
      </c>
      <c r="S247" s="1" t="str">
        <f t="shared" si="19"/>
        <v>Low</v>
      </c>
      <c r="T247" s="1" t="str" cm="1">
        <f t="array" ref="T247">_xlfn.IFS(L247&gt;5,"High",L247=5,"mediam",L247&lt;5,"low")</f>
        <v>low</v>
      </c>
      <c r="U247" s="1" t="b">
        <f t="shared" si="20"/>
        <v>0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6"/>
        <v>14715.89</v>
      </c>
      <c r="Q248" s="10">
        <f t="shared" si="17"/>
        <v>2354.5419999999999</v>
      </c>
      <c r="R248" s="11">
        <f t="shared" si="18"/>
        <v>12361.348</v>
      </c>
      <c r="S248" s="1" t="str">
        <f t="shared" si="19"/>
        <v>High</v>
      </c>
      <c r="T248" s="1" t="str" cm="1">
        <f t="array" ref="T248">_xlfn.IFS(L248&gt;5,"High",L248=5,"mediam",L248&lt;5,"low")</f>
        <v>High</v>
      </c>
      <c r="U248" s="1" t="str">
        <f t="shared" si="20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6"/>
        <v>18241.440000000002</v>
      </c>
      <c r="Q249" s="10">
        <f t="shared" si="17"/>
        <v>2918.63</v>
      </c>
      <c r="R249" s="11">
        <f t="shared" si="18"/>
        <v>15322.810000000001</v>
      </c>
      <c r="S249" s="1" t="str">
        <f t="shared" si="19"/>
        <v>High</v>
      </c>
      <c r="T249" s="1" t="str" cm="1">
        <f t="array" ref="T249">_xlfn.IFS(L249&gt;5,"High",L249=5,"mediam",L249&lt;5,"low")</f>
        <v>High</v>
      </c>
      <c r="U249" s="1" t="str">
        <f t="shared" si="20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6"/>
        <v>3942.92</v>
      </c>
      <c r="Q250" s="10">
        <f t="shared" si="17"/>
        <v>0</v>
      </c>
      <c r="R250" s="11">
        <f t="shared" si="18"/>
        <v>3942.92</v>
      </c>
      <c r="S250" s="1" t="str">
        <f t="shared" si="19"/>
        <v>Low</v>
      </c>
      <c r="T250" s="1" t="str" cm="1">
        <f t="array" ref="T250">_xlfn.IFS(L250&gt;5,"High",L250=5,"mediam",L250&lt;5,"low")</f>
        <v>low</v>
      </c>
      <c r="U250" s="1" t="b">
        <f t="shared" si="20"/>
        <v>0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6"/>
        <v>27961.38</v>
      </c>
      <c r="Q251" s="10">
        <f t="shared" si="17"/>
        <v>3565.0754999999995</v>
      </c>
      <c r="R251" s="11">
        <f t="shared" si="18"/>
        <v>24396.304500000002</v>
      </c>
      <c r="S251" s="1" t="str">
        <f t="shared" si="19"/>
        <v>High</v>
      </c>
      <c r="T251" s="1" t="str" cm="1">
        <f t="array" ref="T251">_xlfn.IFS(L251&gt;5,"High",L251=5,"mediam",L251&lt;5,"low")</f>
        <v>High</v>
      </c>
      <c r="U251" s="1" t="str">
        <f t="shared" si="20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6"/>
        <v>14578.32</v>
      </c>
      <c r="Q252" s="10">
        <f t="shared" si="17"/>
        <v>2332.5320000000002</v>
      </c>
      <c r="R252" s="11">
        <f t="shared" si="18"/>
        <v>12245.788</v>
      </c>
      <c r="S252" s="1" t="str">
        <f t="shared" si="19"/>
        <v>High</v>
      </c>
      <c r="T252" s="1" t="str" cm="1">
        <f t="array" ref="T252">_xlfn.IFS(L252&gt;5,"High",L252=5,"mediam",L252&lt;5,"low")</f>
        <v>High</v>
      </c>
      <c r="U252" s="1" t="str">
        <f t="shared" si="20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6"/>
        <v>7475.2</v>
      </c>
      <c r="Q253" s="10">
        <f t="shared" si="17"/>
        <v>1196.0319999999999</v>
      </c>
      <c r="R253" s="11">
        <f t="shared" si="18"/>
        <v>6279.1679999999997</v>
      </c>
      <c r="S253" s="1" t="str">
        <f t="shared" si="19"/>
        <v>Low</v>
      </c>
      <c r="T253" s="1" t="str" cm="1">
        <f t="array" ref="T253">_xlfn.IFS(L253&gt;5,"High",L253=5,"mediam",L253&lt;5,"low")</f>
        <v>low</v>
      </c>
      <c r="U253" s="1" t="b">
        <f t="shared" si="20"/>
        <v>0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6"/>
        <v>12661.35</v>
      </c>
      <c r="Q254" s="10">
        <f t="shared" si="17"/>
        <v>1614.3225</v>
      </c>
      <c r="R254" s="11">
        <f t="shared" si="18"/>
        <v>11047.0275</v>
      </c>
      <c r="S254" s="1" t="str">
        <f t="shared" si="19"/>
        <v>High</v>
      </c>
      <c r="T254" s="1" t="str" cm="1">
        <f t="array" ref="T254">_xlfn.IFS(L254&gt;5,"High",L254=5,"mediam",L254&lt;5,"low")</f>
        <v>mediam</v>
      </c>
      <c r="U254" s="1" t="b">
        <f t="shared" si="20"/>
        <v>0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6"/>
        <v>5423.32</v>
      </c>
      <c r="Q255" s="10">
        <f t="shared" si="17"/>
        <v>0</v>
      </c>
      <c r="R255" s="11">
        <f t="shared" si="18"/>
        <v>5423.32</v>
      </c>
      <c r="S255" s="1" t="str">
        <f t="shared" si="19"/>
        <v>Low</v>
      </c>
      <c r="T255" s="1" t="str" cm="1">
        <f t="array" ref="T255">_xlfn.IFS(L255&gt;5,"High",L255=5,"mediam",L255&lt;5,"low")</f>
        <v>low</v>
      </c>
      <c r="U255" s="1" t="b">
        <f t="shared" si="20"/>
        <v>0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6"/>
        <v>18699.659999999996</v>
      </c>
      <c r="Q256" s="10">
        <f t="shared" si="17"/>
        <v>2384.2064999999998</v>
      </c>
      <c r="R256" s="11">
        <f t="shared" si="18"/>
        <v>16315.453499999996</v>
      </c>
      <c r="S256" s="1" t="str">
        <f t="shared" si="19"/>
        <v>High</v>
      </c>
      <c r="T256" s="1" t="str" cm="1">
        <f t="array" ref="T256">_xlfn.IFS(L256&gt;5,"High",L256=5,"mediam",L256&lt;5,"low")</f>
        <v>High</v>
      </c>
      <c r="U256" s="1" t="str">
        <f t="shared" si="20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6"/>
        <v>15796.32</v>
      </c>
      <c r="Q257" s="10">
        <f t="shared" si="17"/>
        <v>0</v>
      </c>
      <c r="R257" s="11">
        <f t="shared" si="18"/>
        <v>15796.32</v>
      </c>
      <c r="S257" s="1" t="str">
        <f t="shared" si="19"/>
        <v>High</v>
      </c>
      <c r="T257" s="1" t="str" cm="1">
        <f t="array" ref="T257">_xlfn.IFS(L257&gt;5,"High",L257=5,"mediam",L257&lt;5,"low")</f>
        <v>High</v>
      </c>
      <c r="U257" s="1" t="str">
        <f t="shared" si="20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6"/>
        <v>721.8</v>
      </c>
      <c r="Q258" s="10">
        <f t="shared" si="17"/>
        <v>34.285500000000006</v>
      </c>
      <c r="R258" s="11">
        <f t="shared" si="18"/>
        <v>687.5145</v>
      </c>
      <c r="S258" s="1" t="str">
        <f t="shared" si="19"/>
        <v>Low</v>
      </c>
      <c r="T258" s="1" t="str" cm="1">
        <f t="array" ref="T258">_xlfn.IFS(L258&gt;5,"High",L258=5,"mediam",L258&lt;5,"low")</f>
        <v>low</v>
      </c>
      <c r="U258" s="1" t="b">
        <f t="shared" si="20"/>
        <v>0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1">L259*M259</f>
        <v>12628.35</v>
      </c>
      <c r="Q259" s="10">
        <f t="shared" ref="Q259:Q322" si="22">O259*N259%</f>
        <v>0</v>
      </c>
      <c r="R259" s="11">
        <f t="shared" ref="R259:R322" si="23">P259-Q259</f>
        <v>12628.35</v>
      </c>
      <c r="S259" s="1" t="str">
        <f t="shared" ref="S259:S322" si="24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si="20"/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1"/>
        <v>11015.19</v>
      </c>
      <c r="Q260" s="10">
        <f t="shared" si="22"/>
        <v>523.22149999999999</v>
      </c>
      <c r="R260" s="11">
        <f t="shared" si="23"/>
        <v>10491.968500000001</v>
      </c>
      <c r="S260" s="1" t="str">
        <f t="shared" si="24"/>
        <v>High</v>
      </c>
      <c r="T260" s="1" t="str" cm="1">
        <f t="array" ref="T260">_xlfn.IFS(L260&gt;5,"High",L260=5,"mediam",L260&lt;5,"low")</f>
        <v>High</v>
      </c>
      <c r="U260" s="1" t="str">
        <f t="shared" si="20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1"/>
        <v>1941.96</v>
      </c>
      <c r="Q261" s="10">
        <f t="shared" si="22"/>
        <v>92.242999999999995</v>
      </c>
      <c r="R261" s="11">
        <f t="shared" si="23"/>
        <v>1849.7170000000001</v>
      </c>
      <c r="S261" s="1" t="str">
        <f t="shared" si="24"/>
        <v>Low</v>
      </c>
      <c r="T261" s="1" t="str" cm="1">
        <f t="array" ref="T261">_xlfn.IFS(L261&gt;5,"High",L261=5,"mediam",L261&lt;5,"low")</f>
        <v>low</v>
      </c>
      <c r="U261" s="1" t="b">
        <f t="shared" si="20"/>
        <v>0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1"/>
        <v>1066.5</v>
      </c>
      <c r="Q262" s="10">
        <f t="shared" si="22"/>
        <v>0</v>
      </c>
      <c r="R262" s="11">
        <f t="shared" si="23"/>
        <v>1066.5</v>
      </c>
      <c r="S262" s="1" t="str">
        <f t="shared" si="24"/>
        <v>Low</v>
      </c>
      <c r="T262" s="1" t="str" cm="1">
        <f t="array" ref="T262">_xlfn.IFS(L262&gt;5,"High",L262=5,"mediam",L262&lt;5,"low")</f>
        <v>low</v>
      </c>
      <c r="U262" s="1" t="b">
        <f t="shared" si="20"/>
        <v>0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1"/>
        <v>17306.03</v>
      </c>
      <c r="Q263" s="10">
        <f t="shared" si="22"/>
        <v>1557.5430000000001</v>
      </c>
      <c r="R263" s="11">
        <f t="shared" si="23"/>
        <v>15748.486999999999</v>
      </c>
      <c r="S263" s="1" t="str">
        <f t="shared" si="24"/>
        <v>High</v>
      </c>
      <c r="T263" s="1" t="str" cm="1">
        <f t="array" ref="T263">_xlfn.IFS(L263&gt;5,"High",L263=5,"mediam",L263&lt;5,"low")</f>
        <v>High</v>
      </c>
      <c r="U263" s="1" t="str">
        <f t="shared" si="20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1"/>
        <v>15161.02</v>
      </c>
      <c r="Q264" s="10">
        <f t="shared" si="22"/>
        <v>0</v>
      </c>
      <c r="R264" s="11">
        <f t="shared" si="23"/>
        <v>15161.02</v>
      </c>
      <c r="S264" s="1" t="str">
        <f t="shared" si="24"/>
        <v>High</v>
      </c>
      <c r="T264" s="1" t="str" cm="1">
        <f t="array" ref="T264">_xlfn.IFS(L264&gt;5,"High",L264=5,"mediam",L264&lt;5,"low")</f>
        <v>High</v>
      </c>
      <c r="U264" s="1" t="str">
        <f t="shared" si="20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1"/>
        <v>4505.2</v>
      </c>
      <c r="Q265" s="10">
        <f t="shared" si="22"/>
        <v>720.83199999999999</v>
      </c>
      <c r="R265" s="11">
        <f t="shared" si="23"/>
        <v>3784.3679999999999</v>
      </c>
      <c r="S265" s="1" t="str">
        <f t="shared" si="24"/>
        <v>Low</v>
      </c>
      <c r="T265" s="1" t="str" cm="1">
        <f t="array" ref="T265">_xlfn.IFS(L265&gt;5,"High",L265=5,"mediam",L265&lt;5,"low")</f>
        <v>low</v>
      </c>
      <c r="U265" s="1" t="b">
        <f t="shared" ref="U265:U328" si="25">IF(L265&gt;5,"High",IF(L265="Mediam","Low"))</f>
        <v>0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1"/>
        <v>17668.440000000002</v>
      </c>
      <c r="Q266" s="10">
        <f t="shared" si="22"/>
        <v>2826.9500000000003</v>
      </c>
      <c r="R266" s="11">
        <f t="shared" si="23"/>
        <v>14841.490000000002</v>
      </c>
      <c r="S266" s="1" t="str">
        <f t="shared" si="24"/>
        <v>High</v>
      </c>
      <c r="T266" s="1" t="str" cm="1">
        <f t="array" ref="T266">_xlfn.IFS(L266&gt;5,"High",L266=5,"mediam",L266&lt;5,"low")</f>
        <v>High</v>
      </c>
      <c r="U266" s="1" t="str">
        <f t="shared" si="25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1"/>
        <v>16360.72</v>
      </c>
      <c r="Q267" s="10">
        <f t="shared" si="22"/>
        <v>1472.4650000000001</v>
      </c>
      <c r="R267" s="11">
        <f t="shared" si="23"/>
        <v>14888.254999999999</v>
      </c>
      <c r="S267" s="1" t="str">
        <f t="shared" si="24"/>
        <v>High</v>
      </c>
      <c r="T267" s="1" t="str" cm="1">
        <f t="array" ref="T267">_xlfn.IFS(L267&gt;5,"High",L267=5,"mediam",L267&lt;5,"low")</f>
        <v>High</v>
      </c>
      <c r="U267" s="1" t="str">
        <f t="shared" si="25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1"/>
        <v>900.78</v>
      </c>
      <c r="Q268" s="10">
        <f t="shared" si="22"/>
        <v>42.787000000000006</v>
      </c>
      <c r="R268" s="11">
        <f t="shared" si="23"/>
        <v>857.99299999999994</v>
      </c>
      <c r="S268" s="1" t="str">
        <f t="shared" si="24"/>
        <v>Low</v>
      </c>
      <c r="T268" s="1" t="str" cm="1">
        <f t="array" ref="T268">_xlfn.IFS(L268&gt;5,"High",L268=5,"mediam",L268&lt;5,"low")</f>
        <v>low</v>
      </c>
      <c r="U268" s="1" t="b">
        <f t="shared" si="25"/>
        <v>0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1"/>
        <v>2660.56</v>
      </c>
      <c r="Q269" s="10">
        <f t="shared" si="22"/>
        <v>239.45000000000002</v>
      </c>
      <c r="R269" s="11">
        <f t="shared" si="23"/>
        <v>2421.11</v>
      </c>
      <c r="S269" s="1" t="str">
        <f t="shared" si="24"/>
        <v>Low</v>
      </c>
      <c r="T269" s="1" t="str" cm="1">
        <f t="array" ref="T269">_xlfn.IFS(L269&gt;5,"High",L269=5,"mediam",L269&lt;5,"low")</f>
        <v>low</v>
      </c>
      <c r="U269" s="1" t="b">
        <f t="shared" si="25"/>
        <v>0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1"/>
        <v>15782.7</v>
      </c>
      <c r="Q270" s="10">
        <f t="shared" si="22"/>
        <v>2525.232</v>
      </c>
      <c r="R270" s="11">
        <f t="shared" si="23"/>
        <v>13257.468000000001</v>
      </c>
      <c r="S270" s="1" t="str">
        <f t="shared" si="24"/>
        <v>High</v>
      </c>
      <c r="T270" s="1" t="str" cm="1">
        <f t="array" ref="T270">_xlfn.IFS(L270&gt;5,"High",L270=5,"mediam",L270&lt;5,"low")</f>
        <v>mediam</v>
      </c>
      <c r="U270" s="1" t="b">
        <f t="shared" si="25"/>
        <v>0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1"/>
        <v>19182.78</v>
      </c>
      <c r="Q271" s="10">
        <f t="shared" si="22"/>
        <v>1726.45</v>
      </c>
      <c r="R271" s="11">
        <f t="shared" si="23"/>
        <v>17456.329999999998</v>
      </c>
      <c r="S271" s="1" t="str">
        <f t="shared" si="24"/>
        <v>High</v>
      </c>
      <c r="T271" s="1" t="str" cm="1">
        <f t="array" ref="T271">_xlfn.IFS(L271&gt;5,"High",L271=5,"mediam",L271&lt;5,"low")</f>
        <v>High</v>
      </c>
      <c r="U271" s="1" t="str">
        <f t="shared" si="25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1"/>
        <v>7408.5300000000007</v>
      </c>
      <c r="Q272" s="10">
        <f t="shared" si="22"/>
        <v>0</v>
      </c>
      <c r="R272" s="11">
        <f t="shared" si="23"/>
        <v>7408.5300000000007</v>
      </c>
      <c r="S272" s="1" t="str">
        <f t="shared" si="24"/>
        <v>Low</v>
      </c>
      <c r="T272" s="1" t="str" cm="1">
        <f t="array" ref="T272">_xlfn.IFS(L272&gt;5,"High",L272=5,"mediam",L272&lt;5,"low")</f>
        <v>low</v>
      </c>
      <c r="U272" s="1" t="b">
        <f t="shared" si="25"/>
        <v>0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1"/>
        <v>19078.29</v>
      </c>
      <c r="Q273" s="10">
        <f t="shared" si="22"/>
        <v>1717.046</v>
      </c>
      <c r="R273" s="11">
        <f t="shared" si="23"/>
        <v>17361.244000000002</v>
      </c>
      <c r="S273" s="1" t="str">
        <f t="shared" si="24"/>
        <v>High</v>
      </c>
      <c r="T273" s="1" t="str" cm="1">
        <f t="array" ref="T273">_xlfn.IFS(L273&gt;5,"High",L273=5,"mediam",L273&lt;5,"low")</f>
        <v>High</v>
      </c>
      <c r="U273" s="1" t="str">
        <f t="shared" si="25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1"/>
        <v>2309.2799999999997</v>
      </c>
      <c r="Q274" s="10">
        <f t="shared" si="22"/>
        <v>109.69100000000002</v>
      </c>
      <c r="R274" s="11">
        <f t="shared" si="23"/>
        <v>2199.5889999999999</v>
      </c>
      <c r="S274" s="1" t="str">
        <f t="shared" si="24"/>
        <v>High</v>
      </c>
      <c r="T274" s="1" t="str" cm="1">
        <f t="array" ref="T274">_xlfn.IFS(L274&gt;5,"High",L274=5,"mediam",L274&lt;5,"low")</f>
        <v>High</v>
      </c>
      <c r="U274" s="1" t="str">
        <f t="shared" si="25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1"/>
        <v>5032.6000000000004</v>
      </c>
      <c r="Q275" s="10">
        <f t="shared" si="22"/>
        <v>0</v>
      </c>
      <c r="R275" s="11">
        <f t="shared" si="23"/>
        <v>5032.6000000000004</v>
      </c>
      <c r="S275" s="1" t="str">
        <f t="shared" si="24"/>
        <v>Low</v>
      </c>
      <c r="T275" s="1" t="str" cm="1">
        <f t="array" ref="T275">_xlfn.IFS(L275&gt;5,"High",L275=5,"mediam",L275&lt;5,"low")</f>
        <v>low</v>
      </c>
      <c r="U275" s="1" t="b">
        <f t="shared" si="25"/>
        <v>0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1"/>
        <v>3563.7000000000003</v>
      </c>
      <c r="Q276" s="10">
        <f t="shared" si="22"/>
        <v>454.37099999999998</v>
      </c>
      <c r="R276" s="11">
        <f t="shared" si="23"/>
        <v>3109.3290000000002</v>
      </c>
      <c r="S276" s="1" t="str">
        <f t="shared" si="24"/>
        <v>High</v>
      </c>
      <c r="T276" s="1" t="str" cm="1">
        <f t="array" ref="T276">_xlfn.IFS(L276&gt;5,"High",L276=5,"mediam",L276&lt;5,"low")</f>
        <v>High</v>
      </c>
      <c r="U276" s="1" t="str">
        <f t="shared" si="25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1"/>
        <v>30885.759999999998</v>
      </c>
      <c r="Q277" s="10">
        <f t="shared" si="22"/>
        <v>4941.7220000000007</v>
      </c>
      <c r="R277" s="11">
        <f t="shared" si="23"/>
        <v>25944.037999999997</v>
      </c>
      <c r="S277" s="1" t="str">
        <f t="shared" si="24"/>
        <v>High</v>
      </c>
      <c r="T277" s="1" t="str" cm="1">
        <f t="array" ref="T277">_xlfn.IFS(L277&gt;5,"High",L277=5,"mediam",L277&lt;5,"low")</f>
        <v>High</v>
      </c>
      <c r="U277" s="1" t="str">
        <f t="shared" si="25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1"/>
        <v>6030.5399999999991</v>
      </c>
      <c r="Q278" s="10">
        <f t="shared" si="22"/>
        <v>964.88600000000008</v>
      </c>
      <c r="R278" s="11">
        <f t="shared" si="23"/>
        <v>5065.6539999999986</v>
      </c>
      <c r="S278" s="1" t="str">
        <f t="shared" si="24"/>
        <v>High</v>
      </c>
      <c r="T278" s="1" t="str" cm="1">
        <f t="array" ref="T278">_xlfn.IFS(L278&gt;5,"High",L278=5,"mediam",L278&lt;5,"low")</f>
        <v>High</v>
      </c>
      <c r="U278" s="1" t="str">
        <f t="shared" si="25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1"/>
        <v>4406.04</v>
      </c>
      <c r="Q279" s="10">
        <f t="shared" si="22"/>
        <v>396.54400000000004</v>
      </c>
      <c r="R279" s="11">
        <f t="shared" si="23"/>
        <v>4009.4960000000001</v>
      </c>
      <c r="S279" s="1" t="str">
        <f t="shared" si="24"/>
        <v>High</v>
      </c>
      <c r="T279" s="1" t="str" cm="1">
        <f t="array" ref="T279">_xlfn.IFS(L279&gt;5,"High",L279=5,"mediam",L279&lt;5,"low")</f>
        <v>High</v>
      </c>
      <c r="U279" s="1" t="str">
        <f t="shared" si="25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1"/>
        <v>21449.22</v>
      </c>
      <c r="Q280" s="10">
        <f t="shared" si="22"/>
        <v>0</v>
      </c>
      <c r="R280" s="11">
        <f t="shared" si="23"/>
        <v>21449.22</v>
      </c>
      <c r="S280" s="1" t="str">
        <f t="shared" si="24"/>
        <v>High</v>
      </c>
      <c r="T280" s="1" t="str" cm="1">
        <f t="array" ref="T280">_xlfn.IFS(L280&gt;5,"High",L280=5,"mediam",L280&lt;5,"low")</f>
        <v>High</v>
      </c>
      <c r="U280" s="1" t="str">
        <f t="shared" si="25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1"/>
        <v>30272.959999999999</v>
      </c>
      <c r="Q281" s="10">
        <f t="shared" si="22"/>
        <v>3859.8029999999999</v>
      </c>
      <c r="R281" s="11">
        <f t="shared" si="23"/>
        <v>26413.156999999999</v>
      </c>
      <c r="S281" s="1" t="str">
        <f t="shared" si="24"/>
        <v>High</v>
      </c>
      <c r="T281" s="1" t="str" cm="1">
        <f t="array" ref="T281">_xlfn.IFS(L281&gt;5,"High",L281=5,"mediam",L281&lt;5,"low")</f>
        <v>High</v>
      </c>
      <c r="U281" s="1" t="str">
        <f t="shared" si="25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1"/>
        <v>15492.2</v>
      </c>
      <c r="Q282" s="10">
        <f t="shared" si="22"/>
        <v>0</v>
      </c>
      <c r="R282" s="11">
        <f t="shared" si="23"/>
        <v>15492.2</v>
      </c>
      <c r="S282" s="1" t="str">
        <f t="shared" si="24"/>
        <v>High</v>
      </c>
      <c r="T282" s="1" t="str" cm="1">
        <f t="array" ref="T282">_xlfn.IFS(L282&gt;5,"High",L282=5,"mediam",L282&lt;5,"low")</f>
        <v>mediam</v>
      </c>
      <c r="U282" s="1" t="b">
        <f t="shared" si="25"/>
        <v>0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1"/>
        <v>512.43000000000006</v>
      </c>
      <c r="Q283" s="10">
        <f t="shared" si="22"/>
        <v>81.988</v>
      </c>
      <c r="R283" s="11">
        <f t="shared" si="23"/>
        <v>430.44200000000006</v>
      </c>
      <c r="S283" s="1" t="str">
        <f t="shared" si="24"/>
        <v>Low</v>
      </c>
      <c r="T283" s="1" t="str" cm="1">
        <f t="array" ref="T283">_xlfn.IFS(L283&gt;5,"High",L283=5,"mediam",L283&lt;5,"low")</f>
        <v>low</v>
      </c>
      <c r="U283" s="1" t="b">
        <f t="shared" si="25"/>
        <v>0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1"/>
        <v>465.54</v>
      </c>
      <c r="Q284" s="10">
        <f t="shared" si="22"/>
        <v>0</v>
      </c>
      <c r="R284" s="11">
        <f t="shared" si="23"/>
        <v>465.54</v>
      </c>
      <c r="S284" s="1" t="str">
        <f t="shared" si="24"/>
        <v>Low</v>
      </c>
      <c r="T284" s="1" t="str" cm="1">
        <f t="array" ref="T284">_xlfn.IFS(L284&gt;5,"High",L284=5,"mediam",L284&lt;5,"low")</f>
        <v>low</v>
      </c>
      <c r="U284" s="1" t="b">
        <f t="shared" si="25"/>
        <v>0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1"/>
        <v>9634.14</v>
      </c>
      <c r="Q285" s="10">
        <f t="shared" si="22"/>
        <v>1228.3530000000001</v>
      </c>
      <c r="R285" s="11">
        <f t="shared" si="23"/>
        <v>8405.7870000000003</v>
      </c>
      <c r="S285" s="1" t="str">
        <f t="shared" si="24"/>
        <v>High</v>
      </c>
      <c r="T285" s="1" t="str" cm="1">
        <f t="array" ref="T285">_xlfn.IFS(L285&gt;5,"High",L285=5,"mediam",L285&lt;5,"low")</f>
        <v>High</v>
      </c>
      <c r="U285" s="1" t="str">
        <f t="shared" si="25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1"/>
        <v>1404.14</v>
      </c>
      <c r="Q286" s="10">
        <f t="shared" si="22"/>
        <v>126.373</v>
      </c>
      <c r="R286" s="11">
        <f t="shared" si="23"/>
        <v>1277.7670000000001</v>
      </c>
      <c r="S286" s="1" t="str">
        <f t="shared" si="24"/>
        <v>Low</v>
      </c>
      <c r="T286" s="1" t="str" cm="1">
        <f t="array" ref="T286">_xlfn.IFS(L286&gt;5,"High",L286=5,"mediam",L286&lt;5,"low")</f>
        <v>low</v>
      </c>
      <c r="U286" s="1" t="b">
        <f t="shared" si="25"/>
        <v>0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1"/>
        <v>1324.74</v>
      </c>
      <c r="Q287" s="10">
        <f t="shared" si="22"/>
        <v>62.925000000000004</v>
      </c>
      <c r="R287" s="11">
        <f t="shared" si="23"/>
        <v>1261.8150000000001</v>
      </c>
      <c r="S287" s="1" t="str">
        <f t="shared" si="24"/>
        <v>High</v>
      </c>
      <c r="T287" s="1" t="str" cm="1">
        <f t="array" ref="T287">_xlfn.IFS(L287&gt;5,"High",L287=5,"mediam",L287&lt;5,"low")</f>
        <v>High</v>
      </c>
      <c r="U287" s="1" t="str">
        <f t="shared" si="25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1"/>
        <v>11619.960000000001</v>
      </c>
      <c r="Q288" s="10">
        <f t="shared" si="22"/>
        <v>0</v>
      </c>
      <c r="R288" s="11">
        <f t="shared" si="23"/>
        <v>11619.960000000001</v>
      </c>
      <c r="S288" s="1" t="str">
        <f t="shared" si="24"/>
        <v>High</v>
      </c>
      <c r="T288" s="1" t="str" cm="1">
        <f t="array" ref="T288">_xlfn.IFS(L288&gt;5,"High",L288=5,"mediam",L288&lt;5,"low")</f>
        <v>High</v>
      </c>
      <c r="U288" s="1" t="str">
        <f t="shared" si="25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1"/>
        <v>30246.32</v>
      </c>
      <c r="Q289" s="10">
        <f t="shared" si="22"/>
        <v>1436.7</v>
      </c>
      <c r="R289" s="11">
        <f t="shared" si="23"/>
        <v>28809.62</v>
      </c>
      <c r="S289" s="1" t="str">
        <f t="shared" si="24"/>
        <v>High</v>
      </c>
      <c r="T289" s="1" t="str" cm="1">
        <f t="array" ref="T289">_xlfn.IFS(L289&gt;5,"High",L289=5,"mediam",L289&lt;5,"low")</f>
        <v>High</v>
      </c>
      <c r="U289" s="1" t="str">
        <f t="shared" si="25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1"/>
        <v>9776.9700000000012</v>
      </c>
      <c r="Q290" s="10">
        <f t="shared" si="22"/>
        <v>1564.316</v>
      </c>
      <c r="R290" s="11">
        <f t="shared" si="23"/>
        <v>8212.6540000000005</v>
      </c>
      <c r="S290" s="1" t="str">
        <f t="shared" si="24"/>
        <v>High</v>
      </c>
      <c r="T290" s="1" t="str" cm="1">
        <f t="array" ref="T290">_xlfn.IFS(L290&gt;5,"High",L290=5,"mediam",L290&lt;5,"low")</f>
        <v>High</v>
      </c>
      <c r="U290" s="1" t="str">
        <f t="shared" si="25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1"/>
        <v>21563.119999999999</v>
      </c>
      <c r="Q291" s="10">
        <f t="shared" si="22"/>
        <v>1940.6810000000003</v>
      </c>
      <c r="R291" s="11">
        <f t="shared" si="23"/>
        <v>19622.438999999998</v>
      </c>
      <c r="S291" s="1" t="str">
        <f t="shared" si="24"/>
        <v>High</v>
      </c>
      <c r="T291" s="1" t="str" cm="1">
        <f t="array" ref="T291">_xlfn.IFS(L291&gt;5,"High",L291=5,"mediam",L291&lt;5,"low")</f>
        <v>High</v>
      </c>
      <c r="U291" s="1" t="str">
        <f t="shared" si="25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1"/>
        <v>23949.99</v>
      </c>
      <c r="Q292" s="10">
        <f t="shared" si="22"/>
        <v>2155.4990000000003</v>
      </c>
      <c r="R292" s="11">
        <f t="shared" si="23"/>
        <v>21794.491000000002</v>
      </c>
      <c r="S292" s="1" t="str">
        <f t="shared" si="24"/>
        <v>High</v>
      </c>
      <c r="T292" s="1" t="str" cm="1">
        <f t="array" ref="T292">_xlfn.IFS(L292&gt;5,"High",L292=5,"mediam",L292&lt;5,"low")</f>
        <v>High</v>
      </c>
      <c r="U292" s="1" t="str">
        <f t="shared" si="25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1"/>
        <v>6699.9600000000009</v>
      </c>
      <c r="Q293" s="10">
        <f t="shared" si="22"/>
        <v>0</v>
      </c>
      <c r="R293" s="11">
        <f t="shared" si="23"/>
        <v>6699.9600000000009</v>
      </c>
      <c r="S293" s="1" t="str">
        <f t="shared" si="24"/>
        <v>High</v>
      </c>
      <c r="T293" s="1" t="str" cm="1">
        <f t="array" ref="T293">_xlfn.IFS(L293&gt;5,"High",L293=5,"mediam",L293&lt;5,"low")</f>
        <v>High</v>
      </c>
      <c r="U293" s="1" t="str">
        <f t="shared" si="25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1"/>
        <v>7962.42</v>
      </c>
      <c r="Q294" s="10">
        <f t="shared" si="22"/>
        <v>716.61800000000005</v>
      </c>
      <c r="R294" s="11">
        <f t="shared" si="23"/>
        <v>7245.8019999999997</v>
      </c>
      <c r="S294" s="1" t="str">
        <f t="shared" si="24"/>
        <v>Low</v>
      </c>
      <c r="T294" s="1" t="str" cm="1">
        <f t="array" ref="T294">_xlfn.IFS(L294&gt;5,"High",L294=5,"mediam",L294&lt;5,"low")</f>
        <v>low</v>
      </c>
      <c r="U294" s="1" t="b">
        <f t="shared" si="25"/>
        <v>0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1"/>
        <v>2902.4700000000003</v>
      </c>
      <c r="Q295" s="10">
        <f t="shared" si="22"/>
        <v>0</v>
      </c>
      <c r="R295" s="11">
        <f t="shared" si="23"/>
        <v>2902.4700000000003</v>
      </c>
      <c r="S295" s="1" t="str">
        <f t="shared" si="24"/>
        <v>Low</v>
      </c>
      <c r="T295" s="1" t="str" cm="1">
        <f t="array" ref="T295">_xlfn.IFS(L295&gt;5,"High",L295=5,"mediam",L295&lt;5,"low")</f>
        <v>low</v>
      </c>
      <c r="U295" s="1" t="b">
        <f t="shared" si="25"/>
        <v>0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1"/>
        <v>619.73</v>
      </c>
      <c r="Q296" s="10">
        <f t="shared" si="22"/>
        <v>0</v>
      </c>
      <c r="R296" s="11">
        <f t="shared" si="23"/>
        <v>619.73</v>
      </c>
      <c r="S296" s="1" t="str">
        <f t="shared" si="24"/>
        <v>Low</v>
      </c>
      <c r="T296" s="1" t="str" cm="1">
        <f t="array" ref="T296">_xlfn.IFS(L296&gt;5,"High",L296=5,"mediam",L296&lt;5,"low")</f>
        <v>low</v>
      </c>
      <c r="U296" s="1" t="b">
        <f t="shared" si="25"/>
        <v>0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1"/>
        <v>14251.65</v>
      </c>
      <c r="Q297" s="10">
        <f t="shared" si="22"/>
        <v>676.95350000000008</v>
      </c>
      <c r="R297" s="11">
        <f t="shared" si="23"/>
        <v>13574.6965</v>
      </c>
      <c r="S297" s="1" t="str">
        <f t="shared" si="24"/>
        <v>High</v>
      </c>
      <c r="T297" s="1" t="str" cm="1">
        <f t="array" ref="T297">_xlfn.IFS(L297&gt;5,"High",L297=5,"mediam",L297&lt;5,"low")</f>
        <v>mediam</v>
      </c>
      <c r="U297" s="1" t="b">
        <f t="shared" si="25"/>
        <v>0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1"/>
        <v>2347</v>
      </c>
      <c r="Q298" s="10">
        <f t="shared" si="22"/>
        <v>211.23000000000002</v>
      </c>
      <c r="R298" s="11">
        <f t="shared" si="23"/>
        <v>2135.77</v>
      </c>
      <c r="S298" s="1" t="str">
        <f t="shared" si="24"/>
        <v>Low</v>
      </c>
      <c r="T298" s="1" t="str" cm="1">
        <f t="array" ref="T298">_xlfn.IFS(L298&gt;5,"High",L298=5,"mediam",L298&lt;5,"low")</f>
        <v>low</v>
      </c>
      <c r="U298" s="1" t="b">
        <f t="shared" si="25"/>
        <v>0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1"/>
        <v>35892.9</v>
      </c>
      <c r="Q299" s="10">
        <f t="shared" si="22"/>
        <v>0</v>
      </c>
      <c r="R299" s="11">
        <f t="shared" si="23"/>
        <v>35892.9</v>
      </c>
      <c r="S299" s="1" t="str">
        <f t="shared" si="24"/>
        <v>High</v>
      </c>
      <c r="T299" s="1" t="str" cm="1">
        <f t="array" ref="T299">_xlfn.IFS(L299&gt;5,"High",L299=5,"mediam",L299&lt;5,"low")</f>
        <v>High</v>
      </c>
      <c r="U299" s="1" t="str">
        <f t="shared" si="25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1"/>
        <v>7706.61</v>
      </c>
      <c r="Q300" s="10">
        <f t="shared" si="22"/>
        <v>366.06400000000002</v>
      </c>
      <c r="R300" s="11">
        <f t="shared" si="23"/>
        <v>7340.5459999999994</v>
      </c>
      <c r="S300" s="1" t="str">
        <f t="shared" si="24"/>
        <v>High</v>
      </c>
      <c r="T300" s="1" t="str" cm="1">
        <f t="array" ref="T300">_xlfn.IFS(L300&gt;5,"High",L300=5,"mediam",L300&lt;5,"low")</f>
        <v>High</v>
      </c>
      <c r="U300" s="1" t="str">
        <f t="shared" si="25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1"/>
        <v>12187.25</v>
      </c>
      <c r="Q301" s="10">
        <f t="shared" si="22"/>
        <v>1553.874</v>
      </c>
      <c r="R301" s="11">
        <f t="shared" si="23"/>
        <v>10633.376</v>
      </c>
      <c r="S301" s="1" t="str">
        <f t="shared" si="24"/>
        <v>High</v>
      </c>
      <c r="T301" s="1" t="str" cm="1">
        <f t="array" ref="T301">_xlfn.IFS(L301&gt;5,"High",L301=5,"mediam",L301&lt;5,"low")</f>
        <v>mediam</v>
      </c>
      <c r="U301" s="1" t="b">
        <f t="shared" si="25"/>
        <v>0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1"/>
        <v>6935.16</v>
      </c>
      <c r="Q302" s="10">
        <f t="shared" si="22"/>
        <v>329.42</v>
      </c>
      <c r="R302" s="11">
        <f t="shared" si="23"/>
        <v>6605.74</v>
      </c>
      <c r="S302" s="1" t="str">
        <f t="shared" si="24"/>
        <v>Low</v>
      </c>
      <c r="T302" s="1" t="str" cm="1">
        <f t="array" ref="T302">_xlfn.IFS(L302&gt;5,"High",L302=5,"mediam",L302&lt;5,"low")</f>
        <v>low</v>
      </c>
      <c r="U302" s="1" t="b">
        <f t="shared" si="25"/>
        <v>0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1"/>
        <v>4456.13</v>
      </c>
      <c r="Q303" s="10">
        <f t="shared" si="22"/>
        <v>211.666</v>
      </c>
      <c r="R303" s="11">
        <f t="shared" si="23"/>
        <v>4244.4639999999999</v>
      </c>
      <c r="S303" s="1" t="str">
        <f t="shared" si="24"/>
        <v>High</v>
      </c>
      <c r="T303" s="1" t="str" cm="1">
        <f t="array" ref="T303">_xlfn.IFS(L303&gt;5,"High",L303=5,"mediam",L303&lt;5,"low")</f>
        <v>High</v>
      </c>
      <c r="U303" s="1" t="str">
        <f t="shared" si="25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1"/>
        <v>1543.1999999999998</v>
      </c>
      <c r="Q304" s="10">
        <f t="shared" si="22"/>
        <v>0</v>
      </c>
      <c r="R304" s="11">
        <f t="shared" si="23"/>
        <v>1543.1999999999998</v>
      </c>
      <c r="S304" s="1" t="str">
        <f t="shared" si="24"/>
        <v>High</v>
      </c>
      <c r="T304" s="1" t="str" cm="1">
        <f t="array" ref="T304">_xlfn.IFS(L304&gt;5,"High",L304=5,"mediam",L304&lt;5,"low")</f>
        <v>High</v>
      </c>
      <c r="U304" s="1" t="str">
        <f t="shared" si="25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1"/>
        <v>10190.08</v>
      </c>
      <c r="Q305" s="10">
        <f t="shared" si="22"/>
        <v>1630.4120000000003</v>
      </c>
      <c r="R305" s="11">
        <f t="shared" si="23"/>
        <v>8559.6679999999997</v>
      </c>
      <c r="S305" s="1" t="str">
        <f t="shared" si="24"/>
        <v>Low</v>
      </c>
      <c r="T305" s="1" t="str" cm="1">
        <f t="array" ref="T305">_xlfn.IFS(L305&gt;5,"High",L305=5,"mediam",L305&lt;5,"low")</f>
        <v>low</v>
      </c>
      <c r="U305" s="1" t="b">
        <f t="shared" si="25"/>
        <v>0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1"/>
        <v>6512.04</v>
      </c>
      <c r="Q306" s="10">
        <f t="shared" si="22"/>
        <v>1041.9260000000002</v>
      </c>
      <c r="R306" s="11">
        <f t="shared" si="23"/>
        <v>5470.1139999999996</v>
      </c>
      <c r="S306" s="1" t="str">
        <f t="shared" si="24"/>
        <v>Low</v>
      </c>
      <c r="T306" s="1" t="str" cm="1">
        <f t="array" ref="T306">_xlfn.IFS(L306&gt;5,"High",L306=5,"mediam",L306&lt;5,"low")</f>
        <v>low</v>
      </c>
      <c r="U306" s="1" t="b">
        <f t="shared" si="25"/>
        <v>0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1"/>
        <v>3391.76</v>
      </c>
      <c r="Q307" s="10">
        <f t="shared" si="22"/>
        <v>542.68200000000002</v>
      </c>
      <c r="R307" s="11">
        <f t="shared" si="23"/>
        <v>2849.0780000000004</v>
      </c>
      <c r="S307" s="1" t="str">
        <f t="shared" si="24"/>
        <v>Low</v>
      </c>
      <c r="T307" s="1" t="str" cm="1">
        <f t="array" ref="T307">_xlfn.IFS(L307&gt;5,"High",L307=5,"mediam",L307&lt;5,"low")</f>
        <v>low</v>
      </c>
      <c r="U307" s="1" t="b">
        <f t="shared" si="25"/>
        <v>0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1"/>
        <v>8033.8</v>
      </c>
      <c r="Q308" s="10">
        <f t="shared" si="22"/>
        <v>381.60550000000001</v>
      </c>
      <c r="R308" s="11">
        <f t="shared" si="23"/>
        <v>7652.1945000000005</v>
      </c>
      <c r="S308" s="1" t="str">
        <f t="shared" si="24"/>
        <v>Low</v>
      </c>
      <c r="T308" s="1" t="str" cm="1">
        <f t="array" ref="T308">_xlfn.IFS(L308&gt;5,"High",L308=5,"mediam",L308&lt;5,"low")</f>
        <v>low</v>
      </c>
      <c r="U308" s="1" t="b">
        <f t="shared" si="25"/>
        <v>0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1"/>
        <v>12572.8</v>
      </c>
      <c r="Q309" s="10">
        <f t="shared" si="22"/>
        <v>0</v>
      </c>
      <c r="R309" s="11">
        <f t="shared" si="23"/>
        <v>12572.8</v>
      </c>
      <c r="S309" s="1" t="str">
        <f t="shared" si="24"/>
        <v>Low</v>
      </c>
      <c r="T309" s="1" t="str" cm="1">
        <f t="array" ref="T309">_xlfn.IFS(L309&gt;5,"High",L309=5,"mediam",L309&lt;5,"low")</f>
        <v>low</v>
      </c>
      <c r="U309" s="1" t="b">
        <f t="shared" si="25"/>
        <v>0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1"/>
        <v>2740.46</v>
      </c>
      <c r="Q310" s="10">
        <f t="shared" si="22"/>
        <v>246.64099999999999</v>
      </c>
      <c r="R310" s="11">
        <f t="shared" si="23"/>
        <v>2493.819</v>
      </c>
      <c r="S310" s="1" t="str">
        <f t="shared" si="24"/>
        <v>Low</v>
      </c>
      <c r="T310" s="1" t="str" cm="1">
        <f t="array" ref="T310">_xlfn.IFS(L310&gt;5,"High",L310=5,"mediam",L310&lt;5,"low")</f>
        <v>low</v>
      </c>
      <c r="U310" s="1" t="b">
        <f t="shared" si="25"/>
        <v>0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1"/>
        <v>17630.28</v>
      </c>
      <c r="Q311" s="10">
        <f t="shared" si="22"/>
        <v>837.43850000000009</v>
      </c>
      <c r="R311" s="11">
        <f t="shared" si="23"/>
        <v>16792.841499999999</v>
      </c>
      <c r="S311" s="1" t="str">
        <f t="shared" si="24"/>
        <v>High</v>
      </c>
      <c r="T311" s="1" t="str" cm="1">
        <f t="array" ref="T311">_xlfn.IFS(L311&gt;5,"High",L311=5,"mediam",L311&lt;5,"low")</f>
        <v>High</v>
      </c>
      <c r="U311" s="1" t="str">
        <f t="shared" si="25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1"/>
        <v>8186.04</v>
      </c>
      <c r="Q312" s="10">
        <f t="shared" si="22"/>
        <v>388.83699999999999</v>
      </c>
      <c r="R312" s="11">
        <f t="shared" si="23"/>
        <v>7797.2029999999995</v>
      </c>
      <c r="S312" s="1" t="str">
        <f t="shared" si="24"/>
        <v>Low</v>
      </c>
      <c r="T312" s="1" t="str" cm="1">
        <f t="array" ref="T312">_xlfn.IFS(L312&gt;5,"High",L312=5,"mediam",L312&lt;5,"low")</f>
        <v>low</v>
      </c>
      <c r="U312" s="1" t="b">
        <f t="shared" si="25"/>
        <v>0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1"/>
        <v>2588.64</v>
      </c>
      <c r="Q313" s="10">
        <f t="shared" si="22"/>
        <v>0</v>
      </c>
      <c r="R313" s="11">
        <f t="shared" si="23"/>
        <v>2588.64</v>
      </c>
      <c r="S313" s="1" t="str">
        <f t="shared" si="24"/>
        <v>Low</v>
      </c>
      <c r="T313" s="1" t="str" cm="1">
        <f t="array" ref="T313">_xlfn.IFS(L313&gt;5,"High",L313=5,"mediam",L313&lt;5,"low")</f>
        <v>low</v>
      </c>
      <c r="U313" s="1" t="b">
        <f t="shared" si="25"/>
        <v>0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1"/>
        <v>3251.27</v>
      </c>
      <c r="Q314" s="10">
        <f t="shared" si="22"/>
        <v>414.53699999999998</v>
      </c>
      <c r="R314" s="11">
        <f t="shared" si="23"/>
        <v>2836.7330000000002</v>
      </c>
      <c r="S314" s="1" t="str">
        <f t="shared" si="24"/>
        <v>Low</v>
      </c>
      <c r="T314" s="1" t="str" cm="1">
        <f t="array" ref="T314">_xlfn.IFS(L314&gt;5,"High",L314=5,"mediam",L314&lt;5,"low")</f>
        <v>low</v>
      </c>
      <c r="U314" s="1" t="b">
        <f t="shared" si="25"/>
        <v>0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1"/>
        <v>1681.85</v>
      </c>
      <c r="Q315" s="10">
        <f t="shared" si="22"/>
        <v>79.888000000000005</v>
      </c>
      <c r="R315" s="11">
        <f t="shared" si="23"/>
        <v>1601.962</v>
      </c>
      <c r="S315" s="1" t="str">
        <f t="shared" si="24"/>
        <v>Low</v>
      </c>
      <c r="T315" s="1" t="str" cm="1">
        <f t="array" ref="T315">_xlfn.IFS(L315&gt;5,"High",L315=5,"mediam",L315&lt;5,"low")</f>
        <v>low</v>
      </c>
      <c r="U315" s="1" t="b">
        <f t="shared" si="25"/>
        <v>0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1"/>
        <v>26024.16</v>
      </c>
      <c r="Q316" s="10">
        <f t="shared" si="22"/>
        <v>3318.0810000000001</v>
      </c>
      <c r="R316" s="11">
        <f t="shared" si="23"/>
        <v>22706.078999999998</v>
      </c>
      <c r="S316" s="1" t="str">
        <f t="shared" si="24"/>
        <v>High</v>
      </c>
      <c r="T316" s="1" t="str" cm="1">
        <f t="array" ref="T316">_xlfn.IFS(L316&gt;5,"High",L316=5,"mediam",L316&lt;5,"low")</f>
        <v>High</v>
      </c>
      <c r="U316" s="1" t="str">
        <f t="shared" si="25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1"/>
        <v>19434.080000000002</v>
      </c>
      <c r="Q317" s="10">
        <f t="shared" si="22"/>
        <v>2477.8454999999999</v>
      </c>
      <c r="R317" s="11">
        <f t="shared" si="23"/>
        <v>16956.234500000002</v>
      </c>
      <c r="S317" s="1" t="str">
        <f t="shared" si="24"/>
        <v>High</v>
      </c>
      <c r="T317" s="1" t="str" cm="1">
        <f t="array" ref="T317">_xlfn.IFS(L317&gt;5,"High",L317=5,"mediam",L317&lt;5,"low")</f>
        <v>High</v>
      </c>
      <c r="U317" s="1" t="str">
        <f t="shared" si="25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1"/>
        <v>1577.44</v>
      </c>
      <c r="Q318" s="10">
        <f t="shared" si="22"/>
        <v>252.39000000000001</v>
      </c>
      <c r="R318" s="11">
        <f t="shared" si="23"/>
        <v>1325.05</v>
      </c>
      <c r="S318" s="1" t="str">
        <f t="shared" si="24"/>
        <v>Low</v>
      </c>
      <c r="T318" s="1" t="str" cm="1">
        <f t="array" ref="T318">_xlfn.IFS(L318&gt;5,"High",L318=5,"mediam",L318&lt;5,"low")</f>
        <v>low</v>
      </c>
      <c r="U318" s="1" t="b">
        <f t="shared" si="25"/>
        <v>0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1"/>
        <v>1715.21</v>
      </c>
      <c r="Q319" s="10">
        <f t="shared" si="22"/>
        <v>0</v>
      </c>
      <c r="R319" s="11">
        <f t="shared" si="23"/>
        <v>1715.21</v>
      </c>
      <c r="S319" s="1" t="str">
        <f t="shared" si="24"/>
        <v>High</v>
      </c>
      <c r="T319" s="1" t="str" cm="1">
        <f t="array" ref="T319">_xlfn.IFS(L319&gt;5,"High",L319=5,"mediam",L319&lt;5,"low")</f>
        <v>High</v>
      </c>
      <c r="U319" s="1" t="str">
        <f t="shared" si="25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1"/>
        <v>12372.8</v>
      </c>
      <c r="Q320" s="10">
        <f t="shared" si="22"/>
        <v>1577.5319999999999</v>
      </c>
      <c r="R320" s="11">
        <f t="shared" si="23"/>
        <v>10795.268</v>
      </c>
      <c r="S320" s="1" t="str">
        <f t="shared" si="24"/>
        <v>High</v>
      </c>
      <c r="T320" s="1" t="str" cm="1">
        <f t="array" ref="T320">_xlfn.IFS(L320&gt;5,"High",L320=5,"mediam",L320&lt;5,"low")</f>
        <v>High</v>
      </c>
      <c r="U320" s="1" t="str">
        <f t="shared" si="25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1"/>
        <v>18038.240000000002</v>
      </c>
      <c r="Q321" s="10">
        <f t="shared" si="22"/>
        <v>0</v>
      </c>
      <c r="R321" s="11">
        <f t="shared" si="23"/>
        <v>18038.240000000002</v>
      </c>
      <c r="S321" s="1" t="str">
        <f t="shared" si="24"/>
        <v>High</v>
      </c>
      <c r="T321" s="1" t="str" cm="1">
        <f t="array" ref="T321">_xlfn.IFS(L321&gt;5,"High",L321=5,"mediam",L321&lt;5,"low")</f>
        <v>High</v>
      </c>
      <c r="U321" s="1" t="str">
        <f t="shared" si="25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1"/>
        <v>23683.17</v>
      </c>
      <c r="Q322" s="10">
        <f t="shared" si="22"/>
        <v>3789.3080000000004</v>
      </c>
      <c r="R322" s="11">
        <f t="shared" si="23"/>
        <v>19893.861999999997</v>
      </c>
      <c r="S322" s="1" t="str">
        <f t="shared" si="24"/>
        <v>High</v>
      </c>
      <c r="T322" s="1" t="str" cm="1">
        <f t="array" ref="T322">_xlfn.IFS(L322&gt;5,"High",L322=5,"mediam",L322&lt;5,"low")</f>
        <v>High</v>
      </c>
      <c r="U322" s="1" t="str">
        <f t="shared" si="25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6">L323*M323</f>
        <v>3204.1000000000004</v>
      </c>
      <c r="Q323" s="10">
        <f t="shared" ref="Q323:Q386" si="27">O323*N323%</f>
        <v>0</v>
      </c>
      <c r="R323" s="11">
        <f t="shared" ref="R323:R386" si="28">P323-Q323</f>
        <v>3204.1000000000004</v>
      </c>
      <c r="S323" s="1" t="str">
        <f t="shared" ref="S323:S386" si="29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si="25"/>
        <v>0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6"/>
        <v>3230.79</v>
      </c>
      <c r="Q324" s="10">
        <f t="shared" si="27"/>
        <v>153.46250000000001</v>
      </c>
      <c r="R324" s="11">
        <f t="shared" si="28"/>
        <v>3077.3274999999999</v>
      </c>
      <c r="S324" s="1" t="str">
        <f t="shared" si="29"/>
        <v>Low</v>
      </c>
      <c r="T324" s="1" t="str" cm="1">
        <f t="array" ref="T324">_xlfn.IFS(L324&gt;5,"High",L324=5,"mediam",L324&lt;5,"low")</f>
        <v>low</v>
      </c>
      <c r="U324" s="1" t="b">
        <f t="shared" si="25"/>
        <v>0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6"/>
        <v>31253.22</v>
      </c>
      <c r="Q325" s="10">
        <f t="shared" si="27"/>
        <v>3984.7860000000001</v>
      </c>
      <c r="R325" s="11">
        <f t="shared" si="28"/>
        <v>27268.434000000001</v>
      </c>
      <c r="S325" s="1" t="str">
        <f t="shared" si="29"/>
        <v>High</v>
      </c>
      <c r="T325" s="1" t="str" cm="1">
        <f t="array" ref="T325">_xlfn.IFS(L325&gt;5,"High",L325=5,"mediam",L325&lt;5,"low")</f>
        <v>High</v>
      </c>
      <c r="U325" s="1" t="str">
        <f t="shared" si="25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6"/>
        <v>5111.05</v>
      </c>
      <c r="Q326" s="10">
        <f t="shared" si="27"/>
        <v>0</v>
      </c>
      <c r="R326" s="11">
        <f t="shared" si="28"/>
        <v>5111.05</v>
      </c>
      <c r="S326" s="1" t="str">
        <f t="shared" si="29"/>
        <v>High</v>
      </c>
      <c r="T326" s="1" t="str" cm="1">
        <f t="array" ref="T326">_xlfn.IFS(L326&gt;5,"High",L326=5,"mediam",L326&lt;5,"low")</f>
        <v>High</v>
      </c>
      <c r="U326" s="1" t="str">
        <f t="shared" si="25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6"/>
        <v>6857.28</v>
      </c>
      <c r="Q327" s="10">
        <f t="shared" si="27"/>
        <v>617.15500000000009</v>
      </c>
      <c r="R327" s="11">
        <f t="shared" si="28"/>
        <v>6240.125</v>
      </c>
      <c r="S327" s="1" t="str">
        <f t="shared" si="29"/>
        <v>Low</v>
      </c>
      <c r="T327" s="1" t="str" cm="1">
        <f t="array" ref="T327">_xlfn.IFS(L327&gt;5,"High",L327=5,"mediam",L327&lt;5,"low")</f>
        <v>low</v>
      </c>
      <c r="U327" s="1" t="b">
        <f t="shared" si="25"/>
        <v>0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6"/>
        <v>23802.6</v>
      </c>
      <c r="Q328" s="10">
        <f t="shared" si="27"/>
        <v>0</v>
      </c>
      <c r="R328" s="11">
        <f t="shared" si="28"/>
        <v>23802.6</v>
      </c>
      <c r="S328" s="1" t="str">
        <f t="shared" si="29"/>
        <v>High</v>
      </c>
      <c r="T328" s="1" t="str" cm="1">
        <f t="array" ref="T328">_xlfn.IFS(L328&gt;5,"High",L328=5,"mediam",L328&lt;5,"low")</f>
        <v>High</v>
      </c>
      <c r="U328" s="1" t="str">
        <f t="shared" si="25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6"/>
        <v>5896.66</v>
      </c>
      <c r="Q329" s="10">
        <f t="shared" si="27"/>
        <v>751.82399999999996</v>
      </c>
      <c r="R329" s="11">
        <f t="shared" si="28"/>
        <v>5144.8360000000002</v>
      </c>
      <c r="S329" s="1" t="str">
        <f t="shared" si="29"/>
        <v>Low</v>
      </c>
      <c r="T329" s="1" t="str" cm="1">
        <f t="array" ref="T329">_xlfn.IFS(L329&gt;5,"High",L329=5,"mediam",L329&lt;5,"low")</f>
        <v>low</v>
      </c>
      <c r="U329" s="1" t="b">
        <f t="shared" ref="U329:U392" si="30">IF(L329&gt;5,"High",IF(L329="Mediam","Low"))</f>
        <v>0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6"/>
        <v>3171.36</v>
      </c>
      <c r="Q330" s="10">
        <f t="shared" si="27"/>
        <v>507.41800000000006</v>
      </c>
      <c r="R330" s="11">
        <f t="shared" si="28"/>
        <v>2663.942</v>
      </c>
      <c r="S330" s="1" t="str">
        <f t="shared" si="29"/>
        <v>Low</v>
      </c>
      <c r="T330" s="1" t="str" cm="1">
        <f t="array" ref="T330">_xlfn.IFS(L330&gt;5,"High",L330=5,"mediam",L330&lt;5,"low")</f>
        <v>low</v>
      </c>
      <c r="U330" s="1" t="b">
        <f t="shared" si="30"/>
        <v>0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6"/>
        <v>27849.5</v>
      </c>
      <c r="Q331" s="10">
        <f t="shared" si="27"/>
        <v>4455.92</v>
      </c>
      <c r="R331" s="11">
        <f t="shared" si="28"/>
        <v>23393.58</v>
      </c>
      <c r="S331" s="1" t="str">
        <f t="shared" si="29"/>
        <v>High</v>
      </c>
      <c r="T331" s="1" t="str" cm="1">
        <f t="array" ref="T331">_xlfn.IFS(L331&gt;5,"High",L331=5,"mediam",L331&lt;5,"low")</f>
        <v>High</v>
      </c>
      <c r="U331" s="1" t="str">
        <f t="shared" si="30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6"/>
        <v>4962.2</v>
      </c>
      <c r="Q332" s="10">
        <f t="shared" si="27"/>
        <v>632.68049999999994</v>
      </c>
      <c r="R332" s="11">
        <f t="shared" si="28"/>
        <v>4329.5195000000003</v>
      </c>
      <c r="S332" s="1" t="str">
        <f t="shared" si="29"/>
        <v>Low</v>
      </c>
      <c r="T332" s="1" t="str" cm="1">
        <f t="array" ref="T332">_xlfn.IFS(L332&gt;5,"High",L332=5,"mediam",L332&lt;5,"low")</f>
        <v>low</v>
      </c>
      <c r="U332" s="1" t="b">
        <f t="shared" si="30"/>
        <v>0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6"/>
        <v>2670.72</v>
      </c>
      <c r="Q333" s="10">
        <f t="shared" si="27"/>
        <v>126.85899999999999</v>
      </c>
      <c r="R333" s="11">
        <f t="shared" si="28"/>
        <v>2543.8609999999999</v>
      </c>
      <c r="S333" s="1" t="str">
        <f t="shared" si="29"/>
        <v>Low</v>
      </c>
      <c r="T333" s="1" t="str" cm="1">
        <f t="array" ref="T333">_xlfn.IFS(L333&gt;5,"High",L333=5,"mediam",L333&lt;5,"low")</f>
        <v>low</v>
      </c>
      <c r="U333" s="1" t="b">
        <f t="shared" si="30"/>
        <v>0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6"/>
        <v>16872.449999999997</v>
      </c>
      <c r="Q334" s="10">
        <f t="shared" si="27"/>
        <v>801.44150000000002</v>
      </c>
      <c r="R334" s="11">
        <f t="shared" si="28"/>
        <v>16071.008499999996</v>
      </c>
      <c r="S334" s="1" t="str">
        <f t="shared" si="29"/>
        <v>High</v>
      </c>
      <c r="T334" s="1" t="str" cm="1">
        <f t="array" ref="T334">_xlfn.IFS(L334&gt;5,"High",L334=5,"mediam",L334&lt;5,"low")</f>
        <v>mediam</v>
      </c>
      <c r="U334" s="1" t="b">
        <f t="shared" si="30"/>
        <v>0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6"/>
        <v>12578.85</v>
      </c>
      <c r="Q335" s="10">
        <f t="shared" si="27"/>
        <v>2012.616</v>
      </c>
      <c r="R335" s="11">
        <f t="shared" si="28"/>
        <v>10566.234</v>
      </c>
      <c r="S335" s="1" t="str">
        <f t="shared" si="29"/>
        <v>High</v>
      </c>
      <c r="T335" s="1" t="str" cm="1">
        <f t="array" ref="T335">_xlfn.IFS(L335&gt;5,"High",L335=5,"mediam",L335&lt;5,"low")</f>
        <v>mediam</v>
      </c>
      <c r="U335" s="1" t="b">
        <f t="shared" si="30"/>
        <v>0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6"/>
        <v>16713.2</v>
      </c>
      <c r="Q336" s="10">
        <f t="shared" si="27"/>
        <v>2674.1120000000001</v>
      </c>
      <c r="R336" s="11">
        <f t="shared" si="28"/>
        <v>14039.088</v>
      </c>
      <c r="S336" s="1" t="str">
        <f t="shared" si="29"/>
        <v>High</v>
      </c>
      <c r="T336" s="1" t="str" cm="1">
        <f t="array" ref="T336">_xlfn.IFS(L336&gt;5,"High",L336=5,"mediam",L336&lt;5,"low")</f>
        <v>High</v>
      </c>
      <c r="U336" s="1" t="str">
        <f t="shared" si="30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6"/>
        <v>1126.5</v>
      </c>
      <c r="Q337" s="10">
        <f t="shared" si="27"/>
        <v>143.62799999999999</v>
      </c>
      <c r="R337" s="11">
        <f t="shared" si="28"/>
        <v>982.87200000000007</v>
      </c>
      <c r="S337" s="1" t="str">
        <f t="shared" si="29"/>
        <v>Low</v>
      </c>
      <c r="T337" s="1" t="str" cm="1">
        <f t="array" ref="T337">_xlfn.IFS(L337&gt;5,"High",L337=5,"mediam",L337&lt;5,"low")</f>
        <v>low</v>
      </c>
      <c r="U337" s="1" t="b">
        <f t="shared" si="30"/>
        <v>0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6"/>
        <v>24495.119999999999</v>
      </c>
      <c r="Q338" s="10">
        <f t="shared" si="27"/>
        <v>1163.518</v>
      </c>
      <c r="R338" s="11">
        <f t="shared" si="28"/>
        <v>23331.601999999999</v>
      </c>
      <c r="S338" s="1" t="str">
        <f t="shared" si="29"/>
        <v>High</v>
      </c>
      <c r="T338" s="1" t="str" cm="1">
        <f t="array" ref="T338">_xlfn.IFS(L338&gt;5,"High",L338=5,"mediam",L338&lt;5,"low")</f>
        <v>High</v>
      </c>
      <c r="U338" s="1" t="str">
        <f t="shared" si="30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6"/>
        <v>1393.26</v>
      </c>
      <c r="Q339" s="10">
        <f t="shared" si="27"/>
        <v>222.922</v>
      </c>
      <c r="R339" s="11">
        <f t="shared" si="28"/>
        <v>1170.338</v>
      </c>
      <c r="S339" s="1" t="str">
        <f t="shared" si="29"/>
        <v>Low</v>
      </c>
      <c r="T339" s="1" t="str" cm="1">
        <f t="array" ref="T339">_xlfn.IFS(L339&gt;5,"High",L339=5,"mediam",L339&lt;5,"low")</f>
        <v>low</v>
      </c>
      <c r="U339" s="1" t="b">
        <f t="shared" si="30"/>
        <v>0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6"/>
        <v>14834.04</v>
      </c>
      <c r="Q340" s="10">
        <f t="shared" si="27"/>
        <v>704.61700000000008</v>
      </c>
      <c r="R340" s="11">
        <f t="shared" si="28"/>
        <v>14129.423000000001</v>
      </c>
      <c r="S340" s="1" t="str">
        <f t="shared" si="29"/>
        <v>Low</v>
      </c>
      <c r="T340" s="1" t="str" cm="1">
        <f t="array" ref="T340">_xlfn.IFS(L340&gt;5,"High",L340=5,"mediam",L340&lt;5,"low")</f>
        <v>low</v>
      </c>
      <c r="U340" s="1" t="b">
        <f t="shared" si="30"/>
        <v>0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6"/>
        <v>12639.78</v>
      </c>
      <c r="Q341" s="10">
        <f t="shared" si="27"/>
        <v>2022.364</v>
      </c>
      <c r="R341" s="11">
        <f t="shared" si="28"/>
        <v>10617.416000000001</v>
      </c>
      <c r="S341" s="1" t="str">
        <f t="shared" si="29"/>
        <v>High</v>
      </c>
      <c r="T341" s="1" t="str" cm="1">
        <f t="array" ref="T341">_xlfn.IFS(L341&gt;5,"High",L341=5,"mediam",L341&lt;5,"low")</f>
        <v>High</v>
      </c>
      <c r="U341" s="1" t="str">
        <f t="shared" si="30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6"/>
        <v>2567.7199999999998</v>
      </c>
      <c r="Q342" s="10">
        <f t="shared" si="27"/>
        <v>0</v>
      </c>
      <c r="R342" s="11">
        <f t="shared" si="28"/>
        <v>2567.7199999999998</v>
      </c>
      <c r="S342" s="1" t="str">
        <f t="shared" si="29"/>
        <v>Low</v>
      </c>
      <c r="T342" s="1" t="str" cm="1">
        <f t="array" ref="T342">_xlfn.IFS(L342&gt;5,"High",L342=5,"mediam",L342&lt;5,"low")</f>
        <v>low</v>
      </c>
      <c r="U342" s="1" t="b">
        <f t="shared" si="30"/>
        <v>0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6"/>
        <v>9265.5499999999993</v>
      </c>
      <c r="Q343" s="10">
        <f t="shared" si="27"/>
        <v>833.899</v>
      </c>
      <c r="R343" s="11">
        <f t="shared" si="28"/>
        <v>8431.6509999999998</v>
      </c>
      <c r="S343" s="1" t="str">
        <f t="shared" si="29"/>
        <v>High</v>
      </c>
      <c r="T343" s="1" t="str" cm="1">
        <f t="array" ref="T343">_xlfn.IFS(L343&gt;5,"High",L343=5,"mediam",L343&lt;5,"low")</f>
        <v>mediam</v>
      </c>
      <c r="U343" s="1" t="b">
        <f t="shared" si="30"/>
        <v>0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6"/>
        <v>2194.5699999999997</v>
      </c>
      <c r="Q344" s="10">
        <f t="shared" si="27"/>
        <v>0</v>
      </c>
      <c r="R344" s="11">
        <f t="shared" si="28"/>
        <v>2194.5699999999997</v>
      </c>
      <c r="S344" s="1" t="str">
        <f t="shared" si="29"/>
        <v>High</v>
      </c>
      <c r="T344" s="1" t="str" cm="1">
        <f t="array" ref="T344">_xlfn.IFS(L344&gt;5,"High",L344=5,"mediam",L344&lt;5,"low")</f>
        <v>High</v>
      </c>
      <c r="U344" s="1" t="str">
        <f t="shared" si="30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6"/>
        <v>11143.24</v>
      </c>
      <c r="Q345" s="10">
        <f t="shared" si="27"/>
        <v>1782.9180000000001</v>
      </c>
      <c r="R345" s="11">
        <f t="shared" si="28"/>
        <v>9360.3220000000001</v>
      </c>
      <c r="S345" s="1" t="str">
        <f t="shared" si="29"/>
        <v>Low</v>
      </c>
      <c r="T345" s="1" t="str" cm="1">
        <f t="array" ref="T345">_xlfn.IFS(L345&gt;5,"High",L345=5,"mediam",L345&lt;5,"low")</f>
        <v>low</v>
      </c>
      <c r="U345" s="1" t="b">
        <f t="shared" si="30"/>
        <v>0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6"/>
        <v>3625.42</v>
      </c>
      <c r="Q346" s="10">
        <f t="shared" si="27"/>
        <v>326.28800000000001</v>
      </c>
      <c r="R346" s="11">
        <f t="shared" si="28"/>
        <v>3299.1320000000001</v>
      </c>
      <c r="S346" s="1" t="str">
        <f t="shared" si="29"/>
        <v>Low</v>
      </c>
      <c r="T346" s="1" t="str" cm="1">
        <f t="array" ref="T346">_xlfn.IFS(L346&gt;5,"High",L346=5,"mediam",L346&lt;5,"low")</f>
        <v>low</v>
      </c>
      <c r="U346" s="1" t="b">
        <f t="shared" si="30"/>
        <v>0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6"/>
        <v>30361.14</v>
      </c>
      <c r="Q347" s="10">
        <f t="shared" si="27"/>
        <v>2732.5030000000002</v>
      </c>
      <c r="R347" s="11">
        <f t="shared" si="28"/>
        <v>27628.636999999999</v>
      </c>
      <c r="S347" s="1" t="str">
        <f t="shared" si="29"/>
        <v>High</v>
      </c>
      <c r="T347" s="1" t="str" cm="1">
        <f t="array" ref="T347">_xlfn.IFS(L347&gt;5,"High",L347=5,"mediam",L347&lt;5,"low")</f>
        <v>High</v>
      </c>
      <c r="U347" s="1" t="str">
        <f t="shared" si="30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6"/>
        <v>2561.48</v>
      </c>
      <c r="Q348" s="10">
        <f t="shared" si="27"/>
        <v>409.83600000000001</v>
      </c>
      <c r="R348" s="11">
        <f t="shared" si="28"/>
        <v>2151.6440000000002</v>
      </c>
      <c r="S348" s="1" t="str">
        <f t="shared" si="29"/>
        <v>Low</v>
      </c>
      <c r="T348" s="1" t="str" cm="1">
        <f t="array" ref="T348">_xlfn.IFS(L348&gt;5,"High",L348=5,"mediam",L348&lt;5,"low")</f>
        <v>low</v>
      </c>
      <c r="U348" s="1" t="b">
        <f t="shared" si="30"/>
        <v>0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6"/>
        <v>5725.26</v>
      </c>
      <c r="Q349" s="10">
        <f t="shared" si="27"/>
        <v>916.04200000000003</v>
      </c>
      <c r="R349" s="11">
        <f t="shared" si="28"/>
        <v>4809.2179999999998</v>
      </c>
      <c r="S349" s="1" t="str">
        <f t="shared" si="29"/>
        <v>High</v>
      </c>
      <c r="T349" s="1" t="str" cm="1">
        <f t="array" ref="T349">_xlfn.IFS(L349&gt;5,"High",L349=5,"mediam",L349&lt;5,"low")</f>
        <v>High</v>
      </c>
      <c r="U349" s="1" t="str">
        <f t="shared" si="30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6"/>
        <v>19690.32</v>
      </c>
      <c r="Q350" s="10">
        <f t="shared" si="27"/>
        <v>935.29</v>
      </c>
      <c r="R350" s="11">
        <f t="shared" si="28"/>
        <v>18755.03</v>
      </c>
      <c r="S350" s="1" t="str">
        <f t="shared" si="29"/>
        <v>High</v>
      </c>
      <c r="T350" s="1" t="str" cm="1">
        <f t="array" ref="T350">_xlfn.IFS(L350&gt;5,"High",L350=5,"mediam",L350&lt;5,"low")</f>
        <v>High</v>
      </c>
      <c r="U350" s="1" t="str">
        <f t="shared" si="30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6"/>
        <v>3708.38</v>
      </c>
      <c r="Q351" s="10">
        <f t="shared" si="27"/>
        <v>593.34</v>
      </c>
      <c r="R351" s="11">
        <f t="shared" si="28"/>
        <v>3115.04</v>
      </c>
      <c r="S351" s="1" t="str">
        <f t="shared" si="29"/>
        <v>Low</v>
      </c>
      <c r="T351" s="1" t="str" cm="1">
        <f t="array" ref="T351">_xlfn.IFS(L351&gt;5,"High",L351=5,"mediam",L351&lt;5,"low")</f>
        <v>low</v>
      </c>
      <c r="U351" s="1" t="b">
        <f t="shared" si="30"/>
        <v>0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6"/>
        <v>5770.74</v>
      </c>
      <c r="Q352" s="10">
        <f t="shared" si="27"/>
        <v>735.76949999999999</v>
      </c>
      <c r="R352" s="11">
        <f t="shared" si="28"/>
        <v>5034.9704999999994</v>
      </c>
      <c r="S352" s="1" t="str">
        <f t="shared" si="29"/>
        <v>Low</v>
      </c>
      <c r="T352" s="1" t="str" cm="1">
        <f t="array" ref="T352">_xlfn.IFS(L352&gt;5,"High",L352=5,"mediam",L352&lt;5,"low")</f>
        <v>low</v>
      </c>
      <c r="U352" s="1" t="b">
        <f t="shared" si="30"/>
        <v>0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6"/>
        <v>4142.08</v>
      </c>
      <c r="Q353" s="10">
        <f t="shared" si="27"/>
        <v>662.73199999999997</v>
      </c>
      <c r="R353" s="11">
        <f t="shared" si="28"/>
        <v>3479.348</v>
      </c>
      <c r="S353" s="1" t="str">
        <f t="shared" si="29"/>
        <v>Low</v>
      </c>
      <c r="T353" s="1" t="str" cm="1">
        <f t="array" ref="T353">_xlfn.IFS(L353&gt;5,"High",L353=5,"mediam",L353&lt;5,"low")</f>
        <v>low</v>
      </c>
      <c r="U353" s="1" t="b">
        <f t="shared" si="30"/>
        <v>0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6"/>
        <v>12377.789999999999</v>
      </c>
      <c r="Q354" s="10">
        <f t="shared" si="27"/>
        <v>1578.1680000000001</v>
      </c>
      <c r="R354" s="11">
        <f t="shared" si="28"/>
        <v>10799.621999999999</v>
      </c>
      <c r="S354" s="1" t="str">
        <f t="shared" si="29"/>
        <v>High</v>
      </c>
      <c r="T354" s="1" t="str" cm="1">
        <f t="array" ref="T354">_xlfn.IFS(L354&gt;5,"High",L354=5,"mediam",L354&lt;5,"low")</f>
        <v>High</v>
      </c>
      <c r="U354" s="1" t="str">
        <f t="shared" si="30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6"/>
        <v>3592.92</v>
      </c>
      <c r="Q355" s="10">
        <f t="shared" si="27"/>
        <v>574.86800000000005</v>
      </c>
      <c r="R355" s="11">
        <f t="shared" si="28"/>
        <v>3018.0520000000001</v>
      </c>
      <c r="S355" s="1" t="str">
        <f t="shared" si="29"/>
        <v>Low</v>
      </c>
      <c r="T355" s="1" t="str" cm="1">
        <f t="array" ref="T355">_xlfn.IFS(L355&gt;5,"High",L355=5,"mediam",L355&lt;5,"low")</f>
        <v>low</v>
      </c>
      <c r="U355" s="1" t="b">
        <f t="shared" si="30"/>
        <v>0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6"/>
        <v>23695.920000000002</v>
      </c>
      <c r="Q356" s="10">
        <f t="shared" si="27"/>
        <v>1125.556</v>
      </c>
      <c r="R356" s="11">
        <f t="shared" si="28"/>
        <v>22570.364000000001</v>
      </c>
      <c r="S356" s="1" t="str">
        <f t="shared" si="29"/>
        <v>High</v>
      </c>
      <c r="T356" s="1" t="str" cm="1">
        <f t="array" ref="T356">_xlfn.IFS(L356&gt;5,"High",L356=5,"mediam",L356&lt;5,"low")</f>
        <v>High</v>
      </c>
      <c r="U356" s="1" t="str">
        <f t="shared" si="30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6"/>
        <v>11337.93</v>
      </c>
      <c r="Q357" s="10">
        <f t="shared" si="27"/>
        <v>1445.586</v>
      </c>
      <c r="R357" s="11">
        <f t="shared" si="28"/>
        <v>9892.344000000001</v>
      </c>
      <c r="S357" s="1" t="str">
        <f t="shared" si="29"/>
        <v>High</v>
      </c>
      <c r="T357" s="1" t="str" cm="1">
        <f t="array" ref="T357">_xlfn.IFS(L357&gt;5,"High",L357=5,"mediam",L357&lt;5,"low")</f>
        <v>High</v>
      </c>
      <c r="U357" s="1" t="str">
        <f t="shared" si="30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6"/>
        <v>10402.48</v>
      </c>
      <c r="Q358" s="10">
        <f t="shared" si="27"/>
        <v>0</v>
      </c>
      <c r="R358" s="11">
        <f t="shared" si="28"/>
        <v>10402.48</v>
      </c>
      <c r="S358" s="1" t="str">
        <f t="shared" si="29"/>
        <v>High</v>
      </c>
      <c r="T358" s="1" t="str" cm="1">
        <f t="array" ref="T358">_xlfn.IFS(L358&gt;5,"High",L358=5,"mediam",L358&lt;5,"low")</f>
        <v>High</v>
      </c>
      <c r="U358" s="1" t="str">
        <f t="shared" si="30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6"/>
        <v>28648.959999999999</v>
      </c>
      <c r="Q359" s="10">
        <f t="shared" si="27"/>
        <v>3652.7429999999999</v>
      </c>
      <c r="R359" s="11">
        <f t="shared" si="28"/>
        <v>24996.217000000001</v>
      </c>
      <c r="S359" s="1" t="str">
        <f t="shared" si="29"/>
        <v>High</v>
      </c>
      <c r="T359" s="1" t="str" cm="1">
        <f t="array" ref="T359">_xlfn.IFS(L359&gt;5,"High",L359=5,"mediam",L359&lt;5,"low")</f>
        <v>High</v>
      </c>
      <c r="U359" s="1" t="str">
        <f t="shared" si="30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6"/>
        <v>202.49</v>
      </c>
      <c r="Q360" s="10">
        <f t="shared" si="27"/>
        <v>9.6185000000000009</v>
      </c>
      <c r="R360" s="11">
        <f t="shared" si="28"/>
        <v>192.8715</v>
      </c>
      <c r="S360" s="1" t="str">
        <f t="shared" si="29"/>
        <v>Low</v>
      </c>
      <c r="T360" s="1" t="str" cm="1">
        <f t="array" ref="T360">_xlfn.IFS(L360&gt;5,"High",L360=5,"mediam",L360&lt;5,"low")</f>
        <v>low</v>
      </c>
      <c r="U360" s="1" t="b">
        <f t="shared" si="30"/>
        <v>0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6"/>
        <v>11140</v>
      </c>
      <c r="Q361" s="10">
        <f t="shared" si="27"/>
        <v>1420.35</v>
      </c>
      <c r="R361" s="11">
        <f t="shared" si="28"/>
        <v>9719.65</v>
      </c>
      <c r="S361" s="1" t="str">
        <f t="shared" si="29"/>
        <v>High</v>
      </c>
      <c r="T361" s="1" t="str" cm="1">
        <f t="array" ref="T361">_xlfn.IFS(L361&gt;5,"High",L361=5,"mediam",L361&lt;5,"low")</f>
        <v>High</v>
      </c>
      <c r="U361" s="1" t="str">
        <f t="shared" si="30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6"/>
        <v>6852.8099999999995</v>
      </c>
      <c r="Q362" s="10">
        <f t="shared" si="27"/>
        <v>1096.45</v>
      </c>
      <c r="R362" s="11">
        <f t="shared" si="28"/>
        <v>5756.36</v>
      </c>
      <c r="S362" s="1" t="str">
        <f t="shared" si="29"/>
        <v>Low</v>
      </c>
      <c r="T362" s="1" t="str" cm="1">
        <f t="array" ref="T362">_xlfn.IFS(L362&gt;5,"High",L362=5,"mediam",L362&lt;5,"low")</f>
        <v>low</v>
      </c>
      <c r="U362" s="1" t="b">
        <f t="shared" si="30"/>
        <v>0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6"/>
        <v>5044.4799999999996</v>
      </c>
      <c r="Q363" s="10">
        <f t="shared" si="27"/>
        <v>807.11599999999999</v>
      </c>
      <c r="R363" s="11">
        <f t="shared" si="28"/>
        <v>4237.3639999999996</v>
      </c>
      <c r="S363" s="1" t="str">
        <f t="shared" si="29"/>
        <v>High</v>
      </c>
      <c r="T363" s="1" t="str" cm="1">
        <f t="array" ref="T363">_xlfn.IFS(L363&gt;5,"High",L363=5,"mediam",L363&lt;5,"low")</f>
        <v>High</v>
      </c>
      <c r="U363" s="1" t="str">
        <f t="shared" si="30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6"/>
        <v>504.58</v>
      </c>
      <c r="Q364" s="10">
        <f t="shared" si="27"/>
        <v>23.967500000000001</v>
      </c>
      <c r="R364" s="11">
        <f t="shared" si="28"/>
        <v>480.61249999999995</v>
      </c>
      <c r="S364" s="1" t="str">
        <f t="shared" si="29"/>
        <v>Low</v>
      </c>
      <c r="T364" s="1" t="str" cm="1">
        <f t="array" ref="T364">_xlfn.IFS(L364&gt;5,"High",L364=5,"mediam",L364&lt;5,"low")</f>
        <v>low</v>
      </c>
      <c r="U364" s="1" t="b">
        <f t="shared" si="30"/>
        <v>0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6"/>
        <v>3288.81</v>
      </c>
      <c r="Q365" s="10">
        <f t="shared" si="27"/>
        <v>295.99299999999999</v>
      </c>
      <c r="R365" s="11">
        <f t="shared" si="28"/>
        <v>2992.817</v>
      </c>
      <c r="S365" s="1" t="str">
        <f t="shared" si="29"/>
        <v>Low</v>
      </c>
      <c r="T365" s="1" t="str" cm="1">
        <f t="array" ref="T365">_xlfn.IFS(L365&gt;5,"High",L365=5,"mediam",L365&lt;5,"low")</f>
        <v>low</v>
      </c>
      <c r="U365" s="1" t="b">
        <f t="shared" si="30"/>
        <v>0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6"/>
        <v>17967.3</v>
      </c>
      <c r="Q366" s="10">
        <f t="shared" si="27"/>
        <v>2874.768</v>
      </c>
      <c r="R366" s="11">
        <f t="shared" si="28"/>
        <v>15092.531999999999</v>
      </c>
      <c r="S366" s="1" t="str">
        <f t="shared" si="29"/>
        <v>High</v>
      </c>
      <c r="T366" s="1" t="str" cm="1">
        <f t="array" ref="T366">_xlfn.IFS(L366&gt;5,"High",L366=5,"mediam",L366&lt;5,"low")</f>
        <v>mediam</v>
      </c>
      <c r="U366" s="1" t="b">
        <f t="shared" si="30"/>
        <v>0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6"/>
        <v>16604.400000000001</v>
      </c>
      <c r="Q367" s="10">
        <f t="shared" si="27"/>
        <v>0</v>
      </c>
      <c r="R367" s="11">
        <f t="shared" si="28"/>
        <v>16604.400000000001</v>
      </c>
      <c r="S367" s="1" t="str">
        <f t="shared" si="29"/>
        <v>High</v>
      </c>
      <c r="T367" s="1" t="str" cm="1">
        <f t="array" ref="T367">_xlfn.IFS(L367&gt;5,"High",L367=5,"mediam",L367&lt;5,"low")</f>
        <v>mediam</v>
      </c>
      <c r="U367" s="1" t="b">
        <f t="shared" si="30"/>
        <v>0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6"/>
        <v>28882.639999999999</v>
      </c>
      <c r="Q368" s="10">
        <f t="shared" si="27"/>
        <v>1371.9255000000001</v>
      </c>
      <c r="R368" s="11">
        <f t="shared" si="28"/>
        <v>27510.714499999998</v>
      </c>
      <c r="S368" s="1" t="str">
        <f t="shared" si="29"/>
        <v>High</v>
      </c>
      <c r="T368" s="1" t="str" cm="1">
        <f t="array" ref="T368">_xlfn.IFS(L368&gt;5,"High",L368=5,"mediam",L368&lt;5,"low")</f>
        <v>High</v>
      </c>
      <c r="U368" s="1" t="str">
        <f t="shared" si="30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6"/>
        <v>15956.36</v>
      </c>
      <c r="Q369" s="10">
        <f t="shared" si="27"/>
        <v>2034.4364999999998</v>
      </c>
      <c r="R369" s="11">
        <f t="shared" si="28"/>
        <v>13921.923500000001</v>
      </c>
      <c r="S369" s="1" t="str">
        <f t="shared" si="29"/>
        <v>High</v>
      </c>
      <c r="T369" s="1" t="str" cm="1">
        <f t="array" ref="T369">_xlfn.IFS(L369&gt;5,"High",L369=5,"mediam",L369&lt;5,"low")</f>
        <v>High</v>
      </c>
      <c r="U369" s="1" t="str">
        <f t="shared" si="30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6"/>
        <v>26217.52</v>
      </c>
      <c r="Q370" s="10">
        <f t="shared" si="27"/>
        <v>3342.7334999999998</v>
      </c>
      <c r="R370" s="11">
        <f t="shared" si="28"/>
        <v>22874.786500000002</v>
      </c>
      <c r="S370" s="1" t="str">
        <f t="shared" si="29"/>
        <v>High</v>
      </c>
      <c r="T370" s="1" t="str" cm="1">
        <f t="array" ref="T370">_xlfn.IFS(L370&gt;5,"High",L370=5,"mediam",L370&lt;5,"low")</f>
        <v>High</v>
      </c>
      <c r="U370" s="1" t="str">
        <f t="shared" si="30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6"/>
        <v>9771.36</v>
      </c>
      <c r="Q371" s="10">
        <f t="shared" si="27"/>
        <v>0</v>
      </c>
      <c r="R371" s="11">
        <f t="shared" si="28"/>
        <v>9771.36</v>
      </c>
      <c r="S371" s="1" t="str">
        <f t="shared" si="29"/>
        <v>High</v>
      </c>
      <c r="T371" s="1" t="str" cm="1">
        <f t="array" ref="T371">_xlfn.IFS(L371&gt;5,"High",L371=5,"mediam",L371&lt;5,"low")</f>
        <v>High</v>
      </c>
      <c r="U371" s="1" t="str">
        <f t="shared" si="30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6"/>
        <v>16290.78</v>
      </c>
      <c r="Q372" s="10">
        <f t="shared" si="27"/>
        <v>2606.5240000000003</v>
      </c>
      <c r="R372" s="11">
        <f t="shared" si="28"/>
        <v>13684.256000000001</v>
      </c>
      <c r="S372" s="1" t="str">
        <f t="shared" si="29"/>
        <v>High</v>
      </c>
      <c r="T372" s="1" t="str" cm="1">
        <f t="array" ref="T372">_xlfn.IFS(L372&gt;5,"High",L372=5,"mediam",L372&lt;5,"low")</f>
        <v>High</v>
      </c>
      <c r="U372" s="1" t="str">
        <f t="shared" si="30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6"/>
        <v>7914.04</v>
      </c>
      <c r="Q373" s="10">
        <f t="shared" si="27"/>
        <v>375.91700000000003</v>
      </c>
      <c r="R373" s="11">
        <f t="shared" si="28"/>
        <v>7538.1229999999996</v>
      </c>
      <c r="S373" s="1" t="str">
        <f t="shared" si="29"/>
        <v>Low</v>
      </c>
      <c r="T373" s="1" t="str" cm="1">
        <f t="array" ref="T373">_xlfn.IFS(L373&gt;5,"High",L373=5,"mediam",L373&lt;5,"low")</f>
        <v>low</v>
      </c>
      <c r="U373" s="1" t="b">
        <f t="shared" si="30"/>
        <v>0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6"/>
        <v>6114.2999999999993</v>
      </c>
      <c r="Q374" s="10">
        <f t="shared" si="27"/>
        <v>0</v>
      </c>
      <c r="R374" s="11">
        <f t="shared" si="28"/>
        <v>6114.2999999999993</v>
      </c>
      <c r="S374" s="1" t="str">
        <f t="shared" si="29"/>
        <v>High</v>
      </c>
      <c r="T374" s="1" t="str" cm="1">
        <f t="array" ref="T374">_xlfn.IFS(L374&gt;5,"High",L374=5,"mediam",L374&lt;5,"low")</f>
        <v>High</v>
      </c>
      <c r="U374" s="1" t="str">
        <f t="shared" si="30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6"/>
        <v>8255.5499999999993</v>
      </c>
      <c r="Q375" s="10">
        <f t="shared" si="27"/>
        <v>1320.8879999999999</v>
      </c>
      <c r="R375" s="11">
        <f t="shared" si="28"/>
        <v>6934.6619999999994</v>
      </c>
      <c r="S375" s="1" t="str">
        <f t="shared" si="29"/>
        <v>High</v>
      </c>
      <c r="T375" s="1" t="str" cm="1">
        <f t="array" ref="T375">_xlfn.IFS(L375&gt;5,"High",L375=5,"mediam",L375&lt;5,"low")</f>
        <v>mediam</v>
      </c>
      <c r="U375" s="1" t="b">
        <f t="shared" si="30"/>
        <v>0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6"/>
        <v>5994.54</v>
      </c>
      <c r="Q376" s="10">
        <f t="shared" si="27"/>
        <v>284.74050000000005</v>
      </c>
      <c r="R376" s="11">
        <f t="shared" si="28"/>
        <v>5709.7995000000001</v>
      </c>
      <c r="S376" s="1" t="str">
        <f t="shared" si="29"/>
        <v>Low</v>
      </c>
      <c r="T376" s="1" t="str" cm="1">
        <f t="array" ref="T376">_xlfn.IFS(L376&gt;5,"High",L376=5,"mediam",L376&lt;5,"low")</f>
        <v>low</v>
      </c>
      <c r="U376" s="1" t="b">
        <f t="shared" si="30"/>
        <v>0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6"/>
        <v>4088.16</v>
      </c>
      <c r="Q377" s="10">
        <f t="shared" si="27"/>
        <v>521.24099999999999</v>
      </c>
      <c r="R377" s="11">
        <f t="shared" si="28"/>
        <v>3566.9189999999999</v>
      </c>
      <c r="S377" s="1" t="str">
        <f t="shared" si="29"/>
        <v>High</v>
      </c>
      <c r="T377" s="1" t="str" cm="1">
        <f t="array" ref="T377">_xlfn.IFS(L377&gt;5,"High",L377=5,"mediam",L377&lt;5,"low")</f>
        <v>High</v>
      </c>
      <c r="U377" s="1" t="str">
        <f t="shared" si="30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6"/>
        <v>3696</v>
      </c>
      <c r="Q378" s="10">
        <f t="shared" si="27"/>
        <v>175.56</v>
      </c>
      <c r="R378" s="11">
        <f t="shared" si="28"/>
        <v>3520.44</v>
      </c>
      <c r="S378" s="1" t="str">
        <f t="shared" si="29"/>
        <v>High</v>
      </c>
      <c r="T378" s="1" t="str" cm="1">
        <f t="array" ref="T378">_xlfn.IFS(L378&gt;5,"High",L378=5,"mediam",L378&lt;5,"low")</f>
        <v>High</v>
      </c>
      <c r="U378" s="1" t="str">
        <f t="shared" si="30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6"/>
        <v>30099.87</v>
      </c>
      <c r="Q379" s="10">
        <f t="shared" si="27"/>
        <v>2708.9880000000003</v>
      </c>
      <c r="R379" s="11">
        <f t="shared" si="28"/>
        <v>27390.881999999998</v>
      </c>
      <c r="S379" s="1" t="str">
        <f t="shared" si="29"/>
        <v>High</v>
      </c>
      <c r="T379" s="1" t="str" cm="1">
        <f t="array" ref="T379">_xlfn.IFS(L379&gt;5,"High",L379=5,"mediam",L379&lt;5,"low")</f>
        <v>High</v>
      </c>
      <c r="U379" s="1" t="str">
        <f t="shared" si="30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6"/>
        <v>3910.66</v>
      </c>
      <c r="Q380" s="10">
        <f t="shared" si="27"/>
        <v>185.75650000000002</v>
      </c>
      <c r="R380" s="11">
        <f t="shared" si="28"/>
        <v>3724.9034999999999</v>
      </c>
      <c r="S380" s="1" t="str">
        <f t="shared" si="29"/>
        <v>Low</v>
      </c>
      <c r="T380" s="1" t="str" cm="1">
        <f t="array" ref="T380">_xlfn.IFS(L380&gt;5,"High",L380=5,"mediam",L380&lt;5,"low")</f>
        <v>low</v>
      </c>
      <c r="U380" s="1" t="b">
        <f t="shared" si="30"/>
        <v>0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6"/>
        <v>5124.57</v>
      </c>
      <c r="Q381" s="10">
        <f t="shared" si="27"/>
        <v>461.21100000000001</v>
      </c>
      <c r="R381" s="11">
        <f t="shared" si="28"/>
        <v>4663.3589999999995</v>
      </c>
      <c r="S381" s="1" t="str">
        <f t="shared" si="29"/>
        <v>Low</v>
      </c>
      <c r="T381" s="1" t="str" cm="1">
        <f t="array" ref="T381">_xlfn.IFS(L381&gt;5,"High",L381=5,"mediam",L381&lt;5,"low")</f>
        <v>low</v>
      </c>
      <c r="U381" s="1" t="b">
        <f t="shared" si="30"/>
        <v>0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6"/>
        <v>1462.35</v>
      </c>
      <c r="Q382" s="10">
        <f t="shared" si="27"/>
        <v>69.461500000000001</v>
      </c>
      <c r="R382" s="11">
        <f t="shared" si="28"/>
        <v>1392.8885</v>
      </c>
      <c r="S382" s="1" t="str">
        <f t="shared" si="29"/>
        <v>Low</v>
      </c>
      <c r="T382" s="1" t="str" cm="1">
        <f t="array" ref="T382">_xlfn.IFS(L382&gt;5,"High",L382=5,"mediam",L382&lt;5,"low")</f>
        <v>low</v>
      </c>
      <c r="U382" s="1" t="b">
        <f t="shared" si="30"/>
        <v>0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6"/>
        <v>3227.04</v>
      </c>
      <c r="Q383" s="10">
        <f t="shared" si="27"/>
        <v>290.43400000000003</v>
      </c>
      <c r="R383" s="11">
        <f t="shared" si="28"/>
        <v>2936.6059999999998</v>
      </c>
      <c r="S383" s="1" t="str">
        <f t="shared" si="29"/>
        <v>High</v>
      </c>
      <c r="T383" s="1" t="str" cm="1">
        <f t="array" ref="T383">_xlfn.IFS(L383&gt;5,"High",L383=5,"mediam",L383&lt;5,"low")</f>
        <v>High</v>
      </c>
      <c r="U383" s="1" t="str">
        <f t="shared" si="30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6"/>
        <v>3581.58</v>
      </c>
      <c r="Q384" s="10">
        <f t="shared" si="27"/>
        <v>456.65100000000001</v>
      </c>
      <c r="R384" s="11">
        <f t="shared" si="28"/>
        <v>3124.9290000000001</v>
      </c>
      <c r="S384" s="1" t="str">
        <f t="shared" si="29"/>
        <v>Low</v>
      </c>
      <c r="T384" s="1" t="str" cm="1">
        <f t="array" ref="T384">_xlfn.IFS(L384&gt;5,"High",L384=5,"mediam",L384&lt;5,"low")</f>
        <v>low</v>
      </c>
      <c r="U384" s="1" t="b">
        <f t="shared" si="30"/>
        <v>0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6"/>
        <v>9678.4</v>
      </c>
      <c r="Q385" s="10">
        <f t="shared" si="27"/>
        <v>1548.5440000000001</v>
      </c>
      <c r="R385" s="11">
        <f t="shared" si="28"/>
        <v>8129.8559999999998</v>
      </c>
      <c r="S385" s="1" t="str">
        <f t="shared" si="29"/>
        <v>High</v>
      </c>
      <c r="T385" s="1" t="str" cm="1">
        <f t="array" ref="T385">_xlfn.IFS(L385&gt;5,"High",L385=5,"mediam",L385&lt;5,"low")</f>
        <v>mediam</v>
      </c>
      <c r="U385" s="1" t="b">
        <f t="shared" si="30"/>
        <v>0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6"/>
        <v>4146.33</v>
      </c>
      <c r="Q386" s="10">
        <f t="shared" si="27"/>
        <v>373.17</v>
      </c>
      <c r="R386" s="11">
        <f t="shared" si="28"/>
        <v>3773.16</v>
      </c>
      <c r="S386" s="1" t="str">
        <f t="shared" si="29"/>
        <v>Low</v>
      </c>
      <c r="T386" s="1" t="str" cm="1">
        <f t="array" ref="T386">_xlfn.IFS(L386&gt;5,"High",L386=5,"mediam",L386&lt;5,"low")</f>
        <v>low</v>
      </c>
      <c r="U386" s="1" t="b">
        <f t="shared" si="30"/>
        <v>0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1">L387*M387</f>
        <v>3968.76</v>
      </c>
      <c r="Q387" s="10">
        <f t="shared" ref="Q387:Q450" si="32">O387*N387%</f>
        <v>357.18800000000005</v>
      </c>
      <c r="R387" s="11">
        <f t="shared" ref="R387:R450" si="33">P387-Q387</f>
        <v>3611.5720000000001</v>
      </c>
      <c r="S387" s="1" t="str">
        <f t="shared" ref="S387:S450" si="34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si="30"/>
        <v>0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1"/>
        <v>11003.76</v>
      </c>
      <c r="Q388" s="10">
        <f t="shared" si="32"/>
        <v>1402.98</v>
      </c>
      <c r="R388" s="11">
        <f t="shared" si="33"/>
        <v>9600.7800000000007</v>
      </c>
      <c r="S388" s="1" t="str">
        <f t="shared" si="34"/>
        <v>High</v>
      </c>
      <c r="T388" s="1" t="str" cm="1">
        <f t="array" ref="T388">_xlfn.IFS(L388&gt;5,"High",L388=5,"mediam",L388&lt;5,"low")</f>
        <v>High</v>
      </c>
      <c r="U388" s="1" t="str">
        <f t="shared" si="30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1"/>
        <v>6098.37</v>
      </c>
      <c r="Q389" s="10">
        <f t="shared" si="32"/>
        <v>548.85299999999995</v>
      </c>
      <c r="R389" s="11">
        <f t="shared" si="33"/>
        <v>5549.5169999999998</v>
      </c>
      <c r="S389" s="1" t="str">
        <f t="shared" si="34"/>
        <v>Low</v>
      </c>
      <c r="T389" s="1" t="str" cm="1">
        <f t="array" ref="T389">_xlfn.IFS(L389&gt;5,"High",L389=5,"mediam",L389&lt;5,"low")</f>
        <v>low</v>
      </c>
      <c r="U389" s="1" t="b">
        <f t="shared" si="30"/>
        <v>0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1"/>
        <v>24215.03</v>
      </c>
      <c r="Q390" s="10">
        <f t="shared" si="32"/>
        <v>0</v>
      </c>
      <c r="R390" s="11">
        <f t="shared" si="33"/>
        <v>24215.03</v>
      </c>
      <c r="S390" s="1" t="str">
        <f t="shared" si="34"/>
        <v>High</v>
      </c>
      <c r="T390" s="1" t="str" cm="1">
        <f t="array" ref="T390">_xlfn.IFS(L390&gt;5,"High",L390=5,"mediam",L390&lt;5,"low")</f>
        <v>High</v>
      </c>
      <c r="U390" s="1" t="str">
        <f t="shared" si="30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1"/>
        <v>2430.36</v>
      </c>
      <c r="Q391" s="10">
        <f t="shared" si="32"/>
        <v>309.87149999999997</v>
      </c>
      <c r="R391" s="11">
        <f t="shared" si="33"/>
        <v>2120.4885000000004</v>
      </c>
      <c r="S391" s="1" t="str">
        <f t="shared" si="34"/>
        <v>Low</v>
      </c>
      <c r="T391" s="1" t="str" cm="1">
        <f t="array" ref="T391">_xlfn.IFS(L391&gt;5,"High",L391=5,"mediam",L391&lt;5,"low")</f>
        <v>low</v>
      </c>
      <c r="U391" s="1" t="b">
        <f t="shared" si="30"/>
        <v>0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1"/>
        <v>16946.52</v>
      </c>
      <c r="Q392" s="10">
        <f t="shared" si="32"/>
        <v>0</v>
      </c>
      <c r="R392" s="11">
        <f t="shared" si="33"/>
        <v>16946.52</v>
      </c>
      <c r="S392" s="1" t="str">
        <f t="shared" si="34"/>
        <v>High</v>
      </c>
      <c r="T392" s="1" t="str" cm="1">
        <f t="array" ref="T392">_xlfn.IFS(L392&gt;5,"High",L392=5,"mediam",L392&lt;5,"low")</f>
        <v>High</v>
      </c>
      <c r="U392" s="1" t="str">
        <f t="shared" si="30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1"/>
        <v>4661.9400000000005</v>
      </c>
      <c r="Q393" s="10">
        <f t="shared" si="32"/>
        <v>594.39750000000004</v>
      </c>
      <c r="R393" s="11">
        <f t="shared" si="33"/>
        <v>4067.5425000000005</v>
      </c>
      <c r="S393" s="1" t="str">
        <f t="shared" si="34"/>
        <v>Low</v>
      </c>
      <c r="T393" s="1" t="str" cm="1">
        <f t="array" ref="T393">_xlfn.IFS(L393&gt;5,"High",L393=5,"mediam",L393&lt;5,"low")</f>
        <v>low</v>
      </c>
      <c r="U393" s="1" t="b">
        <f t="shared" ref="U393:U456" si="35">IF(L393&gt;5,"High",IF(L393="Mediam","Low"))</f>
        <v>0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1"/>
        <v>23946</v>
      </c>
      <c r="Q394" s="10">
        <f t="shared" si="32"/>
        <v>2155.1400000000003</v>
      </c>
      <c r="R394" s="11">
        <f t="shared" si="33"/>
        <v>21790.86</v>
      </c>
      <c r="S394" s="1" t="str">
        <f t="shared" si="34"/>
        <v>High</v>
      </c>
      <c r="T394" s="1" t="str" cm="1">
        <f t="array" ref="T394">_xlfn.IFS(L394&gt;5,"High",L394=5,"mediam",L394&lt;5,"low")</f>
        <v>High</v>
      </c>
      <c r="U394" s="1" t="str">
        <f t="shared" si="35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1"/>
        <v>16298.880000000001</v>
      </c>
      <c r="Q395" s="10">
        <f t="shared" si="32"/>
        <v>0</v>
      </c>
      <c r="R395" s="11">
        <f t="shared" si="33"/>
        <v>16298.880000000001</v>
      </c>
      <c r="S395" s="1" t="str">
        <f t="shared" si="34"/>
        <v>High</v>
      </c>
      <c r="T395" s="1" t="str" cm="1">
        <f t="array" ref="T395">_xlfn.IFS(L395&gt;5,"High",L395=5,"mediam",L395&lt;5,"low")</f>
        <v>High</v>
      </c>
      <c r="U395" s="1" t="str">
        <f t="shared" si="35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1"/>
        <v>1220.6199999999999</v>
      </c>
      <c r="Q396" s="10">
        <f t="shared" si="32"/>
        <v>109.85599999999999</v>
      </c>
      <c r="R396" s="11">
        <f t="shared" si="33"/>
        <v>1110.7639999999999</v>
      </c>
      <c r="S396" s="1" t="str">
        <f t="shared" si="34"/>
        <v>Low</v>
      </c>
      <c r="T396" s="1" t="str" cm="1">
        <f t="array" ref="T396">_xlfn.IFS(L396&gt;5,"High",L396=5,"mediam",L396&lt;5,"low")</f>
        <v>low</v>
      </c>
      <c r="U396" s="1" t="b">
        <f t="shared" si="35"/>
        <v>0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1"/>
        <v>14128.02</v>
      </c>
      <c r="Q397" s="10">
        <f t="shared" si="32"/>
        <v>1801.3229999999999</v>
      </c>
      <c r="R397" s="11">
        <f t="shared" si="33"/>
        <v>12326.697</v>
      </c>
      <c r="S397" s="1" t="str">
        <f t="shared" si="34"/>
        <v>High</v>
      </c>
      <c r="T397" s="1" t="str" cm="1">
        <f t="array" ref="T397">_xlfn.IFS(L397&gt;5,"High",L397=5,"mediam",L397&lt;5,"low")</f>
        <v>High</v>
      </c>
      <c r="U397" s="1" t="str">
        <f t="shared" si="35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1"/>
        <v>7969.22</v>
      </c>
      <c r="Q398" s="10">
        <f t="shared" si="32"/>
        <v>717.23</v>
      </c>
      <c r="R398" s="11">
        <f t="shared" si="33"/>
        <v>7251.99</v>
      </c>
      <c r="S398" s="1" t="str">
        <f t="shared" si="34"/>
        <v>High</v>
      </c>
      <c r="T398" s="1" t="str" cm="1">
        <f t="array" ref="T398">_xlfn.IFS(L398&gt;5,"High",L398=5,"mediam",L398&lt;5,"low")</f>
        <v>High</v>
      </c>
      <c r="U398" s="1" t="str">
        <f t="shared" si="35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1"/>
        <v>16228.85</v>
      </c>
      <c r="Q399" s="10">
        <f t="shared" si="32"/>
        <v>0</v>
      </c>
      <c r="R399" s="11">
        <f t="shared" si="33"/>
        <v>16228.85</v>
      </c>
      <c r="S399" s="1" t="str">
        <f t="shared" si="34"/>
        <v>High</v>
      </c>
      <c r="T399" s="1" t="str" cm="1">
        <f t="array" ref="T399">_xlfn.IFS(L399&gt;5,"High",L399=5,"mediam",L399&lt;5,"low")</f>
        <v>mediam</v>
      </c>
      <c r="U399" s="1" t="b">
        <f t="shared" si="35"/>
        <v>0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1"/>
        <v>5369.58</v>
      </c>
      <c r="Q400" s="10">
        <f t="shared" si="32"/>
        <v>0</v>
      </c>
      <c r="R400" s="11">
        <f t="shared" si="33"/>
        <v>5369.58</v>
      </c>
      <c r="S400" s="1" t="str">
        <f t="shared" si="34"/>
        <v>Low</v>
      </c>
      <c r="T400" s="1" t="str" cm="1">
        <f t="array" ref="T400">_xlfn.IFS(L400&gt;5,"High",L400=5,"mediam",L400&lt;5,"low")</f>
        <v>low</v>
      </c>
      <c r="U400" s="1" t="b">
        <f t="shared" si="35"/>
        <v>0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1"/>
        <v>15918.12</v>
      </c>
      <c r="Q401" s="10">
        <f t="shared" si="32"/>
        <v>1432.6310000000001</v>
      </c>
      <c r="R401" s="11">
        <f t="shared" si="33"/>
        <v>14485.489000000001</v>
      </c>
      <c r="S401" s="1" t="str">
        <f t="shared" si="34"/>
        <v>Low</v>
      </c>
      <c r="T401" s="1" t="str" cm="1">
        <f t="array" ref="T401">_xlfn.IFS(L401&gt;5,"High",L401=5,"mediam",L401&lt;5,"low")</f>
        <v>low</v>
      </c>
      <c r="U401" s="1" t="b">
        <f t="shared" si="35"/>
        <v>0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1"/>
        <v>2024.52</v>
      </c>
      <c r="Q402" s="10">
        <f t="shared" si="32"/>
        <v>96.164500000000004</v>
      </c>
      <c r="R402" s="11">
        <f t="shared" si="33"/>
        <v>1928.3554999999999</v>
      </c>
      <c r="S402" s="1" t="str">
        <f t="shared" si="34"/>
        <v>Low</v>
      </c>
      <c r="T402" s="1" t="str" cm="1">
        <f t="array" ref="T402">_xlfn.IFS(L402&gt;5,"High",L402=5,"mediam",L402&lt;5,"low")</f>
        <v>low</v>
      </c>
      <c r="U402" s="1" t="b">
        <f t="shared" si="35"/>
        <v>0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1"/>
        <v>18926.04</v>
      </c>
      <c r="Q403" s="10">
        <f t="shared" si="32"/>
        <v>2413.0694999999996</v>
      </c>
      <c r="R403" s="11">
        <f t="shared" si="33"/>
        <v>16512.970500000003</v>
      </c>
      <c r="S403" s="1" t="str">
        <f t="shared" si="34"/>
        <v>High</v>
      </c>
      <c r="T403" s="1" t="str" cm="1">
        <f t="array" ref="T403">_xlfn.IFS(L403&gt;5,"High",L403=5,"mediam",L403&lt;5,"low")</f>
        <v>High</v>
      </c>
      <c r="U403" s="1" t="str">
        <f t="shared" si="35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1"/>
        <v>2743.75</v>
      </c>
      <c r="Q404" s="10">
        <f t="shared" si="32"/>
        <v>349.82850000000002</v>
      </c>
      <c r="R404" s="11">
        <f t="shared" si="33"/>
        <v>2393.9214999999999</v>
      </c>
      <c r="S404" s="1" t="str">
        <f t="shared" si="34"/>
        <v>Low</v>
      </c>
      <c r="T404" s="1" t="str" cm="1">
        <f t="array" ref="T404">_xlfn.IFS(L404&gt;5,"High",L404=5,"mediam",L404&lt;5,"low")</f>
        <v>low</v>
      </c>
      <c r="U404" s="1" t="b">
        <f t="shared" si="35"/>
        <v>0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1"/>
        <v>12419.48</v>
      </c>
      <c r="Q405" s="10">
        <f t="shared" si="32"/>
        <v>1117.7530000000002</v>
      </c>
      <c r="R405" s="11">
        <f t="shared" si="33"/>
        <v>11301.726999999999</v>
      </c>
      <c r="S405" s="1" t="str">
        <f t="shared" si="34"/>
        <v>Low</v>
      </c>
      <c r="T405" s="1" t="str" cm="1">
        <f t="array" ref="T405">_xlfn.IFS(L405&gt;5,"High",L405=5,"mediam",L405&lt;5,"low")</f>
        <v>low</v>
      </c>
      <c r="U405" s="1" t="b">
        <f t="shared" si="35"/>
        <v>0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1"/>
        <v>5335.96</v>
      </c>
      <c r="Q406" s="10">
        <f t="shared" si="32"/>
        <v>253.458</v>
      </c>
      <c r="R406" s="11">
        <f t="shared" si="33"/>
        <v>5082.5020000000004</v>
      </c>
      <c r="S406" s="1" t="str">
        <f t="shared" si="34"/>
        <v>Low</v>
      </c>
      <c r="T406" s="1" t="str" cm="1">
        <f t="array" ref="T406">_xlfn.IFS(L406&gt;5,"High",L406=5,"mediam",L406&lt;5,"low")</f>
        <v>low</v>
      </c>
      <c r="U406" s="1" t="b">
        <f t="shared" si="35"/>
        <v>0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1"/>
        <v>2044.41</v>
      </c>
      <c r="Q407" s="10">
        <f t="shared" si="32"/>
        <v>0</v>
      </c>
      <c r="R407" s="11">
        <f t="shared" si="33"/>
        <v>2044.41</v>
      </c>
      <c r="S407" s="1" t="str">
        <f t="shared" si="34"/>
        <v>Low</v>
      </c>
      <c r="T407" s="1" t="str" cm="1">
        <f t="array" ref="T407">_xlfn.IFS(L407&gt;5,"High",L407=5,"mediam",L407&lt;5,"low")</f>
        <v>low</v>
      </c>
      <c r="U407" s="1" t="b">
        <f t="shared" si="35"/>
        <v>0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1"/>
        <v>28949.040000000001</v>
      </c>
      <c r="Q408" s="10">
        <f t="shared" si="32"/>
        <v>4631.8460000000005</v>
      </c>
      <c r="R408" s="11">
        <f t="shared" si="33"/>
        <v>24317.194</v>
      </c>
      <c r="S408" s="1" t="str">
        <f t="shared" si="34"/>
        <v>High</v>
      </c>
      <c r="T408" s="1" t="str" cm="1">
        <f t="array" ref="T408">_xlfn.IFS(L408&gt;5,"High",L408=5,"mediam",L408&lt;5,"low")</f>
        <v>High</v>
      </c>
      <c r="U408" s="1" t="str">
        <f t="shared" si="35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1"/>
        <v>4181.12</v>
      </c>
      <c r="Q409" s="10">
        <f t="shared" si="32"/>
        <v>668.98</v>
      </c>
      <c r="R409" s="11">
        <f t="shared" si="33"/>
        <v>3512.14</v>
      </c>
      <c r="S409" s="1" t="str">
        <f t="shared" si="34"/>
        <v>Low</v>
      </c>
      <c r="T409" s="1" t="str" cm="1">
        <f t="array" ref="T409">_xlfn.IFS(L409&gt;5,"High",L409=5,"mediam",L409&lt;5,"low")</f>
        <v>low</v>
      </c>
      <c r="U409" s="1" t="b">
        <f t="shared" si="35"/>
        <v>0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1"/>
        <v>7141.6100000000006</v>
      </c>
      <c r="Q410" s="10">
        <f t="shared" si="32"/>
        <v>642.745</v>
      </c>
      <c r="R410" s="11">
        <f t="shared" si="33"/>
        <v>6498.8650000000007</v>
      </c>
      <c r="S410" s="1" t="str">
        <f t="shared" si="34"/>
        <v>High</v>
      </c>
      <c r="T410" s="1" t="str" cm="1">
        <f t="array" ref="T410">_xlfn.IFS(L410&gt;5,"High",L410=5,"mediam",L410&lt;5,"low")</f>
        <v>High</v>
      </c>
      <c r="U410" s="1" t="str">
        <f t="shared" si="35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1"/>
        <v>6814.6500000000005</v>
      </c>
      <c r="Q411" s="10">
        <f t="shared" si="32"/>
        <v>323.69600000000003</v>
      </c>
      <c r="R411" s="11">
        <f t="shared" si="33"/>
        <v>6490.9540000000006</v>
      </c>
      <c r="S411" s="1" t="str">
        <f t="shared" si="34"/>
        <v>Low</v>
      </c>
      <c r="T411" s="1" t="str" cm="1">
        <f t="array" ref="T411">_xlfn.IFS(L411&gt;5,"High",L411=5,"mediam",L411&lt;5,"low")</f>
        <v>low</v>
      </c>
      <c r="U411" s="1" t="b">
        <f t="shared" si="35"/>
        <v>0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1"/>
        <v>6497.16</v>
      </c>
      <c r="Q412" s="10">
        <f t="shared" si="32"/>
        <v>308.61500000000001</v>
      </c>
      <c r="R412" s="11">
        <f t="shared" si="33"/>
        <v>6188.5450000000001</v>
      </c>
      <c r="S412" s="1" t="str">
        <f t="shared" si="34"/>
        <v>Low</v>
      </c>
      <c r="T412" s="1" t="str" cm="1">
        <f t="array" ref="T412">_xlfn.IFS(L412&gt;5,"High",L412=5,"mediam",L412&lt;5,"low")</f>
        <v>low</v>
      </c>
      <c r="U412" s="1" t="b">
        <f t="shared" si="35"/>
        <v>0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1"/>
        <v>9893.68</v>
      </c>
      <c r="Q413" s="10">
        <f t="shared" si="32"/>
        <v>1261.4444999999998</v>
      </c>
      <c r="R413" s="11">
        <f t="shared" si="33"/>
        <v>8632.2355000000007</v>
      </c>
      <c r="S413" s="1" t="str">
        <f t="shared" si="34"/>
        <v>High</v>
      </c>
      <c r="T413" s="1" t="str" cm="1">
        <f t="array" ref="T413">_xlfn.IFS(L413&gt;5,"High",L413=5,"mediam",L413&lt;5,"low")</f>
        <v>High</v>
      </c>
      <c r="U413" s="1" t="str">
        <f t="shared" si="35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1"/>
        <v>10380.719999999999</v>
      </c>
      <c r="Q414" s="10">
        <f t="shared" si="32"/>
        <v>0</v>
      </c>
      <c r="R414" s="11">
        <f t="shared" si="33"/>
        <v>10380.719999999999</v>
      </c>
      <c r="S414" s="1" t="str">
        <f t="shared" si="34"/>
        <v>High</v>
      </c>
      <c r="T414" s="1" t="str" cm="1">
        <f t="array" ref="T414">_xlfn.IFS(L414&gt;5,"High",L414=5,"mediam",L414&lt;5,"low")</f>
        <v>High</v>
      </c>
      <c r="U414" s="1" t="str">
        <f t="shared" si="35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1"/>
        <v>1219.7</v>
      </c>
      <c r="Q415" s="10">
        <f t="shared" si="32"/>
        <v>57.935500000000005</v>
      </c>
      <c r="R415" s="11">
        <f t="shared" si="33"/>
        <v>1161.7645</v>
      </c>
      <c r="S415" s="1" t="str">
        <f t="shared" si="34"/>
        <v>Low</v>
      </c>
      <c r="T415" s="1" t="str" cm="1">
        <f t="array" ref="T415">_xlfn.IFS(L415&gt;5,"High",L415=5,"mediam",L415&lt;5,"low")</f>
        <v>low</v>
      </c>
      <c r="U415" s="1" t="b">
        <f t="shared" si="35"/>
        <v>0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1"/>
        <v>6240.64</v>
      </c>
      <c r="Q416" s="10">
        <f t="shared" si="32"/>
        <v>998.50200000000007</v>
      </c>
      <c r="R416" s="11">
        <f t="shared" si="33"/>
        <v>5242.1379999999999</v>
      </c>
      <c r="S416" s="1" t="str">
        <f t="shared" si="34"/>
        <v>Low</v>
      </c>
      <c r="T416" s="1" t="str" cm="1">
        <f t="array" ref="T416">_xlfn.IFS(L416&gt;5,"High",L416=5,"mediam",L416&lt;5,"low")</f>
        <v>low</v>
      </c>
      <c r="U416" s="1" t="b">
        <f t="shared" si="35"/>
        <v>0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1"/>
        <v>21278.560000000001</v>
      </c>
      <c r="Q417" s="10">
        <f t="shared" si="32"/>
        <v>0</v>
      </c>
      <c r="R417" s="11">
        <f t="shared" si="33"/>
        <v>21278.560000000001</v>
      </c>
      <c r="S417" s="1" t="str">
        <f t="shared" si="34"/>
        <v>High</v>
      </c>
      <c r="T417" s="1" t="str" cm="1">
        <f t="array" ref="T417">_xlfn.IFS(L417&gt;5,"High",L417=5,"mediam",L417&lt;5,"low")</f>
        <v>High</v>
      </c>
      <c r="U417" s="1" t="str">
        <f t="shared" si="35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1"/>
        <v>3354.81</v>
      </c>
      <c r="Q418" s="10">
        <f t="shared" si="32"/>
        <v>0</v>
      </c>
      <c r="R418" s="11">
        <f t="shared" si="33"/>
        <v>3354.81</v>
      </c>
      <c r="S418" s="1" t="str">
        <f t="shared" si="34"/>
        <v>Low</v>
      </c>
      <c r="T418" s="1" t="str" cm="1">
        <f t="array" ref="T418">_xlfn.IFS(L418&gt;5,"High",L418=5,"mediam",L418&lt;5,"low")</f>
        <v>low</v>
      </c>
      <c r="U418" s="1" t="b">
        <f t="shared" si="35"/>
        <v>0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1"/>
        <v>31244.560000000001</v>
      </c>
      <c r="Q419" s="10">
        <f t="shared" si="32"/>
        <v>2812.01</v>
      </c>
      <c r="R419" s="11">
        <f t="shared" si="33"/>
        <v>28432.550000000003</v>
      </c>
      <c r="S419" s="1" t="str">
        <f t="shared" si="34"/>
        <v>High</v>
      </c>
      <c r="T419" s="1" t="str" cm="1">
        <f t="array" ref="T419">_xlfn.IFS(L419&gt;5,"High",L419=5,"mediam",L419&lt;5,"low")</f>
        <v>High</v>
      </c>
      <c r="U419" s="1" t="str">
        <f t="shared" si="35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1"/>
        <v>15804.24</v>
      </c>
      <c r="Q420" s="10">
        <f t="shared" si="32"/>
        <v>750.70150000000012</v>
      </c>
      <c r="R420" s="11">
        <f t="shared" si="33"/>
        <v>15053.538499999999</v>
      </c>
      <c r="S420" s="1" t="str">
        <f t="shared" si="34"/>
        <v>High</v>
      </c>
      <c r="T420" s="1" t="str" cm="1">
        <f t="array" ref="T420">_xlfn.IFS(L420&gt;5,"High",L420=5,"mediam",L420&lt;5,"low")</f>
        <v>High</v>
      </c>
      <c r="U420" s="1" t="str">
        <f t="shared" si="35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1"/>
        <v>813.54</v>
      </c>
      <c r="Q421" s="10">
        <f t="shared" si="32"/>
        <v>73.219000000000008</v>
      </c>
      <c r="R421" s="11">
        <f t="shared" si="33"/>
        <v>740.32099999999991</v>
      </c>
      <c r="S421" s="1" t="str">
        <f t="shared" si="34"/>
        <v>Low</v>
      </c>
      <c r="T421" s="1" t="str" cm="1">
        <f t="array" ref="T421">_xlfn.IFS(L421&gt;5,"High",L421=5,"mediam",L421&lt;5,"low")</f>
        <v>low</v>
      </c>
      <c r="U421" s="1" t="b">
        <f t="shared" si="35"/>
        <v>0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1"/>
        <v>1340.64</v>
      </c>
      <c r="Q422" s="10">
        <f t="shared" si="32"/>
        <v>63.680499999999995</v>
      </c>
      <c r="R422" s="11">
        <f t="shared" si="33"/>
        <v>1276.9595000000002</v>
      </c>
      <c r="S422" s="1" t="str">
        <f t="shared" si="34"/>
        <v>Low</v>
      </c>
      <c r="T422" s="1" t="str" cm="1">
        <f t="array" ref="T422">_xlfn.IFS(L422&gt;5,"High",L422=5,"mediam",L422&lt;5,"low")</f>
        <v>low</v>
      </c>
      <c r="U422" s="1" t="b">
        <f t="shared" si="35"/>
        <v>0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1"/>
        <v>7729.86</v>
      </c>
      <c r="Q423" s="10">
        <f t="shared" si="32"/>
        <v>985.55700000000002</v>
      </c>
      <c r="R423" s="11">
        <f t="shared" si="33"/>
        <v>6744.3029999999999</v>
      </c>
      <c r="S423" s="1" t="str">
        <f t="shared" si="34"/>
        <v>High</v>
      </c>
      <c r="T423" s="1" t="str" cm="1">
        <f t="array" ref="T423">_xlfn.IFS(L423&gt;5,"High",L423=5,"mediam",L423&lt;5,"low")</f>
        <v>High</v>
      </c>
      <c r="U423" s="1" t="str">
        <f t="shared" si="35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1"/>
        <v>33662.700000000004</v>
      </c>
      <c r="Q424" s="10">
        <f t="shared" si="32"/>
        <v>3029.643</v>
      </c>
      <c r="R424" s="11">
        <f t="shared" si="33"/>
        <v>30633.057000000004</v>
      </c>
      <c r="S424" s="1" t="str">
        <f t="shared" si="34"/>
        <v>High</v>
      </c>
      <c r="T424" s="1" t="str" cm="1">
        <f t="array" ref="T424">_xlfn.IFS(L424&gt;5,"High",L424=5,"mediam",L424&lt;5,"low")</f>
        <v>High</v>
      </c>
      <c r="U424" s="1" t="str">
        <f t="shared" si="35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1"/>
        <v>17314.96</v>
      </c>
      <c r="Q425" s="10">
        <f t="shared" si="32"/>
        <v>1558.346</v>
      </c>
      <c r="R425" s="11">
        <f t="shared" si="33"/>
        <v>15756.614</v>
      </c>
      <c r="S425" s="1" t="str">
        <f t="shared" si="34"/>
        <v>High</v>
      </c>
      <c r="T425" s="1" t="str" cm="1">
        <f t="array" ref="T425">_xlfn.IFS(L425&gt;5,"High",L425=5,"mediam",L425&lt;5,"low")</f>
        <v>High</v>
      </c>
      <c r="U425" s="1" t="str">
        <f t="shared" si="35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1"/>
        <v>9571.0400000000009</v>
      </c>
      <c r="Q426" s="10">
        <f t="shared" si="32"/>
        <v>1531.366</v>
      </c>
      <c r="R426" s="11">
        <f t="shared" si="33"/>
        <v>8039.6740000000009</v>
      </c>
      <c r="S426" s="1" t="str">
        <f t="shared" si="34"/>
        <v>High</v>
      </c>
      <c r="T426" s="1" t="str" cm="1">
        <f t="array" ref="T426">_xlfn.IFS(L426&gt;5,"High",L426=5,"mediam",L426&lt;5,"low")</f>
        <v>High</v>
      </c>
      <c r="U426" s="1" t="str">
        <f t="shared" si="35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1"/>
        <v>11807.529999999999</v>
      </c>
      <c r="Q427" s="10">
        <f t="shared" si="32"/>
        <v>1062.6780000000001</v>
      </c>
      <c r="R427" s="11">
        <f t="shared" si="33"/>
        <v>10744.851999999999</v>
      </c>
      <c r="S427" s="1" t="str">
        <f t="shared" si="34"/>
        <v>High</v>
      </c>
      <c r="T427" s="1" t="str" cm="1">
        <f t="array" ref="T427">_xlfn.IFS(L427&gt;5,"High",L427=5,"mediam",L427&lt;5,"low")</f>
        <v>High</v>
      </c>
      <c r="U427" s="1" t="str">
        <f t="shared" si="35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1"/>
        <v>22091.31</v>
      </c>
      <c r="Q428" s="10">
        <f t="shared" si="32"/>
        <v>1049.3370000000002</v>
      </c>
      <c r="R428" s="11">
        <f t="shared" si="33"/>
        <v>21041.973000000002</v>
      </c>
      <c r="S428" s="1" t="str">
        <f t="shared" si="34"/>
        <v>High</v>
      </c>
      <c r="T428" s="1" t="str" cm="1">
        <f t="array" ref="T428">_xlfn.IFS(L428&gt;5,"High",L428=5,"mediam",L428&lt;5,"low")</f>
        <v>High</v>
      </c>
      <c r="U428" s="1" t="str">
        <f t="shared" si="35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1"/>
        <v>5327.72</v>
      </c>
      <c r="Q429" s="10">
        <f t="shared" si="32"/>
        <v>852.43600000000015</v>
      </c>
      <c r="R429" s="11">
        <f t="shared" si="33"/>
        <v>4475.2839999999997</v>
      </c>
      <c r="S429" s="1" t="str">
        <f t="shared" si="34"/>
        <v>Low</v>
      </c>
      <c r="T429" s="1" t="str" cm="1">
        <f t="array" ref="T429">_xlfn.IFS(L429&gt;5,"High",L429=5,"mediam",L429&lt;5,"low")</f>
        <v>low</v>
      </c>
      <c r="U429" s="1" t="b">
        <f t="shared" si="35"/>
        <v>0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1"/>
        <v>2227.77</v>
      </c>
      <c r="Q430" s="10">
        <f t="shared" si="32"/>
        <v>200.49900000000002</v>
      </c>
      <c r="R430" s="11">
        <f t="shared" si="33"/>
        <v>2027.271</v>
      </c>
      <c r="S430" s="1" t="str">
        <f t="shared" si="34"/>
        <v>Low</v>
      </c>
      <c r="T430" s="1" t="str" cm="1">
        <f t="array" ref="T430">_xlfn.IFS(L430&gt;5,"High",L430=5,"mediam",L430&lt;5,"low")</f>
        <v>low</v>
      </c>
      <c r="U430" s="1" t="b">
        <f t="shared" si="35"/>
        <v>0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1"/>
        <v>31292.560000000001</v>
      </c>
      <c r="Q431" s="10">
        <f t="shared" si="32"/>
        <v>2816.33</v>
      </c>
      <c r="R431" s="11">
        <f t="shared" si="33"/>
        <v>28476.230000000003</v>
      </c>
      <c r="S431" s="1" t="str">
        <f t="shared" si="34"/>
        <v>High</v>
      </c>
      <c r="T431" s="1" t="str" cm="1">
        <f t="array" ref="T431">_xlfn.IFS(L431&gt;5,"High",L431=5,"mediam",L431&lt;5,"low")</f>
        <v>High</v>
      </c>
      <c r="U431" s="1" t="str">
        <f t="shared" si="35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1"/>
        <v>13484.22</v>
      </c>
      <c r="Q432" s="10">
        <f t="shared" si="32"/>
        <v>1719.2384999999999</v>
      </c>
      <c r="R432" s="11">
        <f t="shared" si="33"/>
        <v>11764.9815</v>
      </c>
      <c r="S432" s="1" t="str">
        <f t="shared" si="34"/>
        <v>High</v>
      </c>
      <c r="T432" s="1" t="str" cm="1">
        <f t="array" ref="T432">_xlfn.IFS(L432&gt;5,"High",L432=5,"mediam",L432&lt;5,"low")</f>
        <v>High</v>
      </c>
      <c r="U432" s="1" t="str">
        <f t="shared" si="35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1"/>
        <v>6051.5999999999995</v>
      </c>
      <c r="Q433" s="10">
        <f t="shared" si="32"/>
        <v>544.64400000000001</v>
      </c>
      <c r="R433" s="11">
        <f t="shared" si="33"/>
        <v>5506.9559999999992</v>
      </c>
      <c r="S433" s="1" t="str">
        <f t="shared" si="34"/>
        <v>High</v>
      </c>
      <c r="T433" s="1" t="str" cm="1">
        <f t="array" ref="T433">_xlfn.IFS(L433&gt;5,"High",L433=5,"mediam",L433&lt;5,"low")</f>
        <v>High</v>
      </c>
      <c r="U433" s="1" t="str">
        <f t="shared" si="35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1"/>
        <v>14362</v>
      </c>
      <c r="Q434" s="10">
        <f t="shared" si="32"/>
        <v>0</v>
      </c>
      <c r="R434" s="11">
        <f t="shared" si="33"/>
        <v>14362</v>
      </c>
      <c r="S434" s="1" t="str">
        <f t="shared" si="34"/>
        <v>Low</v>
      </c>
      <c r="T434" s="1" t="str" cm="1">
        <f t="array" ref="T434">_xlfn.IFS(L434&gt;5,"High",L434=5,"mediam",L434&lt;5,"low")</f>
        <v>low</v>
      </c>
      <c r="U434" s="1" t="b">
        <f t="shared" si="35"/>
        <v>0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1"/>
        <v>3498.88</v>
      </c>
      <c r="Q435" s="10">
        <f t="shared" si="32"/>
        <v>559.82000000000005</v>
      </c>
      <c r="R435" s="11">
        <f t="shared" si="33"/>
        <v>2939.06</v>
      </c>
      <c r="S435" s="1" t="str">
        <f t="shared" si="34"/>
        <v>High</v>
      </c>
      <c r="T435" s="1" t="str" cm="1">
        <f t="array" ref="T435">_xlfn.IFS(L435&gt;5,"High",L435=5,"mediam",L435&lt;5,"low")</f>
        <v>High</v>
      </c>
      <c r="U435" s="1" t="str">
        <f t="shared" si="35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1"/>
        <v>10934.34</v>
      </c>
      <c r="Q436" s="10">
        <f t="shared" si="32"/>
        <v>0</v>
      </c>
      <c r="R436" s="11">
        <f t="shared" si="33"/>
        <v>10934.34</v>
      </c>
      <c r="S436" s="1" t="str">
        <f t="shared" si="34"/>
        <v>Low</v>
      </c>
      <c r="T436" s="1" t="str" cm="1">
        <f t="array" ref="T436">_xlfn.IFS(L436&gt;5,"High",L436=5,"mediam",L436&lt;5,"low")</f>
        <v>low</v>
      </c>
      <c r="U436" s="1" t="b">
        <f t="shared" si="35"/>
        <v>0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1"/>
        <v>11960.34</v>
      </c>
      <c r="Q437" s="10">
        <f t="shared" si="32"/>
        <v>1913.6540000000002</v>
      </c>
      <c r="R437" s="11">
        <f t="shared" si="33"/>
        <v>10046.686</v>
      </c>
      <c r="S437" s="1" t="str">
        <f t="shared" si="34"/>
        <v>Low</v>
      </c>
      <c r="T437" s="1" t="str" cm="1">
        <f t="array" ref="T437">_xlfn.IFS(L437&gt;5,"High",L437=5,"mediam",L437&lt;5,"low")</f>
        <v>low</v>
      </c>
      <c r="U437" s="1" t="b">
        <f t="shared" si="35"/>
        <v>0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1"/>
        <v>22773.279999999999</v>
      </c>
      <c r="Q438" s="10">
        <f t="shared" si="32"/>
        <v>2903.5934999999999</v>
      </c>
      <c r="R438" s="11">
        <f t="shared" si="33"/>
        <v>19869.6865</v>
      </c>
      <c r="S438" s="1" t="str">
        <f t="shared" si="34"/>
        <v>High</v>
      </c>
      <c r="T438" s="1" t="str" cm="1">
        <f t="array" ref="T438">_xlfn.IFS(L438&gt;5,"High",L438=5,"mediam",L438&lt;5,"low")</f>
        <v>High</v>
      </c>
      <c r="U438" s="1" t="str">
        <f t="shared" si="35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1"/>
        <v>15581.099999999999</v>
      </c>
      <c r="Q439" s="10">
        <f t="shared" si="32"/>
        <v>1402.299</v>
      </c>
      <c r="R439" s="11">
        <f t="shared" si="33"/>
        <v>14178.800999999999</v>
      </c>
      <c r="S439" s="1" t="str">
        <f t="shared" si="34"/>
        <v>High</v>
      </c>
      <c r="T439" s="1" t="str" cm="1">
        <f t="array" ref="T439">_xlfn.IFS(L439&gt;5,"High",L439=5,"mediam",L439&lt;5,"low")</f>
        <v>mediam</v>
      </c>
      <c r="U439" s="1" t="b">
        <f t="shared" si="35"/>
        <v>0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1"/>
        <v>4345.8599999999997</v>
      </c>
      <c r="Q440" s="10">
        <f t="shared" si="32"/>
        <v>391.12700000000001</v>
      </c>
      <c r="R440" s="11">
        <f t="shared" si="33"/>
        <v>3954.7329999999997</v>
      </c>
      <c r="S440" s="1" t="str">
        <f t="shared" si="34"/>
        <v>Low</v>
      </c>
      <c r="T440" s="1" t="str" cm="1">
        <f t="array" ref="T440">_xlfn.IFS(L440&gt;5,"High",L440=5,"mediam",L440&lt;5,"low")</f>
        <v>low</v>
      </c>
      <c r="U440" s="1" t="b">
        <f t="shared" si="35"/>
        <v>0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1"/>
        <v>3775.07</v>
      </c>
      <c r="Q441" s="10">
        <f t="shared" si="32"/>
        <v>339.75600000000003</v>
      </c>
      <c r="R441" s="11">
        <f t="shared" si="33"/>
        <v>3435.3140000000003</v>
      </c>
      <c r="S441" s="1" t="str">
        <f t="shared" si="34"/>
        <v>Low</v>
      </c>
      <c r="T441" s="1" t="str" cm="1">
        <f t="array" ref="T441">_xlfn.IFS(L441&gt;5,"High",L441=5,"mediam",L441&lt;5,"low")</f>
        <v>low</v>
      </c>
      <c r="U441" s="1" t="b">
        <f t="shared" si="35"/>
        <v>0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1"/>
        <v>6568.2000000000007</v>
      </c>
      <c r="Q442" s="10">
        <f t="shared" si="32"/>
        <v>1050.912</v>
      </c>
      <c r="R442" s="11">
        <f t="shared" si="33"/>
        <v>5517.2880000000005</v>
      </c>
      <c r="S442" s="1" t="str">
        <f t="shared" si="34"/>
        <v>Low</v>
      </c>
      <c r="T442" s="1" t="str" cm="1">
        <f t="array" ref="T442">_xlfn.IFS(L442&gt;5,"High",L442=5,"mediam",L442&lt;5,"low")</f>
        <v>low</v>
      </c>
      <c r="U442" s="1" t="b">
        <f t="shared" si="35"/>
        <v>0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1"/>
        <v>26727.3</v>
      </c>
      <c r="Q443" s="10">
        <f t="shared" si="32"/>
        <v>2405.4569999999999</v>
      </c>
      <c r="R443" s="11">
        <f t="shared" si="33"/>
        <v>24321.843000000001</v>
      </c>
      <c r="S443" s="1" t="str">
        <f t="shared" si="34"/>
        <v>High</v>
      </c>
      <c r="T443" s="1" t="str" cm="1">
        <f t="array" ref="T443">_xlfn.IFS(L443&gt;5,"High",L443=5,"mediam",L443&lt;5,"low")</f>
        <v>High</v>
      </c>
      <c r="U443" s="1" t="str">
        <f t="shared" si="35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1"/>
        <v>18539.05</v>
      </c>
      <c r="Q444" s="10">
        <f t="shared" si="32"/>
        <v>0</v>
      </c>
      <c r="R444" s="11">
        <f t="shared" si="33"/>
        <v>18539.05</v>
      </c>
      <c r="S444" s="1" t="str">
        <f t="shared" si="34"/>
        <v>High</v>
      </c>
      <c r="T444" s="1" t="str" cm="1">
        <f t="array" ref="T444">_xlfn.IFS(L444&gt;5,"High",L444=5,"mediam",L444&lt;5,"low")</f>
        <v>mediam</v>
      </c>
      <c r="U444" s="1" t="b">
        <f t="shared" si="35"/>
        <v>0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1"/>
        <v>7808.88</v>
      </c>
      <c r="Q445" s="10">
        <f t="shared" si="32"/>
        <v>702.79899999999998</v>
      </c>
      <c r="R445" s="11">
        <f t="shared" si="33"/>
        <v>7106.0810000000001</v>
      </c>
      <c r="S445" s="1" t="str">
        <f t="shared" si="34"/>
        <v>Low</v>
      </c>
      <c r="T445" s="1" t="str" cm="1">
        <f t="array" ref="T445">_xlfn.IFS(L445&gt;5,"High",L445=5,"mediam",L445&lt;5,"low")</f>
        <v>low</v>
      </c>
      <c r="U445" s="1" t="b">
        <f t="shared" si="35"/>
        <v>0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1"/>
        <v>23504.880000000001</v>
      </c>
      <c r="Q446" s="10">
        <f t="shared" si="32"/>
        <v>2996.8724999999999</v>
      </c>
      <c r="R446" s="11">
        <f t="shared" si="33"/>
        <v>20508.0075</v>
      </c>
      <c r="S446" s="1" t="str">
        <f t="shared" si="34"/>
        <v>High</v>
      </c>
      <c r="T446" s="1" t="str" cm="1">
        <f t="array" ref="T446">_xlfn.IFS(L446&gt;5,"High",L446=5,"mediam",L446&lt;5,"low")</f>
        <v>High</v>
      </c>
      <c r="U446" s="1" t="str">
        <f t="shared" si="35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1"/>
        <v>2633.24</v>
      </c>
      <c r="Q447" s="10">
        <f t="shared" si="32"/>
        <v>0</v>
      </c>
      <c r="R447" s="11">
        <f t="shared" si="33"/>
        <v>2633.24</v>
      </c>
      <c r="S447" s="1" t="str">
        <f t="shared" si="34"/>
        <v>Low</v>
      </c>
      <c r="T447" s="1" t="str" cm="1">
        <f t="array" ref="T447">_xlfn.IFS(L447&gt;5,"High",L447=5,"mediam",L447&lt;5,"low")</f>
        <v>low</v>
      </c>
      <c r="U447" s="1" t="b">
        <f t="shared" si="35"/>
        <v>0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1"/>
        <v>15484.84</v>
      </c>
      <c r="Q448" s="10">
        <f t="shared" si="32"/>
        <v>1393.6360000000002</v>
      </c>
      <c r="R448" s="11">
        <f t="shared" si="33"/>
        <v>14091.204</v>
      </c>
      <c r="S448" s="1" t="str">
        <f t="shared" si="34"/>
        <v>Low</v>
      </c>
      <c r="T448" s="1" t="str" cm="1">
        <f t="array" ref="T448">_xlfn.IFS(L448&gt;5,"High",L448=5,"mediam",L448&lt;5,"low")</f>
        <v>low</v>
      </c>
      <c r="U448" s="1" t="b">
        <f t="shared" si="35"/>
        <v>0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1"/>
        <v>17977.82</v>
      </c>
      <c r="Q449" s="10">
        <f t="shared" si="32"/>
        <v>1618.0040000000001</v>
      </c>
      <c r="R449" s="11">
        <f t="shared" si="33"/>
        <v>16359.815999999999</v>
      </c>
      <c r="S449" s="1" t="str">
        <f t="shared" si="34"/>
        <v>High</v>
      </c>
      <c r="T449" s="1" t="str" cm="1">
        <f t="array" ref="T449">_xlfn.IFS(L449&gt;5,"High",L449=5,"mediam",L449&lt;5,"low")</f>
        <v>High</v>
      </c>
      <c r="U449" s="1" t="str">
        <f t="shared" si="35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1"/>
        <v>14931.88</v>
      </c>
      <c r="Q450" s="10">
        <f t="shared" si="32"/>
        <v>709.26450000000011</v>
      </c>
      <c r="R450" s="11">
        <f t="shared" si="33"/>
        <v>14222.6155</v>
      </c>
      <c r="S450" s="1" t="str">
        <f t="shared" si="34"/>
        <v>Low</v>
      </c>
      <c r="T450" s="1" t="str" cm="1">
        <f t="array" ref="T450">_xlfn.IFS(L450&gt;5,"High",L450=5,"mediam",L450&lt;5,"low")</f>
        <v>low</v>
      </c>
      <c r="U450" s="1" t="b">
        <f t="shared" si="35"/>
        <v>0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6">L451*M451</f>
        <v>19271</v>
      </c>
      <c r="Q451" s="10">
        <f t="shared" ref="Q451:Q501" si="37">O451*N451%</f>
        <v>3083.36</v>
      </c>
      <c r="R451" s="11">
        <f t="shared" ref="R451:R501" si="38">P451-Q451</f>
        <v>16187.64</v>
      </c>
      <c r="S451" s="1" t="str">
        <f t="shared" ref="S451:S501" si="39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si="35"/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6"/>
        <v>9330.09</v>
      </c>
      <c r="Q452" s="10">
        <f t="shared" si="37"/>
        <v>0</v>
      </c>
      <c r="R452" s="11">
        <f t="shared" si="38"/>
        <v>9330.09</v>
      </c>
      <c r="S452" s="1" t="str">
        <f t="shared" si="39"/>
        <v>High</v>
      </c>
      <c r="T452" s="1" t="str" cm="1">
        <f t="array" ref="T452">_xlfn.IFS(L452&gt;5,"High",L452=5,"mediam",L452&lt;5,"low")</f>
        <v>High</v>
      </c>
      <c r="U452" s="1" t="str">
        <f t="shared" si="35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6"/>
        <v>1574.59</v>
      </c>
      <c r="Q453" s="10">
        <f t="shared" si="37"/>
        <v>74.792999999999992</v>
      </c>
      <c r="R453" s="11">
        <f t="shared" si="38"/>
        <v>1499.797</v>
      </c>
      <c r="S453" s="1" t="str">
        <f t="shared" si="39"/>
        <v>Low</v>
      </c>
      <c r="T453" s="1" t="str" cm="1">
        <f t="array" ref="T453">_xlfn.IFS(L453&gt;5,"High",L453=5,"mediam",L453&lt;5,"low")</f>
        <v>low</v>
      </c>
      <c r="U453" s="1" t="b">
        <f t="shared" si="35"/>
        <v>0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6"/>
        <v>13615.920000000002</v>
      </c>
      <c r="Q454" s="10">
        <f t="shared" si="37"/>
        <v>1736.0295000000001</v>
      </c>
      <c r="R454" s="11">
        <f t="shared" si="38"/>
        <v>11879.890500000001</v>
      </c>
      <c r="S454" s="1" t="str">
        <f t="shared" si="39"/>
        <v>High</v>
      </c>
      <c r="T454" s="1" t="str" cm="1">
        <f t="array" ref="T454">_xlfn.IFS(L454&gt;5,"High",L454=5,"mediam",L454&lt;5,"low")</f>
        <v>High</v>
      </c>
      <c r="U454" s="1" t="str">
        <f t="shared" si="35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6"/>
        <v>28724.04</v>
      </c>
      <c r="Q455" s="10">
        <f t="shared" si="37"/>
        <v>4595.8460000000005</v>
      </c>
      <c r="R455" s="11">
        <f t="shared" si="38"/>
        <v>24128.194</v>
      </c>
      <c r="S455" s="1" t="str">
        <f t="shared" si="39"/>
        <v>High</v>
      </c>
      <c r="T455" s="1" t="str" cm="1">
        <f t="array" ref="T455">_xlfn.IFS(L455&gt;5,"High",L455=5,"mediam",L455&lt;5,"low")</f>
        <v>High</v>
      </c>
      <c r="U455" s="1" t="str">
        <f t="shared" si="35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6"/>
        <v>2748.46</v>
      </c>
      <c r="Q456" s="10">
        <f t="shared" si="37"/>
        <v>0</v>
      </c>
      <c r="R456" s="11">
        <f t="shared" si="38"/>
        <v>2748.46</v>
      </c>
      <c r="S456" s="1" t="str">
        <f t="shared" si="39"/>
        <v>Low</v>
      </c>
      <c r="T456" s="1" t="str" cm="1">
        <f t="array" ref="T456">_xlfn.IFS(L456&gt;5,"High",L456=5,"mediam",L456&lt;5,"low")</f>
        <v>low</v>
      </c>
      <c r="U456" s="1" t="b">
        <f t="shared" si="35"/>
        <v>0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6"/>
        <v>7145.88</v>
      </c>
      <c r="Q457" s="10">
        <f t="shared" si="37"/>
        <v>643.12900000000002</v>
      </c>
      <c r="R457" s="11">
        <f t="shared" si="38"/>
        <v>6502.7510000000002</v>
      </c>
      <c r="S457" s="1" t="str">
        <f t="shared" si="39"/>
        <v>Low</v>
      </c>
      <c r="T457" s="1" t="str" cm="1">
        <f t="array" ref="T457">_xlfn.IFS(L457&gt;5,"High",L457=5,"mediam",L457&lt;5,"low")</f>
        <v>low</v>
      </c>
      <c r="U457" s="1" t="b">
        <f t="shared" ref="U457:U501" si="40">IF(L457&gt;5,"High",IF(L457="Mediam","Low"))</f>
        <v>0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6"/>
        <v>7403.3</v>
      </c>
      <c r="Q458" s="10">
        <f t="shared" si="37"/>
        <v>0</v>
      </c>
      <c r="R458" s="11">
        <f t="shared" si="38"/>
        <v>7403.3</v>
      </c>
      <c r="S458" s="1" t="str">
        <f t="shared" si="39"/>
        <v>High</v>
      </c>
      <c r="T458" s="1" t="str" cm="1">
        <f t="array" ref="T458">_xlfn.IFS(L458&gt;5,"High",L458=5,"mediam",L458&lt;5,"low")</f>
        <v>mediam</v>
      </c>
      <c r="U458" s="1" t="b">
        <f t="shared" si="40"/>
        <v>0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6"/>
        <v>29616.39</v>
      </c>
      <c r="Q459" s="10">
        <f t="shared" si="37"/>
        <v>2665.4750000000004</v>
      </c>
      <c r="R459" s="11">
        <f t="shared" si="38"/>
        <v>26950.915000000001</v>
      </c>
      <c r="S459" s="1" t="str">
        <f t="shared" si="39"/>
        <v>High</v>
      </c>
      <c r="T459" s="1" t="str" cm="1">
        <f t="array" ref="T459">_xlfn.IFS(L459&gt;5,"High",L459=5,"mediam",L459&lt;5,"low")</f>
        <v>High</v>
      </c>
      <c r="U459" s="1" t="str">
        <f t="shared" si="40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6"/>
        <v>7787.6</v>
      </c>
      <c r="Q460" s="10">
        <f t="shared" si="37"/>
        <v>1246.0160000000001</v>
      </c>
      <c r="R460" s="11">
        <f t="shared" si="38"/>
        <v>6541.5840000000007</v>
      </c>
      <c r="S460" s="1" t="str">
        <f t="shared" si="39"/>
        <v>Low</v>
      </c>
      <c r="T460" s="1" t="str" cm="1">
        <f t="array" ref="T460">_xlfn.IFS(L460&gt;5,"High",L460=5,"mediam",L460&lt;5,"low")</f>
        <v>low</v>
      </c>
      <c r="U460" s="1" t="b">
        <f t="shared" si="40"/>
        <v>0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6"/>
        <v>445.38</v>
      </c>
      <c r="Q461" s="10">
        <f t="shared" si="37"/>
        <v>40.084000000000003</v>
      </c>
      <c r="R461" s="11">
        <f t="shared" si="38"/>
        <v>405.29599999999999</v>
      </c>
      <c r="S461" s="1" t="str">
        <f t="shared" si="39"/>
        <v>Low</v>
      </c>
      <c r="T461" s="1" t="str" cm="1">
        <f t="array" ref="T461">_xlfn.IFS(L461&gt;5,"High",L461=5,"mediam",L461&lt;5,"low")</f>
        <v>low</v>
      </c>
      <c r="U461" s="1" t="b">
        <f t="shared" si="40"/>
        <v>0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6"/>
        <v>3157.2</v>
      </c>
      <c r="Q462" s="10">
        <f t="shared" si="37"/>
        <v>402.54299999999995</v>
      </c>
      <c r="R462" s="11">
        <f t="shared" si="38"/>
        <v>2754.6569999999997</v>
      </c>
      <c r="S462" s="1" t="str">
        <f t="shared" si="39"/>
        <v>Low</v>
      </c>
      <c r="T462" s="1" t="str" cm="1">
        <f t="array" ref="T462">_xlfn.IFS(L462&gt;5,"High",L462=5,"mediam",L462&lt;5,"low")</f>
        <v>low</v>
      </c>
      <c r="U462" s="1" t="b">
        <f t="shared" si="40"/>
        <v>0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6"/>
        <v>2311.5</v>
      </c>
      <c r="Q463" s="10">
        <f t="shared" si="37"/>
        <v>208.035</v>
      </c>
      <c r="R463" s="11">
        <f t="shared" si="38"/>
        <v>2103.4650000000001</v>
      </c>
      <c r="S463" s="1" t="str">
        <f t="shared" si="39"/>
        <v>High</v>
      </c>
      <c r="T463" s="1" t="str" cm="1">
        <f t="array" ref="T463">_xlfn.IFS(L463&gt;5,"High",L463=5,"mediam",L463&lt;5,"low")</f>
        <v>High</v>
      </c>
      <c r="U463" s="1" t="str">
        <f t="shared" si="40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6"/>
        <v>10361.6</v>
      </c>
      <c r="Q464" s="10">
        <f t="shared" si="37"/>
        <v>1321.104</v>
      </c>
      <c r="R464" s="11">
        <f t="shared" si="38"/>
        <v>9040.496000000001</v>
      </c>
      <c r="S464" s="1" t="str">
        <f t="shared" si="39"/>
        <v>High</v>
      </c>
      <c r="T464" s="1" t="str" cm="1">
        <f t="array" ref="T464">_xlfn.IFS(L464&gt;5,"High",L464=5,"mediam",L464&lt;5,"low")</f>
        <v>mediam</v>
      </c>
      <c r="U464" s="1" t="b">
        <f t="shared" si="40"/>
        <v>0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6"/>
        <v>559.4</v>
      </c>
      <c r="Q465" s="10">
        <f t="shared" si="37"/>
        <v>89.504000000000005</v>
      </c>
      <c r="R465" s="11">
        <f t="shared" si="38"/>
        <v>469.89599999999996</v>
      </c>
      <c r="S465" s="1" t="str">
        <f t="shared" si="39"/>
        <v>Low</v>
      </c>
      <c r="T465" s="1" t="str" cm="1">
        <f t="array" ref="T465">_xlfn.IFS(L465&gt;5,"High",L465=5,"mediam",L465&lt;5,"low")</f>
        <v>low</v>
      </c>
      <c r="U465" s="1" t="b">
        <f t="shared" si="40"/>
        <v>0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6"/>
        <v>2357.7600000000002</v>
      </c>
      <c r="Q466" s="10">
        <f t="shared" si="37"/>
        <v>377.24200000000002</v>
      </c>
      <c r="R466" s="11">
        <f t="shared" si="38"/>
        <v>1980.5180000000003</v>
      </c>
      <c r="S466" s="1" t="str">
        <f t="shared" si="39"/>
        <v>Low</v>
      </c>
      <c r="T466" s="1" t="str" cm="1">
        <f t="array" ref="T466">_xlfn.IFS(L466&gt;5,"High",L466=5,"mediam",L466&lt;5,"low")</f>
        <v>low</v>
      </c>
      <c r="U466" s="1" t="b">
        <f t="shared" si="40"/>
        <v>0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6"/>
        <v>22638.239999999998</v>
      </c>
      <c r="Q467" s="10">
        <f t="shared" si="37"/>
        <v>0</v>
      </c>
      <c r="R467" s="11">
        <f t="shared" si="38"/>
        <v>22638.239999999998</v>
      </c>
      <c r="S467" s="1" t="str">
        <f t="shared" si="39"/>
        <v>High</v>
      </c>
      <c r="T467" s="1" t="str" cm="1">
        <f t="array" ref="T467">_xlfn.IFS(L467&gt;5,"High",L467=5,"mediam",L467&lt;5,"low")</f>
        <v>High</v>
      </c>
      <c r="U467" s="1" t="str">
        <f t="shared" si="40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6"/>
        <v>14038.88</v>
      </c>
      <c r="Q468" s="10">
        <f t="shared" si="37"/>
        <v>1789.9574999999998</v>
      </c>
      <c r="R468" s="11">
        <f t="shared" si="38"/>
        <v>12248.922499999999</v>
      </c>
      <c r="S468" s="1" t="str">
        <f t="shared" si="39"/>
        <v>Low</v>
      </c>
      <c r="T468" s="1" t="str" cm="1">
        <f t="array" ref="T468">_xlfn.IFS(L468&gt;5,"High",L468=5,"mediam",L468&lt;5,"low")</f>
        <v>low</v>
      </c>
      <c r="U468" s="1" t="b">
        <f t="shared" si="40"/>
        <v>0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6"/>
        <v>17014.77</v>
      </c>
      <c r="Q469" s="10">
        <f t="shared" si="37"/>
        <v>2169.3824999999997</v>
      </c>
      <c r="R469" s="11">
        <f t="shared" si="38"/>
        <v>14845.387500000001</v>
      </c>
      <c r="S469" s="1" t="str">
        <f t="shared" si="39"/>
        <v>High</v>
      </c>
      <c r="T469" s="1" t="str" cm="1">
        <f t="array" ref="T469">_xlfn.IFS(L469&gt;5,"High",L469=5,"mediam",L469&lt;5,"low")</f>
        <v>High</v>
      </c>
      <c r="U469" s="1" t="str">
        <f t="shared" si="40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6"/>
        <v>19726.75</v>
      </c>
      <c r="Q470" s="10">
        <f t="shared" si="37"/>
        <v>937.02050000000008</v>
      </c>
      <c r="R470" s="11">
        <f t="shared" si="38"/>
        <v>18789.729500000001</v>
      </c>
      <c r="S470" s="1" t="str">
        <f t="shared" si="39"/>
        <v>High</v>
      </c>
      <c r="T470" s="1" t="str" cm="1">
        <f t="array" ref="T470">_xlfn.IFS(L470&gt;5,"High",L470=5,"mediam",L470&lt;5,"low")</f>
        <v>mediam</v>
      </c>
      <c r="U470" s="1" t="b">
        <f t="shared" si="40"/>
        <v>0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6"/>
        <v>1205.76</v>
      </c>
      <c r="Q471" s="10">
        <f t="shared" si="37"/>
        <v>57.273500000000006</v>
      </c>
      <c r="R471" s="11">
        <f t="shared" si="38"/>
        <v>1148.4865</v>
      </c>
      <c r="S471" s="1" t="str">
        <f t="shared" si="39"/>
        <v>High</v>
      </c>
      <c r="T471" s="1" t="str" cm="1">
        <f t="array" ref="T471">_xlfn.IFS(L471&gt;5,"High",L471=5,"mediam",L471&lt;5,"low")</f>
        <v>High</v>
      </c>
      <c r="U471" s="1" t="str">
        <f t="shared" si="40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6"/>
        <v>22624.38</v>
      </c>
      <c r="Q472" s="10">
        <f t="shared" si="37"/>
        <v>1074.6580000000001</v>
      </c>
      <c r="R472" s="11">
        <f t="shared" si="38"/>
        <v>21549.722000000002</v>
      </c>
      <c r="S472" s="1" t="str">
        <f t="shared" si="39"/>
        <v>High</v>
      </c>
      <c r="T472" s="1" t="str" cm="1">
        <f t="array" ref="T472">_xlfn.IFS(L472&gt;5,"High",L472=5,"mediam",L472&lt;5,"low")</f>
        <v>High</v>
      </c>
      <c r="U472" s="1" t="str">
        <f t="shared" si="40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6"/>
        <v>12616.25</v>
      </c>
      <c r="Q473" s="10">
        <f t="shared" si="37"/>
        <v>1135.463</v>
      </c>
      <c r="R473" s="11">
        <f t="shared" si="38"/>
        <v>11480.787</v>
      </c>
      <c r="S473" s="1" t="str">
        <f t="shared" si="39"/>
        <v>High</v>
      </c>
      <c r="T473" s="1" t="str" cm="1">
        <f t="array" ref="T473">_xlfn.IFS(L473&gt;5,"High",L473=5,"mediam",L473&lt;5,"low")</f>
        <v>mediam</v>
      </c>
      <c r="U473" s="1" t="b">
        <f t="shared" si="40"/>
        <v>0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6"/>
        <v>11466.960000000001</v>
      </c>
      <c r="Q474" s="10">
        <f t="shared" si="37"/>
        <v>544.68050000000005</v>
      </c>
      <c r="R474" s="11">
        <f t="shared" si="38"/>
        <v>10922.279500000001</v>
      </c>
      <c r="S474" s="1" t="str">
        <f t="shared" si="39"/>
        <v>High</v>
      </c>
      <c r="T474" s="1" t="str" cm="1">
        <f t="array" ref="T474">_xlfn.IFS(L474&gt;5,"High",L474=5,"mediam",L474&lt;5,"low")</f>
        <v>High</v>
      </c>
      <c r="U474" s="1" t="str">
        <f t="shared" si="40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6"/>
        <v>1678.25</v>
      </c>
      <c r="Q475" s="10">
        <f t="shared" si="37"/>
        <v>213.97649999999999</v>
      </c>
      <c r="R475" s="11">
        <f t="shared" si="38"/>
        <v>1464.2735</v>
      </c>
      <c r="S475" s="1" t="str">
        <f t="shared" si="39"/>
        <v>Low</v>
      </c>
      <c r="T475" s="1" t="str" cm="1">
        <f t="array" ref="T475">_xlfn.IFS(L475&gt;5,"High",L475=5,"mediam",L475&lt;5,"low")</f>
        <v>low</v>
      </c>
      <c r="U475" s="1" t="b">
        <f t="shared" si="40"/>
        <v>0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6"/>
        <v>13322.61</v>
      </c>
      <c r="Q476" s="10">
        <f t="shared" si="37"/>
        <v>1199.0350000000001</v>
      </c>
      <c r="R476" s="11">
        <f t="shared" si="38"/>
        <v>12123.575000000001</v>
      </c>
      <c r="S476" s="1" t="str">
        <f t="shared" si="39"/>
        <v>High</v>
      </c>
      <c r="T476" s="1" t="str" cm="1">
        <f t="array" ref="T476">_xlfn.IFS(L476&gt;5,"High",L476=5,"mediam",L476&lt;5,"low")</f>
        <v>High</v>
      </c>
      <c r="U476" s="1" t="str">
        <f t="shared" si="40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6"/>
        <v>6990.4</v>
      </c>
      <c r="Q477" s="10">
        <f t="shared" si="37"/>
        <v>1118.4639999999999</v>
      </c>
      <c r="R477" s="11">
        <f t="shared" si="38"/>
        <v>5871.9359999999997</v>
      </c>
      <c r="S477" s="1" t="str">
        <f t="shared" si="39"/>
        <v>Low</v>
      </c>
      <c r="T477" s="1" t="str" cm="1">
        <f t="array" ref="T477">_xlfn.IFS(L477&gt;5,"High",L477=5,"mediam",L477&lt;5,"low")</f>
        <v>low</v>
      </c>
      <c r="U477" s="1" t="b">
        <f t="shared" si="40"/>
        <v>0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6"/>
        <v>5924.8</v>
      </c>
      <c r="Q478" s="10">
        <f t="shared" si="37"/>
        <v>0</v>
      </c>
      <c r="R478" s="11">
        <f t="shared" si="38"/>
        <v>5924.8</v>
      </c>
      <c r="S478" s="1" t="str">
        <f t="shared" si="39"/>
        <v>Low</v>
      </c>
      <c r="T478" s="1" t="str" cm="1">
        <f t="array" ref="T478">_xlfn.IFS(L478&gt;5,"High",L478=5,"mediam",L478&lt;5,"low")</f>
        <v>low</v>
      </c>
      <c r="U478" s="1" t="b">
        <f t="shared" si="40"/>
        <v>0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6"/>
        <v>3355.6</v>
      </c>
      <c r="Q479" s="10">
        <f t="shared" si="37"/>
        <v>159.39100000000002</v>
      </c>
      <c r="R479" s="11">
        <f t="shared" si="38"/>
        <v>3196.2089999999998</v>
      </c>
      <c r="S479" s="1" t="str">
        <f t="shared" si="39"/>
        <v>High</v>
      </c>
      <c r="T479" s="1" t="str" cm="1">
        <f t="array" ref="T479">_xlfn.IFS(L479&gt;5,"High",L479=5,"mediam",L479&lt;5,"low")</f>
        <v>mediam</v>
      </c>
      <c r="U479" s="1" t="b">
        <f t="shared" si="40"/>
        <v>0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6"/>
        <v>2732.73</v>
      </c>
      <c r="Q480" s="10">
        <f t="shared" si="37"/>
        <v>437.23599999999999</v>
      </c>
      <c r="R480" s="11">
        <f t="shared" si="38"/>
        <v>2295.4940000000001</v>
      </c>
      <c r="S480" s="1" t="str">
        <f t="shared" si="39"/>
        <v>Low</v>
      </c>
      <c r="T480" s="1" t="str" cm="1">
        <f t="array" ref="T480">_xlfn.IFS(L480&gt;5,"High",L480=5,"mediam",L480&lt;5,"low")</f>
        <v>low</v>
      </c>
      <c r="U480" s="1" t="b">
        <f t="shared" si="40"/>
        <v>0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6"/>
        <v>5070</v>
      </c>
      <c r="Q481" s="10">
        <f t="shared" si="37"/>
        <v>646.42499999999995</v>
      </c>
      <c r="R481" s="11">
        <f t="shared" si="38"/>
        <v>4423.5749999999998</v>
      </c>
      <c r="S481" s="1" t="str">
        <f t="shared" si="39"/>
        <v>High</v>
      </c>
      <c r="T481" s="1" t="str" cm="1">
        <f t="array" ref="T481">_xlfn.IFS(L481&gt;5,"High",L481=5,"mediam",L481&lt;5,"low")</f>
        <v>High</v>
      </c>
      <c r="U481" s="1" t="str">
        <f t="shared" si="40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6"/>
        <v>9284.08</v>
      </c>
      <c r="Q482" s="10">
        <f t="shared" si="37"/>
        <v>0</v>
      </c>
      <c r="R482" s="11">
        <f t="shared" si="38"/>
        <v>9284.08</v>
      </c>
      <c r="S482" s="1" t="str">
        <f t="shared" si="39"/>
        <v>High</v>
      </c>
      <c r="T482" s="1" t="str" cm="1">
        <f t="array" ref="T482">_xlfn.IFS(L482&gt;5,"High",L482=5,"mediam",L482&lt;5,"low")</f>
        <v>High</v>
      </c>
      <c r="U482" s="1" t="str">
        <f t="shared" si="40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6"/>
        <v>15205.679999999998</v>
      </c>
      <c r="Q483" s="10">
        <f t="shared" si="37"/>
        <v>2432.9080000000004</v>
      </c>
      <c r="R483" s="11">
        <f t="shared" si="38"/>
        <v>12772.771999999997</v>
      </c>
      <c r="S483" s="1" t="str">
        <f t="shared" si="39"/>
        <v>High</v>
      </c>
      <c r="T483" s="1" t="str" cm="1">
        <f t="array" ref="T483">_xlfn.IFS(L483&gt;5,"High",L483=5,"mediam",L483&lt;5,"low")</f>
        <v>High</v>
      </c>
      <c r="U483" s="1" t="str">
        <f t="shared" si="40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6"/>
        <v>1734.4499999999998</v>
      </c>
      <c r="Q484" s="10">
        <f t="shared" si="37"/>
        <v>0</v>
      </c>
      <c r="R484" s="11">
        <f t="shared" si="38"/>
        <v>1734.4499999999998</v>
      </c>
      <c r="S484" s="1" t="str">
        <f t="shared" si="39"/>
        <v>Low</v>
      </c>
      <c r="T484" s="1" t="str" cm="1">
        <f t="array" ref="T484">_xlfn.IFS(L484&gt;5,"High",L484=5,"mediam",L484&lt;5,"low")</f>
        <v>low</v>
      </c>
      <c r="U484" s="1" t="b">
        <f t="shared" si="40"/>
        <v>0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6"/>
        <v>27939.599999999999</v>
      </c>
      <c r="Q485" s="10">
        <f t="shared" si="37"/>
        <v>1327.1310000000001</v>
      </c>
      <c r="R485" s="11">
        <f t="shared" si="38"/>
        <v>26612.468999999997</v>
      </c>
      <c r="S485" s="1" t="str">
        <f t="shared" si="39"/>
        <v>High</v>
      </c>
      <c r="T485" s="1" t="str" cm="1">
        <f t="array" ref="T485">_xlfn.IFS(L485&gt;5,"High",L485=5,"mediam",L485&lt;5,"low")</f>
        <v>High</v>
      </c>
      <c r="U485" s="1" t="str">
        <f t="shared" si="40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6"/>
        <v>2589.6799999999998</v>
      </c>
      <c r="Q486" s="10">
        <f t="shared" si="37"/>
        <v>330.18450000000001</v>
      </c>
      <c r="R486" s="11">
        <f t="shared" si="38"/>
        <v>2259.4955</v>
      </c>
      <c r="S486" s="1" t="str">
        <f t="shared" si="39"/>
        <v>Low</v>
      </c>
      <c r="T486" s="1" t="str" cm="1">
        <f t="array" ref="T486">_xlfn.IFS(L486&gt;5,"High",L486=5,"mediam",L486&lt;5,"low")</f>
        <v>low</v>
      </c>
      <c r="U486" s="1" t="b">
        <f t="shared" si="40"/>
        <v>0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6"/>
        <v>6981.93</v>
      </c>
      <c r="Q487" s="10">
        <f t="shared" si="37"/>
        <v>0</v>
      </c>
      <c r="R487" s="11">
        <f t="shared" si="38"/>
        <v>6981.93</v>
      </c>
      <c r="S487" s="1" t="str">
        <f t="shared" si="39"/>
        <v>High</v>
      </c>
      <c r="T487" s="1" t="str" cm="1">
        <f t="array" ref="T487">_xlfn.IFS(L487&gt;5,"High",L487=5,"mediam",L487&lt;5,"low")</f>
        <v>High</v>
      </c>
      <c r="U487" s="1" t="str">
        <f t="shared" si="40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6"/>
        <v>11004.56</v>
      </c>
      <c r="Q488" s="10">
        <f t="shared" si="37"/>
        <v>1760.73</v>
      </c>
      <c r="R488" s="11">
        <f t="shared" si="38"/>
        <v>9243.83</v>
      </c>
      <c r="S488" s="1" t="str">
        <f t="shared" si="39"/>
        <v>Low</v>
      </c>
      <c r="T488" s="1" t="str" cm="1">
        <f t="array" ref="T488">_xlfn.IFS(L488&gt;5,"High",L488=5,"mediam",L488&lt;5,"low")</f>
        <v>low</v>
      </c>
      <c r="U488" s="1" t="b">
        <f t="shared" si="40"/>
        <v>0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6"/>
        <v>296.63</v>
      </c>
      <c r="Q489" s="10">
        <f t="shared" si="37"/>
        <v>14.090000000000002</v>
      </c>
      <c r="R489" s="11">
        <f t="shared" si="38"/>
        <v>282.54000000000002</v>
      </c>
      <c r="S489" s="1" t="str">
        <f t="shared" si="39"/>
        <v>Low</v>
      </c>
      <c r="T489" s="1" t="str" cm="1">
        <f t="array" ref="T489">_xlfn.IFS(L489&gt;5,"High",L489=5,"mediam",L489&lt;5,"low")</f>
        <v>low</v>
      </c>
      <c r="U489" s="1" t="b">
        <f t="shared" si="40"/>
        <v>0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6"/>
        <v>20295.04</v>
      </c>
      <c r="Q490" s="10">
        <f t="shared" si="37"/>
        <v>964.01450000000011</v>
      </c>
      <c r="R490" s="11">
        <f t="shared" si="38"/>
        <v>19331.0255</v>
      </c>
      <c r="S490" s="1" t="str">
        <f t="shared" si="39"/>
        <v>High</v>
      </c>
      <c r="T490" s="1" t="str" cm="1">
        <f t="array" ref="T490">_xlfn.IFS(L490&gt;5,"High",L490=5,"mediam",L490&lt;5,"low")</f>
        <v>High</v>
      </c>
      <c r="U490" s="1" t="str">
        <f t="shared" si="40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6"/>
        <v>19866.419999999998</v>
      </c>
      <c r="Q491" s="10">
        <f t="shared" si="37"/>
        <v>3178.6280000000002</v>
      </c>
      <c r="R491" s="11">
        <f t="shared" si="38"/>
        <v>16687.791999999998</v>
      </c>
      <c r="S491" s="1" t="str">
        <f t="shared" si="39"/>
        <v>High</v>
      </c>
      <c r="T491" s="1" t="str" cm="1">
        <f t="array" ref="T491">_xlfn.IFS(L491&gt;5,"High",L491=5,"mediam",L491&lt;5,"low")</f>
        <v>High</v>
      </c>
      <c r="U491" s="1" t="str">
        <f t="shared" si="40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6"/>
        <v>4887.1499999999996</v>
      </c>
      <c r="Q492" s="10">
        <f t="shared" si="37"/>
        <v>781.94399999999996</v>
      </c>
      <c r="R492" s="11">
        <f t="shared" si="38"/>
        <v>4105.2060000000001</v>
      </c>
      <c r="S492" s="1" t="str">
        <f t="shared" si="39"/>
        <v>High</v>
      </c>
      <c r="T492" s="1" t="str" cm="1">
        <f t="array" ref="T492">_xlfn.IFS(L492&gt;5,"High",L492=5,"mediam",L492&lt;5,"low")</f>
        <v>mediam</v>
      </c>
      <c r="U492" s="1" t="b">
        <f t="shared" si="40"/>
        <v>0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6"/>
        <v>1557.8</v>
      </c>
      <c r="Q493" s="10">
        <f t="shared" si="37"/>
        <v>0</v>
      </c>
      <c r="R493" s="11">
        <f t="shared" si="38"/>
        <v>1557.8</v>
      </c>
      <c r="S493" s="1" t="str">
        <f t="shared" si="39"/>
        <v>High</v>
      </c>
      <c r="T493" s="1" t="str" cm="1">
        <f t="array" ref="T493">_xlfn.IFS(L493&gt;5,"High",L493=5,"mediam",L493&lt;5,"low")</f>
        <v>mediam</v>
      </c>
      <c r="U493" s="1" t="b">
        <f t="shared" si="40"/>
        <v>0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6"/>
        <v>10850.21</v>
      </c>
      <c r="Q494" s="10">
        <f t="shared" si="37"/>
        <v>976.51900000000012</v>
      </c>
      <c r="R494" s="11">
        <f t="shared" si="38"/>
        <v>9873.6909999999989</v>
      </c>
      <c r="S494" s="1" t="str">
        <f t="shared" si="39"/>
        <v>High</v>
      </c>
      <c r="T494" s="1" t="str" cm="1">
        <f t="array" ref="T494">_xlfn.IFS(L494&gt;5,"High",L494=5,"mediam",L494&lt;5,"low")</f>
        <v>High</v>
      </c>
      <c r="U494" s="1" t="str">
        <f t="shared" si="40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6"/>
        <v>2647.9500000000003</v>
      </c>
      <c r="Q495" s="10">
        <f t="shared" si="37"/>
        <v>125.77750000000002</v>
      </c>
      <c r="R495" s="11">
        <f t="shared" si="38"/>
        <v>2522.1725000000001</v>
      </c>
      <c r="S495" s="1" t="str">
        <f t="shared" si="39"/>
        <v>High</v>
      </c>
      <c r="T495" s="1" t="str" cm="1">
        <f t="array" ref="T495">_xlfn.IFS(L495&gt;5,"High",L495=5,"mediam",L495&lt;5,"low")</f>
        <v>mediam</v>
      </c>
      <c r="U495" s="1" t="b">
        <f t="shared" si="40"/>
        <v>0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6"/>
        <v>4787.5200000000004</v>
      </c>
      <c r="Q496" s="10">
        <f t="shared" si="37"/>
        <v>0</v>
      </c>
      <c r="R496" s="11">
        <f t="shared" si="38"/>
        <v>4787.5200000000004</v>
      </c>
      <c r="S496" s="1" t="str">
        <f t="shared" si="39"/>
        <v>High</v>
      </c>
      <c r="T496" s="1" t="str" cm="1">
        <f t="array" ref="T496">_xlfn.IFS(L496&gt;5,"High",L496=5,"mediam",L496&lt;5,"low")</f>
        <v>High</v>
      </c>
      <c r="U496" s="1" t="str">
        <f t="shared" si="40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6"/>
        <v>6773.4600000000009</v>
      </c>
      <c r="Q497" s="10">
        <f t="shared" si="37"/>
        <v>1083.7540000000001</v>
      </c>
      <c r="R497" s="11">
        <f t="shared" si="38"/>
        <v>5689.706000000001</v>
      </c>
      <c r="S497" s="1" t="str">
        <f t="shared" si="39"/>
        <v>High</v>
      </c>
      <c r="T497" s="1" t="str" cm="1">
        <f t="array" ref="T497">_xlfn.IFS(L497&gt;5,"High",L497=5,"mediam",L497&lt;5,"low")</f>
        <v>High</v>
      </c>
      <c r="U497" s="1" t="str">
        <f t="shared" si="40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6"/>
        <v>6437.75</v>
      </c>
      <c r="Q498" s="10">
        <f t="shared" si="37"/>
        <v>0</v>
      </c>
      <c r="R498" s="11">
        <f t="shared" si="38"/>
        <v>6437.75</v>
      </c>
      <c r="S498" s="1" t="str">
        <f t="shared" si="39"/>
        <v>High</v>
      </c>
      <c r="T498" s="1" t="str" cm="1">
        <f t="array" ref="T498">_xlfn.IFS(L498&gt;5,"High",L498=5,"mediam",L498&lt;5,"low")</f>
        <v>mediam</v>
      </c>
      <c r="U498" s="1" t="b">
        <f t="shared" si="40"/>
        <v>0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6"/>
        <v>19713.509999999998</v>
      </c>
      <c r="Q499" s="10">
        <f t="shared" si="37"/>
        <v>3154.1620000000003</v>
      </c>
      <c r="R499" s="11">
        <f t="shared" si="38"/>
        <v>16559.347999999998</v>
      </c>
      <c r="S499" s="1" t="str">
        <f t="shared" si="39"/>
        <v>High</v>
      </c>
      <c r="T499" s="1" t="str" cm="1">
        <f t="array" ref="T499">_xlfn.IFS(L499&gt;5,"High",L499=5,"mediam",L499&lt;5,"low")</f>
        <v>High</v>
      </c>
      <c r="U499" s="1" t="str">
        <f t="shared" si="40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6"/>
        <v>5523.62</v>
      </c>
      <c r="Q500" s="10">
        <f t="shared" si="37"/>
        <v>704.26199999999994</v>
      </c>
      <c r="R500" s="11">
        <f t="shared" si="38"/>
        <v>4819.3580000000002</v>
      </c>
      <c r="S500" s="1" t="str">
        <f t="shared" si="39"/>
        <v>Low</v>
      </c>
      <c r="T500" s="1" t="str" cm="1">
        <f t="array" ref="T500">_xlfn.IFS(L500&gt;5,"High",L500=5,"mediam",L500&lt;5,"low")</f>
        <v>low</v>
      </c>
      <c r="U500" s="1" t="b">
        <f t="shared" si="40"/>
        <v>0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0">
        <f t="shared" si="37"/>
        <v>389.14800000000002</v>
      </c>
      <c r="R501" s="11">
        <f t="shared" si="38"/>
        <v>2043.0219999999999</v>
      </c>
      <c r="S501" s="1" t="str">
        <f t="shared" si="39"/>
        <v>Low</v>
      </c>
      <c r="T501" s="1" t="str" cm="1">
        <f t="array" ref="T501">_xlfn.IFS(L501&gt;5,"High",L501=5,"mediam",L501&lt;5,"low")</f>
        <v>low</v>
      </c>
      <c r="U501" s="1" t="b">
        <f t="shared" si="4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4EE9-CA8D-4133-8800-A74D5D341DA1}">
  <dimension ref="A1:AZ501"/>
  <sheetViews>
    <sheetView topLeftCell="U1" zoomScale="64" workbookViewId="0">
      <selection activeCell="AQ78" sqref="AQ7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8.21875" bestFit="1" customWidth="1"/>
    <col min="19" max="19" width="4.5546875" bestFit="1" customWidth="1"/>
    <col min="20" max="20" width="10.77734375" bestFit="1" customWidth="1"/>
    <col min="21" max="21" width="11" bestFit="1" customWidth="1"/>
    <col min="24" max="24" width="17.5546875" customWidth="1"/>
    <col min="26" max="26" width="10.88671875" customWidth="1"/>
    <col min="27" max="27" width="11.33203125" customWidth="1"/>
    <col min="30" max="30" width="15.33203125" customWidth="1"/>
    <col min="31" max="31" width="12.33203125" customWidth="1"/>
    <col min="32" max="32" width="8" bestFit="1" customWidth="1"/>
    <col min="33" max="33" width="11.33203125" bestFit="1" customWidth="1"/>
    <col min="34" max="35" width="10.33203125" bestFit="1" customWidth="1"/>
    <col min="36" max="36" width="9.77734375" bestFit="1" customWidth="1"/>
    <col min="37" max="37" width="11.44140625" bestFit="1" customWidth="1"/>
    <col min="38" max="38" width="12.5546875" bestFit="1" customWidth="1"/>
    <col min="39" max="39" width="15.88671875" bestFit="1" customWidth="1"/>
    <col min="40" max="40" width="15.77734375" bestFit="1" customWidth="1"/>
    <col min="41" max="41" width="13.21875" bestFit="1" customWidth="1"/>
    <col min="42" max="42" width="7" bestFit="1" customWidth="1"/>
    <col min="43" max="43" width="9.44140625" bestFit="1" customWidth="1"/>
    <col min="44" max="44" width="9.109375" bestFit="1" customWidth="1"/>
    <col min="45" max="45" width="10.21875" bestFit="1" customWidth="1"/>
    <col min="46" max="46" width="9" bestFit="1" customWidth="1"/>
    <col min="47" max="47" width="9.77734375" bestFit="1" customWidth="1"/>
    <col min="48" max="48" width="15.77734375" bestFit="1" customWidth="1"/>
    <col min="49" max="49" width="18.21875" bestFit="1" customWidth="1"/>
    <col min="50" max="50" width="9.5546875" bestFit="1" customWidth="1"/>
    <col min="51" max="51" width="10.77734375" bestFit="1" customWidth="1"/>
    <col min="52" max="52" width="11" bestFit="1" customWidth="1"/>
  </cols>
  <sheetData>
    <row r="1" spans="1:4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70</v>
      </c>
      <c r="Q1" s="8" t="s">
        <v>72</v>
      </c>
      <c r="R1" s="8" t="s">
        <v>71</v>
      </c>
      <c r="S1" s="12" t="s">
        <v>73</v>
      </c>
      <c r="T1" s="12" t="s">
        <v>74</v>
      </c>
      <c r="U1" s="12" t="s">
        <v>75</v>
      </c>
      <c r="W1" s="3" t="s">
        <v>4</v>
      </c>
      <c r="X1" s="3" t="s">
        <v>7</v>
      </c>
    </row>
    <row r="2" spans="1:44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0">
        <f>O2*N2%</f>
        <v>0</v>
      </c>
      <c r="R2" s="11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  <c r="W2" s="1" t="s">
        <v>15</v>
      </c>
      <c r="X2" s="1" t="s">
        <v>35</v>
      </c>
    </row>
    <row r="3" spans="1:44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0">
        <f t="shared" ref="Q3:Q66" si="1">O3*N3%</f>
        <v>1079.5360000000001</v>
      </c>
      <c r="R3" s="11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7" si="4">IF(L3&gt;5,"High",IF(L3="Mediam","Low"))</f>
        <v>High</v>
      </c>
    </row>
    <row r="4" spans="1:44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0">
        <f t="shared" si="1"/>
        <v>2657.8695000000002</v>
      </c>
      <c r="R4" s="11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X4" s="4" t="s">
        <v>0</v>
      </c>
      <c r="Y4" s="3" t="s">
        <v>1</v>
      </c>
      <c r="Z4" s="3" t="s">
        <v>2</v>
      </c>
      <c r="AA4" s="3" t="s">
        <v>3</v>
      </c>
      <c r="AB4" s="3" t="s">
        <v>4</v>
      </c>
      <c r="AC4" s="3" t="s">
        <v>5</v>
      </c>
      <c r="AD4" s="3" t="s">
        <v>6</v>
      </c>
      <c r="AE4" s="3" t="s">
        <v>7</v>
      </c>
      <c r="AF4" s="3" t="s">
        <v>8</v>
      </c>
      <c r="AG4" s="3" t="s">
        <v>9</v>
      </c>
      <c r="AH4" s="3" t="s">
        <v>10</v>
      </c>
      <c r="AI4" s="3" t="s">
        <v>11</v>
      </c>
      <c r="AJ4" s="3" t="s">
        <v>12</v>
      </c>
      <c r="AK4" s="3" t="s">
        <v>13</v>
      </c>
      <c r="AL4" s="3" t="s">
        <v>14</v>
      </c>
      <c r="AM4" s="7" t="s">
        <v>70</v>
      </c>
      <c r="AN4" s="8" t="s">
        <v>72</v>
      </c>
      <c r="AO4" s="8" t="s">
        <v>71</v>
      </c>
      <c r="AP4" s="12" t="s">
        <v>73</v>
      </c>
      <c r="AQ4" s="12" t="s">
        <v>74</v>
      </c>
      <c r="AR4" s="12" t="s">
        <v>75</v>
      </c>
    </row>
    <row r="5" spans="1:44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0">
        <f t="shared" si="1"/>
        <v>128.62049999999999</v>
      </c>
      <c r="R5" s="11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X5" s="5">
        <v>10001</v>
      </c>
      <c r="Y5" s="1">
        <v>1102</v>
      </c>
      <c r="Z5" s="2">
        <v>45197</v>
      </c>
      <c r="AA5" s="2">
        <v>45203</v>
      </c>
      <c r="AB5" s="1" t="s">
        <v>15</v>
      </c>
      <c r="AC5" s="1" t="s">
        <v>16</v>
      </c>
      <c r="AD5" s="1" t="s">
        <v>17</v>
      </c>
      <c r="AE5" s="1" t="s">
        <v>18</v>
      </c>
      <c r="AF5" s="1" t="s">
        <v>19</v>
      </c>
      <c r="AG5" s="1" t="s">
        <v>20</v>
      </c>
      <c r="AH5" s="1" t="s">
        <v>21</v>
      </c>
      <c r="AI5" s="1">
        <v>7</v>
      </c>
      <c r="AJ5" s="1">
        <v>2843.87</v>
      </c>
      <c r="AK5" s="1">
        <v>0</v>
      </c>
      <c r="AL5" s="1">
        <v>19907.09</v>
      </c>
      <c r="AM5" s="1">
        <v>19907.09</v>
      </c>
      <c r="AN5" s="10">
        <v>0</v>
      </c>
      <c r="AO5" s="11">
        <v>19907.09</v>
      </c>
      <c r="AP5" s="1" t="s">
        <v>159</v>
      </c>
      <c r="AQ5" s="1" t="s">
        <v>159</v>
      </c>
      <c r="AR5" s="1" t="s">
        <v>159</v>
      </c>
    </row>
    <row r="6" spans="1:44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0">
        <f t="shared" si="1"/>
        <v>3932.846</v>
      </c>
      <c r="R6" s="11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X6" s="5">
        <v>10003</v>
      </c>
      <c r="Y6" s="1">
        <v>1860</v>
      </c>
      <c r="Z6" s="2">
        <v>45109</v>
      </c>
      <c r="AA6" s="2">
        <v>45114</v>
      </c>
      <c r="AB6" s="1" t="s">
        <v>15</v>
      </c>
      <c r="AC6" s="1" t="s">
        <v>29</v>
      </c>
      <c r="AD6" s="1" t="s">
        <v>30</v>
      </c>
      <c r="AE6" s="1" t="s">
        <v>25</v>
      </c>
      <c r="AF6" s="1" t="s">
        <v>31</v>
      </c>
      <c r="AG6" s="1" t="s">
        <v>32</v>
      </c>
      <c r="AH6" s="1" t="s">
        <v>33</v>
      </c>
      <c r="AI6" s="1">
        <v>6</v>
      </c>
      <c r="AJ6" s="1">
        <v>3474.34</v>
      </c>
      <c r="AK6" s="1">
        <v>15</v>
      </c>
      <c r="AL6" s="1">
        <v>17719.13</v>
      </c>
      <c r="AM6" s="1">
        <v>20846.04</v>
      </c>
      <c r="AN6" s="10">
        <v>2657.8695000000002</v>
      </c>
      <c r="AO6" s="11">
        <v>18188.1705</v>
      </c>
      <c r="AP6" s="1" t="s">
        <v>159</v>
      </c>
      <c r="AQ6" s="1" t="s">
        <v>159</v>
      </c>
      <c r="AR6" s="1" t="s">
        <v>159</v>
      </c>
    </row>
    <row r="7" spans="1:44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0">
        <f t="shared" si="1"/>
        <v>861.17800000000011</v>
      </c>
      <c r="R7" s="11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X7" s="5">
        <v>10009</v>
      </c>
      <c r="Y7" s="1">
        <v>1614</v>
      </c>
      <c r="Z7" s="2">
        <v>45204</v>
      </c>
      <c r="AA7" s="2">
        <v>45213</v>
      </c>
      <c r="AB7" s="1" t="s">
        <v>15</v>
      </c>
      <c r="AC7" s="1" t="s">
        <v>29</v>
      </c>
      <c r="AD7" s="1" t="s">
        <v>24</v>
      </c>
      <c r="AE7" s="1" t="s">
        <v>25</v>
      </c>
      <c r="AF7" s="1" t="s">
        <v>31</v>
      </c>
      <c r="AG7" s="1" t="s">
        <v>48</v>
      </c>
      <c r="AH7" s="1" t="s">
        <v>28</v>
      </c>
      <c r="AI7" s="1">
        <v>5</v>
      </c>
      <c r="AJ7" s="1">
        <v>1098.04</v>
      </c>
      <c r="AK7" s="1">
        <v>15</v>
      </c>
      <c r="AL7" s="1">
        <v>4666.67</v>
      </c>
      <c r="AM7" s="1">
        <v>5490.2</v>
      </c>
      <c r="AN7" s="10">
        <v>700.00049999999999</v>
      </c>
      <c r="AO7" s="11">
        <v>4790.1994999999997</v>
      </c>
      <c r="AP7" s="1" t="s">
        <v>159</v>
      </c>
      <c r="AQ7" s="1" t="s">
        <v>160</v>
      </c>
      <c r="AR7" s="1" t="b">
        <v>0</v>
      </c>
    </row>
    <row r="8" spans="1:44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0">
        <f t="shared" si="1"/>
        <v>1363.6890000000001</v>
      </c>
      <c r="R8" s="11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X8" s="5">
        <v>10018</v>
      </c>
      <c r="Y8" s="1">
        <v>1871</v>
      </c>
      <c r="Z8" s="2">
        <v>45045</v>
      </c>
      <c r="AA8" s="2">
        <v>45048</v>
      </c>
      <c r="AB8" s="1" t="s">
        <v>15</v>
      </c>
      <c r="AC8" s="1" t="s">
        <v>29</v>
      </c>
      <c r="AD8" s="1" t="s">
        <v>24</v>
      </c>
      <c r="AE8" s="1" t="s">
        <v>18</v>
      </c>
      <c r="AF8" s="1" t="s">
        <v>19</v>
      </c>
      <c r="AG8" s="1" t="s">
        <v>55</v>
      </c>
      <c r="AH8" s="1" t="s">
        <v>28</v>
      </c>
      <c r="AI8" s="1">
        <v>1</v>
      </c>
      <c r="AJ8" s="1">
        <v>2165.81</v>
      </c>
      <c r="AK8" s="1">
        <v>15</v>
      </c>
      <c r="AL8" s="1">
        <v>1840.94</v>
      </c>
      <c r="AM8" s="1">
        <v>2165.81</v>
      </c>
      <c r="AN8" s="10">
        <v>276.14100000000002</v>
      </c>
      <c r="AO8" s="11">
        <v>1889.6689999999999</v>
      </c>
      <c r="AP8" s="1" t="s">
        <v>161</v>
      </c>
      <c r="AQ8" s="1" t="s">
        <v>162</v>
      </c>
      <c r="AR8" s="1" t="b">
        <v>0</v>
      </c>
    </row>
    <row r="9" spans="1:44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0">
        <f t="shared" si="1"/>
        <v>831.899</v>
      </c>
      <c r="R9" s="11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ref="U9:U72" si="5">IF(L9&gt;5,"High",IF(L9="Mediam","Low"))</f>
        <v>0</v>
      </c>
      <c r="X9" s="5">
        <v>10031</v>
      </c>
      <c r="Y9" s="1">
        <v>1276</v>
      </c>
      <c r="Z9" s="2">
        <v>45162</v>
      </c>
      <c r="AA9" s="2">
        <v>45166</v>
      </c>
      <c r="AB9" s="1" t="s">
        <v>15</v>
      </c>
      <c r="AC9" s="1" t="s">
        <v>29</v>
      </c>
      <c r="AD9" s="1" t="s">
        <v>30</v>
      </c>
      <c r="AE9" s="1" t="s">
        <v>42</v>
      </c>
      <c r="AF9" s="1" t="s">
        <v>57</v>
      </c>
      <c r="AG9" s="1" t="s">
        <v>62</v>
      </c>
      <c r="AH9" s="1" t="s">
        <v>47</v>
      </c>
      <c r="AI9" s="1">
        <v>5</v>
      </c>
      <c r="AJ9" s="1">
        <v>2295.65</v>
      </c>
      <c r="AK9" s="1">
        <v>20</v>
      </c>
      <c r="AL9" s="1">
        <v>9182.6</v>
      </c>
      <c r="AM9" s="1">
        <v>11478.25</v>
      </c>
      <c r="AN9" s="10">
        <v>1836.5200000000002</v>
      </c>
      <c r="AO9" s="11">
        <v>9641.73</v>
      </c>
      <c r="AP9" s="1" t="s">
        <v>159</v>
      </c>
      <c r="AQ9" s="1" t="s">
        <v>160</v>
      </c>
      <c r="AR9" s="1" t="b">
        <v>0</v>
      </c>
    </row>
    <row r="10" spans="1:44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0">
        <f t="shared" si="1"/>
        <v>700.00049999999999</v>
      </c>
      <c r="R10" s="11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5"/>
        <v>0</v>
      </c>
      <c r="X10" s="5">
        <v>10032</v>
      </c>
      <c r="Y10" s="1">
        <v>1160</v>
      </c>
      <c r="Z10" s="2">
        <v>45150</v>
      </c>
      <c r="AA10" s="2">
        <v>45158</v>
      </c>
      <c r="AB10" s="1" t="s">
        <v>15</v>
      </c>
      <c r="AC10" s="1" t="s">
        <v>41</v>
      </c>
      <c r="AD10" s="1" t="s">
        <v>30</v>
      </c>
      <c r="AE10" s="1" t="s">
        <v>18</v>
      </c>
      <c r="AF10" s="1" t="s">
        <v>19</v>
      </c>
      <c r="AG10" s="1" t="s">
        <v>43</v>
      </c>
      <c r="AH10" s="1" t="s">
        <v>21</v>
      </c>
      <c r="AI10" s="1">
        <v>4</v>
      </c>
      <c r="AJ10" s="1">
        <v>750.74</v>
      </c>
      <c r="AK10" s="1">
        <v>5</v>
      </c>
      <c r="AL10" s="1">
        <v>2852.81</v>
      </c>
      <c r="AM10" s="1">
        <v>3002.96</v>
      </c>
      <c r="AN10" s="10">
        <v>142.6405</v>
      </c>
      <c r="AO10" s="11">
        <v>2860.3195000000001</v>
      </c>
      <c r="AP10" s="1" t="s">
        <v>161</v>
      </c>
      <c r="AQ10" s="1" t="s">
        <v>162</v>
      </c>
      <c r="AR10" s="1" t="b">
        <v>0</v>
      </c>
    </row>
    <row r="11" spans="1:44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0">
        <f t="shared" si="1"/>
        <v>1424.5280000000002</v>
      </c>
      <c r="R11" s="11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5"/>
        <v>0</v>
      </c>
      <c r="X11" s="5">
        <v>10040</v>
      </c>
      <c r="Y11" s="1">
        <v>1474</v>
      </c>
      <c r="Z11" s="2">
        <v>45274</v>
      </c>
      <c r="AA11" s="2">
        <v>45277</v>
      </c>
      <c r="AB11" s="1" t="s">
        <v>15</v>
      </c>
      <c r="AC11" s="1" t="s">
        <v>16</v>
      </c>
      <c r="AD11" s="1" t="s">
        <v>30</v>
      </c>
      <c r="AE11" s="1" t="s">
        <v>35</v>
      </c>
      <c r="AF11" s="1" t="s">
        <v>26</v>
      </c>
      <c r="AG11" s="1" t="s">
        <v>27</v>
      </c>
      <c r="AH11" s="1" t="s">
        <v>28</v>
      </c>
      <c r="AI11" s="1">
        <v>6</v>
      </c>
      <c r="AJ11" s="1">
        <v>3083.25</v>
      </c>
      <c r="AK11" s="1">
        <v>10</v>
      </c>
      <c r="AL11" s="1">
        <v>16649.55</v>
      </c>
      <c r="AM11" s="1">
        <v>18499.5</v>
      </c>
      <c r="AN11" s="10">
        <v>1664.9549999999999</v>
      </c>
      <c r="AO11" s="11">
        <v>16834.544999999998</v>
      </c>
      <c r="AP11" s="1" t="s">
        <v>159</v>
      </c>
      <c r="AQ11" s="1" t="s">
        <v>159</v>
      </c>
      <c r="AR11" s="1" t="s">
        <v>159</v>
      </c>
    </row>
    <row r="12" spans="1:44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0">
        <f t="shared" si="1"/>
        <v>0</v>
      </c>
      <c r="R12" s="11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5"/>
        <v>High</v>
      </c>
      <c r="X12" s="5">
        <v>10042</v>
      </c>
      <c r="Y12" s="1">
        <v>1510</v>
      </c>
      <c r="Z12" s="2">
        <v>45195</v>
      </c>
      <c r="AA12" s="2">
        <v>45204</v>
      </c>
      <c r="AB12" s="1" t="s">
        <v>15</v>
      </c>
      <c r="AC12" s="1" t="s">
        <v>54</v>
      </c>
      <c r="AD12" s="1" t="s">
        <v>24</v>
      </c>
      <c r="AE12" s="1" t="s">
        <v>35</v>
      </c>
      <c r="AF12" s="1" t="s">
        <v>26</v>
      </c>
      <c r="AG12" s="1" t="s">
        <v>27</v>
      </c>
      <c r="AH12" s="1" t="s">
        <v>33</v>
      </c>
      <c r="AI12" s="1">
        <v>4</v>
      </c>
      <c r="AJ12" s="1">
        <v>1211.67</v>
      </c>
      <c r="AK12" s="1">
        <v>20</v>
      </c>
      <c r="AL12" s="1">
        <v>3877.34</v>
      </c>
      <c r="AM12" s="1">
        <v>4846.68</v>
      </c>
      <c r="AN12" s="10">
        <v>775.46800000000007</v>
      </c>
      <c r="AO12" s="11">
        <v>4071.2120000000004</v>
      </c>
      <c r="AP12" s="1" t="s">
        <v>161</v>
      </c>
      <c r="AQ12" s="1" t="s">
        <v>162</v>
      </c>
      <c r="AR12" s="1" t="b">
        <v>0</v>
      </c>
    </row>
    <row r="13" spans="1:44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0">
        <f t="shared" si="1"/>
        <v>77.619500000000016</v>
      </c>
      <c r="R13" s="11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5"/>
        <v>High</v>
      </c>
      <c r="X13" s="5">
        <v>10065</v>
      </c>
      <c r="Y13" s="1">
        <v>1273</v>
      </c>
      <c r="Z13" s="2">
        <v>45054</v>
      </c>
      <c r="AA13" s="2">
        <v>45058</v>
      </c>
      <c r="AB13" s="1" t="s">
        <v>15</v>
      </c>
      <c r="AC13" s="1" t="s">
        <v>38</v>
      </c>
      <c r="AD13" s="1" t="s">
        <v>17</v>
      </c>
      <c r="AE13" s="1" t="s">
        <v>42</v>
      </c>
      <c r="AF13" s="1" t="s">
        <v>19</v>
      </c>
      <c r="AG13" s="1" t="s">
        <v>43</v>
      </c>
      <c r="AH13" s="1" t="s">
        <v>45</v>
      </c>
      <c r="AI13" s="1">
        <v>2</v>
      </c>
      <c r="AJ13" s="1">
        <v>2773.21</v>
      </c>
      <c r="AK13" s="1">
        <v>10</v>
      </c>
      <c r="AL13" s="1">
        <v>4991.78</v>
      </c>
      <c r="AM13" s="1">
        <v>5546.42</v>
      </c>
      <c r="AN13" s="10">
        <v>499.178</v>
      </c>
      <c r="AO13" s="11">
        <v>5047.2420000000002</v>
      </c>
      <c r="AP13" s="1" t="s">
        <v>161</v>
      </c>
      <c r="AQ13" s="1" t="s">
        <v>162</v>
      </c>
      <c r="AR13" s="1" t="b">
        <v>0</v>
      </c>
    </row>
    <row r="14" spans="1:44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0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5"/>
        <v>High</v>
      </c>
      <c r="X14" s="5">
        <v>10066</v>
      </c>
      <c r="Y14" s="1">
        <v>1387</v>
      </c>
      <c r="Z14" s="2">
        <v>45155</v>
      </c>
      <c r="AA14" s="2">
        <v>45158</v>
      </c>
      <c r="AB14" s="1" t="s">
        <v>15</v>
      </c>
      <c r="AC14" s="1" t="s">
        <v>23</v>
      </c>
      <c r="AD14" s="1" t="s">
        <v>17</v>
      </c>
      <c r="AE14" s="1" t="s">
        <v>35</v>
      </c>
      <c r="AF14" s="1" t="s">
        <v>57</v>
      </c>
      <c r="AG14" s="1" t="s">
        <v>67</v>
      </c>
      <c r="AH14" s="1" t="s">
        <v>45</v>
      </c>
      <c r="AI14" s="1">
        <v>8</v>
      </c>
      <c r="AJ14" s="1">
        <v>3769.71</v>
      </c>
      <c r="AK14" s="1">
        <v>5</v>
      </c>
      <c r="AL14" s="1">
        <v>28649.8</v>
      </c>
      <c r="AM14" s="1">
        <v>30157.68</v>
      </c>
      <c r="AN14" s="10">
        <v>1432.49</v>
      </c>
      <c r="AO14" s="11">
        <v>28725.19</v>
      </c>
      <c r="AP14" s="1" t="s">
        <v>159</v>
      </c>
      <c r="AQ14" s="1" t="s">
        <v>159</v>
      </c>
      <c r="AR14" s="1" t="s">
        <v>159</v>
      </c>
    </row>
    <row r="15" spans="1:44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0">
        <f t="shared" si="1"/>
        <v>1095.7559999999999</v>
      </c>
      <c r="R15" s="11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5"/>
        <v>High</v>
      </c>
      <c r="X15" s="5">
        <v>10069</v>
      </c>
      <c r="Y15" s="1">
        <v>1013</v>
      </c>
      <c r="Z15" s="2">
        <v>45288</v>
      </c>
      <c r="AA15" s="2">
        <v>45296</v>
      </c>
      <c r="AB15" s="1" t="s">
        <v>15</v>
      </c>
      <c r="AC15" s="1" t="s">
        <v>23</v>
      </c>
      <c r="AD15" s="1" t="s">
        <v>17</v>
      </c>
      <c r="AE15" s="1" t="s">
        <v>44</v>
      </c>
      <c r="AF15" s="1" t="s">
        <v>57</v>
      </c>
      <c r="AG15" s="1" t="s">
        <v>62</v>
      </c>
      <c r="AH15" s="1" t="s">
        <v>33</v>
      </c>
      <c r="AI15" s="1">
        <v>6</v>
      </c>
      <c r="AJ15" s="1">
        <v>1836.98</v>
      </c>
      <c r="AK15" s="1">
        <v>5</v>
      </c>
      <c r="AL15" s="1">
        <v>10470.790000000001</v>
      </c>
      <c r="AM15" s="1">
        <v>11021.880000000001</v>
      </c>
      <c r="AN15" s="10">
        <v>523.53950000000009</v>
      </c>
      <c r="AO15" s="11">
        <v>10498.3405</v>
      </c>
      <c r="AP15" s="1" t="s">
        <v>159</v>
      </c>
      <c r="AQ15" s="1" t="s">
        <v>159</v>
      </c>
      <c r="AR15" s="1" t="s">
        <v>159</v>
      </c>
    </row>
    <row r="16" spans="1:44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0">
        <f t="shared" si="1"/>
        <v>571.52800000000002</v>
      </c>
      <c r="R16" s="11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5"/>
        <v>High</v>
      </c>
      <c r="X16" s="5">
        <v>10071</v>
      </c>
      <c r="Y16" s="1">
        <v>1776</v>
      </c>
      <c r="Z16" s="2">
        <v>45070</v>
      </c>
      <c r="AA16" s="2">
        <v>45078</v>
      </c>
      <c r="AB16" s="1" t="s">
        <v>15</v>
      </c>
      <c r="AC16" s="1" t="s">
        <v>29</v>
      </c>
      <c r="AD16" s="1" t="s">
        <v>17</v>
      </c>
      <c r="AE16" s="1" t="s">
        <v>18</v>
      </c>
      <c r="AF16" s="1" t="s">
        <v>26</v>
      </c>
      <c r="AG16" s="1" t="s">
        <v>61</v>
      </c>
      <c r="AH16" s="1" t="s">
        <v>47</v>
      </c>
      <c r="AI16" s="1">
        <v>3</v>
      </c>
      <c r="AJ16" s="1">
        <v>3854.71</v>
      </c>
      <c r="AK16" s="1">
        <v>5</v>
      </c>
      <c r="AL16" s="1">
        <v>10985.92</v>
      </c>
      <c r="AM16" s="1">
        <v>11564.130000000001</v>
      </c>
      <c r="AN16" s="10">
        <v>549.29600000000005</v>
      </c>
      <c r="AO16" s="11">
        <v>11014.834000000001</v>
      </c>
      <c r="AP16" s="1" t="s">
        <v>161</v>
      </c>
      <c r="AQ16" s="1" t="s">
        <v>162</v>
      </c>
      <c r="AR16" s="1" t="b">
        <v>0</v>
      </c>
    </row>
    <row r="17" spans="1:44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0">
        <f t="shared" si="1"/>
        <v>226.27100000000002</v>
      </c>
      <c r="R17" s="11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5"/>
        <v>High</v>
      </c>
      <c r="X17" s="5">
        <v>10080</v>
      </c>
      <c r="Y17" s="1">
        <v>1427</v>
      </c>
      <c r="Z17" s="2">
        <v>45288</v>
      </c>
      <c r="AA17" s="2">
        <v>45293</v>
      </c>
      <c r="AB17" s="1" t="s">
        <v>15</v>
      </c>
      <c r="AC17" s="1" t="s">
        <v>54</v>
      </c>
      <c r="AD17" s="1" t="s">
        <v>17</v>
      </c>
      <c r="AE17" s="1" t="s">
        <v>25</v>
      </c>
      <c r="AF17" s="1" t="s">
        <v>52</v>
      </c>
      <c r="AG17" s="1" t="s">
        <v>56</v>
      </c>
      <c r="AH17" s="1" t="s">
        <v>28</v>
      </c>
      <c r="AI17" s="1">
        <v>3</v>
      </c>
      <c r="AJ17" s="1">
        <v>262.25</v>
      </c>
      <c r="AK17" s="1">
        <v>10</v>
      </c>
      <c r="AL17" s="1">
        <v>708.07</v>
      </c>
      <c r="AM17" s="1">
        <v>786.75</v>
      </c>
      <c r="AN17" s="10">
        <v>70.807000000000002</v>
      </c>
      <c r="AO17" s="11">
        <v>715.94299999999998</v>
      </c>
      <c r="AP17" s="1" t="s">
        <v>161</v>
      </c>
      <c r="AQ17" s="1" t="s">
        <v>162</v>
      </c>
      <c r="AR17" s="1" t="b">
        <v>0</v>
      </c>
    </row>
    <row r="18" spans="1:44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0">
        <f t="shared" si="1"/>
        <v>65.002499999999998</v>
      </c>
      <c r="R18" s="11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5"/>
        <v>0</v>
      </c>
      <c r="X18" s="5">
        <v>10108</v>
      </c>
      <c r="Y18" s="1">
        <v>1815</v>
      </c>
      <c r="Z18" s="2">
        <v>45037</v>
      </c>
      <c r="AA18" s="2">
        <v>45045</v>
      </c>
      <c r="AB18" s="1" t="s">
        <v>15</v>
      </c>
      <c r="AC18" s="1" t="s">
        <v>29</v>
      </c>
      <c r="AD18" s="1" t="s">
        <v>24</v>
      </c>
      <c r="AE18" s="1" t="s">
        <v>18</v>
      </c>
      <c r="AF18" s="1" t="s">
        <v>26</v>
      </c>
      <c r="AG18" s="1" t="s">
        <v>36</v>
      </c>
      <c r="AH18" s="1" t="s">
        <v>21</v>
      </c>
      <c r="AI18" s="1">
        <v>2</v>
      </c>
      <c r="AJ18" s="1">
        <v>564.30999999999995</v>
      </c>
      <c r="AK18" s="1">
        <v>15</v>
      </c>
      <c r="AL18" s="1">
        <v>959.33</v>
      </c>
      <c r="AM18" s="1">
        <v>1128.6199999999999</v>
      </c>
      <c r="AN18" s="10">
        <v>143.89949999999999</v>
      </c>
      <c r="AO18" s="11">
        <v>984.7204999999999</v>
      </c>
      <c r="AP18" s="1" t="s">
        <v>161</v>
      </c>
      <c r="AQ18" s="1" t="s">
        <v>162</v>
      </c>
      <c r="AR18" s="1" t="b">
        <v>0</v>
      </c>
    </row>
    <row r="19" spans="1:44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0">
        <f t="shared" si="1"/>
        <v>276.14100000000002</v>
      </c>
      <c r="R19" s="11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5"/>
        <v>0</v>
      </c>
      <c r="X19" s="5">
        <v>10111</v>
      </c>
      <c r="Y19" s="1">
        <v>1461</v>
      </c>
      <c r="Z19" s="2">
        <v>44950</v>
      </c>
      <c r="AA19" s="2">
        <v>44959</v>
      </c>
      <c r="AB19" s="1" t="s">
        <v>15</v>
      </c>
      <c r="AC19" s="1" t="s">
        <v>54</v>
      </c>
      <c r="AD19" s="1" t="s">
        <v>30</v>
      </c>
      <c r="AE19" s="1" t="s">
        <v>35</v>
      </c>
      <c r="AF19" s="1" t="s">
        <v>49</v>
      </c>
      <c r="AG19" s="1" t="s">
        <v>68</v>
      </c>
      <c r="AH19" s="1" t="s">
        <v>33</v>
      </c>
      <c r="AI19" s="1">
        <v>1</v>
      </c>
      <c r="AJ19" s="1">
        <v>1820.02</v>
      </c>
      <c r="AK19" s="1">
        <v>10</v>
      </c>
      <c r="AL19" s="1">
        <v>1638.02</v>
      </c>
      <c r="AM19" s="1">
        <v>1820.02</v>
      </c>
      <c r="AN19" s="10">
        <v>163.80200000000002</v>
      </c>
      <c r="AO19" s="11">
        <v>1656.2179999999998</v>
      </c>
      <c r="AP19" s="1" t="s">
        <v>161</v>
      </c>
      <c r="AQ19" s="1" t="s">
        <v>162</v>
      </c>
      <c r="AR19" s="1" t="b">
        <v>0</v>
      </c>
    </row>
    <row r="20" spans="1:44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0">
        <f t="shared" si="1"/>
        <v>252.5265</v>
      </c>
      <c r="R20" s="11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5"/>
        <v>0</v>
      </c>
      <c r="X20" s="5">
        <v>10130</v>
      </c>
      <c r="Y20" s="1">
        <v>1156</v>
      </c>
      <c r="Z20" s="2">
        <v>44929</v>
      </c>
      <c r="AA20" s="2">
        <v>44938</v>
      </c>
      <c r="AB20" s="1" t="s">
        <v>15</v>
      </c>
      <c r="AC20" s="1" t="s">
        <v>41</v>
      </c>
      <c r="AD20" s="1" t="s">
        <v>17</v>
      </c>
      <c r="AE20" s="1" t="s">
        <v>42</v>
      </c>
      <c r="AF20" s="1" t="s">
        <v>57</v>
      </c>
      <c r="AG20" s="1" t="s">
        <v>62</v>
      </c>
      <c r="AH20" s="1" t="s">
        <v>33</v>
      </c>
      <c r="AI20" s="1">
        <v>1</v>
      </c>
      <c r="AJ20" s="1">
        <v>2534.4699999999998</v>
      </c>
      <c r="AK20" s="1">
        <v>5</v>
      </c>
      <c r="AL20" s="1">
        <v>2407.75</v>
      </c>
      <c r="AM20" s="1">
        <v>2534.4699999999998</v>
      </c>
      <c r="AN20" s="10">
        <v>120.3875</v>
      </c>
      <c r="AO20" s="11">
        <v>2414.0825</v>
      </c>
      <c r="AP20" s="1" t="s">
        <v>161</v>
      </c>
      <c r="AQ20" s="1" t="s">
        <v>162</v>
      </c>
      <c r="AR20" s="1" t="b">
        <v>0</v>
      </c>
    </row>
    <row r="21" spans="1:44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0">
        <f t="shared" si="1"/>
        <v>376.1345</v>
      </c>
      <c r="R21" s="11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5"/>
        <v>0</v>
      </c>
      <c r="X21" s="5">
        <v>10171</v>
      </c>
      <c r="Y21" s="1">
        <v>1986</v>
      </c>
      <c r="Z21" s="2">
        <v>45227</v>
      </c>
      <c r="AA21" s="2">
        <v>45228</v>
      </c>
      <c r="AB21" s="1" t="s">
        <v>15</v>
      </c>
      <c r="AC21" s="1" t="s">
        <v>41</v>
      </c>
      <c r="AD21" s="1" t="s">
        <v>24</v>
      </c>
      <c r="AE21" s="1" t="s">
        <v>18</v>
      </c>
      <c r="AF21" s="1" t="s">
        <v>19</v>
      </c>
      <c r="AG21" s="1" t="s">
        <v>43</v>
      </c>
      <c r="AH21" s="1" t="s">
        <v>21</v>
      </c>
      <c r="AI21" s="1">
        <v>8</v>
      </c>
      <c r="AJ21" s="1">
        <v>3795.01</v>
      </c>
      <c r="AK21" s="1">
        <v>5</v>
      </c>
      <c r="AL21" s="1">
        <v>28842.080000000002</v>
      </c>
      <c r="AM21" s="1">
        <v>30360.080000000002</v>
      </c>
      <c r="AN21" s="10">
        <v>1442.1040000000003</v>
      </c>
      <c r="AO21" s="11">
        <v>28917.976000000002</v>
      </c>
      <c r="AP21" s="1" t="s">
        <v>159</v>
      </c>
      <c r="AQ21" s="1" t="s">
        <v>159</v>
      </c>
      <c r="AR21" s="1" t="s">
        <v>159</v>
      </c>
    </row>
    <row r="22" spans="1:44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0">
        <f t="shared" si="1"/>
        <v>336.52500000000003</v>
      </c>
      <c r="R22" s="11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5"/>
        <v>0</v>
      </c>
      <c r="X22" s="5">
        <v>10173</v>
      </c>
      <c r="Y22" s="1">
        <v>1960</v>
      </c>
      <c r="Z22" s="2">
        <v>45124</v>
      </c>
      <c r="AA22" s="2">
        <v>45127</v>
      </c>
      <c r="AB22" s="1" t="s">
        <v>15</v>
      </c>
      <c r="AC22" s="1" t="s">
        <v>38</v>
      </c>
      <c r="AD22" s="1" t="s">
        <v>24</v>
      </c>
      <c r="AE22" s="1" t="s">
        <v>42</v>
      </c>
      <c r="AF22" s="1" t="s">
        <v>31</v>
      </c>
      <c r="AG22" s="1" t="s">
        <v>65</v>
      </c>
      <c r="AH22" s="1" t="s">
        <v>28</v>
      </c>
      <c r="AI22" s="1">
        <v>3</v>
      </c>
      <c r="AJ22" s="1">
        <v>1357.77</v>
      </c>
      <c r="AK22" s="1">
        <v>5</v>
      </c>
      <c r="AL22" s="1">
        <v>3869.64</v>
      </c>
      <c r="AM22" s="1">
        <v>4073.31</v>
      </c>
      <c r="AN22" s="10">
        <v>193.482</v>
      </c>
      <c r="AO22" s="11">
        <v>3879.828</v>
      </c>
      <c r="AP22" s="1" t="s">
        <v>161</v>
      </c>
      <c r="AQ22" s="1" t="s">
        <v>162</v>
      </c>
      <c r="AR22" s="1" t="b">
        <v>0</v>
      </c>
    </row>
    <row r="23" spans="1:44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0">
        <f t="shared" si="1"/>
        <v>762.56400000000008</v>
      </c>
      <c r="R23" s="11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5"/>
        <v>High</v>
      </c>
      <c r="X23" s="5">
        <v>10180</v>
      </c>
      <c r="Y23" s="1">
        <v>1004</v>
      </c>
      <c r="Z23" s="2">
        <v>45004</v>
      </c>
      <c r="AA23" s="2">
        <v>45006</v>
      </c>
      <c r="AB23" s="1" t="s">
        <v>15</v>
      </c>
      <c r="AC23" s="1" t="s">
        <v>29</v>
      </c>
      <c r="AD23" s="1" t="s">
        <v>17</v>
      </c>
      <c r="AE23" s="1" t="s">
        <v>35</v>
      </c>
      <c r="AF23" s="1" t="s">
        <v>19</v>
      </c>
      <c r="AG23" s="1" t="s">
        <v>43</v>
      </c>
      <c r="AH23" s="1" t="s">
        <v>45</v>
      </c>
      <c r="AI23" s="1">
        <v>8</v>
      </c>
      <c r="AJ23" s="1">
        <v>2211.17</v>
      </c>
      <c r="AK23" s="1">
        <v>10</v>
      </c>
      <c r="AL23" s="1">
        <v>15920.42</v>
      </c>
      <c r="AM23" s="1">
        <v>17689.36</v>
      </c>
      <c r="AN23" s="10">
        <v>1592.0420000000001</v>
      </c>
      <c r="AO23" s="11">
        <v>16097.318000000001</v>
      </c>
      <c r="AP23" s="1" t="s">
        <v>159</v>
      </c>
      <c r="AQ23" s="1" t="s">
        <v>159</v>
      </c>
      <c r="AR23" s="1" t="s">
        <v>159</v>
      </c>
    </row>
    <row r="24" spans="1:44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0">
        <f t="shared" si="1"/>
        <v>896.55600000000004</v>
      </c>
      <c r="R24" s="11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5"/>
        <v>0</v>
      </c>
      <c r="X24" s="5">
        <v>10181</v>
      </c>
      <c r="Y24" s="1">
        <v>1217</v>
      </c>
      <c r="Z24" s="2">
        <v>45050</v>
      </c>
      <c r="AA24" s="2">
        <v>45053</v>
      </c>
      <c r="AB24" s="1" t="s">
        <v>15</v>
      </c>
      <c r="AC24" s="1" t="s">
        <v>23</v>
      </c>
      <c r="AD24" s="1" t="s">
        <v>17</v>
      </c>
      <c r="AE24" s="1" t="s">
        <v>42</v>
      </c>
      <c r="AF24" s="1" t="s">
        <v>49</v>
      </c>
      <c r="AG24" s="1" t="s">
        <v>50</v>
      </c>
      <c r="AH24" s="1" t="s">
        <v>33</v>
      </c>
      <c r="AI24" s="1">
        <v>5</v>
      </c>
      <c r="AJ24" s="1">
        <v>2329.38</v>
      </c>
      <c r="AK24" s="1">
        <v>20</v>
      </c>
      <c r="AL24" s="1">
        <v>9317.52</v>
      </c>
      <c r="AM24" s="1">
        <v>11646.900000000001</v>
      </c>
      <c r="AN24" s="10">
        <v>1863.5040000000001</v>
      </c>
      <c r="AO24" s="11">
        <v>9783.3960000000006</v>
      </c>
      <c r="AP24" s="1" t="s">
        <v>159</v>
      </c>
      <c r="AQ24" s="1" t="s">
        <v>160</v>
      </c>
      <c r="AR24" s="1" t="b">
        <v>0</v>
      </c>
    </row>
    <row r="25" spans="1:44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0">
        <f t="shared" si="1"/>
        <v>0</v>
      </c>
      <c r="R25" s="11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5"/>
        <v>0</v>
      </c>
      <c r="X25" s="5">
        <v>10183</v>
      </c>
      <c r="Y25" s="1">
        <v>1766</v>
      </c>
      <c r="Z25" s="2">
        <v>45285</v>
      </c>
      <c r="AA25" s="2">
        <v>45294</v>
      </c>
      <c r="AB25" s="1" t="s">
        <v>15</v>
      </c>
      <c r="AC25" s="1" t="s">
        <v>23</v>
      </c>
      <c r="AD25" s="1" t="s">
        <v>30</v>
      </c>
      <c r="AE25" s="1" t="s">
        <v>18</v>
      </c>
      <c r="AF25" s="1" t="s">
        <v>31</v>
      </c>
      <c r="AG25" s="1" t="s">
        <v>39</v>
      </c>
      <c r="AH25" s="1" t="s">
        <v>47</v>
      </c>
      <c r="AI25" s="1">
        <v>7</v>
      </c>
      <c r="AJ25" s="1">
        <v>658.07</v>
      </c>
      <c r="AK25" s="1">
        <v>20</v>
      </c>
      <c r="AL25" s="1">
        <v>3685.19</v>
      </c>
      <c r="AM25" s="1">
        <v>4606.4900000000007</v>
      </c>
      <c r="AN25" s="10">
        <v>737.03800000000001</v>
      </c>
      <c r="AO25" s="11">
        <v>3869.4520000000007</v>
      </c>
      <c r="AP25" s="1" t="s">
        <v>159</v>
      </c>
      <c r="AQ25" s="1" t="s">
        <v>159</v>
      </c>
      <c r="AR25" s="1" t="s">
        <v>159</v>
      </c>
    </row>
    <row r="26" spans="1:44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0">
        <f t="shared" si="1"/>
        <v>860.39800000000002</v>
      </c>
      <c r="R26" s="11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5"/>
        <v>High</v>
      </c>
      <c r="X26" s="5">
        <v>10192</v>
      </c>
      <c r="Y26" s="1">
        <v>1891</v>
      </c>
      <c r="Z26" s="2">
        <v>45039</v>
      </c>
      <c r="AA26" s="2">
        <v>45042</v>
      </c>
      <c r="AB26" s="1" t="s">
        <v>15</v>
      </c>
      <c r="AC26" s="1" t="s">
        <v>29</v>
      </c>
      <c r="AD26" s="1" t="s">
        <v>30</v>
      </c>
      <c r="AE26" s="1" t="s">
        <v>35</v>
      </c>
      <c r="AF26" s="1" t="s">
        <v>52</v>
      </c>
      <c r="AG26" s="1" t="s">
        <v>60</v>
      </c>
      <c r="AH26" s="1" t="s">
        <v>21</v>
      </c>
      <c r="AI26" s="1">
        <v>2</v>
      </c>
      <c r="AJ26" s="1">
        <v>487.23</v>
      </c>
      <c r="AK26" s="1">
        <v>15</v>
      </c>
      <c r="AL26" s="1">
        <v>828.29</v>
      </c>
      <c r="AM26" s="1">
        <v>974.46</v>
      </c>
      <c r="AN26" s="10">
        <v>124.24349999999998</v>
      </c>
      <c r="AO26" s="11">
        <v>850.2165</v>
      </c>
      <c r="AP26" s="1" t="s">
        <v>161</v>
      </c>
      <c r="AQ26" s="1" t="s">
        <v>162</v>
      </c>
      <c r="AR26" s="1" t="b">
        <v>0</v>
      </c>
    </row>
    <row r="27" spans="1:44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0">
        <f t="shared" si="1"/>
        <v>189.934</v>
      </c>
      <c r="R27" s="11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5"/>
        <v>High</v>
      </c>
      <c r="X27" s="5">
        <v>10200</v>
      </c>
      <c r="Y27" s="1">
        <v>1095</v>
      </c>
      <c r="Z27" s="2">
        <v>45171</v>
      </c>
      <c r="AA27" s="2">
        <v>45176</v>
      </c>
      <c r="AB27" s="1" t="s">
        <v>15</v>
      </c>
      <c r="AC27" s="1" t="s">
        <v>29</v>
      </c>
      <c r="AD27" s="1" t="s">
        <v>30</v>
      </c>
      <c r="AE27" s="1" t="s">
        <v>44</v>
      </c>
      <c r="AF27" s="1" t="s">
        <v>19</v>
      </c>
      <c r="AG27" s="1" t="s">
        <v>66</v>
      </c>
      <c r="AH27" s="1" t="s">
        <v>33</v>
      </c>
      <c r="AI27" s="1">
        <v>3</v>
      </c>
      <c r="AJ27" s="1">
        <v>2701.77</v>
      </c>
      <c r="AK27" s="1">
        <v>15</v>
      </c>
      <c r="AL27" s="1">
        <v>6889.51</v>
      </c>
      <c r="AM27" s="1">
        <v>8105.3099999999995</v>
      </c>
      <c r="AN27" s="10">
        <v>1033.4265</v>
      </c>
      <c r="AO27" s="11">
        <v>7071.8834999999999</v>
      </c>
      <c r="AP27" s="1" t="s">
        <v>161</v>
      </c>
      <c r="AQ27" s="1" t="s">
        <v>162</v>
      </c>
      <c r="AR27" s="1" t="b">
        <v>0</v>
      </c>
    </row>
    <row r="28" spans="1:44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0">
        <f t="shared" si="1"/>
        <v>512.87900000000002</v>
      </c>
      <c r="R28" s="11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5"/>
        <v>0</v>
      </c>
      <c r="X28" s="5">
        <v>10201</v>
      </c>
      <c r="Y28" s="1">
        <v>1899</v>
      </c>
      <c r="Z28" s="2">
        <v>44961</v>
      </c>
      <c r="AA28" s="2">
        <v>44966</v>
      </c>
      <c r="AB28" s="1" t="s">
        <v>15</v>
      </c>
      <c r="AC28" s="1" t="s">
        <v>29</v>
      </c>
      <c r="AD28" s="1" t="s">
        <v>30</v>
      </c>
      <c r="AE28" s="1" t="s">
        <v>42</v>
      </c>
      <c r="AF28" s="1" t="s">
        <v>57</v>
      </c>
      <c r="AG28" s="1" t="s">
        <v>59</v>
      </c>
      <c r="AH28" s="1" t="s">
        <v>28</v>
      </c>
      <c r="AI28" s="1">
        <v>5</v>
      </c>
      <c r="AJ28" s="1">
        <v>3501.94</v>
      </c>
      <c r="AK28" s="1">
        <v>20</v>
      </c>
      <c r="AL28" s="1">
        <v>14007.76</v>
      </c>
      <c r="AM28" s="1">
        <v>17509.7</v>
      </c>
      <c r="AN28" s="10">
        <v>2801.5520000000001</v>
      </c>
      <c r="AO28" s="11">
        <v>14708.148000000001</v>
      </c>
      <c r="AP28" s="1" t="s">
        <v>159</v>
      </c>
      <c r="AQ28" s="1" t="s">
        <v>160</v>
      </c>
      <c r="AR28" s="1" t="b">
        <v>0</v>
      </c>
    </row>
    <row r="29" spans="1:44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0">
        <f t="shared" si="1"/>
        <v>3078.364</v>
      </c>
      <c r="R29" s="11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5"/>
        <v>High</v>
      </c>
      <c r="X29" s="5">
        <v>10210</v>
      </c>
      <c r="Y29" s="1">
        <v>1035</v>
      </c>
      <c r="Z29" s="2">
        <v>45282</v>
      </c>
      <c r="AA29" s="2">
        <v>45284</v>
      </c>
      <c r="AB29" s="1" t="s">
        <v>15</v>
      </c>
      <c r="AC29" s="1" t="s">
        <v>54</v>
      </c>
      <c r="AD29" s="1" t="s">
        <v>30</v>
      </c>
      <c r="AE29" s="1" t="s">
        <v>18</v>
      </c>
      <c r="AF29" s="1" t="s">
        <v>19</v>
      </c>
      <c r="AG29" s="1" t="s">
        <v>20</v>
      </c>
      <c r="AH29" s="1" t="s">
        <v>45</v>
      </c>
      <c r="AI29" s="1">
        <v>8</v>
      </c>
      <c r="AJ29" s="1">
        <v>3656.59</v>
      </c>
      <c r="AK29" s="1">
        <v>15</v>
      </c>
      <c r="AL29" s="1">
        <v>24864.81</v>
      </c>
      <c r="AM29" s="1">
        <v>29252.720000000001</v>
      </c>
      <c r="AN29" s="10">
        <v>3729.7215000000001</v>
      </c>
      <c r="AO29" s="11">
        <v>25522.998500000002</v>
      </c>
      <c r="AP29" s="1" t="s">
        <v>159</v>
      </c>
      <c r="AQ29" s="1" t="s">
        <v>159</v>
      </c>
      <c r="AR29" s="1" t="s">
        <v>159</v>
      </c>
    </row>
    <row r="30" spans="1:44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0">
        <f t="shared" si="1"/>
        <v>290.4975</v>
      </c>
      <c r="R30" s="11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5"/>
        <v>0</v>
      </c>
      <c r="X30" s="5">
        <v>10213</v>
      </c>
      <c r="Y30" s="1">
        <v>1838</v>
      </c>
      <c r="Z30" s="2">
        <v>45186</v>
      </c>
      <c r="AA30" s="2">
        <v>45193</v>
      </c>
      <c r="AB30" s="1" t="s">
        <v>15</v>
      </c>
      <c r="AC30" s="1" t="s">
        <v>41</v>
      </c>
      <c r="AD30" s="1" t="s">
        <v>24</v>
      </c>
      <c r="AE30" s="1" t="s">
        <v>42</v>
      </c>
      <c r="AF30" s="1" t="s">
        <v>49</v>
      </c>
      <c r="AG30" s="1" t="s">
        <v>63</v>
      </c>
      <c r="AH30" s="1" t="s">
        <v>21</v>
      </c>
      <c r="AI30" s="1">
        <v>4</v>
      </c>
      <c r="AJ30" s="1">
        <v>1484.25</v>
      </c>
      <c r="AK30" s="1">
        <v>20</v>
      </c>
      <c r="AL30" s="1">
        <v>4749.6000000000004</v>
      </c>
      <c r="AM30" s="1">
        <v>5937</v>
      </c>
      <c r="AN30" s="10">
        <v>949.92000000000007</v>
      </c>
      <c r="AO30" s="11">
        <v>4987.08</v>
      </c>
      <c r="AP30" s="1" t="s">
        <v>161</v>
      </c>
      <c r="AQ30" s="1" t="s">
        <v>162</v>
      </c>
      <c r="AR30" s="1" t="b">
        <v>0</v>
      </c>
    </row>
    <row r="31" spans="1:44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0">
        <f t="shared" si="1"/>
        <v>31.444000000000003</v>
      </c>
      <c r="R31" s="11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5"/>
        <v>0</v>
      </c>
      <c r="X31" s="5">
        <v>10215</v>
      </c>
      <c r="Y31" s="1">
        <v>1242</v>
      </c>
      <c r="Z31" s="2">
        <v>45157</v>
      </c>
      <c r="AA31" s="2">
        <v>45162</v>
      </c>
      <c r="AB31" s="1" t="s">
        <v>15</v>
      </c>
      <c r="AC31" s="1" t="s">
        <v>16</v>
      </c>
      <c r="AD31" s="1" t="s">
        <v>17</v>
      </c>
      <c r="AE31" s="1" t="s">
        <v>25</v>
      </c>
      <c r="AF31" s="1" t="s">
        <v>26</v>
      </c>
      <c r="AG31" s="1" t="s">
        <v>27</v>
      </c>
      <c r="AH31" s="1" t="s">
        <v>21</v>
      </c>
      <c r="AI31" s="1">
        <v>5</v>
      </c>
      <c r="AJ31" s="1">
        <v>633.42999999999995</v>
      </c>
      <c r="AK31" s="1">
        <v>20</v>
      </c>
      <c r="AL31" s="1">
        <v>2533.7199999999998</v>
      </c>
      <c r="AM31" s="1">
        <v>3167.1499999999996</v>
      </c>
      <c r="AN31" s="10">
        <v>506.74399999999997</v>
      </c>
      <c r="AO31" s="11">
        <v>2660.4059999999995</v>
      </c>
      <c r="AP31" s="1" t="s">
        <v>159</v>
      </c>
      <c r="AQ31" s="1" t="s">
        <v>160</v>
      </c>
      <c r="AR31" s="1" t="b">
        <v>0</v>
      </c>
    </row>
    <row r="32" spans="1:44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0">
        <f t="shared" si="1"/>
        <v>1836.5200000000002</v>
      </c>
      <c r="R32" s="11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5"/>
        <v>0</v>
      </c>
      <c r="X32" s="5">
        <v>10228</v>
      </c>
      <c r="Y32" s="1">
        <v>1339</v>
      </c>
      <c r="Z32" s="2">
        <v>44983</v>
      </c>
      <c r="AA32" s="2">
        <v>44990</v>
      </c>
      <c r="AB32" s="1" t="s">
        <v>15</v>
      </c>
      <c r="AC32" s="1" t="s">
        <v>54</v>
      </c>
      <c r="AD32" s="1" t="s">
        <v>17</v>
      </c>
      <c r="AE32" s="1" t="s">
        <v>35</v>
      </c>
      <c r="AF32" s="1" t="s">
        <v>57</v>
      </c>
      <c r="AG32" s="1" t="s">
        <v>62</v>
      </c>
      <c r="AH32" s="1" t="s">
        <v>21</v>
      </c>
      <c r="AI32" s="1">
        <v>8</v>
      </c>
      <c r="AJ32" s="1">
        <v>2645.2</v>
      </c>
      <c r="AK32" s="1">
        <v>20</v>
      </c>
      <c r="AL32" s="1">
        <v>16929.28</v>
      </c>
      <c r="AM32" s="1">
        <v>21161.599999999999</v>
      </c>
      <c r="AN32" s="10">
        <v>3385.8559999999998</v>
      </c>
      <c r="AO32" s="11">
        <v>17775.743999999999</v>
      </c>
      <c r="AP32" s="1" t="s">
        <v>159</v>
      </c>
      <c r="AQ32" s="1" t="s">
        <v>159</v>
      </c>
      <c r="AR32" s="1" t="s">
        <v>159</v>
      </c>
    </row>
    <row r="33" spans="1:44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0">
        <f t="shared" si="1"/>
        <v>142.6405</v>
      </c>
      <c r="R33" s="11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5"/>
        <v>0</v>
      </c>
      <c r="X33" s="5">
        <v>10242</v>
      </c>
      <c r="Y33" s="1">
        <v>1957</v>
      </c>
      <c r="Z33" s="2">
        <v>45262</v>
      </c>
      <c r="AA33" s="2">
        <v>45263</v>
      </c>
      <c r="AB33" s="1" t="s">
        <v>15</v>
      </c>
      <c r="AC33" s="1" t="s">
        <v>29</v>
      </c>
      <c r="AD33" s="1" t="s">
        <v>24</v>
      </c>
      <c r="AE33" s="1" t="s">
        <v>44</v>
      </c>
      <c r="AF33" s="1" t="s">
        <v>52</v>
      </c>
      <c r="AG33" s="1" t="s">
        <v>64</v>
      </c>
      <c r="AH33" s="1" t="s">
        <v>47</v>
      </c>
      <c r="AI33" s="1">
        <v>9</v>
      </c>
      <c r="AJ33" s="1">
        <v>2092.7800000000002</v>
      </c>
      <c r="AK33" s="1">
        <v>20</v>
      </c>
      <c r="AL33" s="1">
        <v>15068.02</v>
      </c>
      <c r="AM33" s="1">
        <v>18835.02</v>
      </c>
      <c r="AN33" s="10">
        <v>3013.6040000000003</v>
      </c>
      <c r="AO33" s="11">
        <v>15821.416000000001</v>
      </c>
      <c r="AP33" s="1" t="s">
        <v>159</v>
      </c>
      <c r="AQ33" s="1" t="s">
        <v>159</v>
      </c>
      <c r="AR33" s="1" t="s">
        <v>159</v>
      </c>
    </row>
    <row r="34" spans="1:44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0">
        <f t="shared" si="1"/>
        <v>3766.7620000000006</v>
      </c>
      <c r="R34" s="11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5"/>
        <v>High</v>
      </c>
      <c r="X34" s="5">
        <v>10245</v>
      </c>
      <c r="Y34" s="1">
        <v>1972</v>
      </c>
      <c r="Z34" s="2">
        <v>45143</v>
      </c>
      <c r="AA34" s="2">
        <v>45148</v>
      </c>
      <c r="AB34" s="1" t="s">
        <v>15</v>
      </c>
      <c r="AC34" s="1" t="s">
        <v>16</v>
      </c>
      <c r="AD34" s="1" t="s">
        <v>30</v>
      </c>
      <c r="AE34" s="1" t="s">
        <v>42</v>
      </c>
      <c r="AF34" s="1" t="s">
        <v>49</v>
      </c>
      <c r="AG34" s="1" t="s">
        <v>51</v>
      </c>
      <c r="AH34" s="1" t="s">
        <v>47</v>
      </c>
      <c r="AI34" s="1">
        <v>8</v>
      </c>
      <c r="AJ34" s="1">
        <v>1504.45</v>
      </c>
      <c r="AK34" s="1">
        <v>20</v>
      </c>
      <c r="AL34" s="1">
        <v>9628.48</v>
      </c>
      <c r="AM34" s="1">
        <v>12035.6</v>
      </c>
      <c r="AN34" s="10">
        <v>1925.6959999999999</v>
      </c>
      <c r="AO34" s="11">
        <v>10109.904</v>
      </c>
      <c r="AP34" s="1" t="s">
        <v>159</v>
      </c>
      <c r="AQ34" s="1" t="s">
        <v>159</v>
      </c>
      <c r="AR34" s="1" t="s">
        <v>159</v>
      </c>
    </row>
    <row r="35" spans="1:44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0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5"/>
        <v>High</v>
      </c>
      <c r="X35" s="5">
        <v>10247</v>
      </c>
      <c r="Y35" s="1">
        <v>1258</v>
      </c>
      <c r="Z35" s="2">
        <v>44996</v>
      </c>
      <c r="AA35" s="2">
        <v>44998</v>
      </c>
      <c r="AB35" s="1" t="s">
        <v>15</v>
      </c>
      <c r="AC35" s="1" t="s">
        <v>54</v>
      </c>
      <c r="AD35" s="1" t="s">
        <v>30</v>
      </c>
      <c r="AE35" s="1" t="s">
        <v>35</v>
      </c>
      <c r="AF35" s="1" t="s">
        <v>52</v>
      </c>
      <c r="AG35" s="1" t="s">
        <v>64</v>
      </c>
      <c r="AH35" s="1" t="s">
        <v>47</v>
      </c>
      <c r="AI35" s="1">
        <v>7</v>
      </c>
      <c r="AJ35" s="1">
        <v>2102.27</v>
      </c>
      <c r="AK35" s="1">
        <v>20</v>
      </c>
      <c r="AL35" s="1">
        <v>11772.71</v>
      </c>
      <c r="AM35" s="1">
        <v>14715.89</v>
      </c>
      <c r="AN35" s="10">
        <v>2354.5419999999999</v>
      </c>
      <c r="AO35" s="11">
        <v>12361.348</v>
      </c>
      <c r="AP35" s="1" t="s">
        <v>159</v>
      </c>
      <c r="AQ35" s="1" t="s">
        <v>159</v>
      </c>
      <c r="AR35" s="1" t="s">
        <v>159</v>
      </c>
    </row>
    <row r="36" spans="1:44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0">
        <f t="shared" si="1"/>
        <v>1218.4930000000002</v>
      </c>
      <c r="R36" s="11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5"/>
        <v>High</v>
      </c>
      <c r="X36" s="5">
        <v>10261</v>
      </c>
      <c r="Y36" s="1">
        <v>1826</v>
      </c>
      <c r="Z36" s="2">
        <v>44933</v>
      </c>
      <c r="AA36" s="2">
        <v>44936</v>
      </c>
      <c r="AB36" s="1" t="s">
        <v>15</v>
      </c>
      <c r="AC36" s="1" t="s">
        <v>54</v>
      </c>
      <c r="AD36" s="1" t="s">
        <v>24</v>
      </c>
      <c r="AE36" s="1" t="s">
        <v>25</v>
      </c>
      <c r="AF36" s="1" t="s">
        <v>31</v>
      </c>
      <c r="AG36" s="1" t="s">
        <v>32</v>
      </c>
      <c r="AH36" s="1" t="s">
        <v>33</v>
      </c>
      <c r="AI36" s="1">
        <v>2</v>
      </c>
      <c r="AJ36" s="1">
        <v>533.25</v>
      </c>
      <c r="AK36" s="1">
        <v>0</v>
      </c>
      <c r="AL36" s="1">
        <v>1066.5</v>
      </c>
      <c r="AM36" s="1">
        <v>1066.5</v>
      </c>
      <c r="AN36" s="10">
        <v>0</v>
      </c>
      <c r="AO36" s="11">
        <v>1066.5</v>
      </c>
      <c r="AP36" s="1" t="s">
        <v>161</v>
      </c>
      <c r="AQ36" s="1" t="s">
        <v>162</v>
      </c>
      <c r="AR36" s="1" t="b">
        <v>0</v>
      </c>
    </row>
    <row r="37" spans="1:44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0">
        <f t="shared" si="1"/>
        <v>0</v>
      </c>
      <c r="R37" s="11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5"/>
        <v>0</v>
      </c>
      <c r="X37" s="5">
        <v>10262</v>
      </c>
      <c r="Y37" s="1">
        <v>1373</v>
      </c>
      <c r="Z37" s="2">
        <v>44996</v>
      </c>
      <c r="AA37" s="2">
        <v>44998</v>
      </c>
      <c r="AB37" s="1" t="s">
        <v>15</v>
      </c>
      <c r="AC37" s="1" t="s">
        <v>23</v>
      </c>
      <c r="AD37" s="1" t="s">
        <v>17</v>
      </c>
      <c r="AE37" s="1" t="s">
        <v>44</v>
      </c>
      <c r="AF37" s="1" t="s">
        <v>57</v>
      </c>
      <c r="AG37" s="1" t="s">
        <v>59</v>
      </c>
      <c r="AH37" s="1" t="s">
        <v>21</v>
      </c>
      <c r="AI37" s="1">
        <v>7</v>
      </c>
      <c r="AJ37" s="1">
        <v>2472.29</v>
      </c>
      <c r="AK37" s="1">
        <v>10</v>
      </c>
      <c r="AL37" s="1">
        <v>15575.43</v>
      </c>
      <c r="AM37" s="1">
        <v>17306.03</v>
      </c>
      <c r="AN37" s="10">
        <v>1557.5430000000001</v>
      </c>
      <c r="AO37" s="11">
        <v>15748.486999999999</v>
      </c>
      <c r="AP37" s="1" t="s">
        <v>159</v>
      </c>
      <c r="AQ37" s="1" t="s">
        <v>159</v>
      </c>
      <c r="AR37" s="1" t="s">
        <v>159</v>
      </c>
    </row>
    <row r="38" spans="1:44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0">
        <f t="shared" si="1"/>
        <v>162.125</v>
      </c>
      <c r="R38" s="11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5"/>
        <v>0</v>
      </c>
      <c r="X38" s="5">
        <v>10264</v>
      </c>
      <c r="Y38" s="1">
        <v>1607</v>
      </c>
      <c r="Z38" s="2">
        <v>45086</v>
      </c>
      <c r="AA38" s="2">
        <v>45091</v>
      </c>
      <c r="AB38" s="1" t="s">
        <v>15</v>
      </c>
      <c r="AC38" s="1" t="s">
        <v>16</v>
      </c>
      <c r="AD38" s="1" t="s">
        <v>30</v>
      </c>
      <c r="AE38" s="1" t="s">
        <v>44</v>
      </c>
      <c r="AF38" s="1" t="s">
        <v>52</v>
      </c>
      <c r="AG38" s="1" t="s">
        <v>60</v>
      </c>
      <c r="AH38" s="1" t="s">
        <v>47</v>
      </c>
      <c r="AI38" s="1">
        <v>4</v>
      </c>
      <c r="AJ38" s="1">
        <v>1126.3</v>
      </c>
      <c r="AK38" s="1">
        <v>20</v>
      </c>
      <c r="AL38" s="1">
        <v>3604.16</v>
      </c>
      <c r="AM38" s="1">
        <v>4505.2</v>
      </c>
      <c r="AN38" s="10">
        <v>720.83199999999999</v>
      </c>
      <c r="AO38" s="11">
        <v>3784.3679999999999</v>
      </c>
      <c r="AP38" s="1" t="s">
        <v>161</v>
      </c>
      <c r="AQ38" s="1" t="s">
        <v>162</v>
      </c>
      <c r="AR38" s="1" t="b">
        <v>0</v>
      </c>
    </row>
    <row r="39" spans="1:44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0">
        <f t="shared" si="1"/>
        <v>769.95600000000013</v>
      </c>
      <c r="R39" s="11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5"/>
        <v>High</v>
      </c>
      <c r="X39" s="5">
        <v>10269</v>
      </c>
      <c r="Y39" s="1">
        <v>1829</v>
      </c>
      <c r="Z39" s="2">
        <v>45125</v>
      </c>
      <c r="AA39" s="2">
        <v>45132</v>
      </c>
      <c r="AB39" s="1" t="s">
        <v>15</v>
      </c>
      <c r="AC39" s="1" t="s">
        <v>41</v>
      </c>
      <c r="AD39" s="1" t="s">
        <v>24</v>
      </c>
      <c r="AE39" s="1" t="s">
        <v>35</v>
      </c>
      <c r="AF39" s="1" t="s">
        <v>49</v>
      </c>
      <c r="AG39" s="1" t="s">
        <v>51</v>
      </c>
      <c r="AH39" s="1" t="s">
        <v>47</v>
      </c>
      <c r="AI39" s="1">
        <v>5</v>
      </c>
      <c r="AJ39" s="1">
        <v>3156.54</v>
      </c>
      <c r="AK39" s="1">
        <v>20</v>
      </c>
      <c r="AL39" s="1">
        <v>12626.16</v>
      </c>
      <c r="AM39" s="1">
        <v>15782.7</v>
      </c>
      <c r="AN39" s="10">
        <v>2525.232</v>
      </c>
      <c r="AO39" s="11">
        <v>13257.468000000001</v>
      </c>
      <c r="AP39" s="1" t="s">
        <v>159</v>
      </c>
      <c r="AQ39" s="1" t="s">
        <v>160</v>
      </c>
      <c r="AR39" s="1" t="b">
        <v>0</v>
      </c>
    </row>
    <row r="40" spans="1:44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0">
        <f t="shared" si="1"/>
        <v>2114.7075</v>
      </c>
      <c r="R40" s="11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5"/>
        <v>High</v>
      </c>
      <c r="X40" s="5">
        <v>10285</v>
      </c>
      <c r="Y40" s="1">
        <v>1001</v>
      </c>
      <c r="Z40" s="2">
        <v>45104</v>
      </c>
      <c r="AA40" s="2">
        <v>45109</v>
      </c>
      <c r="AB40" s="1" t="s">
        <v>15</v>
      </c>
      <c r="AC40" s="1" t="s">
        <v>23</v>
      </c>
      <c r="AD40" s="1" t="s">
        <v>17</v>
      </c>
      <c r="AE40" s="1" t="s">
        <v>44</v>
      </c>
      <c r="AF40" s="1" t="s">
        <v>52</v>
      </c>
      <c r="AG40" s="1" t="s">
        <v>56</v>
      </c>
      <c r="AH40" s="1" t="s">
        <v>21</v>
      </c>
      <c r="AI40" s="1">
        <v>2</v>
      </c>
      <c r="AJ40" s="1">
        <v>702.07</v>
      </c>
      <c r="AK40" s="1">
        <v>10</v>
      </c>
      <c r="AL40" s="1">
        <v>1263.73</v>
      </c>
      <c r="AM40" s="1">
        <v>1404.14</v>
      </c>
      <c r="AN40" s="10">
        <v>126.373</v>
      </c>
      <c r="AO40" s="11">
        <v>1277.7670000000001</v>
      </c>
      <c r="AP40" s="1" t="s">
        <v>161</v>
      </c>
      <c r="AQ40" s="1" t="s">
        <v>162</v>
      </c>
      <c r="AR40" s="1" t="b">
        <v>0</v>
      </c>
    </row>
    <row r="41" spans="1:44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0">
        <f t="shared" si="1"/>
        <v>1664.9549999999999</v>
      </c>
      <c r="R41" s="11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5"/>
        <v>High</v>
      </c>
      <c r="X41" s="5">
        <v>10286</v>
      </c>
      <c r="Y41" s="1">
        <v>1641</v>
      </c>
      <c r="Z41" s="2">
        <v>45043</v>
      </c>
      <c r="AA41" s="2">
        <v>45050</v>
      </c>
      <c r="AB41" s="1" t="s">
        <v>15</v>
      </c>
      <c r="AC41" s="1" t="s">
        <v>29</v>
      </c>
      <c r="AD41" s="1" t="s">
        <v>17</v>
      </c>
      <c r="AE41" s="1" t="s">
        <v>44</v>
      </c>
      <c r="AF41" s="1" t="s">
        <v>57</v>
      </c>
      <c r="AG41" s="1" t="s">
        <v>58</v>
      </c>
      <c r="AH41" s="1" t="s">
        <v>28</v>
      </c>
      <c r="AI41" s="1">
        <v>6</v>
      </c>
      <c r="AJ41" s="1">
        <v>220.79</v>
      </c>
      <c r="AK41" s="1">
        <v>5</v>
      </c>
      <c r="AL41" s="1">
        <v>1258.5</v>
      </c>
      <c r="AM41" s="1">
        <v>1324.74</v>
      </c>
      <c r="AN41" s="10">
        <v>62.925000000000004</v>
      </c>
      <c r="AO41" s="11">
        <v>1261.8150000000001</v>
      </c>
      <c r="AP41" s="1" t="s">
        <v>159</v>
      </c>
      <c r="AQ41" s="1" t="s">
        <v>159</v>
      </c>
      <c r="AR41" s="1" t="s">
        <v>159</v>
      </c>
    </row>
    <row r="42" spans="1:44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0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5"/>
        <v>High</v>
      </c>
      <c r="X42" s="5">
        <v>10291</v>
      </c>
      <c r="Y42" s="1">
        <v>1735</v>
      </c>
      <c r="Z42" s="2">
        <v>45007</v>
      </c>
      <c r="AA42" s="2">
        <v>45008</v>
      </c>
      <c r="AB42" s="1" t="s">
        <v>15</v>
      </c>
      <c r="AC42" s="1" t="s">
        <v>54</v>
      </c>
      <c r="AD42" s="1" t="s">
        <v>24</v>
      </c>
      <c r="AE42" s="1" t="s">
        <v>25</v>
      </c>
      <c r="AF42" s="1" t="s">
        <v>52</v>
      </c>
      <c r="AG42" s="1" t="s">
        <v>53</v>
      </c>
      <c r="AH42" s="1" t="s">
        <v>33</v>
      </c>
      <c r="AI42" s="1">
        <v>9</v>
      </c>
      <c r="AJ42" s="1">
        <v>2661.11</v>
      </c>
      <c r="AK42" s="1">
        <v>10</v>
      </c>
      <c r="AL42" s="1">
        <v>21554.99</v>
      </c>
      <c r="AM42" s="1">
        <v>23949.99</v>
      </c>
      <c r="AN42" s="10">
        <v>2155.4990000000003</v>
      </c>
      <c r="AO42" s="11">
        <v>21794.491000000002</v>
      </c>
      <c r="AP42" s="1" t="s">
        <v>159</v>
      </c>
      <c r="AQ42" s="1" t="s">
        <v>159</v>
      </c>
      <c r="AR42" s="1" t="s">
        <v>159</v>
      </c>
    </row>
    <row r="43" spans="1:44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0">
        <f t="shared" si="1"/>
        <v>775.46800000000007</v>
      </c>
      <c r="R43" s="11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5"/>
        <v>0</v>
      </c>
      <c r="X43" s="5">
        <v>10301</v>
      </c>
      <c r="Y43" s="1">
        <v>1709</v>
      </c>
      <c r="Z43" s="2">
        <v>44943</v>
      </c>
      <c r="AA43" s="2">
        <v>44947</v>
      </c>
      <c r="AB43" s="1" t="s">
        <v>15</v>
      </c>
      <c r="AC43" s="1" t="s">
        <v>29</v>
      </c>
      <c r="AD43" s="1" t="s">
        <v>17</v>
      </c>
      <c r="AE43" s="1" t="s">
        <v>25</v>
      </c>
      <c r="AF43" s="1" t="s">
        <v>52</v>
      </c>
      <c r="AG43" s="1" t="s">
        <v>53</v>
      </c>
      <c r="AH43" s="1" t="s">
        <v>21</v>
      </c>
      <c r="AI43" s="1">
        <v>4</v>
      </c>
      <c r="AJ43" s="1">
        <v>1733.79</v>
      </c>
      <c r="AK43" s="1">
        <v>5</v>
      </c>
      <c r="AL43" s="1">
        <v>6588.4</v>
      </c>
      <c r="AM43" s="1">
        <v>6935.16</v>
      </c>
      <c r="AN43" s="10">
        <v>329.42</v>
      </c>
      <c r="AO43" s="11">
        <v>6605.74</v>
      </c>
      <c r="AP43" s="1" t="s">
        <v>161</v>
      </c>
      <c r="AQ43" s="1" t="s">
        <v>162</v>
      </c>
      <c r="AR43" s="1" t="b">
        <v>0</v>
      </c>
    </row>
    <row r="44" spans="1:44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0">
        <f t="shared" si="1"/>
        <v>596.92349999999999</v>
      </c>
      <c r="R44" s="11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5"/>
        <v>0</v>
      </c>
      <c r="X44" s="5">
        <v>10307</v>
      </c>
      <c r="Y44" s="1">
        <v>1183</v>
      </c>
      <c r="Z44" s="2">
        <v>45267</v>
      </c>
      <c r="AA44" s="2">
        <v>45273</v>
      </c>
      <c r="AB44" s="1" t="s">
        <v>15</v>
      </c>
      <c r="AC44" s="1" t="s">
        <v>16</v>
      </c>
      <c r="AD44" s="1" t="s">
        <v>24</v>
      </c>
      <c r="AE44" s="1" t="s">
        <v>42</v>
      </c>
      <c r="AF44" s="1" t="s">
        <v>57</v>
      </c>
      <c r="AG44" s="1" t="s">
        <v>58</v>
      </c>
      <c r="AH44" s="1" t="s">
        <v>28</v>
      </c>
      <c r="AI44" s="1">
        <v>4</v>
      </c>
      <c r="AJ44" s="1">
        <v>2008.45</v>
      </c>
      <c r="AK44" s="1">
        <v>5</v>
      </c>
      <c r="AL44" s="1">
        <v>7632.11</v>
      </c>
      <c r="AM44" s="1">
        <v>8033.8</v>
      </c>
      <c r="AN44" s="10">
        <v>381.60550000000001</v>
      </c>
      <c r="AO44" s="11">
        <v>7652.1945000000005</v>
      </c>
      <c r="AP44" s="1" t="s">
        <v>161</v>
      </c>
      <c r="AQ44" s="1" t="s">
        <v>162</v>
      </c>
      <c r="AR44" s="1" t="b">
        <v>0</v>
      </c>
    </row>
    <row r="45" spans="1:44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0">
        <f t="shared" si="1"/>
        <v>137.286</v>
      </c>
      <c r="R45" s="11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5"/>
        <v>0</v>
      </c>
      <c r="X45" s="5">
        <v>10318</v>
      </c>
      <c r="Y45" s="1">
        <v>1906</v>
      </c>
      <c r="Z45" s="2">
        <v>45093</v>
      </c>
      <c r="AA45" s="2">
        <v>45097</v>
      </c>
      <c r="AB45" s="1" t="s">
        <v>15</v>
      </c>
      <c r="AC45" s="1" t="s">
        <v>23</v>
      </c>
      <c r="AD45" s="1" t="s">
        <v>30</v>
      </c>
      <c r="AE45" s="1" t="s">
        <v>35</v>
      </c>
      <c r="AF45" s="1" t="s">
        <v>49</v>
      </c>
      <c r="AG45" s="1" t="s">
        <v>68</v>
      </c>
      <c r="AH45" s="1" t="s">
        <v>21</v>
      </c>
      <c r="AI45" s="1">
        <v>7</v>
      </c>
      <c r="AJ45" s="1">
        <v>245.03</v>
      </c>
      <c r="AK45" s="1">
        <v>0</v>
      </c>
      <c r="AL45" s="1">
        <v>1715.21</v>
      </c>
      <c r="AM45" s="1">
        <v>1715.21</v>
      </c>
      <c r="AN45" s="10">
        <v>0</v>
      </c>
      <c r="AO45" s="11">
        <v>1715.21</v>
      </c>
      <c r="AP45" s="1" t="s">
        <v>159</v>
      </c>
      <c r="AQ45" s="1" t="s">
        <v>159</v>
      </c>
      <c r="AR45" s="1" t="s">
        <v>159</v>
      </c>
    </row>
    <row r="46" spans="1:44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0">
        <f t="shared" si="1"/>
        <v>0</v>
      </c>
      <c r="R46" s="11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5"/>
        <v>0</v>
      </c>
      <c r="X46" s="5">
        <v>10320</v>
      </c>
      <c r="Y46" s="1">
        <v>1751</v>
      </c>
      <c r="Z46" s="2">
        <v>45002</v>
      </c>
      <c r="AA46" s="2">
        <v>45005</v>
      </c>
      <c r="AB46" s="1" t="s">
        <v>15</v>
      </c>
      <c r="AC46" s="1" t="s">
        <v>16</v>
      </c>
      <c r="AD46" s="1" t="s">
        <v>17</v>
      </c>
      <c r="AE46" s="1" t="s">
        <v>35</v>
      </c>
      <c r="AF46" s="1" t="s">
        <v>26</v>
      </c>
      <c r="AG46" s="1" t="s">
        <v>36</v>
      </c>
      <c r="AH46" s="1" t="s">
        <v>28</v>
      </c>
      <c r="AI46" s="1">
        <v>8</v>
      </c>
      <c r="AJ46" s="1">
        <v>2254.7800000000002</v>
      </c>
      <c r="AK46" s="1">
        <v>0</v>
      </c>
      <c r="AL46" s="1">
        <v>18038.240000000002</v>
      </c>
      <c r="AM46" s="1">
        <v>18038.240000000002</v>
      </c>
      <c r="AN46" s="10">
        <v>0</v>
      </c>
      <c r="AO46" s="11">
        <v>18038.240000000002</v>
      </c>
      <c r="AP46" s="1" t="s">
        <v>159</v>
      </c>
      <c r="AQ46" s="1" t="s">
        <v>159</v>
      </c>
      <c r="AR46" s="1" t="s">
        <v>159</v>
      </c>
    </row>
    <row r="47" spans="1:44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0">
        <f t="shared" si="1"/>
        <v>320.24900000000002</v>
      </c>
      <c r="R47" s="11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5"/>
        <v>High</v>
      </c>
      <c r="X47" s="5">
        <v>10322</v>
      </c>
      <c r="Y47" s="1">
        <v>1608</v>
      </c>
      <c r="Z47" s="2">
        <v>45220</v>
      </c>
      <c r="AA47" s="2">
        <v>45222</v>
      </c>
      <c r="AB47" s="1" t="s">
        <v>15</v>
      </c>
      <c r="AC47" s="1" t="s">
        <v>54</v>
      </c>
      <c r="AD47" s="1" t="s">
        <v>30</v>
      </c>
      <c r="AE47" s="1" t="s">
        <v>35</v>
      </c>
      <c r="AF47" s="1" t="s">
        <v>26</v>
      </c>
      <c r="AG47" s="1" t="s">
        <v>61</v>
      </c>
      <c r="AH47" s="1" t="s">
        <v>28</v>
      </c>
      <c r="AI47" s="1">
        <v>5</v>
      </c>
      <c r="AJ47" s="1">
        <v>640.82000000000005</v>
      </c>
      <c r="AK47" s="1">
        <v>0</v>
      </c>
      <c r="AL47" s="1">
        <v>3204.1</v>
      </c>
      <c r="AM47" s="1">
        <v>3204.1000000000004</v>
      </c>
      <c r="AN47" s="10">
        <v>0</v>
      </c>
      <c r="AO47" s="11">
        <v>3204.1000000000004</v>
      </c>
      <c r="AP47" s="1" t="s">
        <v>159</v>
      </c>
      <c r="AQ47" s="1" t="s">
        <v>160</v>
      </c>
      <c r="AR47" s="1" t="b">
        <v>0</v>
      </c>
    </row>
    <row r="48" spans="1:44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0">
        <f t="shared" si="1"/>
        <v>283.18800000000005</v>
      </c>
      <c r="R48" s="11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5"/>
        <v>0</v>
      </c>
      <c r="X48" s="5">
        <v>10332</v>
      </c>
      <c r="Y48" s="1">
        <v>1954</v>
      </c>
      <c r="Z48" s="2">
        <v>44946</v>
      </c>
      <c r="AA48" s="2">
        <v>44955</v>
      </c>
      <c r="AB48" s="1" t="s">
        <v>15</v>
      </c>
      <c r="AC48" s="1" t="s">
        <v>23</v>
      </c>
      <c r="AD48" s="1" t="s">
        <v>17</v>
      </c>
      <c r="AE48" s="1" t="s">
        <v>42</v>
      </c>
      <c r="AF48" s="1" t="s">
        <v>57</v>
      </c>
      <c r="AG48" s="1" t="s">
        <v>67</v>
      </c>
      <c r="AH48" s="1" t="s">
        <v>21</v>
      </c>
      <c r="AI48" s="1">
        <v>2</v>
      </c>
      <c r="AJ48" s="1">
        <v>1335.36</v>
      </c>
      <c r="AK48" s="1">
        <v>5</v>
      </c>
      <c r="AL48" s="1">
        <v>2537.1799999999998</v>
      </c>
      <c r="AM48" s="1">
        <v>2670.72</v>
      </c>
      <c r="AN48" s="10">
        <v>126.85899999999999</v>
      </c>
      <c r="AO48" s="11">
        <v>2543.8609999999999</v>
      </c>
      <c r="AP48" s="1" t="s">
        <v>161</v>
      </c>
      <c r="AQ48" s="1" t="s">
        <v>162</v>
      </c>
      <c r="AR48" s="1" t="b">
        <v>0</v>
      </c>
    </row>
    <row r="49" spans="1:44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0">
        <f t="shared" si="1"/>
        <v>585.7890000000001</v>
      </c>
      <c r="R49" s="11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5"/>
        <v>0</v>
      </c>
      <c r="X49" s="5">
        <v>10339</v>
      </c>
      <c r="Y49" s="1">
        <v>1147</v>
      </c>
      <c r="Z49" s="2">
        <v>45005</v>
      </c>
      <c r="AA49" s="2">
        <v>45012</v>
      </c>
      <c r="AB49" s="1" t="s">
        <v>15</v>
      </c>
      <c r="AC49" s="1" t="s">
        <v>54</v>
      </c>
      <c r="AD49" s="1" t="s">
        <v>17</v>
      </c>
      <c r="AE49" s="1" t="s">
        <v>25</v>
      </c>
      <c r="AF49" s="1" t="s">
        <v>31</v>
      </c>
      <c r="AG49" s="1" t="s">
        <v>32</v>
      </c>
      <c r="AH49" s="1" t="s">
        <v>21</v>
      </c>
      <c r="AI49" s="1">
        <v>4</v>
      </c>
      <c r="AJ49" s="1">
        <v>3708.51</v>
      </c>
      <c r="AK49" s="1">
        <v>5</v>
      </c>
      <c r="AL49" s="1">
        <v>14092.34</v>
      </c>
      <c r="AM49" s="1">
        <v>14834.04</v>
      </c>
      <c r="AN49" s="10">
        <v>704.61700000000008</v>
      </c>
      <c r="AO49" s="11">
        <v>14129.423000000001</v>
      </c>
      <c r="AP49" s="1" t="s">
        <v>161</v>
      </c>
      <c r="AQ49" s="1" t="s">
        <v>162</v>
      </c>
      <c r="AR49" s="1" t="b">
        <v>0</v>
      </c>
    </row>
    <row r="50" spans="1:44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0">
        <f t="shared" si="1"/>
        <v>2874.7709999999997</v>
      </c>
      <c r="R50" s="11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5"/>
        <v>High</v>
      </c>
      <c r="X50" s="5">
        <v>10342</v>
      </c>
      <c r="Y50" s="1">
        <v>1819</v>
      </c>
      <c r="Z50" s="2">
        <v>45018</v>
      </c>
      <c r="AA50" s="2">
        <v>45019</v>
      </c>
      <c r="AB50" s="1" t="s">
        <v>15</v>
      </c>
      <c r="AC50" s="1" t="s">
        <v>54</v>
      </c>
      <c r="AD50" s="1" t="s">
        <v>17</v>
      </c>
      <c r="AE50" s="1" t="s">
        <v>35</v>
      </c>
      <c r="AF50" s="1" t="s">
        <v>26</v>
      </c>
      <c r="AG50" s="1" t="s">
        <v>27</v>
      </c>
      <c r="AH50" s="1" t="s">
        <v>47</v>
      </c>
      <c r="AI50" s="1">
        <v>5</v>
      </c>
      <c r="AJ50" s="1">
        <v>1853.11</v>
      </c>
      <c r="AK50" s="1">
        <v>10</v>
      </c>
      <c r="AL50" s="1">
        <v>8338.99</v>
      </c>
      <c r="AM50" s="1">
        <v>9265.5499999999993</v>
      </c>
      <c r="AN50" s="10">
        <v>833.899</v>
      </c>
      <c r="AO50" s="11">
        <v>8431.6509999999998</v>
      </c>
      <c r="AP50" s="1" t="s">
        <v>159</v>
      </c>
      <c r="AQ50" s="1" t="s">
        <v>160</v>
      </c>
      <c r="AR50" s="1" t="b">
        <v>0</v>
      </c>
    </row>
    <row r="51" spans="1:44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0">
        <f t="shared" si="1"/>
        <v>1296.422</v>
      </c>
      <c r="R51" s="11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5"/>
        <v>High</v>
      </c>
      <c r="X51" s="5">
        <v>10347</v>
      </c>
      <c r="Y51" s="1">
        <v>1550</v>
      </c>
      <c r="Z51" s="2">
        <v>44952</v>
      </c>
      <c r="AA51" s="2">
        <v>44954</v>
      </c>
      <c r="AB51" s="1" t="s">
        <v>15</v>
      </c>
      <c r="AC51" s="1" t="s">
        <v>29</v>
      </c>
      <c r="AD51" s="1" t="s">
        <v>24</v>
      </c>
      <c r="AE51" s="1" t="s">
        <v>44</v>
      </c>
      <c r="AF51" s="1" t="s">
        <v>19</v>
      </c>
      <c r="AG51" s="1" t="s">
        <v>20</v>
      </c>
      <c r="AH51" s="1" t="s">
        <v>45</v>
      </c>
      <c r="AI51" s="1">
        <v>4</v>
      </c>
      <c r="AJ51" s="1">
        <v>640.37</v>
      </c>
      <c r="AK51" s="1">
        <v>20</v>
      </c>
      <c r="AL51" s="1">
        <v>2049.1799999999998</v>
      </c>
      <c r="AM51" s="1">
        <v>2561.48</v>
      </c>
      <c r="AN51" s="10">
        <v>409.83600000000001</v>
      </c>
      <c r="AO51" s="11">
        <v>2151.6440000000002</v>
      </c>
      <c r="AP51" s="1" t="s">
        <v>161</v>
      </c>
      <c r="AQ51" s="1" t="s">
        <v>162</v>
      </c>
      <c r="AR51" s="1" t="b">
        <v>0</v>
      </c>
    </row>
    <row r="52" spans="1:44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0">
        <f t="shared" si="1"/>
        <v>708.6585</v>
      </c>
      <c r="R52" s="11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5"/>
        <v>0</v>
      </c>
      <c r="X52" s="5">
        <v>10348</v>
      </c>
      <c r="Y52" s="1">
        <v>1337</v>
      </c>
      <c r="Z52" s="2">
        <v>44992</v>
      </c>
      <c r="AA52" s="2">
        <v>44993</v>
      </c>
      <c r="AB52" s="1" t="s">
        <v>15</v>
      </c>
      <c r="AC52" s="1" t="s">
        <v>29</v>
      </c>
      <c r="AD52" s="1" t="s">
        <v>17</v>
      </c>
      <c r="AE52" s="1" t="s">
        <v>42</v>
      </c>
      <c r="AF52" s="1" t="s">
        <v>49</v>
      </c>
      <c r="AG52" s="1" t="s">
        <v>68</v>
      </c>
      <c r="AH52" s="1" t="s">
        <v>47</v>
      </c>
      <c r="AI52" s="1">
        <v>9</v>
      </c>
      <c r="AJ52" s="1">
        <v>636.14</v>
      </c>
      <c r="AK52" s="1">
        <v>20</v>
      </c>
      <c r="AL52" s="1">
        <v>4580.21</v>
      </c>
      <c r="AM52" s="1">
        <v>5725.26</v>
      </c>
      <c r="AN52" s="10">
        <v>916.04200000000003</v>
      </c>
      <c r="AO52" s="11">
        <v>4809.2179999999998</v>
      </c>
      <c r="AP52" s="1" t="s">
        <v>159</v>
      </c>
      <c r="AQ52" s="1" t="s">
        <v>159</v>
      </c>
      <c r="AR52" s="1" t="s">
        <v>159</v>
      </c>
    </row>
    <row r="53" spans="1:44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0">
        <f t="shared" si="1"/>
        <v>380.26400000000001</v>
      </c>
      <c r="R53" s="11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5"/>
        <v>0</v>
      </c>
      <c r="X53" s="5">
        <v>10350</v>
      </c>
      <c r="Y53" s="1">
        <v>1640</v>
      </c>
      <c r="Z53" s="2">
        <v>45180</v>
      </c>
      <c r="AA53" s="2">
        <v>45185</v>
      </c>
      <c r="AB53" s="1" t="s">
        <v>15</v>
      </c>
      <c r="AC53" s="1" t="s">
        <v>41</v>
      </c>
      <c r="AD53" s="1" t="s">
        <v>17</v>
      </c>
      <c r="AE53" s="1" t="s">
        <v>44</v>
      </c>
      <c r="AF53" s="1" t="s">
        <v>57</v>
      </c>
      <c r="AG53" s="1" t="s">
        <v>62</v>
      </c>
      <c r="AH53" s="1" t="s">
        <v>21</v>
      </c>
      <c r="AI53" s="1">
        <v>1</v>
      </c>
      <c r="AJ53" s="1">
        <v>3708.38</v>
      </c>
      <c r="AK53" s="1">
        <v>20</v>
      </c>
      <c r="AL53" s="1">
        <v>2966.7</v>
      </c>
      <c r="AM53" s="1">
        <v>3708.38</v>
      </c>
      <c r="AN53" s="10">
        <v>593.34</v>
      </c>
      <c r="AO53" s="11">
        <v>3115.04</v>
      </c>
      <c r="AP53" s="1" t="s">
        <v>161</v>
      </c>
      <c r="AQ53" s="1" t="s">
        <v>162</v>
      </c>
      <c r="AR53" s="1" t="b">
        <v>0</v>
      </c>
    </row>
    <row r="54" spans="1:44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0">
        <f t="shared" si="1"/>
        <v>1140.3309999999999</v>
      </c>
      <c r="R54" s="11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5"/>
        <v>0</v>
      </c>
      <c r="X54" s="5">
        <v>10358</v>
      </c>
      <c r="Y54" s="1">
        <v>1989</v>
      </c>
      <c r="Z54" s="2">
        <v>45015</v>
      </c>
      <c r="AA54" s="2">
        <v>45019</v>
      </c>
      <c r="AB54" s="1" t="s">
        <v>15</v>
      </c>
      <c r="AC54" s="1" t="s">
        <v>29</v>
      </c>
      <c r="AD54" s="1" t="s">
        <v>30</v>
      </c>
      <c r="AE54" s="1" t="s">
        <v>35</v>
      </c>
      <c r="AF54" s="1" t="s">
        <v>57</v>
      </c>
      <c r="AG54" s="1" t="s">
        <v>58</v>
      </c>
      <c r="AH54" s="1" t="s">
        <v>33</v>
      </c>
      <c r="AI54" s="1">
        <v>8</v>
      </c>
      <c r="AJ54" s="1">
        <v>3581.12</v>
      </c>
      <c r="AK54" s="1">
        <v>15</v>
      </c>
      <c r="AL54" s="1">
        <v>24351.62</v>
      </c>
      <c r="AM54" s="1">
        <v>28648.959999999999</v>
      </c>
      <c r="AN54" s="10">
        <v>3652.7429999999999</v>
      </c>
      <c r="AO54" s="11">
        <v>24996.217000000001</v>
      </c>
      <c r="AP54" s="1" t="s">
        <v>159</v>
      </c>
      <c r="AQ54" s="1" t="s">
        <v>159</v>
      </c>
      <c r="AR54" s="1" t="s">
        <v>159</v>
      </c>
    </row>
    <row r="55" spans="1:44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0">
        <f t="shared" si="1"/>
        <v>1028.606</v>
      </c>
      <c r="R55" s="11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5"/>
        <v>High</v>
      </c>
      <c r="X55" s="5">
        <v>10366</v>
      </c>
      <c r="Y55" s="1">
        <v>1571</v>
      </c>
      <c r="Z55" s="2">
        <v>45223</v>
      </c>
      <c r="AA55" s="2">
        <v>45226</v>
      </c>
      <c r="AB55" s="1" t="s">
        <v>15</v>
      </c>
      <c r="AC55" s="1" t="s">
        <v>16</v>
      </c>
      <c r="AD55" s="1" t="s">
        <v>24</v>
      </c>
      <c r="AE55" s="1" t="s">
        <v>42</v>
      </c>
      <c r="AF55" s="1" t="s">
        <v>49</v>
      </c>
      <c r="AG55" s="1" t="s">
        <v>63</v>
      </c>
      <c r="AH55" s="1" t="s">
        <v>21</v>
      </c>
      <c r="AI55" s="1">
        <v>5</v>
      </c>
      <c r="AJ55" s="1">
        <v>3320.88</v>
      </c>
      <c r="AK55" s="1">
        <v>0</v>
      </c>
      <c r="AL55" s="1">
        <v>16604.400000000001</v>
      </c>
      <c r="AM55" s="1">
        <v>16604.400000000001</v>
      </c>
      <c r="AN55" s="10">
        <v>0</v>
      </c>
      <c r="AO55" s="11">
        <v>16604.400000000001</v>
      </c>
      <c r="AP55" s="1" t="s">
        <v>159</v>
      </c>
      <c r="AQ55" s="1" t="s">
        <v>160</v>
      </c>
      <c r="AR55" s="1" t="b">
        <v>0</v>
      </c>
    </row>
    <row r="56" spans="1:44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0">
        <f t="shared" si="1"/>
        <v>353.70300000000003</v>
      </c>
      <c r="R56" s="11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5"/>
        <v>0</v>
      </c>
      <c r="X56" s="5">
        <v>10379</v>
      </c>
      <c r="Y56" s="1">
        <v>1658</v>
      </c>
      <c r="Z56" s="2">
        <v>45262</v>
      </c>
      <c r="AA56" s="2">
        <v>45270</v>
      </c>
      <c r="AB56" s="1" t="s">
        <v>15</v>
      </c>
      <c r="AC56" s="1" t="s">
        <v>16</v>
      </c>
      <c r="AD56" s="1" t="s">
        <v>24</v>
      </c>
      <c r="AE56" s="1" t="s">
        <v>35</v>
      </c>
      <c r="AF56" s="1" t="s">
        <v>26</v>
      </c>
      <c r="AG56" s="1" t="s">
        <v>69</v>
      </c>
      <c r="AH56" s="1" t="s">
        <v>45</v>
      </c>
      <c r="AI56" s="1">
        <v>1</v>
      </c>
      <c r="AJ56" s="1">
        <v>3910.66</v>
      </c>
      <c r="AK56" s="1">
        <v>5</v>
      </c>
      <c r="AL56" s="1">
        <v>3715.13</v>
      </c>
      <c r="AM56" s="1">
        <v>3910.66</v>
      </c>
      <c r="AN56" s="10">
        <v>185.75650000000002</v>
      </c>
      <c r="AO56" s="11">
        <v>3724.9034999999999</v>
      </c>
      <c r="AP56" s="1" t="s">
        <v>161</v>
      </c>
      <c r="AQ56" s="1" t="s">
        <v>162</v>
      </c>
      <c r="AR56" s="1" t="b">
        <v>0</v>
      </c>
    </row>
    <row r="57" spans="1:44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0">
        <f t="shared" si="1"/>
        <v>2603.0804999999996</v>
      </c>
      <c r="R57" s="11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5"/>
        <v>High</v>
      </c>
      <c r="X57" s="5">
        <v>10386</v>
      </c>
      <c r="Y57" s="1">
        <v>1119</v>
      </c>
      <c r="Z57" s="2">
        <v>45146</v>
      </c>
      <c r="AA57" s="2">
        <v>45154</v>
      </c>
      <c r="AB57" s="1" t="s">
        <v>15</v>
      </c>
      <c r="AC57" s="1" t="s">
        <v>23</v>
      </c>
      <c r="AD57" s="1" t="s">
        <v>24</v>
      </c>
      <c r="AE57" s="1" t="s">
        <v>44</v>
      </c>
      <c r="AF57" s="1" t="s">
        <v>49</v>
      </c>
      <c r="AG57" s="1" t="s">
        <v>68</v>
      </c>
      <c r="AH57" s="1" t="s">
        <v>28</v>
      </c>
      <c r="AI57" s="1">
        <v>2</v>
      </c>
      <c r="AJ57" s="1">
        <v>1984.38</v>
      </c>
      <c r="AK57" s="1">
        <v>10</v>
      </c>
      <c r="AL57" s="1">
        <v>3571.88</v>
      </c>
      <c r="AM57" s="1">
        <v>3968.76</v>
      </c>
      <c r="AN57" s="10">
        <v>357.18800000000005</v>
      </c>
      <c r="AO57" s="11">
        <v>3611.5720000000001</v>
      </c>
      <c r="AP57" s="1" t="s">
        <v>161</v>
      </c>
      <c r="AQ57" s="1" t="s">
        <v>162</v>
      </c>
      <c r="AR57" s="1" t="b">
        <v>0</v>
      </c>
    </row>
    <row r="58" spans="1:44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0">
        <f t="shared" si="1"/>
        <v>1457.7560000000001</v>
      </c>
      <c r="R58" s="11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5"/>
        <v>High</v>
      </c>
      <c r="X58" s="5">
        <v>10389</v>
      </c>
      <c r="Y58" s="1">
        <v>1627</v>
      </c>
      <c r="Z58" s="2">
        <v>45027</v>
      </c>
      <c r="AA58" s="2">
        <v>45030</v>
      </c>
      <c r="AB58" s="1" t="s">
        <v>15</v>
      </c>
      <c r="AC58" s="1" t="s">
        <v>38</v>
      </c>
      <c r="AD58" s="1" t="s">
        <v>17</v>
      </c>
      <c r="AE58" s="1" t="s">
        <v>35</v>
      </c>
      <c r="AF58" s="1" t="s">
        <v>26</v>
      </c>
      <c r="AG58" s="1" t="s">
        <v>69</v>
      </c>
      <c r="AH58" s="1" t="s">
        <v>21</v>
      </c>
      <c r="AI58" s="1">
        <v>7</v>
      </c>
      <c r="AJ58" s="1">
        <v>3459.29</v>
      </c>
      <c r="AK58" s="1">
        <v>0</v>
      </c>
      <c r="AL58" s="1">
        <v>24215.03</v>
      </c>
      <c r="AM58" s="1">
        <v>24215.03</v>
      </c>
      <c r="AN58" s="10">
        <v>0</v>
      </c>
      <c r="AO58" s="11">
        <v>24215.03</v>
      </c>
      <c r="AP58" s="1" t="s">
        <v>159</v>
      </c>
      <c r="AQ58" s="1" t="s">
        <v>159</v>
      </c>
      <c r="AR58" s="1" t="s">
        <v>159</v>
      </c>
    </row>
    <row r="59" spans="1:44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0">
        <f t="shared" si="1"/>
        <v>406.86599999999999</v>
      </c>
      <c r="R59" s="11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5"/>
        <v>High</v>
      </c>
      <c r="X59" s="5">
        <v>10391</v>
      </c>
      <c r="Y59" s="1">
        <v>1624</v>
      </c>
      <c r="Z59" s="2">
        <v>45033</v>
      </c>
      <c r="AA59" s="2">
        <v>45037</v>
      </c>
      <c r="AB59" s="1" t="s">
        <v>15</v>
      </c>
      <c r="AC59" s="1" t="s">
        <v>29</v>
      </c>
      <c r="AD59" s="1" t="s">
        <v>30</v>
      </c>
      <c r="AE59" s="1" t="s">
        <v>25</v>
      </c>
      <c r="AF59" s="1" t="s">
        <v>19</v>
      </c>
      <c r="AG59" s="1" t="s">
        <v>66</v>
      </c>
      <c r="AH59" s="1" t="s">
        <v>33</v>
      </c>
      <c r="AI59" s="1">
        <v>6</v>
      </c>
      <c r="AJ59" s="1">
        <v>2824.42</v>
      </c>
      <c r="AK59" s="1">
        <v>0</v>
      </c>
      <c r="AL59" s="1">
        <v>16946.52</v>
      </c>
      <c r="AM59" s="1">
        <v>16946.52</v>
      </c>
      <c r="AN59" s="10">
        <v>0</v>
      </c>
      <c r="AO59" s="11">
        <v>16946.52</v>
      </c>
      <c r="AP59" s="1" t="s">
        <v>159</v>
      </c>
      <c r="AQ59" s="1" t="s">
        <v>159</v>
      </c>
      <c r="AR59" s="1" t="s">
        <v>159</v>
      </c>
    </row>
    <row r="60" spans="1:44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0">
        <f t="shared" si="1"/>
        <v>0</v>
      </c>
      <c r="R60" s="11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5"/>
        <v>High</v>
      </c>
      <c r="X60" s="5">
        <v>10419</v>
      </c>
      <c r="Y60" s="1">
        <v>1397</v>
      </c>
      <c r="Z60" s="2">
        <v>45122</v>
      </c>
      <c r="AA60" s="2">
        <v>45129</v>
      </c>
      <c r="AB60" s="1" t="s">
        <v>15</v>
      </c>
      <c r="AC60" s="1" t="s">
        <v>16</v>
      </c>
      <c r="AD60" s="1" t="s">
        <v>24</v>
      </c>
      <c r="AE60" s="1" t="s">
        <v>35</v>
      </c>
      <c r="AF60" s="1" t="s">
        <v>26</v>
      </c>
      <c r="AG60" s="1" t="s">
        <v>27</v>
      </c>
      <c r="AH60" s="1" t="s">
        <v>47</v>
      </c>
      <c r="AI60" s="1">
        <v>8</v>
      </c>
      <c r="AJ60" s="1">
        <v>1975.53</v>
      </c>
      <c r="AK60" s="1">
        <v>5</v>
      </c>
      <c r="AL60" s="1">
        <v>15014.03</v>
      </c>
      <c r="AM60" s="1">
        <v>15804.24</v>
      </c>
      <c r="AN60" s="10">
        <v>750.70150000000012</v>
      </c>
      <c r="AO60" s="11">
        <v>15053.538499999999</v>
      </c>
      <c r="AP60" s="1" t="s">
        <v>159</v>
      </c>
      <c r="AQ60" s="1" t="s">
        <v>159</v>
      </c>
      <c r="AR60" s="1" t="s">
        <v>159</v>
      </c>
    </row>
    <row r="61" spans="1:44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0">
        <f t="shared" si="1"/>
        <v>3190.8149999999996</v>
      </c>
      <c r="R61" s="11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5"/>
        <v>High</v>
      </c>
      <c r="X61" s="5">
        <v>10420</v>
      </c>
      <c r="Y61" s="1">
        <v>1276</v>
      </c>
      <c r="Z61" s="2">
        <v>45207</v>
      </c>
      <c r="AA61" s="2">
        <v>45209</v>
      </c>
      <c r="AB61" s="1" t="s">
        <v>15</v>
      </c>
      <c r="AC61" s="1" t="s">
        <v>29</v>
      </c>
      <c r="AD61" s="1" t="s">
        <v>24</v>
      </c>
      <c r="AE61" s="1" t="s">
        <v>18</v>
      </c>
      <c r="AF61" s="1" t="s">
        <v>19</v>
      </c>
      <c r="AG61" s="1" t="s">
        <v>66</v>
      </c>
      <c r="AH61" s="1" t="s">
        <v>21</v>
      </c>
      <c r="AI61" s="1">
        <v>2</v>
      </c>
      <c r="AJ61" s="1">
        <v>406.77</v>
      </c>
      <c r="AK61" s="1">
        <v>10</v>
      </c>
      <c r="AL61" s="1">
        <v>732.19</v>
      </c>
      <c r="AM61" s="1">
        <v>813.54</v>
      </c>
      <c r="AN61" s="10">
        <v>73.219000000000008</v>
      </c>
      <c r="AO61" s="11">
        <v>740.32099999999991</v>
      </c>
      <c r="AP61" s="1" t="s">
        <v>161</v>
      </c>
      <c r="AQ61" s="1" t="s">
        <v>162</v>
      </c>
      <c r="AR61" s="1" t="b">
        <v>0</v>
      </c>
    </row>
    <row r="62" spans="1:44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0">
        <f t="shared" si="1"/>
        <v>201.32300000000001</v>
      </c>
      <c r="R62" s="11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5"/>
        <v>High</v>
      </c>
      <c r="X62" s="5">
        <v>10433</v>
      </c>
      <c r="Y62" s="1">
        <v>1954</v>
      </c>
      <c r="Z62" s="2">
        <v>45152</v>
      </c>
      <c r="AA62" s="2">
        <v>45159</v>
      </c>
      <c r="AB62" s="1" t="s">
        <v>15</v>
      </c>
      <c r="AC62" s="1" t="s">
        <v>54</v>
      </c>
      <c r="AD62" s="1" t="s">
        <v>17</v>
      </c>
      <c r="AE62" s="1" t="s">
        <v>18</v>
      </c>
      <c r="AF62" s="1" t="s">
        <v>49</v>
      </c>
      <c r="AG62" s="1" t="s">
        <v>51</v>
      </c>
      <c r="AH62" s="1" t="s">
        <v>33</v>
      </c>
      <c r="AI62" s="1">
        <v>4</v>
      </c>
      <c r="AJ62" s="1">
        <v>3590.5</v>
      </c>
      <c r="AK62" s="1">
        <v>0</v>
      </c>
      <c r="AL62" s="1">
        <v>14362</v>
      </c>
      <c r="AM62" s="1">
        <v>14362</v>
      </c>
      <c r="AN62" s="10">
        <v>0</v>
      </c>
      <c r="AO62" s="11">
        <v>14362</v>
      </c>
      <c r="AP62" s="1" t="s">
        <v>161</v>
      </c>
      <c r="AQ62" s="1" t="s">
        <v>162</v>
      </c>
      <c r="AR62" s="1" t="b">
        <v>0</v>
      </c>
    </row>
    <row r="63" spans="1:44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0">
        <f t="shared" si="1"/>
        <v>1071.3489999999999</v>
      </c>
      <c r="R63" s="11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5"/>
        <v>High</v>
      </c>
      <c r="X63" s="5">
        <v>10435</v>
      </c>
      <c r="Y63" s="1">
        <v>1469</v>
      </c>
      <c r="Z63" s="2">
        <v>45002</v>
      </c>
      <c r="AA63" s="2">
        <v>45009</v>
      </c>
      <c r="AB63" s="1" t="s">
        <v>15</v>
      </c>
      <c r="AC63" s="1" t="s">
        <v>29</v>
      </c>
      <c r="AD63" s="1" t="s">
        <v>24</v>
      </c>
      <c r="AE63" s="1" t="s">
        <v>44</v>
      </c>
      <c r="AF63" s="1" t="s">
        <v>52</v>
      </c>
      <c r="AG63" s="1" t="s">
        <v>56</v>
      </c>
      <c r="AH63" s="1" t="s">
        <v>21</v>
      </c>
      <c r="AI63" s="1">
        <v>3</v>
      </c>
      <c r="AJ63" s="1">
        <v>3644.78</v>
      </c>
      <c r="AK63" s="1">
        <v>0</v>
      </c>
      <c r="AL63" s="1">
        <v>10934.34</v>
      </c>
      <c r="AM63" s="1">
        <v>10934.34</v>
      </c>
      <c r="AN63" s="10">
        <v>0</v>
      </c>
      <c r="AO63" s="11">
        <v>10934.34</v>
      </c>
      <c r="AP63" s="1" t="s">
        <v>161</v>
      </c>
      <c r="AQ63" s="1" t="s">
        <v>162</v>
      </c>
      <c r="AR63" s="1" t="b">
        <v>0</v>
      </c>
    </row>
    <row r="64" spans="1:44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0">
        <f t="shared" si="1"/>
        <v>1428.683</v>
      </c>
      <c r="R64" s="11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5"/>
        <v>High</v>
      </c>
      <c r="X64" s="5">
        <v>10436</v>
      </c>
      <c r="Y64" s="1">
        <v>1374</v>
      </c>
      <c r="Z64" s="2">
        <v>45212</v>
      </c>
      <c r="AA64" s="2">
        <v>45213</v>
      </c>
      <c r="AB64" s="1" t="s">
        <v>15</v>
      </c>
      <c r="AC64" s="1" t="s">
        <v>23</v>
      </c>
      <c r="AD64" s="1" t="s">
        <v>30</v>
      </c>
      <c r="AE64" s="1" t="s">
        <v>18</v>
      </c>
      <c r="AF64" s="1" t="s">
        <v>52</v>
      </c>
      <c r="AG64" s="1" t="s">
        <v>60</v>
      </c>
      <c r="AH64" s="1" t="s">
        <v>21</v>
      </c>
      <c r="AI64" s="1">
        <v>3</v>
      </c>
      <c r="AJ64" s="1">
        <v>3986.78</v>
      </c>
      <c r="AK64" s="1">
        <v>20</v>
      </c>
      <c r="AL64" s="1">
        <v>9568.27</v>
      </c>
      <c r="AM64" s="1">
        <v>11960.34</v>
      </c>
      <c r="AN64" s="10">
        <v>1913.6540000000002</v>
      </c>
      <c r="AO64" s="11">
        <v>10046.686</v>
      </c>
      <c r="AP64" s="1" t="s">
        <v>161</v>
      </c>
      <c r="AQ64" s="1" t="s">
        <v>162</v>
      </c>
      <c r="AR64" s="1" t="b">
        <v>0</v>
      </c>
    </row>
    <row r="65" spans="1:44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0">
        <f t="shared" si="1"/>
        <v>265.50599999999997</v>
      </c>
      <c r="R65" s="11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5"/>
        <v>0</v>
      </c>
      <c r="X65" s="5">
        <v>10442</v>
      </c>
      <c r="Y65" s="1">
        <v>1364</v>
      </c>
      <c r="Z65" s="2">
        <v>45089</v>
      </c>
      <c r="AA65" s="2">
        <v>45094</v>
      </c>
      <c r="AB65" s="1" t="s">
        <v>15</v>
      </c>
      <c r="AC65" s="1" t="s">
        <v>23</v>
      </c>
      <c r="AD65" s="1" t="s">
        <v>24</v>
      </c>
      <c r="AE65" s="1" t="s">
        <v>35</v>
      </c>
      <c r="AF65" s="1" t="s">
        <v>57</v>
      </c>
      <c r="AG65" s="1" t="s">
        <v>58</v>
      </c>
      <c r="AH65" s="1" t="s">
        <v>45</v>
      </c>
      <c r="AI65" s="1">
        <v>9</v>
      </c>
      <c r="AJ65" s="1">
        <v>2969.7</v>
      </c>
      <c r="AK65" s="1">
        <v>10</v>
      </c>
      <c r="AL65" s="1">
        <v>24054.57</v>
      </c>
      <c r="AM65" s="1">
        <v>26727.3</v>
      </c>
      <c r="AN65" s="10">
        <v>2405.4569999999999</v>
      </c>
      <c r="AO65" s="11">
        <v>24321.843000000001</v>
      </c>
      <c r="AP65" s="1" t="s">
        <v>159</v>
      </c>
      <c r="AQ65" s="1" t="s">
        <v>159</v>
      </c>
      <c r="AR65" s="1" t="s">
        <v>159</v>
      </c>
    </row>
    <row r="66" spans="1:44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0">
        <f t="shared" si="1"/>
        <v>499.178</v>
      </c>
      <c r="R66" s="11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5"/>
        <v>0</v>
      </c>
      <c r="X66" s="5">
        <v>10451</v>
      </c>
      <c r="Y66" s="1">
        <v>1608</v>
      </c>
      <c r="Z66" s="2">
        <v>45102</v>
      </c>
      <c r="AA66" s="2">
        <v>45110</v>
      </c>
      <c r="AB66" s="1" t="s">
        <v>15</v>
      </c>
      <c r="AC66" s="1" t="s">
        <v>29</v>
      </c>
      <c r="AD66" s="1" t="s">
        <v>24</v>
      </c>
      <c r="AE66" s="1" t="s">
        <v>25</v>
      </c>
      <c r="AF66" s="1" t="s">
        <v>57</v>
      </c>
      <c r="AG66" s="1" t="s">
        <v>59</v>
      </c>
      <c r="AH66" s="1" t="s">
        <v>28</v>
      </c>
      <c r="AI66" s="1">
        <v>7</v>
      </c>
      <c r="AJ66" s="1">
        <v>1332.87</v>
      </c>
      <c r="AK66" s="1">
        <v>0</v>
      </c>
      <c r="AL66" s="1">
        <v>9330.09</v>
      </c>
      <c r="AM66" s="1">
        <v>9330.09</v>
      </c>
      <c r="AN66" s="10">
        <v>0</v>
      </c>
      <c r="AO66" s="11">
        <v>9330.09</v>
      </c>
      <c r="AP66" s="1" t="s">
        <v>159</v>
      </c>
      <c r="AQ66" s="1" t="s">
        <v>159</v>
      </c>
      <c r="AR66" s="1" t="s">
        <v>159</v>
      </c>
    </row>
    <row r="67" spans="1:44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L67*M67</f>
        <v>30157.68</v>
      </c>
      <c r="Q67" s="10">
        <f t="shared" ref="Q67:Q130" si="7">O67*N67%</f>
        <v>1432.49</v>
      </c>
      <c r="R67" s="11">
        <f t="shared" ref="R67:R130" si="8">P67-Q67</f>
        <v>28725.19</v>
      </c>
      <c r="S67" s="1" t="str">
        <f t="shared" ref="S67:S130" si="9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si="5"/>
        <v>High</v>
      </c>
      <c r="X67" s="5">
        <v>10455</v>
      </c>
      <c r="Y67" s="1">
        <v>1480</v>
      </c>
      <c r="Z67" s="2">
        <v>45034</v>
      </c>
      <c r="AA67" s="2">
        <v>45036</v>
      </c>
      <c r="AB67" s="1" t="s">
        <v>15</v>
      </c>
      <c r="AC67" s="1" t="s">
        <v>29</v>
      </c>
      <c r="AD67" s="1" t="s">
        <v>17</v>
      </c>
      <c r="AE67" s="1" t="s">
        <v>18</v>
      </c>
      <c r="AF67" s="1" t="s">
        <v>52</v>
      </c>
      <c r="AG67" s="1" t="s">
        <v>64</v>
      </c>
      <c r="AH67" s="1" t="s">
        <v>45</v>
      </c>
      <c r="AI67" s="1">
        <v>2</v>
      </c>
      <c r="AJ67" s="1">
        <v>1374.23</v>
      </c>
      <c r="AK67" s="1">
        <v>0</v>
      </c>
      <c r="AL67" s="1">
        <v>2748.46</v>
      </c>
      <c r="AM67" s="1">
        <v>2748.46</v>
      </c>
      <c r="AN67" s="10">
        <v>0</v>
      </c>
      <c r="AO67" s="11">
        <v>2748.46</v>
      </c>
      <c r="AP67" s="1" t="s">
        <v>161</v>
      </c>
      <c r="AQ67" s="1" t="s">
        <v>162</v>
      </c>
      <c r="AR67" s="1" t="b">
        <v>0</v>
      </c>
    </row>
    <row r="68" spans="1:44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330.13</v>
      </c>
      <c r="Q68" s="10">
        <f t="shared" si="7"/>
        <v>42.091500000000003</v>
      </c>
      <c r="R68" s="11">
        <f t="shared" si="8"/>
        <v>288.0385</v>
      </c>
      <c r="S68" s="1" t="str">
        <f t="shared" si="9"/>
        <v>Low</v>
      </c>
      <c r="T68" s="1" t="str" cm="1">
        <f t="array" ref="T68">_xlfn.IFS(L68&gt;5,"High",L68=5,"mediam",L68&lt;5,"low")</f>
        <v>low</v>
      </c>
      <c r="U68" s="1" t="b">
        <f t="shared" si="5"/>
        <v>0</v>
      </c>
      <c r="X68" s="5">
        <v>10462</v>
      </c>
      <c r="Y68" s="1">
        <v>1191</v>
      </c>
      <c r="Z68" s="2">
        <v>45198</v>
      </c>
      <c r="AA68" s="2">
        <v>45205</v>
      </c>
      <c r="AB68" s="1" t="s">
        <v>15</v>
      </c>
      <c r="AC68" s="1" t="s">
        <v>38</v>
      </c>
      <c r="AD68" s="1" t="s">
        <v>17</v>
      </c>
      <c r="AE68" s="1" t="s">
        <v>25</v>
      </c>
      <c r="AF68" s="1" t="s">
        <v>52</v>
      </c>
      <c r="AG68" s="1" t="s">
        <v>64</v>
      </c>
      <c r="AH68" s="1" t="s">
        <v>45</v>
      </c>
      <c r="AI68" s="1">
        <v>6</v>
      </c>
      <c r="AJ68" s="1">
        <v>385.25</v>
      </c>
      <c r="AK68" s="1">
        <v>10</v>
      </c>
      <c r="AL68" s="1">
        <v>2080.35</v>
      </c>
      <c r="AM68" s="1">
        <v>2311.5</v>
      </c>
      <c r="AN68" s="10">
        <v>208.035</v>
      </c>
      <c r="AO68" s="11">
        <v>2103.4650000000001</v>
      </c>
      <c r="AP68" s="1" t="s">
        <v>159</v>
      </c>
      <c r="AQ68" s="1" t="s">
        <v>159</v>
      </c>
      <c r="AR68" s="1" t="s">
        <v>159</v>
      </c>
    </row>
    <row r="69" spans="1:44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8283.9600000000009</v>
      </c>
      <c r="Q69" s="10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 cm="1">
        <f t="array" ref="T69">_xlfn.IFS(L69&gt;5,"High",L69=5,"mediam",L69&lt;5,"low")</f>
        <v>High</v>
      </c>
      <c r="U69" s="1" t="str">
        <f t="shared" si="5"/>
        <v>High</v>
      </c>
      <c r="X69" s="5">
        <v>10469</v>
      </c>
      <c r="Y69" s="1">
        <v>1476</v>
      </c>
      <c r="Z69" s="2">
        <v>45050</v>
      </c>
      <c r="AA69" s="2">
        <v>45052</v>
      </c>
      <c r="AB69" s="1" t="s">
        <v>15</v>
      </c>
      <c r="AC69" s="1" t="s">
        <v>41</v>
      </c>
      <c r="AD69" s="1" t="s">
        <v>30</v>
      </c>
      <c r="AE69" s="1" t="s">
        <v>18</v>
      </c>
      <c r="AF69" s="1" t="s">
        <v>31</v>
      </c>
      <c r="AG69" s="1" t="s">
        <v>48</v>
      </c>
      <c r="AH69" s="1" t="s">
        <v>45</v>
      </c>
      <c r="AI69" s="1">
        <v>5</v>
      </c>
      <c r="AJ69" s="1">
        <v>3945.35</v>
      </c>
      <c r="AK69" s="1">
        <v>5</v>
      </c>
      <c r="AL69" s="1">
        <v>18740.41</v>
      </c>
      <c r="AM69" s="1">
        <v>19726.75</v>
      </c>
      <c r="AN69" s="10">
        <v>937.02050000000008</v>
      </c>
      <c r="AO69" s="11">
        <v>18789.729500000001</v>
      </c>
      <c r="AP69" s="1" t="s">
        <v>159</v>
      </c>
      <c r="AQ69" s="1" t="s">
        <v>160</v>
      </c>
      <c r="AR69" s="1" t="b">
        <v>0</v>
      </c>
    </row>
    <row r="70" spans="1:44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11021.880000000001</v>
      </c>
      <c r="Q70" s="10">
        <f t="shared" si="7"/>
        <v>523.53950000000009</v>
      </c>
      <c r="R70" s="11">
        <f t="shared" si="8"/>
        <v>10498.3405</v>
      </c>
      <c r="S70" s="1" t="str">
        <f t="shared" si="9"/>
        <v>High</v>
      </c>
      <c r="T70" s="1" t="str" cm="1">
        <f t="array" ref="T70">_xlfn.IFS(L70&gt;5,"High",L70=5,"mediam",L70&lt;5,"low")</f>
        <v>High</v>
      </c>
      <c r="U70" s="1" t="str">
        <f t="shared" si="5"/>
        <v>High</v>
      </c>
      <c r="X70" s="5">
        <v>10472</v>
      </c>
      <c r="Y70" s="1">
        <v>1517</v>
      </c>
      <c r="Z70" s="2">
        <v>45269</v>
      </c>
      <c r="AA70" s="2">
        <v>45278</v>
      </c>
      <c r="AB70" s="1" t="s">
        <v>15</v>
      </c>
      <c r="AC70" s="1" t="s">
        <v>54</v>
      </c>
      <c r="AD70" s="1" t="s">
        <v>30</v>
      </c>
      <c r="AE70" s="1" t="s">
        <v>35</v>
      </c>
      <c r="AF70" s="1" t="s">
        <v>31</v>
      </c>
      <c r="AG70" s="1" t="s">
        <v>48</v>
      </c>
      <c r="AH70" s="1" t="s">
        <v>28</v>
      </c>
      <c r="AI70" s="1">
        <v>5</v>
      </c>
      <c r="AJ70" s="1">
        <v>2523.25</v>
      </c>
      <c r="AK70" s="1">
        <v>10</v>
      </c>
      <c r="AL70" s="1">
        <v>11354.63</v>
      </c>
      <c r="AM70" s="1">
        <v>12616.25</v>
      </c>
      <c r="AN70" s="10">
        <v>1135.463</v>
      </c>
      <c r="AO70" s="11">
        <v>11480.787</v>
      </c>
      <c r="AP70" s="1" t="s">
        <v>159</v>
      </c>
      <c r="AQ70" s="1" t="s">
        <v>160</v>
      </c>
      <c r="AR70" s="1" t="b">
        <v>0</v>
      </c>
    </row>
    <row r="71" spans="1:44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14448.6</v>
      </c>
      <c r="Q71" s="10">
        <f t="shared" si="7"/>
        <v>2311.7759999999998</v>
      </c>
      <c r="R71" s="11">
        <f t="shared" si="8"/>
        <v>12136.824000000001</v>
      </c>
      <c r="S71" s="1" t="str">
        <f t="shared" si="9"/>
        <v>Low</v>
      </c>
      <c r="T71" s="1" t="str" cm="1">
        <f t="array" ref="T71">_xlfn.IFS(L71&gt;5,"High",L71=5,"mediam",L71&lt;5,"low")</f>
        <v>low</v>
      </c>
      <c r="U71" s="1" t="b">
        <f t="shared" si="5"/>
        <v>0</v>
      </c>
      <c r="X71" s="5">
        <v>10490</v>
      </c>
      <c r="Y71" s="1">
        <v>1927</v>
      </c>
      <c r="Z71" s="2">
        <v>45259</v>
      </c>
      <c r="AA71" s="2">
        <v>45261</v>
      </c>
      <c r="AB71" s="1" t="s">
        <v>15</v>
      </c>
      <c r="AC71" s="1" t="s">
        <v>29</v>
      </c>
      <c r="AD71" s="1" t="s">
        <v>17</v>
      </c>
      <c r="AE71" s="1" t="s">
        <v>35</v>
      </c>
      <c r="AF71" s="1" t="s">
        <v>31</v>
      </c>
      <c r="AG71" s="1" t="s">
        <v>32</v>
      </c>
      <c r="AH71" s="1" t="s">
        <v>45</v>
      </c>
      <c r="AI71" s="1">
        <v>7</v>
      </c>
      <c r="AJ71" s="1">
        <v>2838.06</v>
      </c>
      <c r="AK71" s="1">
        <v>20</v>
      </c>
      <c r="AL71" s="1">
        <v>15893.14</v>
      </c>
      <c r="AM71" s="1">
        <v>19866.419999999998</v>
      </c>
      <c r="AN71" s="10">
        <v>3178.6280000000002</v>
      </c>
      <c r="AO71" s="11">
        <v>16687.791999999998</v>
      </c>
      <c r="AP71" s="1" t="s">
        <v>159</v>
      </c>
      <c r="AQ71" s="1" t="s">
        <v>159</v>
      </c>
      <c r="AR71" s="1" t="s">
        <v>159</v>
      </c>
    </row>
    <row r="72" spans="1:44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11564.130000000001</v>
      </c>
      <c r="Q72" s="10">
        <f t="shared" si="7"/>
        <v>549.29600000000005</v>
      </c>
      <c r="R72" s="11">
        <f t="shared" si="8"/>
        <v>11014.834000000001</v>
      </c>
      <c r="S72" s="1" t="str">
        <f t="shared" si="9"/>
        <v>Low</v>
      </c>
      <c r="T72" s="1" t="str" cm="1">
        <f t="array" ref="T72">_xlfn.IFS(L72&gt;5,"High",L72=5,"mediam",L72&lt;5,"low")</f>
        <v>low</v>
      </c>
      <c r="U72" s="1" t="b">
        <f t="shared" si="5"/>
        <v>0</v>
      </c>
      <c r="X72" s="5">
        <v>10495</v>
      </c>
      <c r="Y72" s="1">
        <v>1127</v>
      </c>
      <c r="Z72" s="2">
        <v>45060</v>
      </c>
      <c r="AA72" s="2">
        <v>45063</v>
      </c>
      <c r="AB72" s="1" t="s">
        <v>15</v>
      </c>
      <c r="AC72" s="1" t="s">
        <v>23</v>
      </c>
      <c r="AD72" s="1" t="s">
        <v>30</v>
      </c>
      <c r="AE72" s="1" t="s">
        <v>25</v>
      </c>
      <c r="AF72" s="1" t="s">
        <v>57</v>
      </c>
      <c r="AG72" s="1" t="s">
        <v>59</v>
      </c>
      <c r="AH72" s="1" t="s">
        <v>45</v>
      </c>
      <c r="AI72" s="1">
        <v>8</v>
      </c>
      <c r="AJ72" s="1">
        <v>598.44000000000005</v>
      </c>
      <c r="AK72" s="1">
        <v>0</v>
      </c>
      <c r="AL72" s="1">
        <v>4787.5200000000004</v>
      </c>
      <c r="AM72" s="1">
        <v>4787.5200000000004</v>
      </c>
      <c r="AN72" s="10">
        <v>0</v>
      </c>
      <c r="AO72" s="11">
        <v>4787.5200000000004</v>
      </c>
      <c r="AP72" s="1" t="s">
        <v>159</v>
      </c>
      <c r="AQ72" s="1" t="s">
        <v>159</v>
      </c>
      <c r="AR72" s="1" t="s">
        <v>159</v>
      </c>
    </row>
    <row r="73" spans="1:44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5579.5199999999995</v>
      </c>
      <c r="Q73" s="10">
        <f t="shared" si="7"/>
        <v>711.38850000000002</v>
      </c>
      <c r="R73" s="11">
        <f t="shared" si="8"/>
        <v>4868.1314999999995</v>
      </c>
      <c r="S73" s="1" t="str">
        <f t="shared" si="9"/>
        <v>Low</v>
      </c>
      <c r="T73" s="1" t="str" cm="1">
        <f t="array" ref="T73">_xlfn.IFS(L73&gt;5,"High",L73=5,"mediam",L73&lt;5,"low")</f>
        <v>low</v>
      </c>
      <c r="U73" s="1" t="b">
        <f t="shared" ref="U73:U136" si="10">IF(L73&gt;5,"High",IF(L73="Mediam","Low"))</f>
        <v>0</v>
      </c>
      <c r="X73" s="5">
        <v>10496</v>
      </c>
      <c r="Y73" s="1">
        <v>1017</v>
      </c>
      <c r="Z73" s="2">
        <v>45177</v>
      </c>
      <c r="AA73" s="2">
        <v>45178</v>
      </c>
      <c r="AB73" s="1" t="s">
        <v>15</v>
      </c>
      <c r="AC73" s="1" t="s">
        <v>23</v>
      </c>
      <c r="AD73" s="1" t="s">
        <v>17</v>
      </c>
      <c r="AE73" s="1" t="s">
        <v>42</v>
      </c>
      <c r="AF73" s="1" t="s">
        <v>52</v>
      </c>
      <c r="AG73" s="1" t="s">
        <v>60</v>
      </c>
      <c r="AH73" s="1" t="s">
        <v>45</v>
      </c>
      <c r="AI73" s="1">
        <v>6</v>
      </c>
      <c r="AJ73" s="1">
        <v>1128.9100000000001</v>
      </c>
      <c r="AK73" s="1">
        <v>20</v>
      </c>
      <c r="AL73" s="1">
        <v>5418.77</v>
      </c>
      <c r="AM73" s="1">
        <v>6773.4600000000009</v>
      </c>
      <c r="AN73" s="10">
        <v>1083.7540000000001</v>
      </c>
      <c r="AO73" s="11">
        <v>5689.706000000001</v>
      </c>
      <c r="AP73" s="1" t="s">
        <v>159</v>
      </c>
      <c r="AQ73" s="1" t="s">
        <v>159</v>
      </c>
      <c r="AR73" s="1" t="s">
        <v>159</v>
      </c>
    </row>
    <row r="74" spans="1:44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3037.61</v>
      </c>
      <c r="Q74" s="10">
        <f t="shared" si="7"/>
        <v>144.28650000000002</v>
      </c>
      <c r="R74" s="11">
        <f t="shared" si="8"/>
        <v>2893.3235</v>
      </c>
      <c r="S74" s="1" t="str">
        <f t="shared" si="9"/>
        <v>Low</v>
      </c>
      <c r="T74" s="1" t="str" cm="1">
        <f t="array" ref="T74">_xlfn.IFS(L74&gt;5,"High",L74=5,"mediam",L74&lt;5,"low")</f>
        <v>low</v>
      </c>
      <c r="U74" s="1" t="b">
        <f t="shared" si="10"/>
        <v>0</v>
      </c>
      <c r="X74" s="5">
        <v>10500</v>
      </c>
      <c r="Y74" s="1">
        <v>1569</v>
      </c>
      <c r="Z74" s="2">
        <v>44972</v>
      </c>
      <c r="AA74" s="2">
        <v>44977</v>
      </c>
      <c r="AB74" s="1" t="s">
        <v>15</v>
      </c>
      <c r="AC74" s="1" t="s">
        <v>16</v>
      </c>
      <c r="AD74" s="1" t="s">
        <v>30</v>
      </c>
      <c r="AE74" s="1" t="s">
        <v>42</v>
      </c>
      <c r="AF74" s="1" t="s">
        <v>31</v>
      </c>
      <c r="AG74" s="1" t="s">
        <v>65</v>
      </c>
      <c r="AH74" s="1" t="s">
        <v>33</v>
      </c>
      <c r="AI74" s="1">
        <v>1</v>
      </c>
      <c r="AJ74" s="1">
        <v>2432.17</v>
      </c>
      <c r="AK74" s="1">
        <v>20</v>
      </c>
      <c r="AL74" s="1">
        <v>1945.74</v>
      </c>
      <c r="AM74" s="1">
        <v>2432.17</v>
      </c>
      <c r="AN74" s="10">
        <v>389.14800000000002</v>
      </c>
      <c r="AO74" s="11">
        <v>2043.0219999999999</v>
      </c>
      <c r="AP74" s="1" t="s">
        <v>161</v>
      </c>
      <c r="AQ74" s="1" t="s">
        <v>162</v>
      </c>
      <c r="AR74" s="1" t="b">
        <v>0</v>
      </c>
    </row>
    <row r="75" spans="1:44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6590.67</v>
      </c>
      <c r="Q75" s="10">
        <f t="shared" si="7"/>
        <v>0</v>
      </c>
      <c r="R75" s="11">
        <f t="shared" si="8"/>
        <v>6590.67</v>
      </c>
      <c r="S75" s="1" t="str">
        <f t="shared" si="9"/>
        <v>Low</v>
      </c>
      <c r="T75" s="1" t="str" cm="1">
        <f t="array" ref="T75">_xlfn.IFS(L75&gt;5,"High",L75=5,"mediam",L75&lt;5,"low")</f>
        <v>low</v>
      </c>
      <c r="U75" s="1" t="b">
        <f t="shared" si="10"/>
        <v>0</v>
      </c>
    </row>
    <row r="76" spans="1:44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8881.84</v>
      </c>
      <c r="Q76" s="10">
        <f t="shared" si="7"/>
        <v>0</v>
      </c>
      <c r="R76" s="11">
        <f t="shared" si="8"/>
        <v>8881.84</v>
      </c>
      <c r="S76" s="1" t="str">
        <f t="shared" si="9"/>
        <v>Low</v>
      </c>
      <c r="T76" s="1" t="str" cm="1">
        <f t="array" ref="T76">_xlfn.IFS(L76&gt;5,"High",L76=5,"mediam",L76&lt;5,"low")</f>
        <v>low</v>
      </c>
      <c r="U76" s="1" t="b">
        <f t="shared" si="10"/>
        <v>0</v>
      </c>
    </row>
    <row r="77" spans="1:44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6103.4000000000005</v>
      </c>
      <c r="Q77" s="10">
        <f t="shared" si="7"/>
        <v>976.5440000000001</v>
      </c>
      <c r="R77" s="11">
        <f t="shared" si="8"/>
        <v>5126.8560000000007</v>
      </c>
      <c r="S77" s="1" t="str">
        <f t="shared" si="9"/>
        <v>High</v>
      </c>
      <c r="T77" s="1" t="str" cm="1">
        <f t="array" ref="T77">_xlfn.IFS(L77&gt;5,"High",L77=5,"mediam",L77&lt;5,"low")</f>
        <v>mediam</v>
      </c>
      <c r="U77" s="1" t="b">
        <f t="shared" si="10"/>
        <v>0</v>
      </c>
    </row>
    <row r="78" spans="1:44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2955.84</v>
      </c>
      <c r="Q78" s="10">
        <f t="shared" si="7"/>
        <v>266.02600000000001</v>
      </c>
      <c r="R78" s="11">
        <f t="shared" si="8"/>
        <v>2689.8140000000003</v>
      </c>
      <c r="S78" s="1" t="str">
        <f t="shared" si="9"/>
        <v>Low</v>
      </c>
      <c r="T78" s="1" t="str" cm="1">
        <f t="array" ref="T78">_xlfn.IFS(L78&gt;5,"High",L78=5,"mediam",L78&lt;5,"low")</f>
        <v>low</v>
      </c>
      <c r="U78" s="1" t="b">
        <f t="shared" si="10"/>
        <v>0</v>
      </c>
    </row>
    <row r="79" spans="1:44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7552.92</v>
      </c>
      <c r="Q79" s="10">
        <f t="shared" si="7"/>
        <v>962.99699999999984</v>
      </c>
      <c r="R79" s="11">
        <f t="shared" si="8"/>
        <v>6589.9230000000007</v>
      </c>
      <c r="S79" s="1" t="str">
        <f t="shared" si="9"/>
        <v>High</v>
      </c>
      <c r="T79" s="1" t="str" cm="1">
        <f t="array" ref="T79">_xlfn.IFS(L79&gt;5,"High",L79=5,"mediam",L79&lt;5,"low")</f>
        <v>High</v>
      </c>
      <c r="U79" s="1" t="str">
        <f t="shared" si="10"/>
        <v>High</v>
      </c>
    </row>
    <row r="80" spans="1:44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11459.300000000001</v>
      </c>
      <c r="Q80" s="10">
        <f t="shared" si="7"/>
        <v>1461.06</v>
      </c>
      <c r="R80" s="11">
        <f t="shared" si="8"/>
        <v>9998.2400000000016</v>
      </c>
      <c r="S80" s="1" t="str">
        <f t="shared" si="9"/>
        <v>High</v>
      </c>
      <c r="T80" s="1" t="str" cm="1">
        <f t="array" ref="T80">_xlfn.IFS(L80&gt;5,"High",L80=5,"mediam",L80&lt;5,"low")</f>
        <v>mediam</v>
      </c>
      <c r="U80" s="1" t="b">
        <f t="shared" si="10"/>
        <v>0</v>
      </c>
    </row>
    <row r="81" spans="1:52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786.75</v>
      </c>
      <c r="Q81" s="10">
        <f t="shared" si="7"/>
        <v>70.807000000000002</v>
      </c>
      <c r="R81" s="11">
        <f t="shared" si="8"/>
        <v>715.94299999999998</v>
      </c>
      <c r="S81" s="1" t="str">
        <f t="shared" si="9"/>
        <v>Low</v>
      </c>
      <c r="T81" s="1" t="str" cm="1">
        <f t="array" ref="T81">_xlfn.IFS(L81&gt;5,"High",L81=5,"mediam",L81&lt;5,"low")</f>
        <v>low</v>
      </c>
      <c r="U81" s="1" t="b">
        <f t="shared" si="10"/>
        <v>0</v>
      </c>
    </row>
    <row r="82" spans="1:52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21857.46</v>
      </c>
      <c r="Q82" s="10">
        <f t="shared" si="7"/>
        <v>0</v>
      </c>
      <c r="R82" s="11">
        <f t="shared" si="8"/>
        <v>21857.46</v>
      </c>
      <c r="S82" s="1" t="str">
        <f t="shared" si="9"/>
        <v>High</v>
      </c>
      <c r="T82" s="1" t="str" cm="1">
        <f t="array" ref="T82">_xlfn.IFS(L82&gt;5,"High",L82=5,"mediam",L82&lt;5,"low")</f>
        <v>High</v>
      </c>
      <c r="U82" s="1" t="str">
        <f t="shared" si="10"/>
        <v>High</v>
      </c>
    </row>
    <row r="83" spans="1:52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4510.1400000000003</v>
      </c>
      <c r="Q83" s="10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 cm="1">
        <f t="array" ref="T83">_xlfn.IFS(L83&gt;5,"High",L83=5,"mediam",L83&lt;5,"low")</f>
        <v>High</v>
      </c>
      <c r="U83" s="1" t="str">
        <f t="shared" si="10"/>
        <v>High</v>
      </c>
      <c r="AF83" s="4" t="s">
        <v>0</v>
      </c>
      <c r="AG83" s="3" t="s">
        <v>1</v>
      </c>
      <c r="AH83" s="3" t="s">
        <v>2</v>
      </c>
      <c r="AI83" s="3" t="s">
        <v>3</v>
      </c>
      <c r="AJ83" s="3" t="s">
        <v>4</v>
      </c>
      <c r="AK83" s="3" t="s">
        <v>5</v>
      </c>
      <c r="AL83" s="3" t="s">
        <v>6</v>
      </c>
      <c r="AM83" s="3" t="s">
        <v>7</v>
      </c>
      <c r="AN83" s="3" t="s">
        <v>8</v>
      </c>
      <c r="AO83" s="3" t="s">
        <v>9</v>
      </c>
      <c r="AP83" s="3" t="s">
        <v>10</v>
      </c>
      <c r="AQ83" s="3" t="s">
        <v>11</v>
      </c>
      <c r="AR83" s="3" t="s">
        <v>12</v>
      </c>
      <c r="AS83" s="3" t="s">
        <v>13</v>
      </c>
      <c r="AT83" s="3" t="s">
        <v>14</v>
      </c>
      <c r="AU83" s="7" t="s">
        <v>70</v>
      </c>
      <c r="AV83" s="8" t="s">
        <v>72</v>
      </c>
      <c r="AW83" s="8" t="s">
        <v>71</v>
      </c>
      <c r="AX83" s="12" t="s">
        <v>73</v>
      </c>
      <c r="AY83" s="12" t="s">
        <v>74</v>
      </c>
      <c r="AZ83" s="12" t="s">
        <v>75</v>
      </c>
    </row>
    <row r="84" spans="1:52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7978.72</v>
      </c>
      <c r="Q84" s="10">
        <f t="shared" si="7"/>
        <v>378.98900000000003</v>
      </c>
      <c r="R84" s="11">
        <f t="shared" si="8"/>
        <v>7599.7309999999998</v>
      </c>
      <c r="S84" s="1" t="str">
        <f t="shared" si="9"/>
        <v>High</v>
      </c>
      <c r="T84" s="1" t="str" cm="1">
        <f t="array" ref="T84">_xlfn.IFS(L84&gt;5,"High",L84=5,"mediam",L84&lt;5,"low")</f>
        <v>High</v>
      </c>
      <c r="U84" s="1" t="str">
        <f t="shared" si="10"/>
        <v>High</v>
      </c>
      <c r="AF84" s="5">
        <v>10004</v>
      </c>
      <c r="AG84" s="1">
        <v>1270</v>
      </c>
      <c r="AH84" s="2">
        <v>45079</v>
      </c>
      <c r="AI84" s="2">
        <v>45087</v>
      </c>
      <c r="AJ84" s="1" t="s">
        <v>34</v>
      </c>
      <c r="AK84" s="1" t="s">
        <v>29</v>
      </c>
      <c r="AL84" s="1" t="s">
        <v>24</v>
      </c>
      <c r="AM84" s="1" t="s">
        <v>35</v>
      </c>
      <c r="AN84" s="1" t="s">
        <v>26</v>
      </c>
      <c r="AO84" s="1" t="s">
        <v>36</v>
      </c>
      <c r="AP84" s="1" t="s">
        <v>21</v>
      </c>
      <c r="AQ84" s="1">
        <v>1</v>
      </c>
      <c r="AR84" s="1">
        <v>1008.79</v>
      </c>
      <c r="AS84" s="1">
        <v>15</v>
      </c>
      <c r="AT84" s="1">
        <v>857.47</v>
      </c>
      <c r="AU84" s="1">
        <v>1008.79</v>
      </c>
      <c r="AV84" s="10">
        <v>128.62049999999999</v>
      </c>
      <c r="AW84" s="11">
        <v>880.16949999999997</v>
      </c>
      <c r="AX84" s="1" t="s">
        <v>161</v>
      </c>
      <c r="AY84" s="1" t="s">
        <v>162</v>
      </c>
      <c r="AZ84" s="1" t="b">
        <v>0</v>
      </c>
    </row>
    <row r="85" spans="1:52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4290.72</v>
      </c>
      <c r="Q85" s="10">
        <f t="shared" si="7"/>
        <v>686.51600000000008</v>
      </c>
      <c r="R85" s="11">
        <f t="shared" si="8"/>
        <v>3604.2040000000002</v>
      </c>
      <c r="S85" s="1" t="str">
        <f t="shared" si="9"/>
        <v>Low</v>
      </c>
      <c r="T85" s="1" t="str" cm="1">
        <f t="array" ref="T85">_xlfn.IFS(L85&gt;5,"High",L85=5,"mediam",L85&lt;5,"low")</f>
        <v>low</v>
      </c>
      <c r="U85" s="1" t="b">
        <f t="shared" si="10"/>
        <v>0</v>
      </c>
      <c r="AF85" s="5">
        <v>10010</v>
      </c>
      <c r="AG85" s="1">
        <v>1121</v>
      </c>
      <c r="AH85" s="2">
        <v>45139</v>
      </c>
      <c r="AI85" s="2">
        <v>45147</v>
      </c>
      <c r="AJ85" s="1" t="s">
        <v>34</v>
      </c>
      <c r="AK85" s="1" t="s">
        <v>38</v>
      </c>
      <c r="AL85" s="1" t="s">
        <v>24</v>
      </c>
      <c r="AM85" s="1" t="s">
        <v>35</v>
      </c>
      <c r="AN85" s="1" t="s">
        <v>49</v>
      </c>
      <c r="AO85" s="1" t="s">
        <v>50</v>
      </c>
      <c r="AP85" s="1" t="s">
        <v>47</v>
      </c>
      <c r="AQ85" s="1">
        <v>5</v>
      </c>
      <c r="AR85" s="1">
        <v>1780.66</v>
      </c>
      <c r="AS85" s="1">
        <v>20</v>
      </c>
      <c r="AT85" s="1">
        <v>7122.64</v>
      </c>
      <c r="AU85" s="1">
        <v>8903.3000000000011</v>
      </c>
      <c r="AV85" s="10">
        <v>1424.5280000000002</v>
      </c>
      <c r="AW85" s="11">
        <v>7478.7720000000008</v>
      </c>
      <c r="AX85" s="1" t="s">
        <v>159</v>
      </c>
      <c r="AY85" s="1" t="s">
        <v>160</v>
      </c>
      <c r="AZ85" s="1" t="b">
        <v>0</v>
      </c>
    </row>
    <row r="86" spans="1:52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2883.94</v>
      </c>
      <c r="Q86" s="10">
        <f t="shared" si="7"/>
        <v>461.43000000000006</v>
      </c>
      <c r="R86" s="11">
        <f t="shared" si="8"/>
        <v>2422.5100000000002</v>
      </c>
      <c r="S86" s="1" t="str">
        <f t="shared" si="9"/>
        <v>Low</v>
      </c>
      <c r="T86" s="1" t="str" cm="1">
        <f t="array" ref="T86">_xlfn.IFS(L86&gt;5,"High",L86=5,"mediam",L86&lt;5,"low")</f>
        <v>low</v>
      </c>
      <c r="U86" s="1" t="b">
        <f t="shared" si="10"/>
        <v>0</v>
      </c>
      <c r="AF86" s="5">
        <v>10011</v>
      </c>
      <c r="AG86" s="1">
        <v>1466</v>
      </c>
      <c r="AH86" s="2">
        <v>45098</v>
      </c>
      <c r="AI86" s="2">
        <v>45106</v>
      </c>
      <c r="AJ86" s="1" t="s">
        <v>34</v>
      </c>
      <c r="AK86" s="1" t="s">
        <v>38</v>
      </c>
      <c r="AL86" s="1" t="s">
        <v>17</v>
      </c>
      <c r="AM86" s="1" t="s">
        <v>35</v>
      </c>
      <c r="AN86" s="1" t="s">
        <v>49</v>
      </c>
      <c r="AO86" s="1" t="s">
        <v>50</v>
      </c>
      <c r="AP86" s="1" t="s">
        <v>33</v>
      </c>
      <c r="AQ86" s="1">
        <v>6</v>
      </c>
      <c r="AR86" s="1">
        <v>3205.25</v>
      </c>
      <c r="AS86" s="1">
        <v>0</v>
      </c>
      <c r="AT86" s="1">
        <v>19231.5</v>
      </c>
      <c r="AU86" s="1">
        <v>19231.5</v>
      </c>
      <c r="AV86" s="10">
        <v>0</v>
      </c>
      <c r="AW86" s="11">
        <v>19231.5</v>
      </c>
      <c r="AX86" s="1" t="s">
        <v>159</v>
      </c>
      <c r="AY86" s="1" t="s">
        <v>159</v>
      </c>
      <c r="AZ86" s="1" t="s">
        <v>159</v>
      </c>
    </row>
    <row r="87" spans="1:52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2074.2399999999998</v>
      </c>
      <c r="Q87" s="10">
        <f t="shared" si="7"/>
        <v>331.87800000000004</v>
      </c>
      <c r="R87" s="11">
        <f t="shared" si="8"/>
        <v>1742.3619999999996</v>
      </c>
      <c r="S87" s="1" t="str">
        <f t="shared" si="9"/>
        <v>Low</v>
      </c>
      <c r="T87" s="1" t="str" cm="1">
        <f t="array" ref="T87">_xlfn.IFS(L87&gt;5,"High",L87=5,"mediam",L87&lt;5,"low")</f>
        <v>low</v>
      </c>
      <c r="U87" s="1" t="b">
        <f t="shared" si="10"/>
        <v>0</v>
      </c>
      <c r="AF87" s="5">
        <v>10013</v>
      </c>
      <c r="AG87" s="1">
        <v>1330</v>
      </c>
      <c r="AH87" s="2">
        <v>45100</v>
      </c>
      <c r="AI87" s="2">
        <v>45107</v>
      </c>
      <c r="AJ87" s="1" t="s">
        <v>16</v>
      </c>
      <c r="AK87" s="1" t="s">
        <v>23</v>
      </c>
      <c r="AL87" s="1" t="s">
        <v>17</v>
      </c>
      <c r="AM87" s="1" t="s">
        <v>35</v>
      </c>
      <c r="AN87" s="1" t="s">
        <v>19</v>
      </c>
      <c r="AO87" s="1" t="s">
        <v>43</v>
      </c>
      <c r="AP87" s="1" t="s">
        <v>21</v>
      </c>
      <c r="AQ87" s="1">
        <v>8</v>
      </c>
      <c r="AR87" s="1">
        <v>3160.9</v>
      </c>
      <c r="AS87" s="1">
        <v>0</v>
      </c>
      <c r="AT87" s="1">
        <v>25287.200000000001</v>
      </c>
      <c r="AU87" s="1">
        <v>25287.200000000001</v>
      </c>
      <c r="AV87" s="10">
        <v>0</v>
      </c>
      <c r="AW87" s="11">
        <v>25287.200000000001</v>
      </c>
      <c r="AX87" s="1" t="s">
        <v>159</v>
      </c>
      <c r="AY87" s="1" t="s">
        <v>159</v>
      </c>
      <c r="AZ87" s="1" t="s">
        <v>159</v>
      </c>
    </row>
    <row r="88" spans="1:52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9611.84</v>
      </c>
      <c r="Q88" s="10">
        <f t="shared" si="7"/>
        <v>456.5625</v>
      </c>
      <c r="R88" s="11">
        <f t="shared" si="8"/>
        <v>9155.2775000000001</v>
      </c>
      <c r="S88" s="1" t="str">
        <f t="shared" si="9"/>
        <v>High</v>
      </c>
      <c r="T88" s="1" t="str" cm="1">
        <f t="array" ref="T88">_xlfn.IFS(L88&gt;5,"High",L88=5,"mediam",L88&lt;5,"low")</f>
        <v>High</v>
      </c>
      <c r="U88" s="1" t="str">
        <f t="shared" si="10"/>
        <v>High</v>
      </c>
      <c r="AF88" s="5">
        <v>10014</v>
      </c>
      <c r="AG88" s="1">
        <v>1458</v>
      </c>
      <c r="AH88" s="2">
        <v>45039</v>
      </c>
      <c r="AI88" s="2">
        <v>45045</v>
      </c>
      <c r="AJ88" s="1" t="s">
        <v>37</v>
      </c>
      <c r="AK88" s="1" t="s">
        <v>38</v>
      </c>
      <c r="AL88" s="1" t="s">
        <v>30</v>
      </c>
      <c r="AM88" s="1" t="s">
        <v>35</v>
      </c>
      <c r="AN88" s="1" t="s">
        <v>26</v>
      </c>
      <c r="AO88" s="1" t="s">
        <v>36</v>
      </c>
      <c r="AP88" s="1" t="s">
        <v>28</v>
      </c>
      <c r="AQ88" s="1">
        <v>8</v>
      </c>
      <c r="AR88" s="1">
        <v>1074.27</v>
      </c>
      <c r="AS88" s="1">
        <v>15</v>
      </c>
      <c r="AT88" s="1">
        <v>7305.04</v>
      </c>
      <c r="AU88" s="1">
        <v>8594.16</v>
      </c>
      <c r="AV88" s="10">
        <v>1095.7559999999999</v>
      </c>
      <c r="AW88" s="11">
        <v>7498.4040000000005</v>
      </c>
      <c r="AX88" s="1" t="s">
        <v>159</v>
      </c>
      <c r="AY88" s="1" t="s">
        <v>159</v>
      </c>
      <c r="AZ88" s="1" t="s">
        <v>159</v>
      </c>
    </row>
    <row r="89" spans="1:52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11638.2</v>
      </c>
      <c r="Q89" s="10">
        <f t="shared" si="7"/>
        <v>1862.1120000000001</v>
      </c>
      <c r="R89" s="11">
        <f t="shared" si="8"/>
        <v>9776.0879999999997</v>
      </c>
      <c r="S89" s="1" t="str">
        <f t="shared" si="9"/>
        <v>Low</v>
      </c>
      <c r="T89" s="1" t="str" cm="1">
        <f t="array" ref="T89">_xlfn.IFS(L89&gt;5,"High",L89=5,"mediam",L89&lt;5,"low")</f>
        <v>low</v>
      </c>
      <c r="U89" s="1" t="b">
        <f t="shared" si="10"/>
        <v>0</v>
      </c>
      <c r="AF89" s="5">
        <v>10022</v>
      </c>
      <c r="AG89" s="1">
        <v>1308</v>
      </c>
      <c r="AH89" s="2">
        <v>44944</v>
      </c>
      <c r="AI89" s="2">
        <v>44951</v>
      </c>
      <c r="AJ89" s="1" t="s">
        <v>37</v>
      </c>
      <c r="AK89" s="1" t="s">
        <v>23</v>
      </c>
      <c r="AL89" s="1" t="s">
        <v>30</v>
      </c>
      <c r="AM89" s="1" t="s">
        <v>35</v>
      </c>
      <c r="AN89" s="1" t="s">
        <v>57</v>
      </c>
      <c r="AO89" s="1" t="s">
        <v>58</v>
      </c>
      <c r="AP89" s="1" t="s">
        <v>33</v>
      </c>
      <c r="AQ89" s="1">
        <v>7</v>
      </c>
      <c r="AR89" s="1">
        <v>680.86</v>
      </c>
      <c r="AS89" s="1">
        <v>20</v>
      </c>
      <c r="AT89" s="1">
        <v>3812.82</v>
      </c>
      <c r="AU89" s="1">
        <v>4766.0200000000004</v>
      </c>
      <c r="AV89" s="10">
        <v>762.56400000000008</v>
      </c>
      <c r="AW89" s="11">
        <v>4003.4560000000001</v>
      </c>
      <c r="AX89" s="1" t="s">
        <v>159</v>
      </c>
      <c r="AY89" s="1" t="s">
        <v>159</v>
      </c>
      <c r="AZ89" s="1" t="s">
        <v>159</v>
      </c>
    </row>
    <row r="90" spans="1:52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3480.06</v>
      </c>
      <c r="Q90" s="10">
        <f t="shared" si="7"/>
        <v>313.20500000000004</v>
      </c>
      <c r="R90" s="11">
        <f t="shared" si="8"/>
        <v>3166.855</v>
      </c>
      <c r="S90" s="1" t="str">
        <f t="shared" si="9"/>
        <v>Low</v>
      </c>
      <c r="T90" s="1" t="str" cm="1">
        <f t="array" ref="T90">_xlfn.IFS(L90&gt;5,"High",L90=5,"mediam",L90&lt;5,"low")</f>
        <v>low</v>
      </c>
      <c r="U90" s="1" t="b">
        <f t="shared" si="10"/>
        <v>0</v>
      </c>
      <c r="AF90" s="5">
        <v>10027</v>
      </c>
      <c r="AG90" s="1">
        <v>1805</v>
      </c>
      <c r="AH90" s="2">
        <v>45286</v>
      </c>
      <c r="AI90" s="2">
        <v>45290</v>
      </c>
      <c r="AJ90" s="1" t="s">
        <v>37</v>
      </c>
      <c r="AK90" s="1" t="s">
        <v>41</v>
      </c>
      <c r="AL90" s="1" t="s">
        <v>24</v>
      </c>
      <c r="AM90" s="1" t="s">
        <v>35</v>
      </c>
      <c r="AN90" s="1" t="s">
        <v>57</v>
      </c>
      <c r="AO90" s="1" t="s">
        <v>58</v>
      </c>
      <c r="AP90" s="1" t="s">
        <v>21</v>
      </c>
      <c r="AQ90" s="1">
        <v>3</v>
      </c>
      <c r="AR90" s="1">
        <v>3599.15</v>
      </c>
      <c r="AS90" s="1">
        <v>5</v>
      </c>
      <c r="AT90" s="1">
        <v>10257.58</v>
      </c>
      <c r="AU90" s="1">
        <v>10797.45</v>
      </c>
      <c r="AV90" s="10">
        <v>512.87900000000002</v>
      </c>
      <c r="AW90" s="11">
        <v>10284.571</v>
      </c>
      <c r="AX90" s="1" t="s">
        <v>161</v>
      </c>
      <c r="AY90" s="1" t="s">
        <v>162</v>
      </c>
      <c r="AZ90" s="1" t="b">
        <v>0</v>
      </c>
    </row>
    <row r="91" spans="1:52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6776.2</v>
      </c>
      <c r="Q91" s="10">
        <f t="shared" si="7"/>
        <v>321.86950000000002</v>
      </c>
      <c r="R91" s="11">
        <f t="shared" si="8"/>
        <v>6454.3305</v>
      </c>
      <c r="S91" s="1" t="str">
        <f t="shared" si="9"/>
        <v>High</v>
      </c>
      <c r="T91" s="1" t="str" cm="1">
        <f t="array" ref="T91">_xlfn.IFS(L91&gt;5,"High",L91=5,"mediam",L91&lt;5,"low")</f>
        <v>mediam</v>
      </c>
      <c r="U91" s="1" t="b">
        <f t="shared" si="10"/>
        <v>0</v>
      </c>
      <c r="AF91" s="5">
        <v>10030</v>
      </c>
      <c r="AG91" s="1">
        <v>1955</v>
      </c>
      <c r="AH91" s="2">
        <v>45077</v>
      </c>
      <c r="AI91" s="2">
        <v>45082</v>
      </c>
      <c r="AJ91" s="1" t="s">
        <v>46</v>
      </c>
      <c r="AK91" s="1" t="s">
        <v>23</v>
      </c>
      <c r="AL91" s="1" t="s">
        <v>30</v>
      </c>
      <c r="AM91" s="1" t="s">
        <v>35</v>
      </c>
      <c r="AN91" s="1" t="s">
        <v>26</v>
      </c>
      <c r="AO91" s="1" t="s">
        <v>61</v>
      </c>
      <c r="AP91" s="1" t="s">
        <v>45</v>
      </c>
      <c r="AQ91" s="1">
        <v>1</v>
      </c>
      <c r="AR91" s="1">
        <v>349.38</v>
      </c>
      <c r="AS91" s="1">
        <v>10</v>
      </c>
      <c r="AT91" s="1">
        <v>314.44</v>
      </c>
      <c r="AU91" s="1">
        <v>349.38</v>
      </c>
      <c r="AV91" s="10">
        <v>31.444000000000003</v>
      </c>
      <c r="AW91" s="11">
        <v>317.93599999999998</v>
      </c>
      <c r="AX91" s="1" t="s">
        <v>161</v>
      </c>
      <c r="AY91" s="1" t="s">
        <v>162</v>
      </c>
      <c r="AZ91" s="1" t="b">
        <v>0</v>
      </c>
    </row>
    <row r="92" spans="1:52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16852.599999999999</v>
      </c>
      <c r="Q92" s="10">
        <f t="shared" si="7"/>
        <v>1516.7340000000002</v>
      </c>
      <c r="R92" s="11">
        <f t="shared" si="8"/>
        <v>15335.865999999998</v>
      </c>
      <c r="S92" s="1" t="str">
        <f t="shared" si="9"/>
        <v>High</v>
      </c>
      <c r="T92" s="1" t="str" cm="1">
        <f t="array" ref="T92">_xlfn.IFS(L92&gt;5,"High",L92=5,"mediam",L92&lt;5,"low")</f>
        <v>mediam</v>
      </c>
      <c r="U92" s="1" t="b">
        <f t="shared" si="10"/>
        <v>0</v>
      </c>
      <c r="AF92" s="5">
        <v>10040</v>
      </c>
      <c r="AG92" s="1">
        <v>1474</v>
      </c>
      <c r="AH92" s="2">
        <v>45274</v>
      </c>
      <c r="AI92" s="2">
        <v>45277</v>
      </c>
      <c r="AJ92" s="1" t="s">
        <v>15</v>
      </c>
      <c r="AK92" s="1" t="s">
        <v>16</v>
      </c>
      <c r="AL92" s="1" t="s">
        <v>30</v>
      </c>
      <c r="AM92" s="1" t="s">
        <v>35</v>
      </c>
      <c r="AN92" s="1" t="s">
        <v>26</v>
      </c>
      <c r="AO92" s="1" t="s">
        <v>27</v>
      </c>
      <c r="AP92" s="1" t="s">
        <v>28</v>
      </c>
      <c r="AQ92" s="1">
        <v>6</v>
      </c>
      <c r="AR92" s="1">
        <v>3083.25</v>
      </c>
      <c r="AS92" s="1">
        <v>10</v>
      </c>
      <c r="AT92" s="1">
        <v>16649.55</v>
      </c>
      <c r="AU92" s="1">
        <v>18499.5</v>
      </c>
      <c r="AV92" s="10">
        <v>1664.9549999999999</v>
      </c>
      <c r="AW92" s="11">
        <v>16834.544999999998</v>
      </c>
      <c r="AX92" s="1" t="s">
        <v>159</v>
      </c>
      <c r="AY92" s="1" t="s">
        <v>159</v>
      </c>
      <c r="AZ92" s="1" t="s">
        <v>159</v>
      </c>
    </row>
    <row r="93" spans="1:52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1029.99</v>
      </c>
      <c r="Q93" s="10">
        <f t="shared" si="7"/>
        <v>48.924500000000002</v>
      </c>
      <c r="R93" s="11">
        <f t="shared" si="8"/>
        <v>981.06550000000004</v>
      </c>
      <c r="S93" s="1" t="str">
        <f t="shared" si="9"/>
        <v>Low</v>
      </c>
      <c r="T93" s="1" t="str" cm="1">
        <f t="array" ref="T93">_xlfn.IFS(L93&gt;5,"High",L93=5,"mediam",L93&lt;5,"low")</f>
        <v>low</v>
      </c>
      <c r="U93" s="1" t="b">
        <f t="shared" si="10"/>
        <v>0</v>
      </c>
      <c r="AF93" s="5">
        <v>10042</v>
      </c>
      <c r="AG93" s="1">
        <v>1510</v>
      </c>
      <c r="AH93" s="2">
        <v>45195</v>
      </c>
      <c r="AI93" s="2">
        <v>45204</v>
      </c>
      <c r="AJ93" s="1" t="s">
        <v>15</v>
      </c>
      <c r="AK93" s="1" t="s">
        <v>54</v>
      </c>
      <c r="AL93" s="1" t="s">
        <v>24</v>
      </c>
      <c r="AM93" s="1" t="s">
        <v>35</v>
      </c>
      <c r="AN93" s="1" t="s">
        <v>26</v>
      </c>
      <c r="AO93" s="1" t="s">
        <v>27</v>
      </c>
      <c r="AP93" s="1" t="s">
        <v>33</v>
      </c>
      <c r="AQ93" s="1">
        <v>4</v>
      </c>
      <c r="AR93" s="1">
        <v>1211.67</v>
      </c>
      <c r="AS93" s="1">
        <v>20</v>
      </c>
      <c r="AT93" s="1">
        <v>3877.34</v>
      </c>
      <c r="AU93" s="1">
        <v>4846.68</v>
      </c>
      <c r="AV93" s="10">
        <v>775.46800000000007</v>
      </c>
      <c r="AW93" s="11">
        <v>4071.2120000000004</v>
      </c>
      <c r="AX93" s="1" t="s">
        <v>161</v>
      </c>
      <c r="AY93" s="1" t="s">
        <v>162</v>
      </c>
      <c r="AZ93" s="1" t="b">
        <v>0</v>
      </c>
    </row>
    <row r="94" spans="1:52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17448.84</v>
      </c>
      <c r="Q94" s="10">
        <f t="shared" si="7"/>
        <v>2791.8140000000003</v>
      </c>
      <c r="R94" s="11">
        <f t="shared" si="8"/>
        <v>14657.026</v>
      </c>
      <c r="S94" s="1" t="str">
        <f t="shared" si="9"/>
        <v>High</v>
      </c>
      <c r="T94" s="1" t="str" cm="1">
        <f t="array" ref="T94">_xlfn.IFS(L94&gt;5,"High",L94=5,"mediam",L94&lt;5,"low")</f>
        <v>High</v>
      </c>
      <c r="U94" s="1" t="str">
        <f t="shared" si="10"/>
        <v>High</v>
      </c>
      <c r="AF94" s="5">
        <v>10043</v>
      </c>
      <c r="AG94" s="1">
        <v>1681</v>
      </c>
      <c r="AH94" s="2">
        <v>45184</v>
      </c>
      <c r="AI94" s="2">
        <v>45188</v>
      </c>
      <c r="AJ94" s="1" t="s">
        <v>37</v>
      </c>
      <c r="AK94" s="1" t="s">
        <v>23</v>
      </c>
      <c r="AL94" s="1" t="s">
        <v>24</v>
      </c>
      <c r="AM94" s="1" t="s">
        <v>35</v>
      </c>
      <c r="AN94" s="1" t="s">
        <v>31</v>
      </c>
      <c r="AO94" s="1" t="s">
        <v>48</v>
      </c>
      <c r="AP94" s="1" t="s">
        <v>45</v>
      </c>
      <c r="AQ94" s="1">
        <v>5</v>
      </c>
      <c r="AR94" s="1">
        <v>936.35</v>
      </c>
      <c r="AS94" s="1">
        <v>15</v>
      </c>
      <c r="AT94" s="1">
        <v>3979.49</v>
      </c>
      <c r="AU94" s="1">
        <v>4681.75</v>
      </c>
      <c r="AV94" s="10">
        <v>596.92349999999999</v>
      </c>
      <c r="AW94" s="11">
        <v>4084.8265000000001</v>
      </c>
      <c r="AX94" s="1" t="s">
        <v>159</v>
      </c>
      <c r="AY94" s="1" t="s">
        <v>160</v>
      </c>
      <c r="AZ94" s="1" t="b">
        <v>0</v>
      </c>
    </row>
    <row r="95" spans="1:52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6446.08</v>
      </c>
      <c r="Q95" s="10">
        <f t="shared" si="7"/>
        <v>580.14700000000005</v>
      </c>
      <c r="R95" s="11">
        <f t="shared" si="8"/>
        <v>5865.933</v>
      </c>
      <c r="S95" s="1" t="str">
        <f t="shared" si="9"/>
        <v>Low</v>
      </c>
      <c r="T95" s="1" t="str" cm="1">
        <f t="array" ref="T95">_xlfn.IFS(L95&gt;5,"High",L95=5,"mediam",L95&lt;5,"low")</f>
        <v>low</v>
      </c>
      <c r="U95" s="1" t="b">
        <f t="shared" si="10"/>
        <v>0</v>
      </c>
      <c r="AF95" s="5">
        <v>10051</v>
      </c>
      <c r="AG95" s="1">
        <v>1957</v>
      </c>
      <c r="AH95" s="2">
        <v>45204</v>
      </c>
      <c r="AI95" s="2">
        <v>45211</v>
      </c>
      <c r="AJ95" s="1" t="s">
        <v>40</v>
      </c>
      <c r="AK95" s="1" t="s">
        <v>23</v>
      </c>
      <c r="AL95" s="1" t="s">
        <v>17</v>
      </c>
      <c r="AM95" s="1" t="s">
        <v>35</v>
      </c>
      <c r="AN95" s="1" t="s">
        <v>19</v>
      </c>
      <c r="AO95" s="1" t="s">
        <v>66</v>
      </c>
      <c r="AP95" s="1" t="s">
        <v>47</v>
      </c>
      <c r="AQ95" s="1">
        <v>5</v>
      </c>
      <c r="AR95" s="1">
        <v>1111.6199999999999</v>
      </c>
      <c r="AS95" s="1">
        <v>15</v>
      </c>
      <c r="AT95" s="1">
        <v>4724.3900000000003</v>
      </c>
      <c r="AU95" s="1">
        <v>5558.0999999999995</v>
      </c>
      <c r="AV95" s="10">
        <v>708.6585</v>
      </c>
      <c r="AW95" s="11">
        <v>4849.441499999999</v>
      </c>
      <c r="AX95" s="1" t="s">
        <v>159</v>
      </c>
      <c r="AY95" s="1" t="s">
        <v>160</v>
      </c>
      <c r="AZ95" s="1" t="b">
        <v>0</v>
      </c>
    </row>
    <row r="96" spans="1:52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4106.58</v>
      </c>
      <c r="Q96" s="10">
        <f t="shared" si="7"/>
        <v>369.59200000000004</v>
      </c>
      <c r="R96" s="11">
        <f t="shared" si="8"/>
        <v>3736.9879999999998</v>
      </c>
      <c r="S96" s="1" t="str">
        <f t="shared" si="9"/>
        <v>Low</v>
      </c>
      <c r="T96" s="1" t="str" cm="1">
        <f t="array" ref="T96">_xlfn.IFS(L96&gt;5,"High",L96=5,"mediam",L96&lt;5,"low")</f>
        <v>low</v>
      </c>
      <c r="U96" s="1" t="b">
        <f t="shared" si="10"/>
        <v>0</v>
      </c>
      <c r="AF96" s="5">
        <v>10052</v>
      </c>
      <c r="AG96" s="1">
        <v>1562</v>
      </c>
      <c r="AH96" s="2">
        <v>45097</v>
      </c>
      <c r="AI96" s="2">
        <v>45098</v>
      </c>
      <c r="AJ96" s="1" t="s">
        <v>22</v>
      </c>
      <c r="AK96" s="1" t="s">
        <v>54</v>
      </c>
      <c r="AL96" s="1" t="s">
        <v>24</v>
      </c>
      <c r="AM96" s="1" t="s">
        <v>35</v>
      </c>
      <c r="AN96" s="1" t="s">
        <v>57</v>
      </c>
      <c r="AO96" s="1" t="s">
        <v>62</v>
      </c>
      <c r="AP96" s="1" t="s">
        <v>33</v>
      </c>
      <c r="AQ96" s="1">
        <v>3</v>
      </c>
      <c r="AR96" s="1">
        <v>2668.52</v>
      </c>
      <c r="AS96" s="1">
        <v>5</v>
      </c>
      <c r="AT96" s="1">
        <v>7605.28</v>
      </c>
      <c r="AU96" s="1">
        <v>8005.5599999999995</v>
      </c>
      <c r="AV96" s="10">
        <v>380.26400000000001</v>
      </c>
      <c r="AW96" s="11">
        <v>7625.2959999999994</v>
      </c>
      <c r="AX96" s="1" t="s">
        <v>161</v>
      </c>
      <c r="AY96" s="1" t="s">
        <v>162</v>
      </c>
      <c r="AZ96" s="1" t="b">
        <v>0</v>
      </c>
    </row>
    <row r="97" spans="1:52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2499.88</v>
      </c>
      <c r="Q97" s="10">
        <f t="shared" si="7"/>
        <v>224.989</v>
      </c>
      <c r="R97" s="11">
        <f t="shared" si="8"/>
        <v>2274.8910000000001</v>
      </c>
      <c r="S97" s="1" t="str">
        <f t="shared" si="9"/>
        <v>Low</v>
      </c>
      <c r="T97" s="1" t="str" cm="1">
        <f t="array" ref="T97">_xlfn.IFS(L97&gt;5,"High",L97=5,"mediam",L97&lt;5,"low")</f>
        <v>low</v>
      </c>
      <c r="U97" s="1" t="b">
        <f t="shared" si="10"/>
        <v>0</v>
      </c>
      <c r="AF97" s="5">
        <v>10053</v>
      </c>
      <c r="AG97" s="1">
        <v>1875</v>
      </c>
      <c r="AH97" s="2">
        <v>45115</v>
      </c>
      <c r="AI97" s="2">
        <v>45118</v>
      </c>
      <c r="AJ97" s="1" t="s">
        <v>46</v>
      </c>
      <c r="AK97" s="1" t="s">
        <v>16</v>
      </c>
      <c r="AL97" s="1" t="s">
        <v>17</v>
      </c>
      <c r="AM97" s="1" t="s">
        <v>35</v>
      </c>
      <c r="AN97" s="1" t="s">
        <v>52</v>
      </c>
      <c r="AO97" s="1" t="s">
        <v>64</v>
      </c>
      <c r="AP97" s="1" t="s">
        <v>21</v>
      </c>
      <c r="AQ97" s="1">
        <v>5</v>
      </c>
      <c r="AR97" s="1">
        <v>2534.0700000000002</v>
      </c>
      <c r="AS97" s="1">
        <v>10</v>
      </c>
      <c r="AT97" s="1">
        <v>11403.31</v>
      </c>
      <c r="AU97" s="1">
        <v>12670.35</v>
      </c>
      <c r="AV97" s="10">
        <v>1140.3309999999999</v>
      </c>
      <c r="AW97" s="11">
        <v>11530.019</v>
      </c>
      <c r="AX97" s="1" t="s">
        <v>159</v>
      </c>
      <c r="AY97" s="1" t="s">
        <v>160</v>
      </c>
      <c r="AZ97" s="1" t="b">
        <v>0</v>
      </c>
    </row>
    <row r="98" spans="1:52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4516.1100000000006</v>
      </c>
      <c r="Q98" s="10">
        <f t="shared" si="7"/>
        <v>214.51500000000001</v>
      </c>
      <c r="R98" s="11">
        <f t="shared" si="8"/>
        <v>4301.5950000000003</v>
      </c>
      <c r="S98" s="1" t="str">
        <f t="shared" si="9"/>
        <v>High</v>
      </c>
      <c r="T98" s="1" t="str" cm="1">
        <f t="array" ref="T98">_xlfn.IFS(L98&gt;5,"High",L98=5,"mediam",L98&lt;5,"low")</f>
        <v>High</v>
      </c>
      <c r="U98" s="1" t="str">
        <f t="shared" si="10"/>
        <v>High</v>
      </c>
      <c r="AF98" s="5">
        <v>10062</v>
      </c>
      <c r="AG98" s="1">
        <v>1020</v>
      </c>
      <c r="AH98" s="2">
        <v>45221</v>
      </c>
      <c r="AI98" s="2">
        <v>45226</v>
      </c>
      <c r="AJ98" s="1" t="s">
        <v>22</v>
      </c>
      <c r="AK98" s="1" t="s">
        <v>29</v>
      </c>
      <c r="AL98" s="1" t="s">
        <v>30</v>
      </c>
      <c r="AM98" s="1" t="s">
        <v>35</v>
      </c>
      <c r="AN98" s="1" t="s">
        <v>52</v>
      </c>
      <c r="AO98" s="1" t="s">
        <v>56</v>
      </c>
      <c r="AP98" s="1" t="s">
        <v>21</v>
      </c>
      <c r="AQ98" s="1">
        <v>8</v>
      </c>
      <c r="AR98" s="1">
        <v>2819.34</v>
      </c>
      <c r="AS98" s="1">
        <v>5</v>
      </c>
      <c r="AT98" s="1">
        <v>21426.98</v>
      </c>
      <c r="AU98" s="1">
        <v>22554.720000000001</v>
      </c>
      <c r="AV98" s="10">
        <v>1071.3489999999999</v>
      </c>
      <c r="AW98" s="11">
        <v>21483.371000000003</v>
      </c>
      <c r="AX98" s="1" t="s">
        <v>159</v>
      </c>
      <c r="AY98" s="1" t="s">
        <v>159</v>
      </c>
      <c r="AZ98" s="1" t="s">
        <v>159</v>
      </c>
    </row>
    <row r="99" spans="1:52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5448.32</v>
      </c>
      <c r="Q99" s="10">
        <f t="shared" si="7"/>
        <v>694.66049999999996</v>
      </c>
      <c r="R99" s="11">
        <f t="shared" si="8"/>
        <v>4753.6594999999998</v>
      </c>
      <c r="S99" s="1" t="str">
        <f t="shared" si="9"/>
        <v>Low</v>
      </c>
      <c r="T99" s="1" t="str" cm="1">
        <f t="array" ref="T99">_xlfn.IFS(L99&gt;5,"High",L99=5,"mediam",L99&lt;5,"low")</f>
        <v>low</v>
      </c>
      <c r="U99" s="1" t="b">
        <f t="shared" si="10"/>
        <v>0</v>
      </c>
      <c r="AF99" s="5">
        <v>10066</v>
      </c>
      <c r="AG99" s="1">
        <v>1387</v>
      </c>
      <c r="AH99" s="2">
        <v>45155</v>
      </c>
      <c r="AI99" s="2">
        <v>45158</v>
      </c>
      <c r="AJ99" s="1" t="s">
        <v>15</v>
      </c>
      <c r="AK99" s="1" t="s">
        <v>23</v>
      </c>
      <c r="AL99" s="1" t="s">
        <v>17</v>
      </c>
      <c r="AM99" s="1" t="s">
        <v>35</v>
      </c>
      <c r="AN99" s="1" t="s">
        <v>57</v>
      </c>
      <c r="AO99" s="1" t="s">
        <v>67</v>
      </c>
      <c r="AP99" s="1" t="s">
        <v>45</v>
      </c>
      <c r="AQ99" s="1">
        <v>8</v>
      </c>
      <c r="AR99" s="1">
        <v>3769.71</v>
      </c>
      <c r="AS99" s="1">
        <v>5</v>
      </c>
      <c r="AT99" s="1">
        <v>28649.8</v>
      </c>
      <c r="AU99" s="1">
        <v>30157.68</v>
      </c>
      <c r="AV99" s="10">
        <v>1432.49</v>
      </c>
      <c r="AW99" s="11">
        <v>28725.19</v>
      </c>
      <c r="AX99" s="1" t="s">
        <v>159</v>
      </c>
      <c r="AY99" s="1" t="s">
        <v>159</v>
      </c>
      <c r="AZ99" s="1" t="s">
        <v>159</v>
      </c>
    </row>
    <row r="100" spans="1:52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947.25</v>
      </c>
      <c r="Q100" s="10">
        <f t="shared" si="7"/>
        <v>151.56</v>
      </c>
      <c r="R100" s="11">
        <f t="shared" si="8"/>
        <v>795.69</v>
      </c>
      <c r="S100" s="1" t="str">
        <f t="shared" si="9"/>
        <v>Low</v>
      </c>
      <c r="T100" s="1" t="str" cm="1">
        <f t="array" ref="T100">_xlfn.IFS(L100&gt;5,"High",L100=5,"mediam",L100&lt;5,"low")</f>
        <v>low</v>
      </c>
      <c r="U100" s="1" t="b">
        <f t="shared" si="10"/>
        <v>0</v>
      </c>
      <c r="AF100" s="5">
        <v>10070</v>
      </c>
      <c r="AG100" s="1">
        <v>1241</v>
      </c>
      <c r="AH100" s="2">
        <v>45112</v>
      </c>
      <c r="AI100" s="2">
        <v>45113</v>
      </c>
      <c r="AJ100" s="1" t="s">
        <v>46</v>
      </c>
      <c r="AK100" s="1" t="s">
        <v>41</v>
      </c>
      <c r="AL100" s="1" t="s">
        <v>17</v>
      </c>
      <c r="AM100" s="1" t="s">
        <v>35</v>
      </c>
      <c r="AN100" s="1" t="s">
        <v>31</v>
      </c>
      <c r="AO100" s="1" t="s">
        <v>39</v>
      </c>
      <c r="AP100" s="1" t="s">
        <v>33</v>
      </c>
      <c r="AQ100" s="1">
        <v>4</v>
      </c>
      <c r="AR100" s="1">
        <v>3612.15</v>
      </c>
      <c r="AS100" s="1">
        <v>20</v>
      </c>
      <c r="AT100" s="1">
        <v>11558.88</v>
      </c>
      <c r="AU100" s="1">
        <v>14448.6</v>
      </c>
      <c r="AV100" s="10">
        <v>2311.7759999999998</v>
      </c>
      <c r="AW100" s="11">
        <v>12136.824000000001</v>
      </c>
      <c r="AX100" s="1" t="s">
        <v>161</v>
      </c>
      <c r="AY100" s="1" t="s">
        <v>162</v>
      </c>
      <c r="AZ100" s="1" t="b">
        <v>0</v>
      </c>
    </row>
    <row r="101" spans="1:52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22096.97</v>
      </c>
      <c r="Q101" s="10">
        <f t="shared" si="7"/>
        <v>1988.7270000000001</v>
      </c>
      <c r="R101" s="11">
        <f t="shared" si="8"/>
        <v>20108.243000000002</v>
      </c>
      <c r="S101" s="1" t="str">
        <f t="shared" si="9"/>
        <v>High</v>
      </c>
      <c r="T101" s="1" t="str" cm="1">
        <f t="array" ref="T101">_xlfn.IFS(L101&gt;5,"High",L101=5,"mediam",L101&lt;5,"low")</f>
        <v>High</v>
      </c>
      <c r="U101" s="1" t="str">
        <f t="shared" si="10"/>
        <v>High</v>
      </c>
      <c r="AF101" s="5">
        <v>10074</v>
      </c>
      <c r="AG101" s="1">
        <v>1897</v>
      </c>
      <c r="AH101" s="2">
        <v>45290</v>
      </c>
      <c r="AI101" s="2">
        <v>45296</v>
      </c>
      <c r="AJ101" s="1" t="s">
        <v>16</v>
      </c>
      <c r="AK101" s="1" t="s">
        <v>54</v>
      </c>
      <c r="AL101" s="1" t="s">
        <v>30</v>
      </c>
      <c r="AM101" s="1" t="s">
        <v>35</v>
      </c>
      <c r="AN101" s="1" t="s">
        <v>19</v>
      </c>
      <c r="AO101" s="1" t="s">
        <v>43</v>
      </c>
      <c r="AP101" s="1" t="s">
        <v>33</v>
      </c>
      <c r="AQ101" s="1">
        <v>3</v>
      </c>
      <c r="AR101" s="1">
        <v>2196.89</v>
      </c>
      <c r="AS101" s="1">
        <v>0</v>
      </c>
      <c r="AT101" s="1">
        <v>6590.67</v>
      </c>
      <c r="AU101" s="1">
        <v>6590.67</v>
      </c>
      <c r="AV101" s="10">
        <v>0</v>
      </c>
      <c r="AW101" s="11">
        <v>6590.67</v>
      </c>
      <c r="AX101" s="1" t="s">
        <v>161</v>
      </c>
      <c r="AY101" s="1" t="s">
        <v>162</v>
      </c>
      <c r="AZ101" s="1" t="b">
        <v>0</v>
      </c>
    </row>
    <row r="102" spans="1:52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13465.44</v>
      </c>
      <c r="Q102" s="10">
        <f t="shared" si="7"/>
        <v>1716.8430000000001</v>
      </c>
      <c r="R102" s="11">
        <f t="shared" si="8"/>
        <v>11748.597</v>
      </c>
      <c r="S102" s="1" t="str">
        <f t="shared" si="9"/>
        <v>High</v>
      </c>
      <c r="T102" s="1" t="str" cm="1">
        <f t="array" ref="T102">_xlfn.IFS(L102&gt;5,"High",L102=5,"mediam",L102&lt;5,"low")</f>
        <v>High</v>
      </c>
      <c r="U102" s="1" t="str">
        <f t="shared" si="10"/>
        <v>High</v>
      </c>
      <c r="AF102" s="5">
        <v>10076</v>
      </c>
      <c r="AG102" s="1">
        <v>1091</v>
      </c>
      <c r="AH102" s="2">
        <v>44929</v>
      </c>
      <c r="AI102" s="2">
        <v>44932</v>
      </c>
      <c r="AJ102" s="1" t="s">
        <v>22</v>
      </c>
      <c r="AK102" s="1" t="s">
        <v>16</v>
      </c>
      <c r="AL102" s="1" t="s">
        <v>30</v>
      </c>
      <c r="AM102" s="1" t="s">
        <v>35</v>
      </c>
      <c r="AN102" s="1" t="s">
        <v>31</v>
      </c>
      <c r="AO102" s="1" t="s">
        <v>39</v>
      </c>
      <c r="AP102" s="1" t="s">
        <v>33</v>
      </c>
      <c r="AQ102" s="1">
        <v>5</v>
      </c>
      <c r="AR102" s="1">
        <v>1220.68</v>
      </c>
      <c r="AS102" s="1">
        <v>20</v>
      </c>
      <c r="AT102" s="1">
        <v>4882.72</v>
      </c>
      <c r="AU102" s="1">
        <v>6103.4000000000005</v>
      </c>
      <c r="AV102" s="10">
        <v>976.5440000000001</v>
      </c>
      <c r="AW102" s="11">
        <v>5126.8560000000007</v>
      </c>
      <c r="AX102" s="1" t="s">
        <v>159</v>
      </c>
      <c r="AY102" s="1" t="s">
        <v>160</v>
      </c>
      <c r="AZ102" s="1" t="b">
        <v>0</v>
      </c>
    </row>
    <row r="103" spans="1:52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3718.06</v>
      </c>
      <c r="Q103" s="10">
        <f t="shared" si="7"/>
        <v>594.89</v>
      </c>
      <c r="R103" s="11">
        <f t="shared" si="8"/>
        <v>3123.17</v>
      </c>
      <c r="S103" s="1" t="str">
        <f t="shared" si="9"/>
        <v>Low</v>
      </c>
      <c r="T103" s="1" t="str" cm="1">
        <f t="array" ref="T103">_xlfn.IFS(L103&gt;5,"High",L103=5,"mediam",L103&lt;5,"low")</f>
        <v>low</v>
      </c>
      <c r="U103" s="1" t="b">
        <f t="shared" si="10"/>
        <v>0</v>
      </c>
      <c r="AF103" s="5">
        <v>10078</v>
      </c>
      <c r="AG103" s="1">
        <v>1955</v>
      </c>
      <c r="AH103" s="2">
        <v>45150</v>
      </c>
      <c r="AI103" s="2">
        <v>45156</v>
      </c>
      <c r="AJ103" s="1" t="s">
        <v>40</v>
      </c>
      <c r="AK103" s="1" t="s">
        <v>23</v>
      </c>
      <c r="AL103" s="1" t="s">
        <v>24</v>
      </c>
      <c r="AM103" s="1" t="s">
        <v>35</v>
      </c>
      <c r="AN103" s="1" t="s">
        <v>52</v>
      </c>
      <c r="AO103" s="1" t="s">
        <v>60</v>
      </c>
      <c r="AP103" s="1" t="s">
        <v>28</v>
      </c>
      <c r="AQ103" s="1">
        <v>6</v>
      </c>
      <c r="AR103" s="1">
        <v>1258.82</v>
      </c>
      <c r="AS103" s="1">
        <v>15</v>
      </c>
      <c r="AT103" s="1">
        <v>6419.98</v>
      </c>
      <c r="AU103" s="1">
        <v>7552.92</v>
      </c>
      <c r="AV103" s="10">
        <v>962.99699999999984</v>
      </c>
      <c r="AW103" s="11">
        <v>6589.9230000000007</v>
      </c>
      <c r="AX103" s="1" t="s">
        <v>159</v>
      </c>
      <c r="AY103" s="1" t="s">
        <v>159</v>
      </c>
      <c r="AZ103" s="1" t="s">
        <v>159</v>
      </c>
    </row>
    <row r="104" spans="1:52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25132.38</v>
      </c>
      <c r="Q104" s="10">
        <f t="shared" si="7"/>
        <v>4021.1800000000003</v>
      </c>
      <c r="R104" s="11">
        <f t="shared" si="8"/>
        <v>21111.200000000001</v>
      </c>
      <c r="S104" s="1" t="str">
        <f t="shared" si="9"/>
        <v>High</v>
      </c>
      <c r="T104" s="1" t="str" cm="1">
        <f t="array" ref="T104">_xlfn.IFS(L104&gt;5,"High",L104=5,"mediam",L104&lt;5,"low")</f>
        <v>High</v>
      </c>
      <c r="U104" s="1" t="str">
        <f t="shared" si="10"/>
        <v>High</v>
      </c>
      <c r="AF104" s="5">
        <v>10079</v>
      </c>
      <c r="AG104" s="1">
        <v>1454</v>
      </c>
      <c r="AH104" s="2">
        <v>45246</v>
      </c>
      <c r="AI104" s="2">
        <v>45254</v>
      </c>
      <c r="AJ104" s="1" t="s">
        <v>34</v>
      </c>
      <c r="AK104" s="1" t="s">
        <v>16</v>
      </c>
      <c r="AL104" s="1" t="s">
        <v>30</v>
      </c>
      <c r="AM104" s="1" t="s">
        <v>35</v>
      </c>
      <c r="AN104" s="1" t="s">
        <v>31</v>
      </c>
      <c r="AO104" s="1" t="s">
        <v>32</v>
      </c>
      <c r="AP104" s="1" t="s">
        <v>33</v>
      </c>
      <c r="AQ104" s="1">
        <v>5</v>
      </c>
      <c r="AR104" s="1">
        <v>2291.86</v>
      </c>
      <c r="AS104" s="1">
        <v>15</v>
      </c>
      <c r="AT104" s="1">
        <v>9740.4</v>
      </c>
      <c r="AU104" s="1">
        <v>11459.300000000001</v>
      </c>
      <c r="AV104" s="10">
        <v>1461.06</v>
      </c>
      <c r="AW104" s="11">
        <v>9998.2400000000016</v>
      </c>
      <c r="AX104" s="1" t="s">
        <v>159</v>
      </c>
      <c r="AY104" s="1" t="s">
        <v>160</v>
      </c>
      <c r="AZ104" s="1" t="b">
        <v>0</v>
      </c>
    </row>
    <row r="105" spans="1:52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13417.550000000001</v>
      </c>
      <c r="Q105" s="10">
        <f t="shared" si="7"/>
        <v>1207.5790000000002</v>
      </c>
      <c r="R105" s="11">
        <f t="shared" si="8"/>
        <v>12209.971000000001</v>
      </c>
      <c r="S105" s="1" t="str">
        <f t="shared" si="9"/>
        <v>High</v>
      </c>
      <c r="T105" s="1" t="str" cm="1">
        <f t="array" ref="T105">_xlfn.IFS(L105&gt;5,"High",L105=5,"mediam",L105&lt;5,"low")</f>
        <v>mediam</v>
      </c>
      <c r="U105" s="1" t="b">
        <f t="shared" si="10"/>
        <v>0</v>
      </c>
      <c r="AF105" s="5">
        <v>10090</v>
      </c>
      <c r="AG105" s="1">
        <v>1387</v>
      </c>
      <c r="AH105" s="2">
        <v>45160</v>
      </c>
      <c r="AI105" s="2">
        <v>45166</v>
      </c>
      <c r="AJ105" s="1" t="s">
        <v>46</v>
      </c>
      <c r="AK105" s="1" t="s">
        <v>54</v>
      </c>
      <c r="AL105" s="1" t="s">
        <v>17</v>
      </c>
      <c r="AM105" s="1" t="s">
        <v>35</v>
      </c>
      <c r="AN105" s="1" t="s">
        <v>26</v>
      </c>
      <c r="AO105" s="1" t="s">
        <v>27</v>
      </c>
      <c r="AP105" s="1" t="s">
        <v>28</v>
      </c>
      <c r="AQ105" s="1">
        <v>5</v>
      </c>
      <c r="AR105" s="1">
        <v>1355.24</v>
      </c>
      <c r="AS105" s="1">
        <v>5</v>
      </c>
      <c r="AT105" s="1">
        <v>6437.39</v>
      </c>
      <c r="AU105" s="1">
        <v>6776.2</v>
      </c>
      <c r="AV105" s="10">
        <v>321.86950000000002</v>
      </c>
      <c r="AW105" s="11">
        <v>6454.3305</v>
      </c>
      <c r="AX105" s="1" t="s">
        <v>159</v>
      </c>
      <c r="AY105" s="1" t="s">
        <v>160</v>
      </c>
      <c r="AZ105" s="1" t="b">
        <v>0</v>
      </c>
    </row>
    <row r="106" spans="1:52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905.15</v>
      </c>
      <c r="Q106" s="10">
        <f t="shared" si="7"/>
        <v>81.463000000000008</v>
      </c>
      <c r="R106" s="11">
        <f t="shared" si="8"/>
        <v>823.68700000000001</v>
      </c>
      <c r="S106" s="1" t="str">
        <f t="shared" si="9"/>
        <v>High</v>
      </c>
      <c r="T106" s="1" t="str" cm="1">
        <f t="array" ref="T106">_xlfn.IFS(L106&gt;5,"High",L106=5,"mediam",L106&lt;5,"low")</f>
        <v>mediam</v>
      </c>
      <c r="U106" s="1" t="b">
        <f t="shared" si="10"/>
        <v>0</v>
      </c>
      <c r="AF106" s="5">
        <v>10105</v>
      </c>
      <c r="AG106" s="1">
        <v>1995</v>
      </c>
      <c r="AH106" s="2">
        <v>45027</v>
      </c>
      <c r="AI106" s="2">
        <v>45029</v>
      </c>
      <c r="AJ106" s="1" t="s">
        <v>46</v>
      </c>
      <c r="AK106" s="1" t="s">
        <v>41</v>
      </c>
      <c r="AL106" s="1" t="s">
        <v>24</v>
      </c>
      <c r="AM106" s="1" t="s">
        <v>35</v>
      </c>
      <c r="AN106" s="1" t="s">
        <v>26</v>
      </c>
      <c r="AO106" s="1" t="s">
        <v>27</v>
      </c>
      <c r="AP106" s="1" t="s">
        <v>21</v>
      </c>
      <c r="AQ106" s="1">
        <v>5</v>
      </c>
      <c r="AR106" s="1">
        <v>181.03</v>
      </c>
      <c r="AS106" s="1">
        <v>10</v>
      </c>
      <c r="AT106" s="1">
        <v>814.63</v>
      </c>
      <c r="AU106" s="1">
        <v>905.15</v>
      </c>
      <c r="AV106" s="10">
        <v>81.463000000000008</v>
      </c>
      <c r="AW106" s="11">
        <v>823.68700000000001</v>
      </c>
      <c r="AX106" s="1" t="s">
        <v>159</v>
      </c>
      <c r="AY106" s="1" t="s">
        <v>160</v>
      </c>
      <c r="AZ106" s="1" t="b">
        <v>0</v>
      </c>
    </row>
    <row r="107" spans="1:52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11343.66</v>
      </c>
      <c r="Q107" s="10">
        <f t="shared" si="7"/>
        <v>538.82399999999996</v>
      </c>
      <c r="R107" s="11">
        <f t="shared" si="8"/>
        <v>10804.835999999999</v>
      </c>
      <c r="S107" s="1" t="str">
        <f t="shared" si="9"/>
        <v>Low</v>
      </c>
      <c r="T107" s="1" t="str" cm="1">
        <f t="array" ref="T107">_xlfn.IFS(L107&gt;5,"High",L107=5,"mediam",L107&lt;5,"low")</f>
        <v>low</v>
      </c>
      <c r="U107" s="1" t="b">
        <f t="shared" si="10"/>
        <v>0</v>
      </c>
      <c r="AF107" s="5">
        <v>10110</v>
      </c>
      <c r="AG107" s="1">
        <v>1455</v>
      </c>
      <c r="AH107" s="2">
        <v>44946</v>
      </c>
      <c r="AI107" s="2">
        <v>44947</v>
      </c>
      <c r="AJ107" s="1" t="s">
        <v>46</v>
      </c>
      <c r="AK107" s="1" t="s">
        <v>16</v>
      </c>
      <c r="AL107" s="1" t="s">
        <v>24</v>
      </c>
      <c r="AM107" s="1" t="s">
        <v>35</v>
      </c>
      <c r="AN107" s="1" t="s">
        <v>52</v>
      </c>
      <c r="AO107" s="1" t="s">
        <v>56</v>
      </c>
      <c r="AP107" s="1" t="s">
        <v>47</v>
      </c>
      <c r="AQ107" s="1">
        <v>6</v>
      </c>
      <c r="AR107" s="1">
        <v>2076.84</v>
      </c>
      <c r="AS107" s="1">
        <v>20</v>
      </c>
      <c r="AT107" s="1">
        <v>9968.83</v>
      </c>
      <c r="AU107" s="1">
        <v>12461.04</v>
      </c>
      <c r="AV107" s="10">
        <v>1993.7660000000001</v>
      </c>
      <c r="AW107" s="11">
        <v>10467.274000000001</v>
      </c>
      <c r="AX107" s="1" t="s">
        <v>159</v>
      </c>
      <c r="AY107" s="1" t="s">
        <v>159</v>
      </c>
      <c r="AZ107" s="1" t="s">
        <v>159</v>
      </c>
    </row>
    <row r="108" spans="1:52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5315.05</v>
      </c>
      <c r="Q108" s="10">
        <f t="shared" si="7"/>
        <v>677.66849999999999</v>
      </c>
      <c r="R108" s="11">
        <f t="shared" si="8"/>
        <v>4637.3815000000004</v>
      </c>
      <c r="S108" s="1" t="str">
        <f t="shared" si="9"/>
        <v>High</v>
      </c>
      <c r="T108" s="1" t="str" cm="1">
        <f t="array" ref="T108">_xlfn.IFS(L108&gt;5,"High",L108=5,"mediam",L108&lt;5,"low")</f>
        <v>mediam</v>
      </c>
      <c r="U108" s="1" t="b">
        <f t="shared" si="10"/>
        <v>0</v>
      </c>
      <c r="AF108" s="5">
        <v>10111</v>
      </c>
      <c r="AG108" s="1">
        <v>1461</v>
      </c>
      <c r="AH108" s="2">
        <v>44950</v>
      </c>
      <c r="AI108" s="2">
        <v>44959</v>
      </c>
      <c r="AJ108" s="1" t="s">
        <v>15</v>
      </c>
      <c r="AK108" s="1" t="s">
        <v>54</v>
      </c>
      <c r="AL108" s="1" t="s">
        <v>30</v>
      </c>
      <c r="AM108" s="1" t="s">
        <v>35</v>
      </c>
      <c r="AN108" s="1" t="s">
        <v>49</v>
      </c>
      <c r="AO108" s="1" t="s">
        <v>68</v>
      </c>
      <c r="AP108" s="1" t="s">
        <v>33</v>
      </c>
      <c r="AQ108" s="1">
        <v>1</v>
      </c>
      <c r="AR108" s="1">
        <v>1820.02</v>
      </c>
      <c r="AS108" s="1">
        <v>10</v>
      </c>
      <c r="AT108" s="1">
        <v>1638.02</v>
      </c>
      <c r="AU108" s="1">
        <v>1820.02</v>
      </c>
      <c r="AV108" s="10">
        <v>163.80200000000002</v>
      </c>
      <c r="AW108" s="11">
        <v>1656.2179999999998</v>
      </c>
      <c r="AX108" s="1" t="s">
        <v>161</v>
      </c>
      <c r="AY108" s="1" t="s">
        <v>162</v>
      </c>
      <c r="AZ108" s="1" t="b">
        <v>0</v>
      </c>
    </row>
    <row r="109" spans="1:52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1128.6199999999999</v>
      </c>
      <c r="Q109" s="10">
        <f t="shared" si="7"/>
        <v>143.89949999999999</v>
      </c>
      <c r="R109" s="11">
        <f t="shared" si="8"/>
        <v>984.7204999999999</v>
      </c>
      <c r="S109" s="1" t="str">
        <f t="shared" si="9"/>
        <v>Low</v>
      </c>
      <c r="T109" s="1" t="str" cm="1">
        <f t="array" ref="T109">_xlfn.IFS(L109&gt;5,"High",L109=5,"mediam",L109&lt;5,"low")</f>
        <v>low</v>
      </c>
      <c r="U109" s="1" t="b">
        <f t="shared" si="10"/>
        <v>0</v>
      </c>
      <c r="AF109" s="5">
        <v>10119</v>
      </c>
      <c r="AG109" s="1">
        <v>1337</v>
      </c>
      <c r="AH109" s="2">
        <v>44964</v>
      </c>
      <c r="AI109" s="2">
        <v>44970</v>
      </c>
      <c r="AJ109" s="1" t="s">
        <v>16</v>
      </c>
      <c r="AK109" s="1" t="s">
        <v>38</v>
      </c>
      <c r="AL109" s="1" t="s">
        <v>17</v>
      </c>
      <c r="AM109" s="1" t="s">
        <v>35</v>
      </c>
      <c r="AN109" s="1" t="s">
        <v>31</v>
      </c>
      <c r="AO109" s="1" t="s">
        <v>32</v>
      </c>
      <c r="AP109" s="1" t="s">
        <v>33</v>
      </c>
      <c r="AQ109" s="1">
        <v>8</v>
      </c>
      <c r="AR109" s="1">
        <v>3339.68</v>
      </c>
      <c r="AS109" s="1">
        <v>0</v>
      </c>
      <c r="AT109" s="1">
        <v>26717.439999999999</v>
      </c>
      <c r="AU109" s="1">
        <v>26717.439999999999</v>
      </c>
      <c r="AV109" s="10">
        <v>0</v>
      </c>
      <c r="AW109" s="11">
        <v>26717.439999999999</v>
      </c>
      <c r="AX109" s="1" t="s">
        <v>159</v>
      </c>
      <c r="AY109" s="1" t="s">
        <v>159</v>
      </c>
      <c r="AZ109" s="1" t="s">
        <v>159</v>
      </c>
    </row>
    <row r="110" spans="1:52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12429.16</v>
      </c>
      <c r="Q110" s="10">
        <f t="shared" si="7"/>
        <v>1118.624</v>
      </c>
      <c r="R110" s="11">
        <f t="shared" si="8"/>
        <v>11310.536</v>
      </c>
      <c r="S110" s="1" t="str">
        <f t="shared" si="9"/>
        <v>Low</v>
      </c>
      <c r="T110" s="1" t="str" cm="1">
        <f t="array" ref="T110">_xlfn.IFS(L110&gt;5,"High",L110=5,"mediam",L110&lt;5,"low")</f>
        <v>low</v>
      </c>
      <c r="U110" s="1" t="b">
        <f t="shared" si="10"/>
        <v>0</v>
      </c>
      <c r="AF110" s="5">
        <v>10121</v>
      </c>
      <c r="AG110" s="1">
        <v>1052</v>
      </c>
      <c r="AH110" s="2">
        <v>45114</v>
      </c>
      <c r="AI110" s="2">
        <v>45115</v>
      </c>
      <c r="AJ110" s="1" t="s">
        <v>16</v>
      </c>
      <c r="AK110" s="1" t="s">
        <v>16</v>
      </c>
      <c r="AL110" s="1" t="s">
        <v>24</v>
      </c>
      <c r="AM110" s="1" t="s">
        <v>35</v>
      </c>
      <c r="AN110" s="1" t="s">
        <v>57</v>
      </c>
      <c r="AO110" s="1" t="s">
        <v>62</v>
      </c>
      <c r="AP110" s="1" t="s">
        <v>33</v>
      </c>
      <c r="AQ110" s="1">
        <v>5</v>
      </c>
      <c r="AR110" s="1">
        <v>2832.28</v>
      </c>
      <c r="AS110" s="1">
        <v>0</v>
      </c>
      <c r="AT110" s="1">
        <v>14161.4</v>
      </c>
      <c r="AU110" s="1">
        <v>14161.400000000001</v>
      </c>
      <c r="AV110" s="10">
        <v>0</v>
      </c>
      <c r="AW110" s="11">
        <v>14161.400000000001</v>
      </c>
      <c r="AX110" s="1" t="s">
        <v>159</v>
      </c>
      <c r="AY110" s="1" t="s">
        <v>160</v>
      </c>
      <c r="AZ110" s="1" t="b">
        <v>0</v>
      </c>
    </row>
    <row r="111" spans="1:52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12461.04</v>
      </c>
      <c r="Q111" s="10">
        <f t="shared" si="7"/>
        <v>1993.7660000000001</v>
      </c>
      <c r="R111" s="11">
        <f t="shared" si="8"/>
        <v>10467.274000000001</v>
      </c>
      <c r="S111" s="1" t="str">
        <f t="shared" si="9"/>
        <v>High</v>
      </c>
      <c r="T111" s="1" t="str" cm="1">
        <f t="array" ref="T111">_xlfn.IFS(L111&gt;5,"High",L111=5,"mediam",L111&lt;5,"low")</f>
        <v>High</v>
      </c>
      <c r="U111" s="1" t="str">
        <f t="shared" si="10"/>
        <v>High</v>
      </c>
      <c r="AF111" s="5">
        <v>10128</v>
      </c>
      <c r="AG111" s="1">
        <v>1492</v>
      </c>
      <c r="AH111" s="2">
        <v>45147</v>
      </c>
      <c r="AI111" s="2">
        <v>45148</v>
      </c>
      <c r="AJ111" s="1" t="s">
        <v>46</v>
      </c>
      <c r="AK111" s="1" t="s">
        <v>38</v>
      </c>
      <c r="AL111" s="1" t="s">
        <v>30</v>
      </c>
      <c r="AM111" s="1" t="s">
        <v>35</v>
      </c>
      <c r="AN111" s="1" t="s">
        <v>26</v>
      </c>
      <c r="AO111" s="1" t="s">
        <v>61</v>
      </c>
      <c r="AP111" s="1" t="s">
        <v>47</v>
      </c>
      <c r="AQ111" s="1">
        <v>6</v>
      </c>
      <c r="AR111" s="1">
        <v>659.76</v>
      </c>
      <c r="AS111" s="1">
        <v>0</v>
      </c>
      <c r="AT111" s="1">
        <v>3958.56</v>
      </c>
      <c r="AU111" s="1">
        <v>3958.56</v>
      </c>
      <c r="AV111" s="10">
        <v>0</v>
      </c>
      <c r="AW111" s="11">
        <v>3958.56</v>
      </c>
      <c r="AX111" s="1" t="s">
        <v>159</v>
      </c>
      <c r="AY111" s="1" t="s">
        <v>159</v>
      </c>
      <c r="AZ111" s="1" t="s">
        <v>159</v>
      </c>
    </row>
    <row r="112" spans="1:52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1820.02</v>
      </c>
      <c r="Q112" s="10">
        <f t="shared" si="7"/>
        <v>163.80200000000002</v>
      </c>
      <c r="R112" s="11">
        <f t="shared" si="8"/>
        <v>1656.2179999999998</v>
      </c>
      <c r="S112" s="1" t="str">
        <f t="shared" si="9"/>
        <v>Low</v>
      </c>
      <c r="T112" s="1" t="str" cm="1">
        <f t="array" ref="T112">_xlfn.IFS(L112&gt;5,"High",L112=5,"mediam",L112&lt;5,"low")</f>
        <v>low</v>
      </c>
      <c r="U112" s="1" t="b">
        <f t="shared" si="10"/>
        <v>0</v>
      </c>
      <c r="AF112" s="5">
        <v>10132</v>
      </c>
      <c r="AG112" s="1">
        <v>1812</v>
      </c>
      <c r="AH112" s="2">
        <v>45155</v>
      </c>
      <c r="AI112" s="2">
        <v>45163</v>
      </c>
      <c r="AJ112" s="1" t="s">
        <v>34</v>
      </c>
      <c r="AK112" s="1" t="s">
        <v>29</v>
      </c>
      <c r="AL112" s="1" t="s">
        <v>24</v>
      </c>
      <c r="AM112" s="1" t="s">
        <v>35</v>
      </c>
      <c r="AN112" s="1" t="s">
        <v>57</v>
      </c>
      <c r="AO112" s="1" t="s">
        <v>58</v>
      </c>
      <c r="AP112" s="1" t="s">
        <v>47</v>
      </c>
      <c r="AQ112" s="1">
        <v>4</v>
      </c>
      <c r="AR112" s="1">
        <v>3153.73</v>
      </c>
      <c r="AS112" s="1">
        <v>0</v>
      </c>
      <c r="AT112" s="1">
        <v>12614.92</v>
      </c>
      <c r="AU112" s="1">
        <v>12614.92</v>
      </c>
      <c r="AV112" s="10">
        <v>0</v>
      </c>
      <c r="AW112" s="11">
        <v>12614.92</v>
      </c>
      <c r="AX112" s="1" t="s">
        <v>161</v>
      </c>
      <c r="AY112" s="1" t="s">
        <v>162</v>
      </c>
      <c r="AZ112" s="1" t="b">
        <v>0</v>
      </c>
    </row>
    <row r="113" spans="1:52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4442.3599999999997</v>
      </c>
      <c r="Q113" s="10">
        <f t="shared" si="7"/>
        <v>710.77800000000002</v>
      </c>
      <c r="R113" s="11">
        <f t="shared" si="8"/>
        <v>3731.5819999999994</v>
      </c>
      <c r="S113" s="1" t="str">
        <f t="shared" si="9"/>
        <v>Low</v>
      </c>
      <c r="T113" s="1" t="str" cm="1">
        <f t="array" ref="T113">_xlfn.IFS(L113&gt;5,"High",L113=5,"mediam",L113&lt;5,"low")</f>
        <v>low</v>
      </c>
      <c r="U113" s="1" t="b">
        <f t="shared" si="10"/>
        <v>0</v>
      </c>
      <c r="AF113" s="5">
        <v>10134</v>
      </c>
      <c r="AG113" s="1">
        <v>1856</v>
      </c>
      <c r="AH113" s="2">
        <v>45112</v>
      </c>
      <c r="AI113" s="2">
        <v>45113</v>
      </c>
      <c r="AJ113" s="1" t="s">
        <v>46</v>
      </c>
      <c r="AK113" s="1" t="s">
        <v>41</v>
      </c>
      <c r="AL113" s="1" t="s">
        <v>17</v>
      </c>
      <c r="AM113" s="1" t="s">
        <v>35</v>
      </c>
      <c r="AN113" s="1" t="s">
        <v>31</v>
      </c>
      <c r="AO113" s="1" t="s">
        <v>65</v>
      </c>
      <c r="AP113" s="1" t="s">
        <v>33</v>
      </c>
      <c r="AQ113" s="1">
        <v>8</v>
      </c>
      <c r="AR113" s="1">
        <v>885.86</v>
      </c>
      <c r="AS113" s="1">
        <v>15</v>
      </c>
      <c r="AT113" s="1">
        <v>6023.85</v>
      </c>
      <c r="AU113" s="1">
        <v>7086.88</v>
      </c>
      <c r="AV113" s="10">
        <v>903.57749999999999</v>
      </c>
      <c r="AW113" s="11">
        <v>6183.3024999999998</v>
      </c>
      <c r="AX113" s="1" t="s">
        <v>159</v>
      </c>
      <c r="AY113" s="1" t="s">
        <v>159</v>
      </c>
      <c r="AZ113" s="1" t="s">
        <v>159</v>
      </c>
    </row>
    <row r="114" spans="1:52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13546.619999999999</v>
      </c>
      <c r="Q114" s="10">
        <f t="shared" si="7"/>
        <v>2167.46</v>
      </c>
      <c r="R114" s="11">
        <f t="shared" si="8"/>
        <v>11379.16</v>
      </c>
      <c r="S114" s="1" t="str">
        <f t="shared" si="9"/>
        <v>High</v>
      </c>
      <c r="T114" s="1" t="str" cm="1">
        <f t="array" ref="T114">_xlfn.IFS(L114&gt;5,"High",L114=5,"mediam",L114&lt;5,"low")</f>
        <v>High</v>
      </c>
      <c r="U114" s="1" t="str">
        <f t="shared" si="10"/>
        <v>High</v>
      </c>
      <c r="AF114" s="5">
        <v>10138</v>
      </c>
      <c r="AG114" s="1">
        <v>1128</v>
      </c>
      <c r="AH114" s="2">
        <v>45088</v>
      </c>
      <c r="AI114" s="2">
        <v>45093</v>
      </c>
      <c r="AJ114" s="1" t="s">
        <v>22</v>
      </c>
      <c r="AK114" s="1" t="s">
        <v>29</v>
      </c>
      <c r="AL114" s="1" t="s">
        <v>17</v>
      </c>
      <c r="AM114" s="1" t="s">
        <v>35</v>
      </c>
      <c r="AN114" s="1" t="s">
        <v>52</v>
      </c>
      <c r="AO114" s="1" t="s">
        <v>53</v>
      </c>
      <c r="AP114" s="1" t="s">
        <v>21</v>
      </c>
      <c r="AQ114" s="1">
        <v>1</v>
      </c>
      <c r="AR114" s="1">
        <v>912.67</v>
      </c>
      <c r="AS114" s="1">
        <v>0</v>
      </c>
      <c r="AT114" s="1">
        <v>912.67</v>
      </c>
      <c r="AU114" s="1">
        <v>912.67</v>
      </c>
      <c r="AV114" s="10">
        <v>0</v>
      </c>
      <c r="AW114" s="11">
        <v>912.67</v>
      </c>
      <c r="AX114" s="1" t="s">
        <v>161</v>
      </c>
      <c r="AY114" s="1" t="s">
        <v>162</v>
      </c>
      <c r="AZ114" s="1" t="b">
        <v>0</v>
      </c>
    </row>
    <row r="115" spans="1:52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10857.420000000002</v>
      </c>
      <c r="Q115" s="10">
        <f t="shared" si="7"/>
        <v>977.16800000000012</v>
      </c>
      <c r="R115" s="11">
        <f t="shared" si="8"/>
        <v>9880.2520000000022</v>
      </c>
      <c r="S115" s="1" t="str">
        <f t="shared" si="9"/>
        <v>High</v>
      </c>
      <c r="T115" s="1" t="str" cm="1">
        <f t="array" ref="T115">_xlfn.IFS(L115&gt;5,"High",L115=5,"mediam",L115&lt;5,"low")</f>
        <v>High</v>
      </c>
      <c r="U115" s="1" t="str">
        <f t="shared" si="10"/>
        <v>High</v>
      </c>
      <c r="AF115" s="5">
        <v>10145</v>
      </c>
      <c r="AG115" s="1">
        <v>1391</v>
      </c>
      <c r="AH115" s="2">
        <v>45245</v>
      </c>
      <c r="AI115" s="2">
        <v>45246</v>
      </c>
      <c r="AJ115" s="1" t="s">
        <v>37</v>
      </c>
      <c r="AK115" s="1" t="s">
        <v>38</v>
      </c>
      <c r="AL115" s="1" t="s">
        <v>24</v>
      </c>
      <c r="AM115" s="1" t="s">
        <v>35</v>
      </c>
      <c r="AN115" s="1" t="s">
        <v>57</v>
      </c>
      <c r="AO115" s="1" t="s">
        <v>59</v>
      </c>
      <c r="AP115" s="1" t="s">
        <v>47</v>
      </c>
      <c r="AQ115" s="1">
        <v>6</v>
      </c>
      <c r="AR115" s="1">
        <v>652.42999999999995</v>
      </c>
      <c r="AS115" s="1">
        <v>10</v>
      </c>
      <c r="AT115" s="1">
        <v>3523.12</v>
      </c>
      <c r="AU115" s="1">
        <v>3914.58</v>
      </c>
      <c r="AV115" s="10">
        <v>352.31200000000001</v>
      </c>
      <c r="AW115" s="11">
        <v>3562.268</v>
      </c>
      <c r="AX115" s="1" t="s">
        <v>159</v>
      </c>
      <c r="AY115" s="1" t="s">
        <v>159</v>
      </c>
      <c r="AZ115" s="1" t="s">
        <v>159</v>
      </c>
    </row>
    <row r="116" spans="1:52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7242.18</v>
      </c>
      <c r="Q116" s="10">
        <f t="shared" si="7"/>
        <v>0</v>
      </c>
      <c r="R116" s="11">
        <f t="shared" si="8"/>
        <v>7242.18</v>
      </c>
      <c r="S116" s="1" t="str">
        <f t="shared" si="9"/>
        <v>Low</v>
      </c>
      <c r="T116" s="1" t="str" cm="1">
        <f t="array" ref="T116">_xlfn.IFS(L116&gt;5,"High",L116=5,"mediam",L116&lt;5,"low")</f>
        <v>low</v>
      </c>
      <c r="U116" s="1" t="b">
        <f t="shared" si="10"/>
        <v>0</v>
      </c>
      <c r="AF116" s="5">
        <v>10161</v>
      </c>
      <c r="AG116" s="1">
        <v>1047</v>
      </c>
      <c r="AH116" s="2">
        <v>45109</v>
      </c>
      <c r="AI116" s="2">
        <v>45111</v>
      </c>
      <c r="AJ116" s="1" t="s">
        <v>46</v>
      </c>
      <c r="AK116" s="1" t="s">
        <v>41</v>
      </c>
      <c r="AL116" s="1" t="s">
        <v>17</v>
      </c>
      <c r="AM116" s="1" t="s">
        <v>35</v>
      </c>
      <c r="AN116" s="1" t="s">
        <v>19</v>
      </c>
      <c r="AO116" s="1" t="s">
        <v>20</v>
      </c>
      <c r="AP116" s="1" t="s">
        <v>33</v>
      </c>
      <c r="AQ116" s="1">
        <v>8</v>
      </c>
      <c r="AR116" s="1">
        <v>1168.3900000000001</v>
      </c>
      <c r="AS116" s="1">
        <v>10</v>
      </c>
      <c r="AT116" s="1">
        <v>8412.41</v>
      </c>
      <c r="AU116" s="1">
        <v>9347.1200000000008</v>
      </c>
      <c r="AV116" s="10">
        <v>841.24099999999999</v>
      </c>
      <c r="AW116" s="11">
        <v>8505.8790000000008</v>
      </c>
      <c r="AX116" s="1" t="s">
        <v>159</v>
      </c>
      <c r="AY116" s="1" t="s">
        <v>159</v>
      </c>
      <c r="AZ116" s="1" t="s">
        <v>159</v>
      </c>
    </row>
    <row r="117" spans="1:52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6849.78</v>
      </c>
      <c r="Q117" s="10">
        <f t="shared" si="7"/>
        <v>873.34649999999999</v>
      </c>
      <c r="R117" s="11">
        <f t="shared" si="8"/>
        <v>5976.4335000000001</v>
      </c>
      <c r="S117" s="1" t="str">
        <f t="shared" si="9"/>
        <v>High</v>
      </c>
      <c r="T117" s="1" t="str" cm="1">
        <f t="array" ref="T117">_xlfn.IFS(L117&gt;5,"High",L117=5,"mediam",L117&lt;5,"low")</f>
        <v>High</v>
      </c>
      <c r="U117" s="1" t="str">
        <f t="shared" si="10"/>
        <v>High</v>
      </c>
      <c r="AF117" s="5">
        <v>10164</v>
      </c>
      <c r="AG117" s="1">
        <v>1573</v>
      </c>
      <c r="AH117" s="2">
        <v>45042</v>
      </c>
      <c r="AI117" s="2">
        <v>45043</v>
      </c>
      <c r="AJ117" s="1" t="s">
        <v>40</v>
      </c>
      <c r="AK117" s="1" t="s">
        <v>16</v>
      </c>
      <c r="AL117" s="1" t="s">
        <v>24</v>
      </c>
      <c r="AM117" s="1" t="s">
        <v>35</v>
      </c>
      <c r="AN117" s="1" t="s">
        <v>52</v>
      </c>
      <c r="AO117" s="1" t="s">
        <v>64</v>
      </c>
      <c r="AP117" s="1" t="s">
        <v>45</v>
      </c>
      <c r="AQ117" s="1">
        <v>4</v>
      </c>
      <c r="AR117" s="1">
        <v>288.33</v>
      </c>
      <c r="AS117" s="1">
        <v>20</v>
      </c>
      <c r="AT117" s="1">
        <v>922.66</v>
      </c>
      <c r="AU117" s="1">
        <v>1153.32</v>
      </c>
      <c r="AV117" s="10">
        <v>184.53200000000001</v>
      </c>
      <c r="AW117" s="11">
        <v>968.7879999999999</v>
      </c>
      <c r="AX117" s="1" t="s">
        <v>161</v>
      </c>
      <c r="AY117" s="1" t="s">
        <v>162</v>
      </c>
      <c r="AZ117" s="1" t="b">
        <v>0</v>
      </c>
    </row>
    <row r="118" spans="1:52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21328.62</v>
      </c>
      <c r="Q118" s="10">
        <f t="shared" si="7"/>
        <v>3412.5800000000004</v>
      </c>
      <c r="R118" s="11">
        <f t="shared" si="8"/>
        <v>17916.039999999997</v>
      </c>
      <c r="S118" s="1" t="str">
        <f t="shared" si="9"/>
        <v>High</v>
      </c>
      <c r="T118" s="1" t="str" cm="1">
        <f t="array" ref="T118">_xlfn.IFS(L118&gt;5,"High",L118=5,"mediam",L118&lt;5,"low")</f>
        <v>High</v>
      </c>
      <c r="U118" s="1" t="str">
        <f t="shared" si="10"/>
        <v>High</v>
      </c>
      <c r="AF118" s="5">
        <v>10165</v>
      </c>
      <c r="AG118" s="1">
        <v>1727</v>
      </c>
      <c r="AH118" s="2">
        <v>45039</v>
      </c>
      <c r="AI118" s="2">
        <v>45043</v>
      </c>
      <c r="AJ118" s="1" t="s">
        <v>34</v>
      </c>
      <c r="AK118" s="1" t="s">
        <v>38</v>
      </c>
      <c r="AL118" s="1" t="s">
        <v>24</v>
      </c>
      <c r="AM118" s="1" t="s">
        <v>35</v>
      </c>
      <c r="AN118" s="1" t="s">
        <v>57</v>
      </c>
      <c r="AO118" s="1" t="s">
        <v>62</v>
      </c>
      <c r="AP118" s="1" t="s">
        <v>28</v>
      </c>
      <c r="AQ118" s="1">
        <v>4</v>
      </c>
      <c r="AR118" s="1">
        <v>3718.63</v>
      </c>
      <c r="AS118" s="1">
        <v>20</v>
      </c>
      <c r="AT118" s="1">
        <v>11899.62</v>
      </c>
      <c r="AU118" s="1">
        <v>14874.52</v>
      </c>
      <c r="AV118" s="10">
        <v>2379.9240000000004</v>
      </c>
      <c r="AW118" s="11">
        <v>12494.596</v>
      </c>
      <c r="AX118" s="1" t="s">
        <v>161</v>
      </c>
      <c r="AY118" s="1" t="s">
        <v>162</v>
      </c>
      <c r="AZ118" s="1" t="b">
        <v>0</v>
      </c>
    </row>
    <row r="119" spans="1:52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4607.42</v>
      </c>
      <c r="Q119" s="10">
        <f t="shared" si="7"/>
        <v>737.1880000000001</v>
      </c>
      <c r="R119" s="11">
        <f t="shared" si="8"/>
        <v>3870.232</v>
      </c>
      <c r="S119" s="1" t="str">
        <f t="shared" si="9"/>
        <v>Low</v>
      </c>
      <c r="T119" s="1" t="str" cm="1">
        <f t="array" ref="T119">_xlfn.IFS(L119&gt;5,"High",L119=5,"mediam",L119&lt;5,"low")</f>
        <v>low</v>
      </c>
      <c r="U119" s="1" t="b">
        <f t="shared" si="10"/>
        <v>0</v>
      </c>
      <c r="AF119" s="5">
        <v>10180</v>
      </c>
      <c r="AG119" s="1">
        <v>1004</v>
      </c>
      <c r="AH119" s="2">
        <v>45004</v>
      </c>
      <c r="AI119" s="2">
        <v>45006</v>
      </c>
      <c r="AJ119" s="1" t="s">
        <v>15</v>
      </c>
      <c r="AK119" s="1" t="s">
        <v>29</v>
      </c>
      <c r="AL119" s="1" t="s">
        <v>17</v>
      </c>
      <c r="AM119" s="1" t="s">
        <v>35</v>
      </c>
      <c r="AN119" s="1" t="s">
        <v>19</v>
      </c>
      <c r="AO119" s="1" t="s">
        <v>43</v>
      </c>
      <c r="AP119" s="1" t="s">
        <v>45</v>
      </c>
      <c r="AQ119" s="1">
        <v>8</v>
      </c>
      <c r="AR119" s="1">
        <v>2211.17</v>
      </c>
      <c r="AS119" s="1">
        <v>10</v>
      </c>
      <c r="AT119" s="1">
        <v>15920.42</v>
      </c>
      <c r="AU119" s="1">
        <v>17689.36</v>
      </c>
      <c r="AV119" s="10">
        <v>1592.0420000000001</v>
      </c>
      <c r="AW119" s="11">
        <v>16097.318000000001</v>
      </c>
      <c r="AX119" s="1" t="s">
        <v>159</v>
      </c>
      <c r="AY119" s="1" t="s">
        <v>159</v>
      </c>
      <c r="AZ119" s="1" t="s">
        <v>159</v>
      </c>
    </row>
    <row r="120" spans="1:52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26717.439999999999</v>
      </c>
      <c r="Q120" s="10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 cm="1">
        <f t="array" ref="T120">_xlfn.IFS(L120&gt;5,"High",L120=5,"mediam",L120&lt;5,"low")</f>
        <v>High</v>
      </c>
      <c r="U120" s="1" t="str">
        <f t="shared" si="10"/>
        <v>High</v>
      </c>
      <c r="AF120" s="5">
        <v>10189</v>
      </c>
      <c r="AG120" s="1">
        <v>1014</v>
      </c>
      <c r="AH120" s="2">
        <v>44976</v>
      </c>
      <c r="AI120" s="2">
        <v>44981</v>
      </c>
      <c r="AJ120" s="1" t="s">
        <v>16</v>
      </c>
      <c r="AK120" s="1" t="s">
        <v>29</v>
      </c>
      <c r="AL120" s="1" t="s">
        <v>17</v>
      </c>
      <c r="AM120" s="1" t="s">
        <v>35</v>
      </c>
      <c r="AN120" s="1" t="s">
        <v>57</v>
      </c>
      <c r="AO120" s="1" t="s">
        <v>62</v>
      </c>
      <c r="AP120" s="1" t="s">
        <v>21</v>
      </c>
      <c r="AQ120" s="1">
        <v>2</v>
      </c>
      <c r="AR120" s="1">
        <v>1003.86</v>
      </c>
      <c r="AS120" s="1">
        <v>10</v>
      </c>
      <c r="AT120" s="1">
        <v>1806.95</v>
      </c>
      <c r="AU120" s="1">
        <v>2007.72</v>
      </c>
      <c r="AV120" s="10">
        <v>180.69500000000002</v>
      </c>
      <c r="AW120" s="11">
        <v>1827.0250000000001</v>
      </c>
      <c r="AX120" s="1" t="s">
        <v>161</v>
      </c>
      <c r="AY120" s="1" t="s">
        <v>162</v>
      </c>
      <c r="AZ120" s="1" t="b">
        <v>0</v>
      </c>
    </row>
    <row r="121" spans="1:52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20261.22</v>
      </c>
      <c r="Q121" s="10">
        <f t="shared" si="7"/>
        <v>962.40800000000002</v>
      </c>
      <c r="R121" s="11">
        <f t="shared" si="8"/>
        <v>19298.812000000002</v>
      </c>
      <c r="S121" s="1" t="str">
        <f t="shared" si="9"/>
        <v>High</v>
      </c>
      <c r="T121" s="1" t="str" cm="1">
        <f t="array" ref="T121">_xlfn.IFS(L121&gt;5,"High",L121=5,"mediam",L121&lt;5,"low")</f>
        <v>High</v>
      </c>
      <c r="U121" s="1" t="str">
        <f t="shared" si="10"/>
        <v>High</v>
      </c>
      <c r="AF121" s="5">
        <v>10191</v>
      </c>
      <c r="AG121" s="1">
        <v>1553</v>
      </c>
      <c r="AH121" s="2">
        <v>45033</v>
      </c>
      <c r="AI121" s="2">
        <v>45039</v>
      </c>
      <c r="AJ121" s="1" t="s">
        <v>40</v>
      </c>
      <c r="AK121" s="1" t="s">
        <v>29</v>
      </c>
      <c r="AL121" s="1" t="s">
        <v>30</v>
      </c>
      <c r="AM121" s="1" t="s">
        <v>35</v>
      </c>
      <c r="AN121" s="1" t="s">
        <v>52</v>
      </c>
      <c r="AO121" s="1" t="s">
        <v>56</v>
      </c>
      <c r="AP121" s="1" t="s">
        <v>21</v>
      </c>
      <c r="AQ121" s="1">
        <v>7</v>
      </c>
      <c r="AR121" s="1">
        <v>1148.6500000000001</v>
      </c>
      <c r="AS121" s="1">
        <v>15</v>
      </c>
      <c r="AT121" s="1">
        <v>6834.47</v>
      </c>
      <c r="AU121" s="1">
        <v>8040.5500000000011</v>
      </c>
      <c r="AV121" s="10">
        <v>1025.1704999999999</v>
      </c>
      <c r="AW121" s="11">
        <v>7015.3795000000009</v>
      </c>
      <c r="AX121" s="1" t="s">
        <v>159</v>
      </c>
      <c r="AY121" s="1" t="s">
        <v>159</v>
      </c>
      <c r="AZ121" s="1" t="s">
        <v>159</v>
      </c>
    </row>
    <row r="122" spans="1:52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14161.400000000001</v>
      </c>
      <c r="Q122" s="10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 cm="1">
        <f t="array" ref="T122">_xlfn.IFS(L122&gt;5,"High",L122=5,"mediam",L122&lt;5,"low")</f>
        <v>mediam</v>
      </c>
      <c r="U122" s="1" t="b">
        <f t="shared" si="10"/>
        <v>0</v>
      </c>
      <c r="AF122" s="5">
        <v>10192</v>
      </c>
      <c r="AG122" s="1">
        <v>1891</v>
      </c>
      <c r="AH122" s="2">
        <v>45039</v>
      </c>
      <c r="AI122" s="2">
        <v>45042</v>
      </c>
      <c r="AJ122" s="1" t="s">
        <v>15</v>
      </c>
      <c r="AK122" s="1" t="s">
        <v>29</v>
      </c>
      <c r="AL122" s="1" t="s">
        <v>30</v>
      </c>
      <c r="AM122" s="1" t="s">
        <v>35</v>
      </c>
      <c r="AN122" s="1" t="s">
        <v>52</v>
      </c>
      <c r="AO122" s="1" t="s">
        <v>60</v>
      </c>
      <c r="AP122" s="1" t="s">
        <v>21</v>
      </c>
      <c r="AQ122" s="1">
        <v>2</v>
      </c>
      <c r="AR122" s="1">
        <v>487.23</v>
      </c>
      <c r="AS122" s="1">
        <v>15</v>
      </c>
      <c r="AT122" s="1">
        <v>828.29</v>
      </c>
      <c r="AU122" s="1">
        <v>974.46</v>
      </c>
      <c r="AV122" s="10">
        <v>124.24349999999998</v>
      </c>
      <c r="AW122" s="11">
        <v>850.2165</v>
      </c>
      <c r="AX122" s="1" t="s">
        <v>161</v>
      </c>
      <c r="AY122" s="1" t="s">
        <v>162</v>
      </c>
      <c r="AZ122" s="1" t="b">
        <v>0</v>
      </c>
    </row>
    <row r="123" spans="1:52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6993.65</v>
      </c>
      <c r="Q123" s="10">
        <f t="shared" si="7"/>
        <v>0</v>
      </c>
      <c r="R123" s="11">
        <f t="shared" si="8"/>
        <v>6993.65</v>
      </c>
      <c r="S123" s="1" t="str">
        <f t="shared" si="9"/>
        <v>High</v>
      </c>
      <c r="T123" s="1" t="str" cm="1">
        <f t="array" ref="T123">_xlfn.IFS(L123&gt;5,"High",L123=5,"mediam",L123&lt;5,"low")</f>
        <v>mediam</v>
      </c>
      <c r="U123" s="1" t="b">
        <f t="shared" si="10"/>
        <v>0</v>
      </c>
      <c r="AF123" s="5">
        <v>10195</v>
      </c>
      <c r="AG123" s="1">
        <v>1574</v>
      </c>
      <c r="AH123" s="2">
        <v>45044</v>
      </c>
      <c r="AI123" s="2">
        <v>45045</v>
      </c>
      <c r="AJ123" s="1" t="s">
        <v>34</v>
      </c>
      <c r="AK123" s="1" t="s">
        <v>23</v>
      </c>
      <c r="AL123" s="1" t="s">
        <v>17</v>
      </c>
      <c r="AM123" s="1" t="s">
        <v>35</v>
      </c>
      <c r="AN123" s="1" t="s">
        <v>31</v>
      </c>
      <c r="AO123" s="1" t="s">
        <v>65</v>
      </c>
      <c r="AP123" s="1" t="s">
        <v>47</v>
      </c>
      <c r="AQ123" s="1">
        <v>6</v>
      </c>
      <c r="AR123" s="1">
        <v>344.65</v>
      </c>
      <c r="AS123" s="1">
        <v>10</v>
      </c>
      <c r="AT123" s="1">
        <v>1861.11</v>
      </c>
      <c r="AU123" s="1">
        <v>2067.8999999999996</v>
      </c>
      <c r="AV123" s="10">
        <v>186.11099999999999</v>
      </c>
      <c r="AW123" s="11">
        <v>1881.7889999999998</v>
      </c>
      <c r="AX123" s="1" t="s">
        <v>159</v>
      </c>
      <c r="AY123" s="1" t="s">
        <v>159</v>
      </c>
      <c r="AZ123" s="1" t="s">
        <v>159</v>
      </c>
    </row>
    <row r="124" spans="1:52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7353.5</v>
      </c>
      <c r="Q124" s="10">
        <f t="shared" si="7"/>
        <v>1176.5600000000002</v>
      </c>
      <c r="R124" s="11">
        <f t="shared" si="8"/>
        <v>6176.94</v>
      </c>
      <c r="S124" s="1" t="str">
        <f t="shared" si="9"/>
        <v>High</v>
      </c>
      <c r="T124" s="1" t="str" cm="1">
        <f t="array" ref="T124">_xlfn.IFS(L124&gt;5,"High",L124=5,"mediam",L124&lt;5,"low")</f>
        <v>High</v>
      </c>
      <c r="U124" s="1" t="str">
        <f t="shared" si="10"/>
        <v>High</v>
      </c>
      <c r="AF124" s="5">
        <v>10197</v>
      </c>
      <c r="AG124" s="1">
        <v>1742</v>
      </c>
      <c r="AH124" s="2">
        <v>45263</v>
      </c>
      <c r="AI124" s="2">
        <v>45266</v>
      </c>
      <c r="AJ124" s="1" t="s">
        <v>16</v>
      </c>
      <c r="AK124" s="1" t="s">
        <v>38</v>
      </c>
      <c r="AL124" s="1" t="s">
        <v>17</v>
      </c>
      <c r="AM124" s="1" t="s">
        <v>35</v>
      </c>
      <c r="AN124" s="1" t="s">
        <v>49</v>
      </c>
      <c r="AO124" s="1" t="s">
        <v>68</v>
      </c>
      <c r="AP124" s="1" t="s">
        <v>45</v>
      </c>
      <c r="AQ124" s="1">
        <v>4</v>
      </c>
      <c r="AR124" s="1">
        <v>1256.21</v>
      </c>
      <c r="AS124" s="1">
        <v>10</v>
      </c>
      <c r="AT124" s="1">
        <v>4522.3599999999997</v>
      </c>
      <c r="AU124" s="1">
        <v>5024.84</v>
      </c>
      <c r="AV124" s="10">
        <v>452.23599999999999</v>
      </c>
      <c r="AW124" s="11">
        <v>4572.6040000000003</v>
      </c>
      <c r="AX124" s="1" t="s">
        <v>161</v>
      </c>
      <c r="AY124" s="1" t="s">
        <v>162</v>
      </c>
      <c r="AZ124" s="1" t="b">
        <v>0</v>
      </c>
    </row>
    <row r="125" spans="1:52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8657.19</v>
      </c>
      <c r="Q125" s="10">
        <f t="shared" si="7"/>
        <v>1103.7914999999998</v>
      </c>
      <c r="R125" s="11">
        <f t="shared" si="8"/>
        <v>7553.3985000000011</v>
      </c>
      <c r="S125" s="1" t="str">
        <f t="shared" si="9"/>
        <v>High</v>
      </c>
      <c r="T125" s="1" t="str" cm="1">
        <f t="array" ref="T125">_xlfn.IFS(L125&gt;5,"High",L125=5,"mediam",L125&lt;5,"low")</f>
        <v>High</v>
      </c>
      <c r="U125" s="1" t="str">
        <f t="shared" si="10"/>
        <v>High</v>
      </c>
      <c r="AF125" s="5">
        <v>10199</v>
      </c>
      <c r="AG125" s="1">
        <v>1563</v>
      </c>
      <c r="AH125" s="2">
        <v>44977</v>
      </c>
      <c r="AI125" s="2">
        <v>44984</v>
      </c>
      <c r="AJ125" s="1" t="s">
        <v>34</v>
      </c>
      <c r="AK125" s="1" t="s">
        <v>23</v>
      </c>
      <c r="AL125" s="1" t="s">
        <v>24</v>
      </c>
      <c r="AM125" s="1" t="s">
        <v>35</v>
      </c>
      <c r="AN125" s="1" t="s">
        <v>49</v>
      </c>
      <c r="AO125" s="1" t="s">
        <v>51</v>
      </c>
      <c r="AP125" s="1" t="s">
        <v>47</v>
      </c>
      <c r="AQ125" s="1">
        <v>4</v>
      </c>
      <c r="AR125" s="1">
        <v>1428.19</v>
      </c>
      <c r="AS125" s="1">
        <v>10</v>
      </c>
      <c r="AT125" s="1">
        <v>5141.4799999999996</v>
      </c>
      <c r="AU125" s="1">
        <v>5712.76</v>
      </c>
      <c r="AV125" s="10">
        <v>514.14800000000002</v>
      </c>
      <c r="AW125" s="11">
        <v>5198.6120000000001</v>
      </c>
      <c r="AX125" s="1" t="s">
        <v>161</v>
      </c>
      <c r="AY125" s="1" t="s">
        <v>162</v>
      </c>
      <c r="AZ125" s="1" t="b">
        <v>0</v>
      </c>
    </row>
    <row r="126" spans="1:52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31051.71</v>
      </c>
      <c r="Q126" s="10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 cm="1">
        <f t="array" ref="T126">_xlfn.IFS(L126&gt;5,"High",L126=5,"mediam",L126&lt;5,"low")</f>
        <v>High</v>
      </c>
      <c r="U126" s="1" t="str">
        <f t="shared" si="10"/>
        <v>High</v>
      </c>
      <c r="AF126" s="5">
        <v>10205</v>
      </c>
      <c r="AG126" s="1">
        <v>1230</v>
      </c>
      <c r="AH126" s="2">
        <v>45246</v>
      </c>
      <c r="AI126" s="2">
        <v>45254</v>
      </c>
      <c r="AJ126" s="1" t="s">
        <v>46</v>
      </c>
      <c r="AK126" s="1" t="s">
        <v>23</v>
      </c>
      <c r="AL126" s="1" t="s">
        <v>17</v>
      </c>
      <c r="AM126" s="1" t="s">
        <v>35</v>
      </c>
      <c r="AN126" s="1" t="s">
        <v>52</v>
      </c>
      <c r="AO126" s="1" t="s">
        <v>60</v>
      </c>
      <c r="AP126" s="1" t="s">
        <v>28</v>
      </c>
      <c r="AQ126" s="1">
        <v>8</v>
      </c>
      <c r="AR126" s="1">
        <v>2821.15</v>
      </c>
      <c r="AS126" s="1">
        <v>10</v>
      </c>
      <c r="AT126" s="1">
        <v>20312.28</v>
      </c>
      <c r="AU126" s="1">
        <v>22569.200000000001</v>
      </c>
      <c r="AV126" s="10">
        <v>2031.2280000000001</v>
      </c>
      <c r="AW126" s="11">
        <v>20537.972000000002</v>
      </c>
      <c r="AX126" s="1" t="s">
        <v>159</v>
      </c>
      <c r="AY126" s="1" t="s">
        <v>159</v>
      </c>
      <c r="AZ126" s="1" t="s">
        <v>159</v>
      </c>
    </row>
    <row r="127" spans="1:52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29777.759999999998</v>
      </c>
      <c r="Q127" s="10">
        <f t="shared" si="7"/>
        <v>1414.4435000000001</v>
      </c>
      <c r="R127" s="11">
        <f t="shared" si="8"/>
        <v>28363.316499999997</v>
      </c>
      <c r="S127" s="1" t="str">
        <f t="shared" si="9"/>
        <v>High</v>
      </c>
      <c r="T127" s="1" t="str" cm="1">
        <f t="array" ref="T127">_xlfn.IFS(L127&gt;5,"High",L127=5,"mediam",L127&lt;5,"low")</f>
        <v>High</v>
      </c>
      <c r="U127" s="1" t="str">
        <f t="shared" si="10"/>
        <v>High</v>
      </c>
      <c r="AF127" s="5">
        <v>10219</v>
      </c>
      <c r="AG127" s="1">
        <v>1681</v>
      </c>
      <c r="AH127" s="2">
        <v>45239</v>
      </c>
      <c r="AI127" s="2">
        <v>45242</v>
      </c>
      <c r="AJ127" s="1" t="s">
        <v>40</v>
      </c>
      <c r="AK127" s="1" t="s">
        <v>54</v>
      </c>
      <c r="AL127" s="1" t="s">
        <v>30</v>
      </c>
      <c r="AM127" s="1" t="s">
        <v>35</v>
      </c>
      <c r="AN127" s="1" t="s">
        <v>52</v>
      </c>
      <c r="AO127" s="1" t="s">
        <v>64</v>
      </c>
      <c r="AP127" s="1" t="s">
        <v>33</v>
      </c>
      <c r="AQ127" s="1">
        <v>6</v>
      </c>
      <c r="AR127" s="1">
        <v>1449.5</v>
      </c>
      <c r="AS127" s="1">
        <v>0</v>
      </c>
      <c r="AT127" s="1">
        <v>8697</v>
      </c>
      <c r="AU127" s="1">
        <v>8697</v>
      </c>
      <c r="AV127" s="10">
        <v>0</v>
      </c>
      <c r="AW127" s="11">
        <v>8697</v>
      </c>
      <c r="AX127" s="1" t="s">
        <v>159</v>
      </c>
      <c r="AY127" s="1" t="s">
        <v>159</v>
      </c>
      <c r="AZ127" s="1" t="s">
        <v>159</v>
      </c>
    </row>
    <row r="128" spans="1:52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11077.26</v>
      </c>
      <c r="Q128" s="10">
        <f t="shared" si="7"/>
        <v>996.95300000000009</v>
      </c>
      <c r="R128" s="11">
        <f t="shared" si="8"/>
        <v>10080.307000000001</v>
      </c>
      <c r="S128" s="1" t="str">
        <f t="shared" si="9"/>
        <v>High</v>
      </c>
      <c r="T128" s="1" t="str" cm="1">
        <f t="array" ref="T128">_xlfn.IFS(L128&gt;5,"High",L128=5,"mediam",L128&lt;5,"low")</f>
        <v>High</v>
      </c>
      <c r="U128" s="1" t="str">
        <f t="shared" si="10"/>
        <v>High</v>
      </c>
      <c r="AF128" s="5">
        <v>10228</v>
      </c>
      <c r="AG128" s="1">
        <v>1339</v>
      </c>
      <c r="AH128" s="2">
        <v>44983</v>
      </c>
      <c r="AI128" s="2">
        <v>44990</v>
      </c>
      <c r="AJ128" s="1" t="s">
        <v>15</v>
      </c>
      <c r="AK128" s="1" t="s">
        <v>54</v>
      </c>
      <c r="AL128" s="1" t="s">
        <v>17</v>
      </c>
      <c r="AM128" s="1" t="s">
        <v>35</v>
      </c>
      <c r="AN128" s="1" t="s">
        <v>57</v>
      </c>
      <c r="AO128" s="1" t="s">
        <v>62</v>
      </c>
      <c r="AP128" s="1" t="s">
        <v>21</v>
      </c>
      <c r="AQ128" s="1">
        <v>8</v>
      </c>
      <c r="AR128" s="1">
        <v>2645.2</v>
      </c>
      <c r="AS128" s="1">
        <v>20</v>
      </c>
      <c r="AT128" s="1">
        <v>16929.28</v>
      </c>
      <c r="AU128" s="1">
        <v>21161.599999999999</v>
      </c>
      <c r="AV128" s="10">
        <v>3385.8559999999998</v>
      </c>
      <c r="AW128" s="11">
        <v>17775.743999999999</v>
      </c>
      <c r="AX128" s="1" t="s">
        <v>159</v>
      </c>
      <c r="AY128" s="1" t="s">
        <v>159</v>
      </c>
      <c r="AZ128" s="1" t="s">
        <v>159</v>
      </c>
    </row>
    <row r="129" spans="1:52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3958.56</v>
      </c>
      <c r="Q129" s="10">
        <f t="shared" si="7"/>
        <v>0</v>
      </c>
      <c r="R129" s="11">
        <f t="shared" si="8"/>
        <v>3958.56</v>
      </c>
      <c r="S129" s="1" t="str">
        <f t="shared" si="9"/>
        <v>High</v>
      </c>
      <c r="T129" s="1" t="str" cm="1">
        <f t="array" ref="T129">_xlfn.IFS(L129&gt;5,"High",L129=5,"mediam",L129&lt;5,"low")</f>
        <v>High</v>
      </c>
      <c r="U129" s="1" t="str">
        <f t="shared" si="10"/>
        <v>High</v>
      </c>
      <c r="AF129" s="5">
        <v>10230</v>
      </c>
      <c r="AG129" s="1">
        <v>1957</v>
      </c>
      <c r="AH129" s="2">
        <v>45010</v>
      </c>
      <c r="AI129" s="2">
        <v>45018</v>
      </c>
      <c r="AJ129" s="1" t="s">
        <v>37</v>
      </c>
      <c r="AK129" s="1" t="s">
        <v>38</v>
      </c>
      <c r="AL129" s="1" t="s">
        <v>24</v>
      </c>
      <c r="AM129" s="1" t="s">
        <v>35</v>
      </c>
      <c r="AN129" s="1" t="s">
        <v>57</v>
      </c>
      <c r="AO129" s="1" t="s">
        <v>62</v>
      </c>
      <c r="AP129" s="1" t="s">
        <v>47</v>
      </c>
      <c r="AQ129" s="1">
        <v>3</v>
      </c>
      <c r="AR129" s="1">
        <v>3193.5</v>
      </c>
      <c r="AS129" s="1">
        <v>10</v>
      </c>
      <c r="AT129" s="1">
        <v>8622.4500000000007</v>
      </c>
      <c r="AU129" s="1">
        <v>9580.5</v>
      </c>
      <c r="AV129" s="10">
        <v>862.24500000000012</v>
      </c>
      <c r="AW129" s="11">
        <v>8718.2549999999992</v>
      </c>
      <c r="AX129" s="1" t="s">
        <v>161</v>
      </c>
      <c r="AY129" s="1" t="s">
        <v>162</v>
      </c>
      <c r="AZ129" s="1" t="b">
        <v>0</v>
      </c>
    </row>
    <row r="130" spans="1:52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4865.01</v>
      </c>
      <c r="Q130" s="10">
        <f t="shared" si="7"/>
        <v>0</v>
      </c>
      <c r="R130" s="11">
        <f t="shared" si="8"/>
        <v>4865.01</v>
      </c>
      <c r="S130" s="1" t="str">
        <f t="shared" si="9"/>
        <v>Low</v>
      </c>
      <c r="T130" s="1" t="str" cm="1">
        <f t="array" ref="T130">_xlfn.IFS(L130&gt;5,"High",L130=5,"mediam",L130&lt;5,"low")</f>
        <v>low</v>
      </c>
      <c r="U130" s="1" t="b">
        <f t="shared" si="10"/>
        <v>0</v>
      </c>
      <c r="AF130" s="5">
        <v>10235</v>
      </c>
      <c r="AG130" s="1">
        <v>1472</v>
      </c>
      <c r="AH130" s="2">
        <v>45032</v>
      </c>
      <c r="AI130" s="2">
        <v>45040</v>
      </c>
      <c r="AJ130" s="1" t="s">
        <v>40</v>
      </c>
      <c r="AK130" s="1" t="s">
        <v>29</v>
      </c>
      <c r="AL130" s="1" t="s">
        <v>17</v>
      </c>
      <c r="AM130" s="1" t="s">
        <v>35</v>
      </c>
      <c r="AN130" s="1" t="s">
        <v>52</v>
      </c>
      <c r="AO130" s="1" t="s">
        <v>60</v>
      </c>
      <c r="AP130" s="1" t="s">
        <v>47</v>
      </c>
      <c r="AQ130" s="1">
        <v>9</v>
      </c>
      <c r="AR130" s="1">
        <v>2677.09</v>
      </c>
      <c r="AS130" s="1">
        <v>10</v>
      </c>
      <c r="AT130" s="1">
        <v>21684.43</v>
      </c>
      <c r="AU130" s="1">
        <v>24093.81</v>
      </c>
      <c r="AV130" s="10">
        <v>2168.4430000000002</v>
      </c>
      <c r="AW130" s="11">
        <v>21925.367000000002</v>
      </c>
      <c r="AX130" s="1" t="s">
        <v>159</v>
      </c>
      <c r="AY130" s="1" t="s">
        <v>159</v>
      </c>
      <c r="AZ130" s="1" t="s">
        <v>159</v>
      </c>
    </row>
    <row r="131" spans="1:52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1">L131*M131</f>
        <v>2534.4699999999998</v>
      </c>
      <c r="Q131" s="10">
        <f t="shared" ref="Q131:Q194" si="12">O131*N131%</f>
        <v>120.3875</v>
      </c>
      <c r="R131" s="11">
        <f t="shared" ref="R131:R194" si="13">P131-Q131</f>
        <v>2414.0825</v>
      </c>
      <c r="S131" s="1" t="str">
        <f t="shared" ref="S131:S194" si="14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si="10"/>
        <v>0</v>
      </c>
      <c r="AF131" s="5">
        <v>10238</v>
      </c>
      <c r="AG131" s="1">
        <v>1224</v>
      </c>
      <c r="AH131" s="2">
        <v>45089</v>
      </c>
      <c r="AI131" s="2">
        <v>45093</v>
      </c>
      <c r="AJ131" s="1" t="s">
        <v>34</v>
      </c>
      <c r="AK131" s="1" t="s">
        <v>38</v>
      </c>
      <c r="AL131" s="1" t="s">
        <v>24</v>
      </c>
      <c r="AM131" s="1" t="s">
        <v>35</v>
      </c>
      <c r="AN131" s="1" t="s">
        <v>57</v>
      </c>
      <c r="AO131" s="1" t="s">
        <v>62</v>
      </c>
      <c r="AP131" s="1" t="s">
        <v>45</v>
      </c>
      <c r="AQ131" s="1">
        <v>8</v>
      </c>
      <c r="AR131" s="1">
        <v>284.52</v>
      </c>
      <c r="AS131" s="1">
        <v>15</v>
      </c>
      <c r="AT131" s="1">
        <v>1934.74</v>
      </c>
      <c r="AU131" s="1">
        <v>2276.16</v>
      </c>
      <c r="AV131" s="10">
        <v>290.21100000000001</v>
      </c>
      <c r="AW131" s="11">
        <v>1985.9489999999998</v>
      </c>
      <c r="AX131" s="1" t="s">
        <v>159</v>
      </c>
      <c r="AY131" s="1" t="s">
        <v>159</v>
      </c>
      <c r="AZ131" s="1" t="s">
        <v>159</v>
      </c>
    </row>
    <row r="132" spans="1:52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1"/>
        <v>13296.15</v>
      </c>
      <c r="Q132" s="10">
        <f t="shared" si="12"/>
        <v>1695.2594999999999</v>
      </c>
      <c r="R132" s="11">
        <f t="shared" si="13"/>
        <v>11600.8905</v>
      </c>
      <c r="S132" s="1" t="str">
        <f t="shared" si="14"/>
        <v>High</v>
      </c>
      <c r="T132" s="1" t="str" cm="1">
        <f t="array" ref="T132">_xlfn.IFS(L132&gt;5,"High",L132=5,"mediam",L132&lt;5,"low")</f>
        <v>High</v>
      </c>
      <c r="U132" s="1" t="str">
        <f t="shared" si="10"/>
        <v>High</v>
      </c>
      <c r="AF132" s="5">
        <v>10247</v>
      </c>
      <c r="AG132" s="1">
        <v>1258</v>
      </c>
      <c r="AH132" s="2">
        <v>44996</v>
      </c>
      <c r="AI132" s="2">
        <v>44998</v>
      </c>
      <c r="AJ132" s="1" t="s">
        <v>15</v>
      </c>
      <c r="AK132" s="1" t="s">
        <v>54</v>
      </c>
      <c r="AL132" s="1" t="s">
        <v>30</v>
      </c>
      <c r="AM132" s="1" t="s">
        <v>35</v>
      </c>
      <c r="AN132" s="1" t="s">
        <v>52</v>
      </c>
      <c r="AO132" s="1" t="s">
        <v>64</v>
      </c>
      <c r="AP132" s="1" t="s">
        <v>47</v>
      </c>
      <c r="AQ132" s="1">
        <v>7</v>
      </c>
      <c r="AR132" s="1">
        <v>2102.27</v>
      </c>
      <c r="AS132" s="1">
        <v>20</v>
      </c>
      <c r="AT132" s="1">
        <v>11772.71</v>
      </c>
      <c r="AU132" s="1">
        <v>14715.89</v>
      </c>
      <c r="AV132" s="10">
        <v>2354.5419999999999</v>
      </c>
      <c r="AW132" s="11">
        <v>12361.348</v>
      </c>
      <c r="AX132" s="1" t="s">
        <v>159</v>
      </c>
      <c r="AY132" s="1" t="s">
        <v>159</v>
      </c>
      <c r="AZ132" s="1" t="s">
        <v>159</v>
      </c>
    </row>
    <row r="133" spans="1:52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1"/>
        <v>12614.92</v>
      </c>
      <c r="Q133" s="10">
        <f t="shared" si="12"/>
        <v>0</v>
      </c>
      <c r="R133" s="11">
        <f t="shared" si="13"/>
        <v>12614.92</v>
      </c>
      <c r="S133" s="1" t="str">
        <f t="shared" si="14"/>
        <v>Low</v>
      </c>
      <c r="T133" s="1" t="str" cm="1">
        <f t="array" ref="T133">_xlfn.IFS(L133&gt;5,"High",L133=5,"mediam",L133&lt;5,"low")</f>
        <v>low</v>
      </c>
      <c r="U133" s="1" t="b">
        <f t="shared" si="10"/>
        <v>0</v>
      </c>
      <c r="AF133" s="5">
        <v>10250</v>
      </c>
      <c r="AG133" s="1">
        <v>1455</v>
      </c>
      <c r="AH133" s="2">
        <v>45227</v>
      </c>
      <c r="AI133" s="2">
        <v>45233</v>
      </c>
      <c r="AJ133" s="1" t="s">
        <v>34</v>
      </c>
      <c r="AK133" s="1" t="s">
        <v>16</v>
      </c>
      <c r="AL133" s="1" t="s">
        <v>17</v>
      </c>
      <c r="AM133" s="1" t="s">
        <v>35</v>
      </c>
      <c r="AN133" s="1" t="s">
        <v>26</v>
      </c>
      <c r="AO133" s="1" t="s">
        <v>69</v>
      </c>
      <c r="AP133" s="1" t="s">
        <v>28</v>
      </c>
      <c r="AQ133" s="1">
        <v>9</v>
      </c>
      <c r="AR133" s="1">
        <v>3106.82</v>
      </c>
      <c r="AS133" s="1">
        <v>15</v>
      </c>
      <c r="AT133" s="1">
        <v>23767.17</v>
      </c>
      <c r="AU133" s="1">
        <v>27961.38</v>
      </c>
      <c r="AV133" s="10">
        <v>3565.0754999999995</v>
      </c>
      <c r="AW133" s="11">
        <v>24396.304500000002</v>
      </c>
      <c r="AX133" s="1" t="s">
        <v>159</v>
      </c>
      <c r="AY133" s="1" t="s">
        <v>159</v>
      </c>
      <c r="AZ133" s="1" t="s">
        <v>159</v>
      </c>
    </row>
    <row r="134" spans="1:52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1"/>
        <v>3990.85</v>
      </c>
      <c r="Q134" s="10">
        <f t="shared" si="12"/>
        <v>0</v>
      </c>
      <c r="R134" s="11">
        <f t="shared" si="13"/>
        <v>3990.85</v>
      </c>
      <c r="S134" s="1" t="str">
        <f t="shared" si="14"/>
        <v>Low</v>
      </c>
      <c r="T134" s="1" t="str" cm="1">
        <f t="array" ref="T134">_xlfn.IFS(L134&gt;5,"High",L134=5,"mediam",L134&lt;5,"low")</f>
        <v>low</v>
      </c>
      <c r="U134" s="1" t="b">
        <f t="shared" si="10"/>
        <v>0</v>
      </c>
      <c r="AF134" s="5">
        <v>10253</v>
      </c>
      <c r="AG134" s="1">
        <v>1317</v>
      </c>
      <c r="AH134" s="2">
        <v>45033</v>
      </c>
      <c r="AI134" s="2">
        <v>45034</v>
      </c>
      <c r="AJ134" s="1" t="s">
        <v>40</v>
      </c>
      <c r="AK134" s="1" t="s">
        <v>41</v>
      </c>
      <c r="AL134" s="1" t="s">
        <v>24</v>
      </c>
      <c r="AM134" s="1" t="s">
        <v>35</v>
      </c>
      <c r="AN134" s="1" t="s">
        <v>19</v>
      </c>
      <c r="AO134" s="1" t="s">
        <v>20</v>
      </c>
      <c r="AP134" s="1" t="s">
        <v>47</v>
      </c>
      <c r="AQ134" s="1">
        <v>5</v>
      </c>
      <c r="AR134" s="1">
        <v>2532.27</v>
      </c>
      <c r="AS134" s="1">
        <v>15</v>
      </c>
      <c r="AT134" s="1">
        <v>10762.15</v>
      </c>
      <c r="AU134" s="1">
        <v>12661.35</v>
      </c>
      <c r="AV134" s="10">
        <v>1614.3225</v>
      </c>
      <c r="AW134" s="11">
        <v>11047.0275</v>
      </c>
      <c r="AX134" s="1" t="s">
        <v>159</v>
      </c>
      <c r="AY134" s="1" t="s">
        <v>160</v>
      </c>
      <c r="AZ134" s="1" t="b">
        <v>0</v>
      </c>
    </row>
    <row r="135" spans="1:52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1"/>
        <v>7086.88</v>
      </c>
      <c r="Q135" s="10">
        <f t="shared" si="12"/>
        <v>903.57749999999999</v>
      </c>
      <c r="R135" s="11">
        <f t="shared" si="13"/>
        <v>6183.3024999999998</v>
      </c>
      <c r="S135" s="1" t="str">
        <f t="shared" si="14"/>
        <v>High</v>
      </c>
      <c r="T135" s="1" t="str" cm="1">
        <f t="array" ref="T135">_xlfn.IFS(L135&gt;5,"High",L135=5,"mediam",L135&lt;5,"low")</f>
        <v>High</v>
      </c>
      <c r="U135" s="1" t="str">
        <f t="shared" si="10"/>
        <v>High</v>
      </c>
      <c r="AF135" s="5">
        <v>10258</v>
      </c>
      <c r="AG135" s="1">
        <v>1683</v>
      </c>
      <c r="AH135" s="2">
        <v>44947</v>
      </c>
      <c r="AI135" s="2">
        <v>44950</v>
      </c>
      <c r="AJ135" s="1" t="s">
        <v>40</v>
      </c>
      <c r="AK135" s="1" t="s">
        <v>38</v>
      </c>
      <c r="AL135" s="1" t="s">
        <v>24</v>
      </c>
      <c r="AM135" s="1" t="s">
        <v>35</v>
      </c>
      <c r="AN135" s="1" t="s">
        <v>57</v>
      </c>
      <c r="AO135" s="1" t="s">
        <v>59</v>
      </c>
      <c r="AP135" s="1" t="s">
        <v>28</v>
      </c>
      <c r="AQ135" s="1">
        <v>7</v>
      </c>
      <c r="AR135" s="1">
        <v>1804.05</v>
      </c>
      <c r="AS135" s="1">
        <v>0</v>
      </c>
      <c r="AT135" s="1">
        <v>12628.35</v>
      </c>
      <c r="AU135" s="1">
        <v>12628.35</v>
      </c>
      <c r="AV135" s="10">
        <v>0</v>
      </c>
      <c r="AW135" s="11">
        <v>12628.35</v>
      </c>
      <c r="AX135" s="1" t="s">
        <v>159</v>
      </c>
      <c r="AY135" s="1" t="s">
        <v>159</v>
      </c>
      <c r="AZ135" s="1" t="s">
        <v>159</v>
      </c>
    </row>
    <row r="136" spans="1:52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1"/>
        <v>11517.960000000001</v>
      </c>
      <c r="Q136" s="10">
        <f t="shared" si="12"/>
        <v>547.10299999999995</v>
      </c>
      <c r="R136" s="11">
        <f t="shared" si="13"/>
        <v>10970.857000000002</v>
      </c>
      <c r="S136" s="1" t="str">
        <f t="shared" si="14"/>
        <v>High</v>
      </c>
      <c r="T136" s="1" t="str" cm="1">
        <f t="array" ref="T136">_xlfn.IFS(L136&gt;5,"High",L136=5,"mediam",L136&lt;5,"low")</f>
        <v>High</v>
      </c>
      <c r="U136" s="1" t="str">
        <f t="shared" si="10"/>
        <v>High</v>
      </c>
      <c r="AF136" s="5">
        <v>10263</v>
      </c>
      <c r="AG136" s="1">
        <v>1671</v>
      </c>
      <c r="AH136" s="2">
        <v>45053</v>
      </c>
      <c r="AI136" s="2">
        <v>45059</v>
      </c>
      <c r="AJ136" s="1" t="s">
        <v>40</v>
      </c>
      <c r="AK136" s="1" t="s">
        <v>38</v>
      </c>
      <c r="AL136" s="1" t="s">
        <v>30</v>
      </c>
      <c r="AM136" s="1" t="s">
        <v>35</v>
      </c>
      <c r="AN136" s="1" t="s">
        <v>49</v>
      </c>
      <c r="AO136" s="1" t="s">
        <v>63</v>
      </c>
      <c r="AP136" s="1" t="s">
        <v>33</v>
      </c>
      <c r="AQ136" s="1">
        <v>7</v>
      </c>
      <c r="AR136" s="1">
        <v>2165.86</v>
      </c>
      <c r="AS136" s="1">
        <v>0</v>
      </c>
      <c r="AT136" s="1">
        <v>15161.02</v>
      </c>
      <c r="AU136" s="1">
        <v>15161.02</v>
      </c>
      <c r="AV136" s="10">
        <v>0</v>
      </c>
      <c r="AW136" s="11">
        <v>15161.02</v>
      </c>
      <c r="AX136" s="1" t="s">
        <v>159</v>
      </c>
      <c r="AY136" s="1" t="s">
        <v>159</v>
      </c>
      <c r="AZ136" s="1" t="s">
        <v>159</v>
      </c>
    </row>
    <row r="137" spans="1:52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1"/>
        <v>10855.74</v>
      </c>
      <c r="Q137" s="10">
        <f t="shared" si="12"/>
        <v>0</v>
      </c>
      <c r="R137" s="11">
        <f t="shared" si="13"/>
        <v>10855.74</v>
      </c>
      <c r="S137" s="1" t="str">
        <f t="shared" si="14"/>
        <v>High</v>
      </c>
      <c r="T137" s="1" t="str" cm="1">
        <f t="array" ref="T137">_xlfn.IFS(L137&gt;5,"High",L137=5,"mediam",L137&lt;5,"low")</f>
        <v>High</v>
      </c>
      <c r="U137" s="1" t="str">
        <f t="shared" ref="U137:U200" si="15">IF(L137&gt;5,"High",IF(L137="Mediam","Low"))</f>
        <v>High</v>
      </c>
      <c r="AF137" s="5">
        <v>10266</v>
      </c>
      <c r="AG137" s="1">
        <v>1232</v>
      </c>
      <c r="AH137" s="2">
        <v>45129</v>
      </c>
      <c r="AI137" s="2">
        <v>45134</v>
      </c>
      <c r="AJ137" s="1" t="s">
        <v>40</v>
      </c>
      <c r="AK137" s="1" t="s">
        <v>16</v>
      </c>
      <c r="AL137" s="1" t="s">
        <v>30</v>
      </c>
      <c r="AM137" s="1" t="s">
        <v>35</v>
      </c>
      <c r="AN137" s="1" t="s">
        <v>26</v>
      </c>
      <c r="AO137" s="1" t="s">
        <v>61</v>
      </c>
      <c r="AP137" s="1" t="s">
        <v>33</v>
      </c>
      <c r="AQ137" s="1">
        <v>8</v>
      </c>
      <c r="AR137" s="1">
        <v>2045.09</v>
      </c>
      <c r="AS137" s="1">
        <v>10</v>
      </c>
      <c r="AT137" s="1">
        <v>14724.65</v>
      </c>
      <c r="AU137" s="1">
        <v>16360.72</v>
      </c>
      <c r="AV137" s="10">
        <v>1472.4650000000001</v>
      </c>
      <c r="AW137" s="11">
        <v>14888.254999999999</v>
      </c>
      <c r="AX137" s="1" t="s">
        <v>159</v>
      </c>
      <c r="AY137" s="1" t="s">
        <v>159</v>
      </c>
      <c r="AZ137" s="1" t="s">
        <v>159</v>
      </c>
    </row>
    <row r="138" spans="1:52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1"/>
        <v>2644.6</v>
      </c>
      <c r="Q138" s="10">
        <f t="shared" si="12"/>
        <v>337.18649999999997</v>
      </c>
      <c r="R138" s="11">
        <f t="shared" si="13"/>
        <v>2307.4135000000001</v>
      </c>
      <c r="S138" s="1" t="str">
        <f t="shared" si="14"/>
        <v>Low</v>
      </c>
      <c r="T138" s="1" t="str" cm="1">
        <f t="array" ref="T138">_xlfn.IFS(L138&gt;5,"High",L138=5,"mediam",L138&lt;5,"low")</f>
        <v>low</v>
      </c>
      <c r="U138" s="1" t="b">
        <f t="shared" si="15"/>
        <v>0</v>
      </c>
      <c r="AF138" s="5">
        <v>10269</v>
      </c>
      <c r="AG138" s="1">
        <v>1829</v>
      </c>
      <c r="AH138" s="2">
        <v>45125</v>
      </c>
      <c r="AI138" s="2">
        <v>45132</v>
      </c>
      <c r="AJ138" s="1" t="s">
        <v>15</v>
      </c>
      <c r="AK138" s="1" t="s">
        <v>41</v>
      </c>
      <c r="AL138" s="1" t="s">
        <v>24</v>
      </c>
      <c r="AM138" s="1" t="s">
        <v>35</v>
      </c>
      <c r="AN138" s="1" t="s">
        <v>49</v>
      </c>
      <c r="AO138" s="1" t="s">
        <v>51</v>
      </c>
      <c r="AP138" s="1" t="s">
        <v>47</v>
      </c>
      <c r="AQ138" s="1">
        <v>5</v>
      </c>
      <c r="AR138" s="1">
        <v>3156.54</v>
      </c>
      <c r="AS138" s="1">
        <v>20</v>
      </c>
      <c r="AT138" s="1">
        <v>12626.16</v>
      </c>
      <c r="AU138" s="1">
        <v>15782.7</v>
      </c>
      <c r="AV138" s="10">
        <v>2525.232</v>
      </c>
      <c r="AW138" s="11">
        <v>13257.468000000001</v>
      </c>
      <c r="AX138" s="1" t="s">
        <v>159</v>
      </c>
      <c r="AY138" s="1" t="s">
        <v>160</v>
      </c>
      <c r="AZ138" s="1" t="b">
        <v>0</v>
      </c>
    </row>
    <row r="139" spans="1:52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1"/>
        <v>912.67</v>
      </c>
      <c r="Q139" s="10">
        <f t="shared" si="12"/>
        <v>0</v>
      </c>
      <c r="R139" s="11">
        <f t="shared" si="13"/>
        <v>912.67</v>
      </c>
      <c r="S139" s="1" t="str">
        <f t="shared" si="14"/>
        <v>Low</v>
      </c>
      <c r="T139" s="1" t="str" cm="1">
        <f t="array" ref="T139">_xlfn.IFS(L139&gt;5,"High",L139=5,"mediam",L139&lt;5,"low")</f>
        <v>low</v>
      </c>
      <c r="U139" s="1" t="b">
        <f t="shared" si="15"/>
        <v>0</v>
      </c>
      <c r="AF139" s="5">
        <v>10270</v>
      </c>
      <c r="AG139" s="1">
        <v>1496</v>
      </c>
      <c r="AH139" s="2">
        <v>45080</v>
      </c>
      <c r="AI139" s="2">
        <v>45086</v>
      </c>
      <c r="AJ139" s="1" t="s">
        <v>22</v>
      </c>
      <c r="AK139" s="1" t="s">
        <v>29</v>
      </c>
      <c r="AL139" s="1" t="s">
        <v>24</v>
      </c>
      <c r="AM139" s="1" t="s">
        <v>35</v>
      </c>
      <c r="AN139" s="1" t="s">
        <v>31</v>
      </c>
      <c r="AO139" s="1" t="s">
        <v>65</v>
      </c>
      <c r="AP139" s="1" t="s">
        <v>45</v>
      </c>
      <c r="AQ139" s="1">
        <v>6</v>
      </c>
      <c r="AR139" s="1">
        <v>3197.13</v>
      </c>
      <c r="AS139" s="1">
        <v>10</v>
      </c>
      <c r="AT139" s="1">
        <v>17264.5</v>
      </c>
      <c r="AU139" s="1">
        <v>19182.78</v>
      </c>
      <c r="AV139" s="10">
        <v>1726.45</v>
      </c>
      <c r="AW139" s="11">
        <v>17456.329999999998</v>
      </c>
      <c r="AX139" s="1" t="s">
        <v>159</v>
      </c>
      <c r="AY139" s="1" t="s">
        <v>159</v>
      </c>
      <c r="AZ139" s="1" t="s">
        <v>159</v>
      </c>
    </row>
    <row r="140" spans="1:52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1"/>
        <v>805.82</v>
      </c>
      <c r="Q140" s="10">
        <f t="shared" si="12"/>
        <v>72.524000000000001</v>
      </c>
      <c r="R140" s="11">
        <f t="shared" si="13"/>
        <v>733.29600000000005</v>
      </c>
      <c r="S140" s="1" t="str">
        <f t="shared" si="14"/>
        <v>Low</v>
      </c>
      <c r="T140" s="1" t="str" cm="1">
        <f t="array" ref="T140">_xlfn.IFS(L140&gt;5,"High",L140=5,"mediam",L140&lt;5,"low")</f>
        <v>low</v>
      </c>
      <c r="U140" s="1" t="b">
        <f t="shared" si="15"/>
        <v>0</v>
      </c>
      <c r="AF140" s="5">
        <v>10279</v>
      </c>
      <c r="AG140" s="1">
        <v>1612</v>
      </c>
      <c r="AH140" s="2">
        <v>45013</v>
      </c>
      <c r="AI140" s="2">
        <v>45018</v>
      </c>
      <c r="AJ140" s="1" t="s">
        <v>34</v>
      </c>
      <c r="AK140" s="1" t="s">
        <v>29</v>
      </c>
      <c r="AL140" s="1" t="s">
        <v>24</v>
      </c>
      <c r="AM140" s="1" t="s">
        <v>35</v>
      </c>
      <c r="AN140" s="1" t="s">
        <v>52</v>
      </c>
      <c r="AO140" s="1" t="s">
        <v>60</v>
      </c>
      <c r="AP140" s="1" t="s">
        <v>28</v>
      </c>
      <c r="AQ140" s="1">
        <v>6</v>
      </c>
      <c r="AR140" s="1">
        <v>3574.87</v>
      </c>
      <c r="AS140" s="1">
        <v>0</v>
      </c>
      <c r="AT140" s="1">
        <v>21449.22</v>
      </c>
      <c r="AU140" s="1">
        <v>21449.22</v>
      </c>
      <c r="AV140" s="10">
        <v>0</v>
      </c>
      <c r="AW140" s="11">
        <v>21449.22</v>
      </c>
      <c r="AX140" s="1" t="s">
        <v>159</v>
      </c>
      <c r="AY140" s="1" t="s">
        <v>159</v>
      </c>
      <c r="AZ140" s="1" t="s">
        <v>159</v>
      </c>
    </row>
    <row r="141" spans="1:52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1"/>
        <v>14261.64</v>
      </c>
      <c r="Q141" s="10">
        <f t="shared" si="12"/>
        <v>2281.8620000000001</v>
      </c>
      <c r="R141" s="11">
        <f t="shared" si="13"/>
        <v>11979.777999999998</v>
      </c>
      <c r="S141" s="1" t="str">
        <f t="shared" si="14"/>
        <v>Low</v>
      </c>
      <c r="T141" s="1" t="str" cm="1">
        <f t="array" ref="T141">_xlfn.IFS(L141&gt;5,"High",L141=5,"mediam",L141&lt;5,"low")</f>
        <v>low</v>
      </c>
      <c r="U141" s="1" t="b">
        <f t="shared" si="15"/>
        <v>0</v>
      </c>
      <c r="AF141" s="5">
        <v>10284</v>
      </c>
      <c r="AG141" s="1">
        <v>1112</v>
      </c>
      <c r="AH141" s="2">
        <v>45087</v>
      </c>
      <c r="AI141" s="2">
        <v>45093</v>
      </c>
      <c r="AJ141" s="1" t="s">
        <v>34</v>
      </c>
      <c r="AK141" s="1" t="s">
        <v>41</v>
      </c>
      <c r="AL141" s="1" t="s">
        <v>24</v>
      </c>
      <c r="AM141" s="1" t="s">
        <v>35</v>
      </c>
      <c r="AN141" s="1" t="s">
        <v>49</v>
      </c>
      <c r="AO141" s="1" t="s">
        <v>51</v>
      </c>
      <c r="AP141" s="1" t="s">
        <v>28</v>
      </c>
      <c r="AQ141" s="1">
        <v>6</v>
      </c>
      <c r="AR141" s="1">
        <v>1605.69</v>
      </c>
      <c r="AS141" s="1">
        <v>15</v>
      </c>
      <c r="AT141" s="1">
        <v>8189.02</v>
      </c>
      <c r="AU141" s="1">
        <v>9634.14</v>
      </c>
      <c r="AV141" s="10">
        <v>1228.3530000000001</v>
      </c>
      <c r="AW141" s="11">
        <v>8405.7870000000003</v>
      </c>
      <c r="AX141" s="1" t="s">
        <v>159</v>
      </c>
      <c r="AY141" s="1" t="s">
        <v>159</v>
      </c>
      <c r="AZ141" s="1" t="s">
        <v>159</v>
      </c>
    </row>
    <row r="142" spans="1:52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1"/>
        <v>3532.84</v>
      </c>
      <c r="Q142" s="10">
        <f t="shared" si="12"/>
        <v>317.95600000000002</v>
      </c>
      <c r="R142" s="11">
        <f t="shared" si="13"/>
        <v>3214.884</v>
      </c>
      <c r="S142" s="1" t="str">
        <f t="shared" si="14"/>
        <v>Low</v>
      </c>
      <c r="T142" s="1" t="str" cm="1">
        <f t="array" ref="T142">_xlfn.IFS(L142&gt;5,"High",L142=5,"mediam",L142&lt;5,"low")</f>
        <v>low</v>
      </c>
      <c r="U142" s="1" t="b">
        <f t="shared" si="15"/>
        <v>0</v>
      </c>
      <c r="AF142" s="5">
        <v>10292</v>
      </c>
      <c r="AG142" s="1">
        <v>1224</v>
      </c>
      <c r="AH142" s="2">
        <v>45078</v>
      </c>
      <c r="AI142" s="2">
        <v>45083</v>
      </c>
      <c r="AJ142" s="1" t="s">
        <v>22</v>
      </c>
      <c r="AK142" s="1" t="s">
        <v>23</v>
      </c>
      <c r="AL142" s="1" t="s">
        <v>24</v>
      </c>
      <c r="AM142" s="1" t="s">
        <v>35</v>
      </c>
      <c r="AN142" s="1" t="s">
        <v>57</v>
      </c>
      <c r="AO142" s="1" t="s">
        <v>67</v>
      </c>
      <c r="AP142" s="1" t="s">
        <v>21</v>
      </c>
      <c r="AQ142" s="1">
        <v>6</v>
      </c>
      <c r="AR142" s="1">
        <v>1116.6600000000001</v>
      </c>
      <c r="AS142" s="1">
        <v>0</v>
      </c>
      <c r="AT142" s="1">
        <v>6699.96</v>
      </c>
      <c r="AU142" s="1">
        <v>6699.9600000000009</v>
      </c>
      <c r="AV142" s="10">
        <v>0</v>
      </c>
      <c r="AW142" s="11">
        <v>6699.9600000000009</v>
      </c>
      <c r="AX142" s="1" t="s">
        <v>159</v>
      </c>
      <c r="AY142" s="1" t="s">
        <v>159</v>
      </c>
      <c r="AZ142" s="1" t="s">
        <v>159</v>
      </c>
    </row>
    <row r="143" spans="1:52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1"/>
        <v>2063.0500000000002</v>
      </c>
      <c r="Q143" s="10">
        <f t="shared" si="12"/>
        <v>0</v>
      </c>
      <c r="R143" s="11">
        <f t="shared" si="13"/>
        <v>2063.0500000000002</v>
      </c>
      <c r="S143" s="1" t="str">
        <f t="shared" si="14"/>
        <v>Low</v>
      </c>
      <c r="T143" s="1" t="str" cm="1">
        <f t="array" ref="T143">_xlfn.IFS(L143&gt;5,"High",L143=5,"mediam",L143&lt;5,"low")</f>
        <v>low</v>
      </c>
      <c r="U143" s="1" t="b">
        <f t="shared" si="15"/>
        <v>0</v>
      </c>
      <c r="AF143" s="5">
        <v>10294</v>
      </c>
      <c r="AG143" s="1">
        <v>1402</v>
      </c>
      <c r="AH143" s="2">
        <v>44987</v>
      </c>
      <c r="AI143" s="2">
        <v>44994</v>
      </c>
      <c r="AJ143" s="1" t="s">
        <v>22</v>
      </c>
      <c r="AK143" s="1" t="s">
        <v>16</v>
      </c>
      <c r="AL143" s="1" t="s">
        <v>24</v>
      </c>
      <c r="AM143" s="1" t="s">
        <v>35</v>
      </c>
      <c r="AN143" s="1" t="s">
        <v>19</v>
      </c>
      <c r="AO143" s="1" t="s">
        <v>43</v>
      </c>
      <c r="AP143" s="1" t="s">
        <v>45</v>
      </c>
      <c r="AQ143" s="1">
        <v>3</v>
      </c>
      <c r="AR143" s="1">
        <v>967.49</v>
      </c>
      <c r="AS143" s="1">
        <v>0</v>
      </c>
      <c r="AT143" s="1">
        <v>2902.47</v>
      </c>
      <c r="AU143" s="1">
        <v>2902.4700000000003</v>
      </c>
      <c r="AV143" s="10">
        <v>0</v>
      </c>
      <c r="AW143" s="11">
        <v>2902.4700000000003</v>
      </c>
      <c r="AX143" s="1" t="s">
        <v>161</v>
      </c>
      <c r="AY143" s="1" t="s">
        <v>162</v>
      </c>
      <c r="AZ143" s="1" t="b">
        <v>0</v>
      </c>
    </row>
    <row r="144" spans="1:52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1"/>
        <v>25761.61</v>
      </c>
      <c r="Q144" s="10">
        <f t="shared" si="12"/>
        <v>1223.6765</v>
      </c>
      <c r="R144" s="11">
        <f t="shared" si="13"/>
        <v>24537.933499999999</v>
      </c>
      <c r="S144" s="1" t="str">
        <f t="shared" si="14"/>
        <v>High</v>
      </c>
      <c r="T144" s="1" t="str" cm="1">
        <f t="array" ref="T144">_xlfn.IFS(L144&gt;5,"High",L144=5,"mediam",L144&lt;5,"low")</f>
        <v>High</v>
      </c>
      <c r="U144" s="1" t="str">
        <f t="shared" si="15"/>
        <v>High</v>
      </c>
      <c r="AF144" s="5">
        <v>10296</v>
      </c>
      <c r="AG144" s="1">
        <v>1129</v>
      </c>
      <c r="AH144" s="2">
        <v>44954</v>
      </c>
      <c r="AI144" s="2">
        <v>44957</v>
      </c>
      <c r="AJ144" s="1" t="s">
        <v>16</v>
      </c>
      <c r="AK144" s="1" t="s">
        <v>16</v>
      </c>
      <c r="AL144" s="1" t="s">
        <v>17</v>
      </c>
      <c r="AM144" s="1" t="s">
        <v>35</v>
      </c>
      <c r="AN144" s="1" t="s">
        <v>31</v>
      </c>
      <c r="AO144" s="1" t="s">
        <v>48</v>
      </c>
      <c r="AP144" s="1" t="s">
        <v>47</v>
      </c>
      <c r="AQ144" s="1">
        <v>5</v>
      </c>
      <c r="AR144" s="1">
        <v>2850.33</v>
      </c>
      <c r="AS144" s="1">
        <v>5</v>
      </c>
      <c r="AT144" s="1">
        <v>13539.07</v>
      </c>
      <c r="AU144" s="1">
        <v>14251.65</v>
      </c>
      <c r="AV144" s="10">
        <v>676.95350000000008</v>
      </c>
      <c r="AW144" s="11">
        <v>13574.6965</v>
      </c>
      <c r="AX144" s="1" t="s">
        <v>159</v>
      </c>
      <c r="AY144" s="1" t="s">
        <v>160</v>
      </c>
      <c r="AZ144" s="1" t="b">
        <v>0</v>
      </c>
    </row>
    <row r="145" spans="1:52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1"/>
        <v>25109.759999999998</v>
      </c>
      <c r="Q145" s="10">
        <f t="shared" si="12"/>
        <v>4017.5620000000004</v>
      </c>
      <c r="R145" s="11">
        <f t="shared" si="13"/>
        <v>21092.197999999997</v>
      </c>
      <c r="S145" s="1" t="str">
        <f t="shared" si="14"/>
        <v>High</v>
      </c>
      <c r="T145" s="1" t="str" cm="1">
        <f t="array" ref="T145">_xlfn.IFS(L145&gt;5,"High",L145=5,"mediam",L145&lt;5,"low")</f>
        <v>High</v>
      </c>
      <c r="U145" s="1" t="str">
        <f t="shared" si="15"/>
        <v>High</v>
      </c>
      <c r="AF145" s="5">
        <v>10305</v>
      </c>
      <c r="AG145" s="1">
        <v>1438</v>
      </c>
      <c r="AH145" s="2">
        <v>44991</v>
      </c>
      <c r="AI145" s="2">
        <v>44993</v>
      </c>
      <c r="AJ145" s="1" t="s">
        <v>46</v>
      </c>
      <c r="AK145" s="1" t="s">
        <v>41</v>
      </c>
      <c r="AL145" s="1" t="s">
        <v>17</v>
      </c>
      <c r="AM145" s="1" t="s">
        <v>35</v>
      </c>
      <c r="AN145" s="1" t="s">
        <v>31</v>
      </c>
      <c r="AO145" s="1" t="s">
        <v>48</v>
      </c>
      <c r="AP145" s="1" t="s">
        <v>21</v>
      </c>
      <c r="AQ145" s="1">
        <v>2</v>
      </c>
      <c r="AR145" s="1">
        <v>3256.02</v>
      </c>
      <c r="AS145" s="1">
        <v>20</v>
      </c>
      <c r="AT145" s="1">
        <v>5209.63</v>
      </c>
      <c r="AU145" s="1">
        <v>6512.04</v>
      </c>
      <c r="AV145" s="10">
        <v>1041.9260000000002</v>
      </c>
      <c r="AW145" s="11">
        <v>5470.1139999999996</v>
      </c>
      <c r="AX145" s="1" t="s">
        <v>161</v>
      </c>
      <c r="AY145" s="1" t="s">
        <v>162</v>
      </c>
      <c r="AZ145" s="1" t="b">
        <v>0</v>
      </c>
    </row>
    <row r="146" spans="1:52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1"/>
        <v>3914.58</v>
      </c>
      <c r="Q146" s="10">
        <f t="shared" si="12"/>
        <v>352.31200000000001</v>
      </c>
      <c r="R146" s="11">
        <f t="shared" si="13"/>
        <v>3562.268</v>
      </c>
      <c r="S146" s="1" t="str">
        <f t="shared" si="14"/>
        <v>High</v>
      </c>
      <c r="T146" s="1" t="str" cm="1">
        <f t="array" ref="T146">_xlfn.IFS(L146&gt;5,"High",L146=5,"mediam",L146&lt;5,"low")</f>
        <v>High</v>
      </c>
      <c r="U146" s="1" t="str">
        <f t="shared" si="15"/>
        <v>High</v>
      </c>
      <c r="AF146" s="5">
        <v>10313</v>
      </c>
      <c r="AG146" s="1">
        <v>1836</v>
      </c>
      <c r="AH146" s="2">
        <v>44992</v>
      </c>
      <c r="AI146" s="2">
        <v>44997</v>
      </c>
      <c r="AJ146" s="1" t="s">
        <v>40</v>
      </c>
      <c r="AK146" s="1" t="s">
        <v>41</v>
      </c>
      <c r="AL146" s="1" t="s">
        <v>17</v>
      </c>
      <c r="AM146" s="1" t="s">
        <v>35</v>
      </c>
      <c r="AN146" s="1" t="s">
        <v>57</v>
      </c>
      <c r="AO146" s="1" t="s">
        <v>62</v>
      </c>
      <c r="AP146" s="1" t="s">
        <v>45</v>
      </c>
      <c r="AQ146" s="1">
        <v>1</v>
      </c>
      <c r="AR146" s="1">
        <v>3251.27</v>
      </c>
      <c r="AS146" s="1">
        <v>15</v>
      </c>
      <c r="AT146" s="1">
        <v>2763.58</v>
      </c>
      <c r="AU146" s="1">
        <v>3251.27</v>
      </c>
      <c r="AV146" s="10">
        <v>414.53699999999998</v>
      </c>
      <c r="AW146" s="11">
        <v>2836.7330000000002</v>
      </c>
      <c r="AX146" s="1" t="s">
        <v>161</v>
      </c>
      <c r="AY146" s="1" t="s">
        <v>162</v>
      </c>
      <c r="AZ146" s="1" t="b">
        <v>0</v>
      </c>
    </row>
    <row r="147" spans="1:52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1"/>
        <v>9307.48</v>
      </c>
      <c r="Q147" s="10">
        <f t="shared" si="12"/>
        <v>1186.704</v>
      </c>
      <c r="R147" s="11">
        <f t="shared" si="13"/>
        <v>8120.7759999999998</v>
      </c>
      <c r="S147" s="1" t="str">
        <f t="shared" si="14"/>
        <v>Low</v>
      </c>
      <c r="T147" s="1" t="str" cm="1">
        <f t="array" ref="T147">_xlfn.IFS(L147&gt;5,"High",L147=5,"mediam",L147&lt;5,"low")</f>
        <v>low</v>
      </c>
      <c r="U147" s="1" t="b">
        <f t="shared" si="15"/>
        <v>0</v>
      </c>
      <c r="AF147" s="5">
        <v>10318</v>
      </c>
      <c r="AG147" s="1">
        <v>1906</v>
      </c>
      <c r="AH147" s="2">
        <v>45093</v>
      </c>
      <c r="AI147" s="2">
        <v>45097</v>
      </c>
      <c r="AJ147" s="1" t="s">
        <v>15</v>
      </c>
      <c r="AK147" s="1" t="s">
        <v>23</v>
      </c>
      <c r="AL147" s="1" t="s">
        <v>30</v>
      </c>
      <c r="AM147" s="1" t="s">
        <v>35</v>
      </c>
      <c r="AN147" s="1" t="s">
        <v>49</v>
      </c>
      <c r="AO147" s="1" t="s">
        <v>68</v>
      </c>
      <c r="AP147" s="1" t="s">
        <v>21</v>
      </c>
      <c r="AQ147" s="1">
        <v>7</v>
      </c>
      <c r="AR147" s="1">
        <v>245.03</v>
      </c>
      <c r="AS147" s="1">
        <v>0</v>
      </c>
      <c r="AT147" s="1">
        <v>1715.21</v>
      </c>
      <c r="AU147" s="1">
        <v>1715.21</v>
      </c>
      <c r="AV147" s="10">
        <v>0</v>
      </c>
      <c r="AW147" s="11">
        <v>1715.21</v>
      </c>
      <c r="AX147" s="1" t="s">
        <v>159</v>
      </c>
      <c r="AY147" s="1" t="s">
        <v>159</v>
      </c>
      <c r="AZ147" s="1" t="s">
        <v>159</v>
      </c>
    </row>
    <row r="148" spans="1:52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1"/>
        <v>11116.02</v>
      </c>
      <c r="Q148" s="10">
        <f t="shared" si="12"/>
        <v>528.01099999999997</v>
      </c>
      <c r="R148" s="11">
        <f t="shared" si="13"/>
        <v>10588.009</v>
      </c>
      <c r="S148" s="1" t="str">
        <f t="shared" si="14"/>
        <v>High</v>
      </c>
      <c r="T148" s="1" t="str" cm="1">
        <f t="array" ref="T148">_xlfn.IFS(L148&gt;5,"High",L148=5,"mediam",L148&lt;5,"low")</f>
        <v>High</v>
      </c>
      <c r="U148" s="1" t="str">
        <f t="shared" si="15"/>
        <v>High</v>
      </c>
      <c r="AF148" s="5">
        <v>10320</v>
      </c>
      <c r="AG148" s="1">
        <v>1751</v>
      </c>
      <c r="AH148" s="2">
        <v>45002</v>
      </c>
      <c r="AI148" s="2">
        <v>45005</v>
      </c>
      <c r="AJ148" s="1" t="s">
        <v>15</v>
      </c>
      <c r="AK148" s="1" t="s">
        <v>16</v>
      </c>
      <c r="AL148" s="1" t="s">
        <v>17</v>
      </c>
      <c r="AM148" s="1" t="s">
        <v>35</v>
      </c>
      <c r="AN148" s="1" t="s">
        <v>26</v>
      </c>
      <c r="AO148" s="1" t="s">
        <v>36</v>
      </c>
      <c r="AP148" s="1" t="s">
        <v>28</v>
      </c>
      <c r="AQ148" s="1">
        <v>8</v>
      </c>
      <c r="AR148" s="1">
        <v>2254.7800000000002</v>
      </c>
      <c r="AS148" s="1">
        <v>0</v>
      </c>
      <c r="AT148" s="1">
        <v>18038.240000000002</v>
      </c>
      <c r="AU148" s="1">
        <v>18038.240000000002</v>
      </c>
      <c r="AV148" s="10">
        <v>0</v>
      </c>
      <c r="AW148" s="11">
        <v>18038.240000000002</v>
      </c>
      <c r="AX148" s="1" t="s">
        <v>159</v>
      </c>
      <c r="AY148" s="1" t="s">
        <v>159</v>
      </c>
      <c r="AZ148" s="1" t="s">
        <v>159</v>
      </c>
    </row>
    <row r="149" spans="1:52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1"/>
        <v>9657.7800000000007</v>
      </c>
      <c r="Q149" s="10">
        <f t="shared" si="12"/>
        <v>869.2</v>
      </c>
      <c r="R149" s="11">
        <f t="shared" si="13"/>
        <v>8788.58</v>
      </c>
      <c r="S149" s="1" t="str">
        <f t="shared" si="14"/>
        <v>Low</v>
      </c>
      <c r="T149" s="1" t="str" cm="1">
        <f t="array" ref="T149">_xlfn.IFS(L149&gt;5,"High",L149=5,"mediam",L149&lt;5,"low")</f>
        <v>low</v>
      </c>
      <c r="U149" s="1" t="b">
        <f t="shared" si="15"/>
        <v>0</v>
      </c>
      <c r="AF149" s="5">
        <v>10322</v>
      </c>
      <c r="AG149" s="1">
        <v>1608</v>
      </c>
      <c r="AH149" s="2">
        <v>45220</v>
      </c>
      <c r="AI149" s="2">
        <v>45222</v>
      </c>
      <c r="AJ149" s="1" t="s">
        <v>15</v>
      </c>
      <c r="AK149" s="1" t="s">
        <v>54</v>
      </c>
      <c r="AL149" s="1" t="s">
        <v>30</v>
      </c>
      <c r="AM149" s="1" t="s">
        <v>35</v>
      </c>
      <c r="AN149" s="1" t="s">
        <v>26</v>
      </c>
      <c r="AO149" s="1" t="s">
        <v>61</v>
      </c>
      <c r="AP149" s="1" t="s">
        <v>28</v>
      </c>
      <c r="AQ149" s="1">
        <v>5</v>
      </c>
      <c r="AR149" s="1">
        <v>640.82000000000005</v>
      </c>
      <c r="AS149" s="1">
        <v>0</v>
      </c>
      <c r="AT149" s="1">
        <v>3204.1</v>
      </c>
      <c r="AU149" s="1">
        <v>3204.1000000000004</v>
      </c>
      <c r="AV149" s="10">
        <v>0</v>
      </c>
      <c r="AW149" s="11">
        <v>3204.1000000000004</v>
      </c>
      <c r="AX149" s="1" t="s">
        <v>159</v>
      </c>
      <c r="AY149" s="1" t="s">
        <v>160</v>
      </c>
      <c r="AZ149" s="1" t="b">
        <v>0</v>
      </c>
    </row>
    <row r="150" spans="1:52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1"/>
        <v>23506.400000000001</v>
      </c>
      <c r="Q150" s="10">
        <f t="shared" si="12"/>
        <v>2997.0659999999998</v>
      </c>
      <c r="R150" s="11">
        <f t="shared" si="13"/>
        <v>20509.334000000003</v>
      </c>
      <c r="S150" s="1" t="str">
        <f t="shared" si="14"/>
        <v>High</v>
      </c>
      <c r="T150" s="1" t="str" cm="1">
        <f t="array" ref="T150">_xlfn.IFS(L150&gt;5,"High",L150=5,"mediam",L150&lt;5,"low")</f>
        <v>High</v>
      </c>
      <c r="U150" s="1" t="str">
        <f t="shared" si="15"/>
        <v>High</v>
      </c>
      <c r="AF150" s="5">
        <v>10325</v>
      </c>
      <c r="AG150" s="1">
        <v>1186</v>
      </c>
      <c r="AH150" s="2">
        <v>45025</v>
      </c>
      <c r="AI150" s="2">
        <v>45030</v>
      </c>
      <c r="AJ150" s="1" t="s">
        <v>37</v>
      </c>
      <c r="AK150" s="1" t="s">
        <v>38</v>
      </c>
      <c r="AL150" s="1" t="s">
        <v>30</v>
      </c>
      <c r="AM150" s="1" t="s">
        <v>35</v>
      </c>
      <c r="AN150" s="1" t="s">
        <v>52</v>
      </c>
      <c r="AO150" s="1" t="s">
        <v>64</v>
      </c>
      <c r="AP150" s="1" t="s">
        <v>45</v>
      </c>
      <c r="AQ150" s="1">
        <v>7</v>
      </c>
      <c r="AR150" s="1">
        <v>730.15</v>
      </c>
      <c r="AS150" s="1">
        <v>0</v>
      </c>
      <c r="AT150" s="1">
        <v>5111.05</v>
      </c>
      <c r="AU150" s="1">
        <v>5111.05</v>
      </c>
      <c r="AV150" s="10">
        <v>0</v>
      </c>
      <c r="AW150" s="11">
        <v>5111.05</v>
      </c>
      <c r="AX150" s="1" t="s">
        <v>159</v>
      </c>
      <c r="AY150" s="1" t="s">
        <v>159</v>
      </c>
      <c r="AZ150" s="1" t="s">
        <v>159</v>
      </c>
    </row>
    <row r="151" spans="1:52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1"/>
        <v>5616.12</v>
      </c>
      <c r="Q151" s="10">
        <f t="shared" si="12"/>
        <v>0</v>
      </c>
      <c r="R151" s="11">
        <f t="shared" si="13"/>
        <v>5616.12</v>
      </c>
      <c r="S151" s="1" t="str">
        <f t="shared" si="14"/>
        <v>Low</v>
      </c>
      <c r="T151" s="1" t="str" cm="1">
        <f t="array" ref="T151">_xlfn.IFS(L151&gt;5,"High",L151=5,"mediam",L151&lt;5,"low")</f>
        <v>low</v>
      </c>
      <c r="U151" s="1" t="b">
        <f t="shared" si="15"/>
        <v>0</v>
      </c>
      <c r="AF151" s="5">
        <v>10331</v>
      </c>
      <c r="AG151" s="1">
        <v>1763</v>
      </c>
      <c r="AH151" s="2">
        <v>45203</v>
      </c>
      <c r="AI151" s="2">
        <v>45207</v>
      </c>
      <c r="AJ151" s="1" t="s">
        <v>34</v>
      </c>
      <c r="AK151" s="1" t="s">
        <v>38</v>
      </c>
      <c r="AL151" s="1" t="s">
        <v>17</v>
      </c>
      <c r="AM151" s="1" t="s">
        <v>35</v>
      </c>
      <c r="AN151" s="1" t="s">
        <v>19</v>
      </c>
      <c r="AO151" s="1" t="s">
        <v>55</v>
      </c>
      <c r="AP151" s="1" t="s">
        <v>47</v>
      </c>
      <c r="AQ151" s="1">
        <v>2</v>
      </c>
      <c r="AR151" s="1">
        <v>2481.1</v>
      </c>
      <c r="AS151" s="1">
        <v>15</v>
      </c>
      <c r="AT151" s="1">
        <v>4217.87</v>
      </c>
      <c r="AU151" s="1">
        <v>4962.2</v>
      </c>
      <c r="AV151" s="10">
        <v>632.68049999999994</v>
      </c>
      <c r="AW151" s="11">
        <v>4329.5195000000003</v>
      </c>
      <c r="AX151" s="1" t="s">
        <v>161</v>
      </c>
      <c r="AY151" s="1" t="s">
        <v>162</v>
      </c>
      <c r="AZ151" s="1" t="b">
        <v>0</v>
      </c>
    </row>
    <row r="152" spans="1:52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1"/>
        <v>7305.5</v>
      </c>
      <c r="Q152" s="10">
        <f t="shared" si="12"/>
        <v>931.452</v>
      </c>
      <c r="R152" s="11">
        <f t="shared" si="13"/>
        <v>6374.0479999999998</v>
      </c>
      <c r="S152" s="1" t="str">
        <f t="shared" si="14"/>
        <v>High</v>
      </c>
      <c r="T152" s="1" t="str" cm="1">
        <f t="array" ref="T152">_xlfn.IFS(L152&gt;5,"High",L152=5,"mediam",L152&lt;5,"low")</f>
        <v>mediam</v>
      </c>
      <c r="U152" s="1" t="b">
        <f t="shared" si="15"/>
        <v>0</v>
      </c>
      <c r="AF152" s="5">
        <v>10334</v>
      </c>
      <c r="AG152" s="1">
        <v>1402</v>
      </c>
      <c r="AH152" s="2">
        <v>44994</v>
      </c>
      <c r="AI152" s="2">
        <v>44995</v>
      </c>
      <c r="AJ152" s="1" t="s">
        <v>16</v>
      </c>
      <c r="AK152" s="1" t="s">
        <v>29</v>
      </c>
      <c r="AL152" s="1" t="s">
        <v>24</v>
      </c>
      <c r="AM152" s="1" t="s">
        <v>35</v>
      </c>
      <c r="AN152" s="1" t="s">
        <v>57</v>
      </c>
      <c r="AO152" s="1" t="s">
        <v>59</v>
      </c>
      <c r="AP152" s="1" t="s">
        <v>47</v>
      </c>
      <c r="AQ152" s="1">
        <v>5</v>
      </c>
      <c r="AR152" s="1">
        <v>2515.77</v>
      </c>
      <c r="AS152" s="1">
        <v>20</v>
      </c>
      <c r="AT152" s="1">
        <v>10063.08</v>
      </c>
      <c r="AU152" s="1">
        <v>12578.85</v>
      </c>
      <c r="AV152" s="10">
        <v>2012.616</v>
      </c>
      <c r="AW152" s="11">
        <v>10566.234</v>
      </c>
      <c r="AX152" s="1" t="s">
        <v>159</v>
      </c>
      <c r="AY152" s="1" t="s">
        <v>160</v>
      </c>
      <c r="AZ152" s="1" t="b">
        <v>0</v>
      </c>
    </row>
    <row r="153" spans="1:52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1"/>
        <v>3249.11</v>
      </c>
      <c r="Q153" s="10">
        <f t="shared" si="12"/>
        <v>292.42</v>
      </c>
      <c r="R153" s="11">
        <f t="shared" si="13"/>
        <v>2956.69</v>
      </c>
      <c r="S153" s="1" t="str">
        <f t="shared" si="14"/>
        <v>Low</v>
      </c>
      <c r="T153" s="1" t="str" cm="1">
        <f t="array" ref="T153">_xlfn.IFS(L153&gt;5,"High",L153=5,"mediam",L153&lt;5,"low")</f>
        <v>low</v>
      </c>
      <c r="U153" s="1" t="b">
        <f t="shared" si="15"/>
        <v>0</v>
      </c>
      <c r="AF153" s="5">
        <v>10335</v>
      </c>
      <c r="AG153" s="1">
        <v>1345</v>
      </c>
      <c r="AH153" s="2">
        <v>45140</v>
      </c>
      <c r="AI153" s="2">
        <v>45143</v>
      </c>
      <c r="AJ153" s="1" t="s">
        <v>40</v>
      </c>
      <c r="AK153" s="1" t="s">
        <v>41</v>
      </c>
      <c r="AL153" s="1" t="s">
        <v>17</v>
      </c>
      <c r="AM153" s="1" t="s">
        <v>35</v>
      </c>
      <c r="AN153" s="1" t="s">
        <v>19</v>
      </c>
      <c r="AO153" s="1" t="s">
        <v>43</v>
      </c>
      <c r="AP153" s="1" t="s">
        <v>45</v>
      </c>
      <c r="AQ153" s="1">
        <v>7</v>
      </c>
      <c r="AR153" s="1">
        <v>2387.6</v>
      </c>
      <c r="AS153" s="1">
        <v>20</v>
      </c>
      <c r="AT153" s="1">
        <v>13370.56</v>
      </c>
      <c r="AU153" s="1">
        <v>16713.2</v>
      </c>
      <c r="AV153" s="10">
        <v>2674.1120000000001</v>
      </c>
      <c r="AW153" s="11">
        <v>14039.088</v>
      </c>
      <c r="AX153" s="1" t="s">
        <v>159</v>
      </c>
      <c r="AY153" s="1" t="s">
        <v>159</v>
      </c>
      <c r="AZ153" s="1" t="s">
        <v>159</v>
      </c>
    </row>
    <row r="154" spans="1:52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1"/>
        <v>2110.2599999999998</v>
      </c>
      <c r="Q154" s="10">
        <f t="shared" si="12"/>
        <v>189.923</v>
      </c>
      <c r="R154" s="11">
        <f t="shared" si="13"/>
        <v>1920.3369999999998</v>
      </c>
      <c r="S154" s="1" t="str">
        <f t="shared" si="14"/>
        <v>High</v>
      </c>
      <c r="T154" s="1" t="str" cm="1">
        <f t="array" ref="T154">_xlfn.IFS(L154&gt;5,"High",L154=5,"mediam",L154&lt;5,"low")</f>
        <v>High</v>
      </c>
      <c r="U154" s="1" t="str">
        <f t="shared" si="15"/>
        <v>High</v>
      </c>
      <c r="AF154" s="5">
        <v>10341</v>
      </c>
      <c r="AG154" s="1">
        <v>1710</v>
      </c>
      <c r="AH154" s="2">
        <v>45042</v>
      </c>
      <c r="AI154" s="2">
        <v>45048</v>
      </c>
      <c r="AJ154" s="1" t="s">
        <v>16</v>
      </c>
      <c r="AK154" s="1" t="s">
        <v>29</v>
      </c>
      <c r="AL154" s="1" t="s">
        <v>17</v>
      </c>
      <c r="AM154" s="1" t="s">
        <v>35</v>
      </c>
      <c r="AN154" s="1" t="s">
        <v>49</v>
      </c>
      <c r="AO154" s="1" t="s">
        <v>51</v>
      </c>
      <c r="AP154" s="1" t="s">
        <v>28</v>
      </c>
      <c r="AQ154" s="1">
        <v>4</v>
      </c>
      <c r="AR154" s="1">
        <v>641.92999999999995</v>
      </c>
      <c r="AS154" s="1">
        <v>0</v>
      </c>
      <c r="AT154" s="1">
        <v>2567.7199999999998</v>
      </c>
      <c r="AU154" s="1">
        <v>2567.7199999999998</v>
      </c>
      <c r="AV154" s="10">
        <v>0</v>
      </c>
      <c r="AW154" s="11">
        <v>2567.7199999999998</v>
      </c>
      <c r="AX154" s="1" t="s">
        <v>161</v>
      </c>
      <c r="AY154" s="1" t="s">
        <v>162</v>
      </c>
      <c r="AZ154" s="1" t="b">
        <v>0</v>
      </c>
    </row>
    <row r="155" spans="1:52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1"/>
        <v>1529.12</v>
      </c>
      <c r="Q155" s="10">
        <f t="shared" si="12"/>
        <v>0</v>
      </c>
      <c r="R155" s="11">
        <f t="shared" si="13"/>
        <v>1529.12</v>
      </c>
      <c r="S155" s="1" t="str">
        <f t="shared" si="14"/>
        <v>Low</v>
      </c>
      <c r="T155" s="1" t="str" cm="1">
        <f t="array" ref="T155">_xlfn.IFS(L155&gt;5,"High",L155=5,"mediam",L155&lt;5,"low")</f>
        <v>low</v>
      </c>
      <c r="U155" s="1" t="b">
        <f t="shared" si="15"/>
        <v>0</v>
      </c>
      <c r="AF155" s="5">
        <v>10342</v>
      </c>
      <c r="AG155" s="1">
        <v>1819</v>
      </c>
      <c r="AH155" s="2">
        <v>45018</v>
      </c>
      <c r="AI155" s="2">
        <v>45019</v>
      </c>
      <c r="AJ155" s="1" t="s">
        <v>15</v>
      </c>
      <c r="AK155" s="1" t="s">
        <v>54</v>
      </c>
      <c r="AL155" s="1" t="s">
        <v>17</v>
      </c>
      <c r="AM155" s="1" t="s">
        <v>35</v>
      </c>
      <c r="AN155" s="1" t="s">
        <v>26</v>
      </c>
      <c r="AO155" s="1" t="s">
        <v>27</v>
      </c>
      <c r="AP155" s="1" t="s">
        <v>47</v>
      </c>
      <c r="AQ155" s="1">
        <v>5</v>
      </c>
      <c r="AR155" s="1">
        <v>1853.11</v>
      </c>
      <c r="AS155" s="1">
        <v>10</v>
      </c>
      <c r="AT155" s="1">
        <v>8338.99</v>
      </c>
      <c r="AU155" s="1">
        <v>9265.5499999999993</v>
      </c>
      <c r="AV155" s="10">
        <v>833.899</v>
      </c>
      <c r="AW155" s="11">
        <v>8431.6509999999998</v>
      </c>
      <c r="AX155" s="1" t="s">
        <v>159</v>
      </c>
      <c r="AY155" s="1" t="s">
        <v>160</v>
      </c>
      <c r="AZ155" s="1" t="b">
        <v>0</v>
      </c>
    </row>
    <row r="156" spans="1:52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1"/>
        <v>5768.6</v>
      </c>
      <c r="Q156" s="10">
        <f t="shared" si="12"/>
        <v>735.49650000000008</v>
      </c>
      <c r="R156" s="11">
        <f t="shared" si="13"/>
        <v>5033.1035000000002</v>
      </c>
      <c r="S156" s="1" t="str">
        <f t="shared" si="14"/>
        <v>Low</v>
      </c>
      <c r="T156" s="1" t="str" cm="1">
        <f t="array" ref="T156">_xlfn.IFS(L156&gt;5,"High",L156=5,"mediam",L156&lt;5,"low")</f>
        <v>low</v>
      </c>
      <c r="U156" s="1" t="b">
        <f t="shared" si="15"/>
        <v>0</v>
      </c>
      <c r="AF156" s="5">
        <v>10351</v>
      </c>
      <c r="AG156" s="1">
        <v>1778</v>
      </c>
      <c r="AH156" s="2">
        <v>44970</v>
      </c>
      <c r="AI156" s="2">
        <v>44972</v>
      </c>
      <c r="AJ156" s="1" t="s">
        <v>46</v>
      </c>
      <c r="AK156" s="1" t="s">
        <v>16</v>
      </c>
      <c r="AL156" s="1" t="s">
        <v>30</v>
      </c>
      <c r="AM156" s="1" t="s">
        <v>35</v>
      </c>
      <c r="AN156" s="1" t="s">
        <v>31</v>
      </c>
      <c r="AO156" s="1" t="s">
        <v>32</v>
      </c>
      <c r="AP156" s="1" t="s">
        <v>45</v>
      </c>
      <c r="AQ156" s="1">
        <v>3</v>
      </c>
      <c r="AR156" s="1">
        <v>1923.58</v>
      </c>
      <c r="AS156" s="1">
        <v>15</v>
      </c>
      <c r="AT156" s="1">
        <v>4905.13</v>
      </c>
      <c r="AU156" s="1">
        <v>5770.74</v>
      </c>
      <c r="AV156" s="10">
        <v>735.76949999999999</v>
      </c>
      <c r="AW156" s="11">
        <v>5034.9704999999994</v>
      </c>
      <c r="AX156" s="1" t="s">
        <v>161</v>
      </c>
      <c r="AY156" s="1" t="s">
        <v>162</v>
      </c>
      <c r="AZ156" s="1" t="b">
        <v>0</v>
      </c>
    </row>
    <row r="157" spans="1:52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1"/>
        <v>2674.2599999999998</v>
      </c>
      <c r="Q157" s="10">
        <f t="shared" si="12"/>
        <v>340.96799999999996</v>
      </c>
      <c r="R157" s="11">
        <f t="shared" si="13"/>
        <v>2333.2919999999999</v>
      </c>
      <c r="S157" s="1" t="str">
        <f t="shared" si="14"/>
        <v>High</v>
      </c>
      <c r="T157" s="1" t="str" cm="1">
        <f t="array" ref="T157">_xlfn.IFS(L157&gt;5,"High",L157=5,"mediam",L157&lt;5,"low")</f>
        <v>High</v>
      </c>
      <c r="U157" s="1" t="str">
        <f t="shared" si="15"/>
        <v>High</v>
      </c>
      <c r="AF157" s="5">
        <v>10355</v>
      </c>
      <c r="AG157" s="1">
        <v>1945</v>
      </c>
      <c r="AH157" s="2">
        <v>45188</v>
      </c>
      <c r="AI157" s="2">
        <v>45191</v>
      </c>
      <c r="AJ157" s="1" t="s">
        <v>37</v>
      </c>
      <c r="AK157" s="1" t="s">
        <v>23</v>
      </c>
      <c r="AL157" s="1" t="s">
        <v>30</v>
      </c>
      <c r="AM157" s="1" t="s">
        <v>35</v>
      </c>
      <c r="AN157" s="1" t="s">
        <v>52</v>
      </c>
      <c r="AO157" s="1" t="s">
        <v>53</v>
      </c>
      <c r="AP157" s="1" t="s">
        <v>21</v>
      </c>
      <c r="AQ157" s="1">
        <v>9</v>
      </c>
      <c r="AR157" s="1">
        <v>2632.88</v>
      </c>
      <c r="AS157" s="1">
        <v>5</v>
      </c>
      <c r="AT157" s="1">
        <v>22511.119999999999</v>
      </c>
      <c r="AU157" s="1">
        <v>23695.920000000002</v>
      </c>
      <c r="AV157" s="10">
        <v>1125.556</v>
      </c>
      <c r="AW157" s="11">
        <v>22570.364000000001</v>
      </c>
      <c r="AX157" s="1" t="s">
        <v>159</v>
      </c>
      <c r="AY157" s="1" t="s">
        <v>159</v>
      </c>
      <c r="AZ157" s="1" t="s">
        <v>159</v>
      </c>
    </row>
    <row r="158" spans="1:52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1"/>
        <v>8437.84</v>
      </c>
      <c r="Q158" s="10">
        <f t="shared" si="12"/>
        <v>0</v>
      </c>
      <c r="R158" s="11">
        <f t="shared" si="13"/>
        <v>8437.84</v>
      </c>
      <c r="S158" s="1" t="str">
        <f t="shared" si="14"/>
        <v>High</v>
      </c>
      <c r="T158" s="1" t="str" cm="1">
        <f t="array" ref="T158">_xlfn.IFS(L158&gt;5,"High",L158=5,"mediam",L158&lt;5,"low")</f>
        <v>High</v>
      </c>
      <c r="U158" s="1" t="str">
        <f t="shared" si="15"/>
        <v>High</v>
      </c>
      <c r="AF158" s="5">
        <v>10358</v>
      </c>
      <c r="AG158" s="1">
        <v>1989</v>
      </c>
      <c r="AH158" s="2">
        <v>45015</v>
      </c>
      <c r="AI158" s="2">
        <v>45019</v>
      </c>
      <c r="AJ158" s="1" t="s">
        <v>15</v>
      </c>
      <c r="AK158" s="1" t="s">
        <v>29</v>
      </c>
      <c r="AL158" s="1" t="s">
        <v>30</v>
      </c>
      <c r="AM158" s="1" t="s">
        <v>35</v>
      </c>
      <c r="AN158" s="1" t="s">
        <v>57</v>
      </c>
      <c r="AO158" s="1" t="s">
        <v>58</v>
      </c>
      <c r="AP158" s="1" t="s">
        <v>33</v>
      </c>
      <c r="AQ158" s="1">
        <v>8</v>
      </c>
      <c r="AR158" s="1">
        <v>3581.12</v>
      </c>
      <c r="AS158" s="1">
        <v>15</v>
      </c>
      <c r="AT158" s="1">
        <v>24351.62</v>
      </c>
      <c r="AU158" s="1">
        <v>28648.959999999999</v>
      </c>
      <c r="AV158" s="10">
        <v>3652.7429999999999</v>
      </c>
      <c r="AW158" s="11">
        <v>24996.217000000001</v>
      </c>
      <c r="AX158" s="1" t="s">
        <v>159</v>
      </c>
      <c r="AY158" s="1" t="s">
        <v>159</v>
      </c>
      <c r="AZ158" s="1" t="s">
        <v>159</v>
      </c>
    </row>
    <row r="159" spans="1:52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1"/>
        <v>26768.639999999999</v>
      </c>
      <c r="Q159" s="10">
        <f t="shared" si="12"/>
        <v>3413.0009999999997</v>
      </c>
      <c r="R159" s="11">
        <f t="shared" si="13"/>
        <v>23355.638999999999</v>
      </c>
      <c r="S159" s="1" t="str">
        <f t="shared" si="14"/>
        <v>High</v>
      </c>
      <c r="T159" s="1" t="str" cm="1">
        <f t="array" ref="T159">_xlfn.IFS(L159&gt;5,"High",L159=5,"mediam",L159&lt;5,"low")</f>
        <v>High</v>
      </c>
      <c r="U159" s="1" t="str">
        <f t="shared" si="15"/>
        <v>High</v>
      </c>
      <c r="AF159" s="5">
        <v>10365</v>
      </c>
      <c r="AG159" s="1">
        <v>1623</v>
      </c>
      <c r="AH159" s="2">
        <v>44934</v>
      </c>
      <c r="AI159" s="2">
        <v>44940</v>
      </c>
      <c r="AJ159" s="1" t="s">
        <v>16</v>
      </c>
      <c r="AK159" s="1" t="s">
        <v>41</v>
      </c>
      <c r="AL159" s="1" t="s">
        <v>17</v>
      </c>
      <c r="AM159" s="1" t="s">
        <v>35</v>
      </c>
      <c r="AN159" s="1" t="s">
        <v>52</v>
      </c>
      <c r="AO159" s="1" t="s">
        <v>53</v>
      </c>
      <c r="AP159" s="1" t="s">
        <v>33</v>
      </c>
      <c r="AQ159" s="1">
        <v>5</v>
      </c>
      <c r="AR159" s="1">
        <v>3593.46</v>
      </c>
      <c r="AS159" s="1">
        <v>20</v>
      </c>
      <c r="AT159" s="1">
        <v>14373.84</v>
      </c>
      <c r="AU159" s="1">
        <v>17967.3</v>
      </c>
      <c r="AV159" s="10">
        <v>2874.768</v>
      </c>
      <c r="AW159" s="11">
        <v>15092.531999999999</v>
      </c>
      <c r="AX159" s="1" t="s">
        <v>159</v>
      </c>
      <c r="AY159" s="1" t="s">
        <v>160</v>
      </c>
      <c r="AZ159" s="1" t="b">
        <v>0</v>
      </c>
    </row>
    <row r="160" spans="1:52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1"/>
        <v>22804.62</v>
      </c>
      <c r="Q160" s="10">
        <f t="shared" si="12"/>
        <v>0</v>
      </c>
      <c r="R160" s="11">
        <f t="shared" si="13"/>
        <v>22804.62</v>
      </c>
      <c r="S160" s="1" t="str">
        <f t="shared" si="14"/>
        <v>High</v>
      </c>
      <c r="T160" s="1" t="str" cm="1">
        <f t="array" ref="T160">_xlfn.IFS(L160&gt;5,"High",L160=5,"mediam",L160&lt;5,"low")</f>
        <v>High</v>
      </c>
      <c r="U160" s="1" t="str">
        <f t="shared" si="15"/>
        <v>High</v>
      </c>
      <c r="AF160" s="5">
        <v>10367</v>
      </c>
      <c r="AG160" s="1">
        <v>1880</v>
      </c>
      <c r="AH160" s="2">
        <v>45090</v>
      </c>
      <c r="AI160" s="2">
        <v>45095</v>
      </c>
      <c r="AJ160" s="1" t="s">
        <v>46</v>
      </c>
      <c r="AK160" s="1" t="s">
        <v>41</v>
      </c>
      <c r="AL160" s="1" t="s">
        <v>30</v>
      </c>
      <c r="AM160" s="1" t="s">
        <v>35</v>
      </c>
      <c r="AN160" s="1" t="s">
        <v>57</v>
      </c>
      <c r="AO160" s="1" t="s">
        <v>62</v>
      </c>
      <c r="AP160" s="1" t="s">
        <v>45</v>
      </c>
      <c r="AQ160" s="1">
        <v>8</v>
      </c>
      <c r="AR160" s="1">
        <v>3610.33</v>
      </c>
      <c r="AS160" s="1">
        <v>5</v>
      </c>
      <c r="AT160" s="1">
        <v>27438.51</v>
      </c>
      <c r="AU160" s="1">
        <v>28882.639999999999</v>
      </c>
      <c r="AV160" s="10">
        <v>1371.9255000000001</v>
      </c>
      <c r="AW160" s="11">
        <v>27510.714499999998</v>
      </c>
      <c r="AX160" s="1" t="s">
        <v>159</v>
      </c>
      <c r="AY160" s="1" t="s">
        <v>159</v>
      </c>
      <c r="AZ160" s="1" t="s">
        <v>159</v>
      </c>
    </row>
    <row r="161" spans="1:52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1"/>
        <v>5290.88</v>
      </c>
      <c r="Q161" s="10">
        <f t="shared" si="12"/>
        <v>251.31700000000001</v>
      </c>
      <c r="R161" s="11">
        <f t="shared" si="13"/>
        <v>5039.5630000000001</v>
      </c>
      <c r="S161" s="1" t="str">
        <f t="shared" si="14"/>
        <v>Low</v>
      </c>
      <c r="T161" s="1" t="str" cm="1">
        <f t="array" ref="T161">_xlfn.IFS(L161&gt;5,"High",L161=5,"mediam",L161&lt;5,"low")</f>
        <v>low</v>
      </c>
      <c r="U161" s="1" t="b">
        <f t="shared" si="15"/>
        <v>0</v>
      </c>
      <c r="AF161" s="5">
        <v>10368</v>
      </c>
      <c r="AG161" s="1">
        <v>1001</v>
      </c>
      <c r="AH161" s="2">
        <v>45011</v>
      </c>
      <c r="AI161" s="2">
        <v>45018</v>
      </c>
      <c r="AJ161" s="1" t="s">
        <v>22</v>
      </c>
      <c r="AK161" s="1" t="s">
        <v>38</v>
      </c>
      <c r="AL161" s="1" t="s">
        <v>30</v>
      </c>
      <c r="AM161" s="1" t="s">
        <v>35</v>
      </c>
      <c r="AN161" s="1" t="s">
        <v>19</v>
      </c>
      <c r="AO161" s="1" t="s">
        <v>20</v>
      </c>
      <c r="AP161" s="1" t="s">
        <v>21</v>
      </c>
      <c r="AQ161" s="1">
        <v>7</v>
      </c>
      <c r="AR161" s="1">
        <v>2279.48</v>
      </c>
      <c r="AS161" s="1">
        <v>15</v>
      </c>
      <c r="AT161" s="1">
        <v>13562.91</v>
      </c>
      <c r="AU161" s="1">
        <v>15956.36</v>
      </c>
      <c r="AV161" s="10">
        <v>2034.4364999999998</v>
      </c>
      <c r="AW161" s="11">
        <v>13921.923500000001</v>
      </c>
      <c r="AX161" s="1" t="s">
        <v>159</v>
      </c>
      <c r="AY161" s="1" t="s">
        <v>159</v>
      </c>
      <c r="AZ161" s="1" t="s">
        <v>159</v>
      </c>
    </row>
    <row r="162" spans="1:52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1"/>
        <v>9347.1200000000008</v>
      </c>
      <c r="Q162" s="10">
        <f t="shared" si="12"/>
        <v>841.24099999999999</v>
      </c>
      <c r="R162" s="11">
        <f t="shared" si="13"/>
        <v>8505.8790000000008</v>
      </c>
      <c r="S162" s="1" t="str">
        <f t="shared" si="14"/>
        <v>High</v>
      </c>
      <c r="T162" s="1" t="str" cm="1">
        <f t="array" ref="T162">_xlfn.IFS(L162&gt;5,"High",L162=5,"mediam",L162&lt;5,"low")</f>
        <v>High</v>
      </c>
      <c r="U162" s="1" t="str">
        <f t="shared" si="15"/>
        <v>High</v>
      </c>
      <c r="AF162" s="5">
        <v>10369</v>
      </c>
      <c r="AG162" s="1">
        <v>1896</v>
      </c>
      <c r="AH162" s="2">
        <v>44998</v>
      </c>
      <c r="AI162" s="2">
        <v>45000</v>
      </c>
      <c r="AJ162" s="1" t="s">
        <v>22</v>
      </c>
      <c r="AK162" s="1" t="s">
        <v>23</v>
      </c>
      <c r="AL162" s="1" t="s">
        <v>17</v>
      </c>
      <c r="AM162" s="1" t="s">
        <v>35</v>
      </c>
      <c r="AN162" s="1" t="s">
        <v>26</v>
      </c>
      <c r="AO162" s="1" t="s">
        <v>36</v>
      </c>
      <c r="AP162" s="1" t="s">
        <v>47</v>
      </c>
      <c r="AQ162" s="1">
        <v>8</v>
      </c>
      <c r="AR162" s="1">
        <v>3277.19</v>
      </c>
      <c r="AS162" s="1">
        <v>15</v>
      </c>
      <c r="AT162" s="1">
        <v>22284.89</v>
      </c>
      <c r="AU162" s="1">
        <v>26217.52</v>
      </c>
      <c r="AV162" s="10">
        <v>3342.7334999999998</v>
      </c>
      <c r="AW162" s="11">
        <v>22874.786500000002</v>
      </c>
      <c r="AX162" s="1" t="s">
        <v>159</v>
      </c>
      <c r="AY162" s="1" t="s">
        <v>159</v>
      </c>
      <c r="AZ162" s="1" t="s">
        <v>159</v>
      </c>
    </row>
    <row r="163" spans="1:52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1"/>
        <v>9820.7199999999993</v>
      </c>
      <c r="Q163" s="10">
        <f t="shared" si="12"/>
        <v>466.48400000000004</v>
      </c>
      <c r="R163" s="11">
        <f t="shared" si="13"/>
        <v>9354.235999999999</v>
      </c>
      <c r="S163" s="1" t="str">
        <f t="shared" si="14"/>
        <v>High</v>
      </c>
      <c r="T163" s="1" t="str" cm="1">
        <f t="array" ref="T163">_xlfn.IFS(L163&gt;5,"High",L163=5,"mediam",L163&lt;5,"low")</f>
        <v>High</v>
      </c>
      <c r="U163" s="1" t="str">
        <f t="shared" si="15"/>
        <v>High</v>
      </c>
      <c r="AF163" s="5">
        <v>10372</v>
      </c>
      <c r="AG163" s="1">
        <v>1651</v>
      </c>
      <c r="AH163" s="2">
        <v>45164</v>
      </c>
      <c r="AI163" s="2">
        <v>45167</v>
      </c>
      <c r="AJ163" s="1" t="s">
        <v>16</v>
      </c>
      <c r="AK163" s="1" t="s">
        <v>23</v>
      </c>
      <c r="AL163" s="1" t="s">
        <v>24</v>
      </c>
      <c r="AM163" s="1" t="s">
        <v>35</v>
      </c>
      <c r="AN163" s="1" t="s">
        <v>49</v>
      </c>
      <c r="AO163" s="1" t="s">
        <v>63</v>
      </c>
      <c r="AP163" s="1" t="s">
        <v>21</v>
      </c>
      <c r="AQ163" s="1">
        <v>2</v>
      </c>
      <c r="AR163" s="1">
        <v>3957.02</v>
      </c>
      <c r="AS163" s="1">
        <v>5</v>
      </c>
      <c r="AT163" s="1">
        <v>7518.34</v>
      </c>
      <c r="AU163" s="1">
        <v>7914.04</v>
      </c>
      <c r="AV163" s="10">
        <v>375.91700000000003</v>
      </c>
      <c r="AW163" s="11">
        <v>7538.1229999999996</v>
      </c>
      <c r="AX163" s="1" t="s">
        <v>161</v>
      </c>
      <c r="AY163" s="1" t="s">
        <v>162</v>
      </c>
      <c r="AZ163" s="1" t="b">
        <v>0</v>
      </c>
    </row>
    <row r="164" spans="1:52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1"/>
        <v>1219.22</v>
      </c>
      <c r="Q164" s="10">
        <f t="shared" si="12"/>
        <v>195.07600000000002</v>
      </c>
      <c r="R164" s="11">
        <f t="shared" si="13"/>
        <v>1024.144</v>
      </c>
      <c r="S164" s="1" t="str">
        <f t="shared" si="14"/>
        <v>Low</v>
      </c>
      <c r="T164" s="1" t="str" cm="1">
        <f t="array" ref="T164">_xlfn.IFS(L164&gt;5,"High",L164=5,"mediam",L164&lt;5,"low")</f>
        <v>low</v>
      </c>
      <c r="U164" s="1" t="b">
        <f t="shared" si="15"/>
        <v>0</v>
      </c>
      <c r="AF164" s="5">
        <v>10375</v>
      </c>
      <c r="AG164" s="1">
        <v>1159</v>
      </c>
      <c r="AH164" s="2">
        <v>44968</v>
      </c>
      <c r="AI164" s="2">
        <v>44970</v>
      </c>
      <c r="AJ164" s="1" t="s">
        <v>40</v>
      </c>
      <c r="AK164" s="1" t="s">
        <v>23</v>
      </c>
      <c r="AL164" s="1" t="s">
        <v>17</v>
      </c>
      <c r="AM164" s="1" t="s">
        <v>35</v>
      </c>
      <c r="AN164" s="1" t="s">
        <v>52</v>
      </c>
      <c r="AO164" s="1" t="s">
        <v>60</v>
      </c>
      <c r="AP164" s="1" t="s">
        <v>45</v>
      </c>
      <c r="AQ164" s="1">
        <v>3</v>
      </c>
      <c r="AR164" s="1">
        <v>1998.18</v>
      </c>
      <c r="AS164" s="1">
        <v>5</v>
      </c>
      <c r="AT164" s="1">
        <v>5694.81</v>
      </c>
      <c r="AU164" s="1">
        <v>5994.54</v>
      </c>
      <c r="AV164" s="10">
        <v>284.74050000000005</v>
      </c>
      <c r="AW164" s="11">
        <v>5709.7995000000001</v>
      </c>
      <c r="AX164" s="1" t="s">
        <v>161</v>
      </c>
      <c r="AY164" s="1" t="s">
        <v>162</v>
      </c>
      <c r="AZ164" s="1" t="b">
        <v>0</v>
      </c>
    </row>
    <row r="165" spans="1:52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1"/>
        <v>1153.32</v>
      </c>
      <c r="Q165" s="10">
        <f t="shared" si="12"/>
        <v>184.53200000000001</v>
      </c>
      <c r="R165" s="11">
        <f t="shared" si="13"/>
        <v>968.7879999999999</v>
      </c>
      <c r="S165" s="1" t="str">
        <f t="shared" si="14"/>
        <v>Low</v>
      </c>
      <c r="T165" s="1" t="str" cm="1">
        <f t="array" ref="T165">_xlfn.IFS(L165&gt;5,"High",L165=5,"mediam",L165&lt;5,"low")</f>
        <v>low</v>
      </c>
      <c r="U165" s="1" t="b">
        <f t="shared" si="15"/>
        <v>0</v>
      </c>
      <c r="AF165" s="5">
        <v>10378</v>
      </c>
      <c r="AG165" s="1">
        <v>1098</v>
      </c>
      <c r="AH165" s="2">
        <v>45189</v>
      </c>
      <c r="AI165" s="2">
        <v>45192</v>
      </c>
      <c r="AJ165" s="1" t="s">
        <v>40</v>
      </c>
      <c r="AK165" s="1" t="s">
        <v>23</v>
      </c>
      <c r="AL165" s="1" t="s">
        <v>17</v>
      </c>
      <c r="AM165" s="1" t="s">
        <v>35</v>
      </c>
      <c r="AN165" s="1" t="s">
        <v>52</v>
      </c>
      <c r="AO165" s="1" t="s">
        <v>64</v>
      </c>
      <c r="AP165" s="1" t="s">
        <v>28</v>
      </c>
      <c r="AQ165" s="1">
        <v>9</v>
      </c>
      <c r="AR165" s="1">
        <v>3344.43</v>
      </c>
      <c r="AS165" s="1">
        <v>10</v>
      </c>
      <c r="AT165" s="1">
        <v>27089.88</v>
      </c>
      <c r="AU165" s="1">
        <v>30099.87</v>
      </c>
      <c r="AV165" s="10">
        <v>2708.9880000000003</v>
      </c>
      <c r="AW165" s="11">
        <v>27390.881999999998</v>
      </c>
      <c r="AX165" s="1" t="s">
        <v>159</v>
      </c>
      <c r="AY165" s="1" t="s">
        <v>159</v>
      </c>
      <c r="AZ165" s="1" t="s">
        <v>159</v>
      </c>
    </row>
    <row r="166" spans="1:52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1"/>
        <v>14874.52</v>
      </c>
      <c r="Q166" s="10">
        <f t="shared" si="12"/>
        <v>2379.9240000000004</v>
      </c>
      <c r="R166" s="11">
        <f t="shared" si="13"/>
        <v>12494.596</v>
      </c>
      <c r="S166" s="1" t="str">
        <f t="shared" si="14"/>
        <v>Low</v>
      </c>
      <c r="T166" s="1" t="str" cm="1">
        <f t="array" ref="T166">_xlfn.IFS(L166&gt;5,"High",L166=5,"mediam",L166&lt;5,"low")</f>
        <v>low</v>
      </c>
      <c r="U166" s="1" t="b">
        <f t="shared" si="15"/>
        <v>0</v>
      </c>
      <c r="AF166" s="5">
        <v>10379</v>
      </c>
      <c r="AG166" s="1">
        <v>1658</v>
      </c>
      <c r="AH166" s="2">
        <v>45262</v>
      </c>
      <c r="AI166" s="2">
        <v>45270</v>
      </c>
      <c r="AJ166" s="1" t="s">
        <v>15</v>
      </c>
      <c r="AK166" s="1" t="s">
        <v>16</v>
      </c>
      <c r="AL166" s="1" t="s">
        <v>24</v>
      </c>
      <c r="AM166" s="1" t="s">
        <v>35</v>
      </c>
      <c r="AN166" s="1" t="s">
        <v>26</v>
      </c>
      <c r="AO166" s="1" t="s">
        <v>69</v>
      </c>
      <c r="AP166" s="1" t="s">
        <v>45</v>
      </c>
      <c r="AQ166" s="1">
        <v>1</v>
      </c>
      <c r="AR166" s="1">
        <v>3910.66</v>
      </c>
      <c r="AS166" s="1">
        <v>5</v>
      </c>
      <c r="AT166" s="1">
        <v>3715.13</v>
      </c>
      <c r="AU166" s="1">
        <v>3910.66</v>
      </c>
      <c r="AV166" s="10">
        <v>185.75650000000002</v>
      </c>
      <c r="AW166" s="11">
        <v>3724.9034999999999</v>
      </c>
      <c r="AX166" s="1" t="s">
        <v>161</v>
      </c>
      <c r="AY166" s="1" t="s">
        <v>162</v>
      </c>
      <c r="AZ166" s="1" t="b">
        <v>0</v>
      </c>
    </row>
    <row r="167" spans="1:52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1"/>
        <v>6809.18</v>
      </c>
      <c r="Q167" s="10">
        <f t="shared" si="12"/>
        <v>0</v>
      </c>
      <c r="R167" s="11">
        <f t="shared" si="13"/>
        <v>6809.18</v>
      </c>
      <c r="S167" s="1" t="str">
        <f t="shared" si="14"/>
        <v>High</v>
      </c>
      <c r="T167" s="1" t="str" cm="1">
        <f t="array" ref="T167">_xlfn.IFS(L167&gt;5,"High",L167=5,"mediam",L167&lt;5,"low")</f>
        <v>High</v>
      </c>
      <c r="U167" s="1" t="str">
        <f t="shared" si="15"/>
        <v>High</v>
      </c>
      <c r="AF167" s="5">
        <v>10389</v>
      </c>
      <c r="AG167" s="1">
        <v>1627</v>
      </c>
      <c r="AH167" s="2">
        <v>45027</v>
      </c>
      <c r="AI167" s="2">
        <v>45030</v>
      </c>
      <c r="AJ167" s="1" t="s">
        <v>15</v>
      </c>
      <c r="AK167" s="1" t="s">
        <v>38</v>
      </c>
      <c r="AL167" s="1" t="s">
        <v>17</v>
      </c>
      <c r="AM167" s="1" t="s">
        <v>35</v>
      </c>
      <c r="AN167" s="1" t="s">
        <v>26</v>
      </c>
      <c r="AO167" s="1" t="s">
        <v>69</v>
      </c>
      <c r="AP167" s="1" t="s">
        <v>21</v>
      </c>
      <c r="AQ167" s="1">
        <v>7</v>
      </c>
      <c r="AR167" s="1">
        <v>3459.29</v>
      </c>
      <c r="AS167" s="1">
        <v>0</v>
      </c>
      <c r="AT167" s="1">
        <v>24215.03</v>
      </c>
      <c r="AU167" s="1">
        <v>24215.03</v>
      </c>
      <c r="AV167" s="10">
        <v>0</v>
      </c>
      <c r="AW167" s="11">
        <v>24215.03</v>
      </c>
      <c r="AX167" s="1" t="s">
        <v>159</v>
      </c>
      <c r="AY167" s="1" t="s">
        <v>159</v>
      </c>
      <c r="AZ167" s="1" t="s">
        <v>159</v>
      </c>
    </row>
    <row r="168" spans="1:52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1"/>
        <v>12369.14</v>
      </c>
      <c r="Q168" s="10">
        <f t="shared" si="12"/>
        <v>1577.0654999999999</v>
      </c>
      <c r="R168" s="11">
        <f t="shared" si="13"/>
        <v>10792.074499999999</v>
      </c>
      <c r="S168" s="1" t="str">
        <f t="shared" si="14"/>
        <v>High</v>
      </c>
      <c r="T168" s="1" t="str" cm="1">
        <f t="array" ref="T168">_xlfn.IFS(L168&gt;5,"High",L168=5,"mediam",L168&lt;5,"low")</f>
        <v>High</v>
      </c>
      <c r="U168" s="1" t="str">
        <f t="shared" si="15"/>
        <v>High</v>
      </c>
      <c r="AF168" s="5">
        <v>10390</v>
      </c>
      <c r="AG168" s="1">
        <v>1586</v>
      </c>
      <c r="AH168" s="2">
        <v>45102</v>
      </c>
      <c r="AI168" s="2">
        <v>45103</v>
      </c>
      <c r="AJ168" s="1" t="s">
        <v>40</v>
      </c>
      <c r="AK168" s="1" t="s">
        <v>54</v>
      </c>
      <c r="AL168" s="1" t="s">
        <v>24</v>
      </c>
      <c r="AM168" s="1" t="s">
        <v>35</v>
      </c>
      <c r="AN168" s="1" t="s">
        <v>31</v>
      </c>
      <c r="AO168" s="1" t="s">
        <v>48</v>
      </c>
      <c r="AP168" s="1" t="s">
        <v>47</v>
      </c>
      <c r="AQ168" s="1">
        <v>1</v>
      </c>
      <c r="AR168" s="1">
        <v>2430.36</v>
      </c>
      <c r="AS168" s="1">
        <v>15</v>
      </c>
      <c r="AT168" s="1">
        <v>2065.81</v>
      </c>
      <c r="AU168" s="1">
        <v>2430.36</v>
      </c>
      <c r="AV168" s="10">
        <v>309.87149999999997</v>
      </c>
      <c r="AW168" s="11">
        <v>2120.4885000000004</v>
      </c>
      <c r="AX168" s="1" t="s">
        <v>161</v>
      </c>
      <c r="AY168" s="1" t="s">
        <v>162</v>
      </c>
      <c r="AZ168" s="1" t="b">
        <v>0</v>
      </c>
    </row>
    <row r="169" spans="1:52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1"/>
        <v>1498.32</v>
      </c>
      <c r="Q169" s="10">
        <f t="shared" si="12"/>
        <v>71.17</v>
      </c>
      <c r="R169" s="11">
        <f t="shared" si="13"/>
        <v>1427.1499999999999</v>
      </c>
      <c r="S169" s="1" t="str">
        <f t="shared" si="14"/>
        <v>High</v>
      </c>
      <c r="T169" s="1" t="str" cm="1">
        <f t="array" ref="T169">_xlfn.IFS(L169&gt;5,"High",L169=5,"mediam",L169&lt;5,"low")</f>
        <v>High</v>
      </c>
      <c r="U169" s="1" t="str">
        <f t="shared" si="15"/>
        <v>High</v>
      </c>
      <c r="AF169" s="5">
        <v>10393</v>
      </c>
      <c r="AG169" s="1">
        <v>1419</v>
      </c>
      <c r="AH169" s="2">
        <v>45186</v>
      </c>
      <c r="AI169" s="2">
        <v>45191</v>
      </c>
      <c r="AJ169" s="1" t="s">
        <v>40</v>
      </c>
      <c r="AK169" s="1" t="s">
        <v>23</v>
      </c>
      <c r="AL169" s="1" t="s">
        <v>24</v>
      </c>
      <c r="AM169" s="1" t="s">
        <v>35</v>
      </c>
      <c r="AN169" s="1" t="s">
        <v>52</v>
      </c>
      <c r="AO169" s="1" t="s">
        <v>60</v>
      </c>
      <c r="AP169" s="1" t="s">
        <v>45</v>
      </c>
      <c r="AQ169" s="1">
        <v>8</v>
      </c>
      <c r="AR169" s="1">
        <v>2993.25</v>
      </c>
      <c r="AS169" s="1">
        <v>10</v>
      </c>
      <c r="AT169" s="1">
        <v>21551.4</v>
      </c>
      <c r="AU169" s="1">
        <v>23946</v>
      </c>
      <c r="AV169" s="10">
        <v>2155.1400000000003</v>
      </c>
      <c r="AW169" s="11">
        <v>21790.86</v>
      </c>
      <c r="AX169" s="1" t="s">
        <v>159</v>
      </c>
      <c r="AY169" s="1" t="s">
        <v>159</v>
      </c>
      <c r="AZ169" s="1" t="s">
        <v>159</v>
      </c>
    </row>
    <row r="170" spans="1:52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1"/>
        <v>17265.650000000001</v>
      </c>
      <c r="Q170" s="10">
        <f t="shared" si="12"/>
        <v>820.11850000000004</v>
      </c>
      <c r="R170" s="11">
        <f t="shared" si="13"/>
        <v>16445.531500000001</v>
      </c>
      <c r="S170" s="1" t="str">
        <f t="shared" si="14"/>
        <v>High</v>
      </c>
      <c r="T170" s="1" t="str" cm="1">
        <f t="array" ref="T170">_xlfn.IFS(L170&gt;5,"High",L170=5,"mediam",L170&lt;5,"low")</f>
        <v>mediam</v>
      </c>
      <c r="U170" s="1" t="b">
        <f t="shared" si="15"/>
        <v>0</v>
      </c>
      <c r="AF170" s="5">
        <v>10400</v>
      </c>
      <c r="AG170" s="1">
        <v>1509</v>
      </c>
      <c r="AH170" s="2">
        <v>44942</v>
      </c>
      <c r="AI170" s="2">
        <v>44943</v>
      </c>
      <c r="AJ170" s="1" t="s">
        <v>34</v>
      </c>
      <c r="AK170" s="1" t="s">
        <v>29</v>
      </c>
      <c r="AL170" s="1" t="s">
        <v>30</v>
      </c>
      <c r="AM170" s="1" t="s">
        <v>35</v>
      </c>
      <c r="AN170" s="1" t="s">
        <v>52</v>
      </c>
      <c r="AO170" s="1" t="s">
        <v>60</v>
      </c>
      <c r="AP170" s="1" t="s">
        <v>21</v>
      </c>
      <c r="AQ170" s="1">
        <v>4</v>
      </c>
      <c r="AR170" s="1">
        <v>3979.53</v>
      </c>
      <c r="AS170" s="1">
        <v>10</v>
      </c>
      <c r="AT170" s="1">
        <v>14326.31</v>
      </c>
      <c r="AU170" s="1">
        <v>15918.12</v>
      </c>
      <c r="AV170" s="10">
        <v>1432.6310000000001</v>
      </c>
      <c r="AW170" s="11">
        <v>14485.489000000001</v>
      </c>
      <c r="AX170" s="1" t="s">
        <v>161</v>
      </c>
      <c r="AY170" s="1" t="s">
        <v>162</v>
      </c>
      <c r="AZ170" s="1" t="b">
        <v>0</v>
      </c>
    </row>
    <row r="171" spans="1:52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1"/>
        <v>20754.72</v>
      </c>
      <c r="Q171" s="10">
        <f t="shared" si="12"/>
        <v>985.84900000000005</v>
      </c>
      <c r="R171" s="11">
        <f t="shared" si="13"/>
        <v>19768.871000000003</v>
      </c>
      <c r="S171" s="1" t="str">
        <f t="shared" si="14"/>
        <v>High</v>
      </c>
      <c r="T171" s="1" t="str" cm="1">
        <f t="array" ref="T171">_xlfn.IFS(L171&gt;5,"High",L171=5,"mediam",L171&lt;5,"low")</f>
        <v>High</v>
      </c>
      <c r="U171" s="1" t="str">
        <f t="shared" si="15"/>
        <v>High</v>
      </c>
      <c r="AF171" s="5">
        <v>10401</v>
      </c>
      <c r="AG171" s="1">
        <v>1472</v>
      </c>
      <c r="AH171" s="2">
        <v>45055</v>
      </c>
      <c r="AI171" s="2">
        <v>45059</v>
      </c>
      <c r="AJ171" s="1" t="s">
        <v>16</v>
      </c>
      <c r="AK171" s="1" t="s">
        <v>29</v>
      </c>
      <c r="AL171" s="1" t="s">
        <v>24</v>
      </c>
      <c r="AM171" s="1" t="s">
        <v>35</v>
      </c>
      <c r="AN171" s="1" t="s">
        <v>31</v>
      </c>
      <c r="AO171" s="1" t="s">
        <v>48</v>
      </c>
      <c r="AP171" s="1" t="s">
        <v>45</v>
      </c>
      <c r="AQ171" s="1">
        <v>4</v>
      </c>
      <c r="AR171" s="1">
        <v>506.13</v>
      </c>
      <c r="AS171" s="1">
        <v>5</v>
      </c>
      <c r="AT171" s="1">
        <v>1923.29</v>
      </c>
      <c r="AU171" s="1">
        <v>2024.52</v>
      </c>
      <c r="AV171" s="10">
        <v>96.164500000000004</v>
      </c>
      <c r="AW171" s="11">
        <v>1928.3554999999999</v>
      </c>
      <c r="AX171" s="1" t="s">
        <v>161</v>
      </c>
      <c r="AY171" s="1" t="s">
        <v>162</v>
      </c>
      <c r="AZ171" s="1" t="b">
        <v>0</v>
      </c>
    </row>
    <row r="172" spans="1:52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1"/>
        <v>30360.080000000002</v>
      </c>
      <c r="Q172" s="10">
        <f t="shared" si="12"/>
        <v>1442.1040000000003</v>
      </c>
      <c r="R172" s="11">
        <f t="shared" si="13"/>
        <v>28917.976000000002</v>
      </c>
      <c r="S172" s="1" t="str">
        <f t="shared" si="14"/>
        <v>High</v>
      </c>
      <c r="T172" s="1" t="str" cm="1">
        <f t="array" ref="T172">_xlfn.IFS(L172&gt;5,"High",L172=5,"mediam",L172&lt;5,"low")</f>
        <v>High</v>
      </c>
      <c r="U172" s="1" t="str">
        <f t="shared" si="15"/>
        <v>High</v>
      </c>
      <c r="AF172" s="5">
        <v>10418</v>
      </c>
      <c r="AG172" s="1">
        <v>1800</v>
      </c>
      <c r="AH172" s="2">
        <v>45279</v>
      </c>
      <c r="AI172" s="2">
        <v>45280</v>
      </c>
      <c r="AJ172" s="1" t="s">
        <v>40</v>
      </c>
      <c r="AK172" s="1" t="s">
        <v>54</v>
      </c>
      <c r="AL172" s="1" t="s">
        <v>24</v>
      </c>
      <c r="AM172" s="1" t="s">
        <v>35</v>
      </c>
      <c r="AN172" s="1" t="s">
        <v>52</v>
      </c>
      <c r="AO172" s="1" t="s">
        <v>56</v>
      </c>
      <c r="AP172" s="1" t="s">
        <v>33</v>
      </c>
      <c r="AQ172" s="1">
        <v>8</v>
      </c>
      <c r="AR172" s="1">
        <v>3905.57</v>
      </c>
      <c r="AS172" s="1">
        <v>10</v>
      </c>
      <c r="AT172" s="1">
        <v>28120.1</v>
      </c>
      <c r="AU172" s="1">
        <v>31244.560000000001</v>
      </c>
      <c r="AV172" s="10">
        <v>2812.01</v>
      </c>
      <c r="AW172" s="11">
        <v>28432.550000000003</v>
      </c>
      <c r="AX172" s="1" t="s">
        <v>159</v>
      </c>
      <c r="AY172" s="1" t="s">
        <v>159</v>
      </c>
      <c r="AZ172" s="1" t="s">
        <v>159</v>
      </c>
    </row>
    <row r="173" spans="1:52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1"/>
        <v>28432.98</v>
      </c>
      <c r="Q173" s="10">
        <f t="shared" si="12"/>
        <v>4549.2760000000007</v>
      </c>
      <c r="R173" s="11">
        <f t="shared" si="13"/>
        <v>23883.703999999998</v>
      </c>
      <c r="S173" s="1" t="str">
        <f t="shared" si="14"/>
        <v>High</v>
      </c>
      <c r="T173" s="1" t="str" cm="1">
        <f t="array" ref="T173">_xlfn.IFS(L173&gt;5,"High",L173=5,"mediam",L173&lt;5,"low")</f>
        <v>High</v>
      </c>
      <c r="U173" s="1" t="str">
        <f t="shared" si="15"/>
        <v>High</v>
      </c>
      <c r="AF173" s="5">
        <v>10419</v>
      </c>
      <c r="AG173" s="1">
        <v>1397</v>
      </c>
      <c r="AH173" s="2">
        <v>45122</v>
      </c>
      <c r="AI173" s="2">
        <v>45129</v>
      </c>
      <c r="AJ173" s="1" t="s">
        <v>15</v>
      </c>
      <c r="AK173" s="1" t="s">
        <v>16</v>
      </c>
      <c r="AL173" s="1" t="s">
        <v>24</v>
      </c>
      <c r="AM173" s="1" t="s">
        <v>35</v>
      </c>
      <c r="AN173" s="1" t="s">
        <v>26</v>
      </c>
      <c r="AO173" s="1" t="s">
        <v>27</v>
      </c>
      <c r="AP173" s="1" t="s">
        <v>47</v>
      </c>
      <c r="AQ173" s="1">
        <v>8</v>
      </c>
      <c r="AR173" s="1">
        <v>1975.53</v>
      </c>
      <c r="AS173" s="1">
        <v>5</v>
      </c>
      <c r="AT173" s="1">
        <v>15014.03</v>
      </c>
      <c r="AU173" s="1">
        <v>15804.24</v>
      </c>
      <c r="AV173" s="10">
        <v>750.70150000000012</v>
      </c>
      <c r="AW173" s="11">
        <v>15053.538499999999</v>
      </c>
      <c r="AX173" s="1" t="s">
        <v>159</v>
      </c>
      <c r="AY173" s="1" t="s">
        <v>159</v>
      </c>
      <c r="AZ173" s="1" t="s">
        <v>159</v>
      </c>
    </row>
    <row r="174" spans="1:52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1"/>
        <v>4073.31</v>
      </c>
      <c r="Q174" s="10">
        <f t="shared" si="12"/>
        <v>193.482</v>
      </c>
      <c r="R174" s="11">
        <f t="shared" si="13"/>
        <v>3879.828</v>
      </c>
      <c r="S174" s="1" t="str">
        <f t="shared" si="14"/>
        <v>Low</v>
      </c>
      <c r="T174" s="1" t="str" cm="1">
        <f t="array" ref="T174">_xlfn.IFS(L174&gt;5,"High",L174=5,"mediam",L174&lt;5,"low")</f>
        <v>low</v>
      </c>
      <c r="U174" s="1" t="b">
        <f t="shared" si="15"/>
        <v>0</v>
      </c>
      <c r="AF174" s="5">
        <v>10431</v>
      </c>
      <c r="AG174" s="1">
        <v>1687</v>
      </c>
      <c r="AH174" s="2">
        <v>45139</v>
      </c>
      <c r="AI174" s="2">
        <v>45146</v>
      </c>
      <c r="AJ174" s="1" t="s">
        <v>46</v>
      </c>
      <c r="AK174" s="1" t="s">
        <v>38</v>
      </c>
      <c r="AL174" s="1" t="s">
        <v>30</v>
      </c>
      <c r="AM174" s="1" t="s">
        <v>35</v>
      </c>
      <c r="AN174" s="1" t="s">
        <v>49</v>
      </c>
      <c r="AO174" s="1" t="s">
        <v>51</v>
      </c>
      <c r="AP174" s="1" t="s">
        <v>28</v>
      </c>
      <c r="AQ174" s="1">
        <v>6</v>
      </c>
      <c r="AR174" s="1">
        <v>2247.37</v>
      </c>
      <c r="AS174" s="1">
        <v>15</v>
      </c>
      <c r="AT174" s="1">
        <v>11461.59</v>
      </c>
      <c r="AU174" s="1">
        <v>13484.22</v>
      </c>
      <c r="AV174" s="10">
        <v>1719.2384999999999</v>
      </c>
      <c r="AW174" s="11">
        <v>11764.9815</v>
      </c>
      <c r="AX174" s="1" t="s">
        <v>159</v>
      </c>
      <c r="AY174" s="1" t="s">
        <v>159</v>
      </c>
      <c r="AZ174" s="1" t="s">
        <v>159</v>
      </c>
    </row>
    <row r="175" spans="1:52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1"/>
        <v>3312.93</v>
      </c>
      <c r="Q175" s="10">
        <f t="shared" si="12"/>
        <v>422.39849999999996</v>
      </c>
      <c r="R175" s="11">
        <f t="shared" si="13"/>
        <v>2890.5315000000001</v>
      </c>
      <c r="S175" s="1" t="str">
        <f t="shared" si="14"/>
        <v>Low</v>
      </c>
      <c r="T175" s="1" t="str" cm="1">
        <f t="array" ref="T175">_xlfn.IFS(L175&gt;5,"High",L175=5,"mediam",L175&lt;5,"low")</f>
        <v>low</v>
      </c>
      <c r="U175" s="1" t="b">
        <f t="shared" si="15"/>
        <v>0</v>
      </c>
      <c r="AF175" s="5">
        <v>10437</v>
      </c>
      <c r="AG175" s="1">
        <v>1021</v>
      </c>
      <c r="AH175" s="2">
        <v>45203</v>
      </c>
      <c r="AI175" s="2">
        <v>45204</v>
      </c>
      <c r="AJ175" s="1" t="s">
        <v>22</v>
      </c>
      <c r="AK175" s="1" t="s">
        <v>38</v>
      </c>
      <c r="AL175" s="1" t="s">
        <v>30</v>
      </c>
      <c r="AM175" s="1" t="s">
        <v>35</v>
      </c>
      <c r="AN175" s="1" t="s">
        <v>57</v>
      </c>
      <c r="AO175" s="1" t="s">
        <v>62</v>
      </c>
      <c r="AP175" s="1" t="s">
        <v>21</v>
      </c>
      <c r="AQ175" s="1">
        <v>8</v>
      </c>
      <c r="AR175" s="1">
        <v>2846.66</v>
      </c>
      <c r="AS175" s="1">
        <v>15</v>
      </c>
      <c r="AT175" s="1">
        <v>19357.29</v>
      </c>
      <c r="AU175" s="1">
        <v>22773.279999999999</v>
      </c>
      <c r="AV175" s="10">
        <v>2903.5934999999999</v>
      </c>
      <c r="AW175" s="11">
        <v>19869.6865</v>
      </c>
      <c r="AX175" s="1" t="s">
        <v>159</v>
      </c>
      <c r="AY175" s="1" t="s">
        <v>159</v>
      </c>
      <c r="AZ175" s="1" t="s">
        <v>159</v>
      </c>
    </row>
    <row r="176" spans="1:52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1"/>
        <v>11344.84</v>
      </c>
      <c r="Q176" s="10">
        <f t="shared" si="12"/>
        <v>1815.1740000000002</v>
      </c>
      <c r="R176" s="11">
        <f t="shared" si="13"/>
        <v>9529.6659999999993</v>
      </c>
      <c r="S176" s="1" t="str">
        <f t="shared" si="14"/>
        <v>Low</v>
      </c>
      <c r="T176" s="1" t="str" cm="1">
        <f t="array" ref="T176">_xlfn.IFS(L176&gt;5,"High",L176=5,"mediam",L176&lt;5,"low")</f>
        <v>low</v>
      </c>
      <c r="U176" s="1" t="b">
        <f t="shared" si="15"/>
        <v>0</v>
      </c>
      <c r="AF176" s="5">
        <v>10439</v>
      </c>
      <c r="AG176" s="1">
        <v>1669</v>
      </c>
      <c r="AH176" s="2">
        <v>45174</v>
      </c>
      <c r="AI176" s="2">
        <v>45179</v>
      </c>
      <c r="AJ176" s="1" t="s">
        <v>34</v>
      </c>
      <c r="AK176" s="1" t="s">
        <v>29</v>
      </c>
      <c r="AL176" s="1" t="s">
        <v>24</v>
      </c>
      <c r="AM176" s="1" t="s">
        <v>35</v>
      </c>
      <c r="AN176" s="1" t="s">
        <v>49</v>
      </c>
      <c r="AO176" s="1" t="s">
        <v>51</v>
      </c>
      <c r="AP176" s="1" t="s">
        <v>28</v>
      </c>
      <c r="AQ176" s="1">
        <v>3</v>
      </c>
      <c r="AR176" s="1">
        <v>1448.62</v>
      </c>
      <c r="AS176" s="1">
        <v>10</v>
      </c>
      <c r="AT176" s="1">
        <v>3911.27</v>
      </c>
      <c r="AU176" s="1">
        <v>4345.8599999999997</v>
      </c>
      <c r="AV176" s="10">
        <v>391.12700000000001</v>
      </c>
      <c r="AW176" s="11">
        <v>3954.7329999999997</v>
      </c>
      <c r="AX176" s="1" t="s">
        <v>161</v>
      </c>
      <c r="AY176" s="1" t="s">
        <v>162</v>
      </c>
      <c r="AZ176" s="1" t="b">
        <v>0</v>
      </c>
    </row>
    <row r="177" spans="1:52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1"/>
        <v>7759.15</v>
      </c>
      <c r="Q177" s="10">
        <f t="shared" si="12"/>
        <v>368.55950000000001</v>
      </c>
      <c r="R177" s="11">
        <f t="shared" si="13"/>
        <v>7390.5904999999993</v>
      </c>
      <c r="S177" s="1" t="str">
        <f t="shared" si="14"/>
        <v>High</v>
      </c>
      <c r="T177" s="1" t="str" cm="1">
        <f t="array" ref="T177">_xlfn.IFS(L177&gt;5,"High",L177=5,"mediam",L177&lt;5,"low")</f>
        <v>mediam</v>
      </c>
      <c r="U177" s="1" t="b">
        <f t="shared" si="15"/>
        <v>0</v>
      </c>
      <c r="AF177" s="5">
        <v>10442</v>
      </c>
      <c r="AG177" s="1">
        <v>1364</v>
      </c>
      <c r="AH177" s="2">
        <v>45089</v>
      </c>
      <c r="AI177" s="2">
        <v>45094</v>
      </c>
      <c r="AJ177" s="1" t="s">
        <v>15</v>
      </c>
      <c r="AK177" s="1" t="s">
        <v>23</v>
      </c>
      <c r="AL177" s="1" t="s">
        <v>24</v>
      </c>
      <c r="AM177" s="1" t="s">
        <v>35</v>
      </c>
      <c r="AN177" s="1" t="s">
        <v>57</v>
      </c>
      <c r="AO177" s="1" t="s">
        <v>58</v>
      </c>
      <c r="AP177" s="1" t="s">
        <v>45</v>
      </c>
      <c r="AQ177" s="1">
        <v>9</v>
      </c>
      <c r="AR177" s="1">
        <v>2969.7</v>
      </c>
      <c r="AS177" s="1">
        <v>10</v>
      </c>
      <c r="AT177" s="1">
        <v>24054.57</v>
      </c>
      <c r="AU177" s="1">
        <v>26727.3</v>
      </c>
      <c r="AV177" s="10">
        <v>2405.4569999999999</v>
      </c>
      <c r="AW177" s="11">
        <v>24321.843000000001</v>
      </c>
      <c r="AX177" s="1" t="s">
        <v>159</v>
      </c>
      <c r="AY177" s="1" t="s">
        <v>159</v>
      </c>
      <c r="AZ177" s="1" t="s">
        <v>159</v>
      </c>
    </row>
    <row r="178" spans="1:52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1"/>
        <v>2329.9299999999998</v>
      </c>
      <c r="Q178" s="10">
        <f t="shared" si="12"/>
        <v>0</v>
      </c>
      <c r="R178" s="11">
        <f t="shared" si="13"/>
        <v>2329.9299999999998</v>
      </c>
      <c r="S178" s="1" t="str">
        <f t="shared" si="14"/>
        <v>Low</v>
      </c>
      <c r="T178" s="1" t="str" cm="1">
        <f t="array" ref="T178">_xlfn.IFS(L178&gt;5,"High",L178=5,"mediam",L178&lt;5,"low")</f>
        <v>low</v>
      </c>
      <c r="U178" s="1" t="b">
        <f t="shared" si="15"/>
        <v>0</v>
      </c>
      <c r="AF178" s="5">
        <v>10447</v>
      </c>
      <c r="AG178" s="1">
        <v>1026</v>
      </c>
      <c r="AH178" s="2">
        <v>45264</v>
      </c>
      <c r="AI178" s="2">
        <v>45265</v>
      </c>
      <c r="AJ178" s="1" t="s">
        <v>34</v>
      </c>
      <c r="AK178" s="1" t="s">
        <v>38</v>
      </c>
      <c r="AL178" s="1" t="s">
        <v>17</v>
      </c>
      <c r="AM178" s="1" t="s">
        <v>35</v>
      </c>
      <c r="AN178" s="1" t="s">
        <v>26</v>
      </c>
      <c r="AO178" s="1" t="s">
        <v>69</v>
      </c>
      <c r="AP178" s="1" t="s">
        <v>28</v>
      </c>
      <c r="AQ178" s="1">
        <v>4</v>
      </c>
      <c r="AR178" s="1">
        <v>3871.21</v>
      </c>
      <c r="AS178" s="1">
        <v>10</v>
      </c>
      <c r="AT178" s="1">
        <v>13936.36</v>
      </c>
      <c r="AU178" s="1">
        <v>15484.84</v>
      </c>
      <c r="AV178" s="10">
        <v>1393.6360000000002</v>
      </c>
      <c r="AW178" s="11">
        <v>14091.204</v>
      </c>
      <c r="AX178" s="1" t="s">
        <v>161</v>
      </c>
      <c r="AY178" s="1" t="s">
        <v>162</v>
      </c>
      <c r="AZ178" s="1" t="b">
        <v>0</v>
      </c>
    </row>
    <row r="179" spans="1:52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1"/>
        <v>1218.6300000000001</v>
      </c>
      <c r="Q179" s="10">
        <f t="shared" si="12"/>
        <v>109.67700000000001</v>
      </c>
      <c r="R179" s="11">
        <f t="shared" si="13"/>
        <v>1108.9530000000002</v>
      </c>
      <c r="S179" s="1" t="str">
        <f t="shared" si="14"/>
        <v>High</v>
      </c>
      <c r="T179" s="1" t="str" cm="1">
        <f t="array" ref="T179">_xlfn.IFS(L179&gt;5,"High",L179=5,"mediam",L179&lt;5,"low")</f>
        <v>High</v>
      </c>
      <c r="U179" s="1" t="str">
        <f t="shared" si="15"/>
        <v>High</v>
      </c>
      <c r="AF179" s="5">
        <v>10463</v>
      </c>
      <c r="AG179" s="1">
        <v>1048</v>
      </c>
      <c r="AH179" s="2">
        <v>44992</v>
      </c>
      <c r="AI179" s="2">
        <v>45000</v>
      </c>
      <c r="AJ179" s="1" t="s">
        <v>22</v>
      </c>
      <c r="AK179" s="1" t="s">
        <v>16</v>
      </c>
      <c r="AL179" s="1" t="s">
        <v>24</v>
      </c>
      <c r="AM179" s="1" t="s">
        <v>35</v>
      </c>
      <c r="AN179" s="1" t="s">
        <v>26</v>
      </c>
      <c r="AO179" s="1" t="s">
        <v>36</v>
      </c>
      <c r="AP179" s="1" t="s">
        <v>47</v>
      </c>
      <c r="AQ179" s="1">
        <v>5</v>
      </c>
      <c r="AR179" s="1">
        <v>2072.3200000000002</v>
      </c>
      <c r="AS179" s="1">
        <v>15</v>
      </c>
      <c r="AT179" s="1">
        <v>8807.36</v>
      </c>
      <c r="AU179" s="1">
        <v>10361.6</v>
      </c>
      <c r="AV179" s="10">
        <v>1321.104</v>
      </c>
      <c r="AW179" s="11">
        <v>9040.496000000001</v>
      </c>
      <c r="AX179" s="1" t="s">
        <v>159</v>
      </c>
      <c r="AY179" s="1" t="s">
        <v>160</v>
      </c>
      <c r="AZ179" s="1" t="b">
        <v>0</v>
      </c>
    </row>
    <row r="180" spans="1:52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1"/>
        <v>3494.34</v>
      </c>
      <c r="Q180" s="10">
        <f t="shared" si="12"/>
        <v>314.49099999999999</v>
      </c>
      <c r="R180" s="11">
        <f t="shared" si="13"/>
        <v>3179.8490000000002</v>
      </c>
      <c r="S180" s="1" t="str">
        <f t="shared" si="14"/>
        <v>High</v>
      </c>
      <c r="T180" s="1" t="str" cm="1">
        <f t="array" ref="T180">_xlfn.IFS(L180&gt;5,"High",L180=5,"mediam",L180&lt;5,"low")</f>
        <v>High</v>
      </c>
      <c r="U180" s="1" t="str">
        <f t="shared" si="15"/>
        <v>High</v>
      </c>
      <c r="AF180" s="5">
        <v>10466</v>
      </c>
      <c r="AG180" s="1">
        <v>1171</v>
      </c>
      <c r="AH180" s="2">
        <v>44973</v>
      </c>
      <c r="AI180" s="2">
        <v>44975</v>
      </c>
      <c r="AJ180" s="1" t="s">
        <v>16</v>
      </c>
      <c r="AK180" s="1" t="s">
        <v>41</v>
      </c>
      <c r="AL180" s="1" t="s">
        <v>30</v>
      </c>
      <c r="AM180" s="1" t="s">
        <v>35</v>
      </c>
      <c r="AN180" s="1" t="s">
        <v>19</v>
      </c>
      <c r="AO180" s="1" t="s">
        <v>43</v>
      </c>
      <c r="AP180" s="1" t="s">
        <v>28</v>
      </c>
      <c r="AQ180" s="1">
        <v>6</v>
      </c>
      <c r="AR180" s="1">
        <v>3773.04</v>
      </c>
      <c r="AS180" s="1">
        <v>0</v>
      </c>
      <c r="AT180" s="1">
        <v>22638.240000000002</v>
      </c>
      <c r="AU180" s="1">
        <v>22638.239999999998</v>
      </c>
      <c r="AV180" s="10">
        <v>0</v>
      </c>
      <c r="AW180" s="11">
        <v>22638.239999999998</v>
      </c>
      <c r="AX180" s="1" t="s">
        <v>159</v>
      </c>
      <c r="AY180" s="1" t="s">
        <v>159</v>
      </c>
      <c r="AZ180" s="1" t="s">
        <v>159</v>
      </c>
    </row>
    <row r="181" spans="1:52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1"/>
        <v>17689.36</v>
      </c>
      <c r="Q181" s="10">
        <f t="shared" si="12"/>
        <v>1592.0420000000001</v>
      </c>
      <c r="R181" s="11">
        <f t="shared" si="13"/>
        <v>16097.318000000001</v>
      </c>
      <c r="S181" s="1" t="str">
        <f t="shared" si="14"/>
        <v>High</v>
      </c>
      <c r="T181" s="1" t="str" cm="1">
        <f t="array" ref="T181">_xlfn.IFS(L181&gt;5,"High",L181=5,"mediam",L181&lt;5,"low")</f>
        <v>High</v>
      </c>
      <c r="U181" s="1" t="str">
        <f t="shared" si="15"/>
        <v>High</v>
      </c>
      <c r="AF181" s="5">
        <v>10472</v>
      </c>
      <c r="AG181" s="1">
        <v>1517</v>
      </c>
      <c r="AH181" s="2">
        <v>45269</v>
      </c>
      <c r="AI181" s="2">
        <v>45278</v>
      </c>
      <c r="AJ181" s="1" t="s">
        <v>15</v>
      </c>
      <c r="AK181" s="1" t="s">
        <v>54</v>
      </c>
      <c r="AL181" s="1" t="s">
        <v>30</v>
      </c>
      <c r="AM181" s="1" t="s">
        <v>35</v>
      </c>
      <c r="AN181" s="1" t="s">
        <v>31</v>
      </c>
      <c r="AO181" s="1" t="s">
        <v>48</v>
      </c>
      <c r="AP181" s="1" t="s">
        <v>28</v>
      </c>
      <c r="AQ181" s="1">
        <v>5</v>
      </c>
      <c r="AR181" s="1">
        <v>2523.25</v>
      </c>
      <c r="AS181" s="1">
        <v>10</v>
      </c>
      <c r="AT181" s="1">
        <v>11354.63</v>
      </c>
      <c r="AU181" s="1">
        <v>12616.25</v>
      </c>
      <c r="AV181" s="10">
        <v>1135.463</v>
      </c>
      <c r="AW181" s="11">
        <v>11480.787</v>
      </c>
      <c r="AX181" s="1" t="s">
        <v>159</v>
      </c>
      <c r="AY181" s="1" t="s">
        <v>160</v>
      </c>
      <c r="AZ181" s="1" t="b">
        <v>0</v>
      </c>
    </row>
    <row r="182" spans="1:52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1"/>
        <v>11646.900000000001</v>
      </c>
      <c r="Q182" s="10">
        <f t="shared" si="12"/>
        <v>1863.5040000000001</v>
      </c>
      <c r="R182" s="11">
        <f t="shared" si="13"/>
        <v>9783.3960000000006</v>
      </c>
      <c r="S182" s="1" t="str">
        <f t="shared" si="14"/>
        <v>High</v>
      </c>
      <c r="T182" s="1" t="str" cm="1">
        <f t="array" ref="T182">_xlfn.IFS(L182&gt;5,"High",L182=5,"mediam",L182&lt;5,"low")</f>
        <v>mediam</v>
      </c>
      <c r="U182" s="1" t="b">
        <f t="shared" si="15"/>
        <v>0</v>
      </c>
      <c r="AF182" s="5">
        <v>10474</v>
      </c>
      <c r="AG182" s="1">
        <v>1891</v>
      </c>
      <c r="AH182" s="2">
        <v>45117</v>
      </c>
      <c r="AI182" s="2">
        <v>45119</v>
      </c>
      <c r="AJ182" s="1" t="s">
        <v>46</v>
      </c>
      <c r="AK182" s="1" t="s">
        <v>16</v>
      </c>
      <c r="AL182" s="1" t="s">
        <v>17</v>
      </c>
      <c r="AM182" s="1" t="s">
        <v>35</v>
      </c>
      <c r="AN182" s="1" t="s">
        <v>26</v>
      </c>
      <c r="AO182" s="1" t="s">
        <v>27</v>
      </c>
      <c r="AP182" s="1" t="s">
        <v>45</v>
      </c>
      <c r="AQ182" s="1">
        <v>1</v>
      </c>
      <c r="AR182" s="1">
        <v>1678.25</v>
      </c>
      <c r="AS182" s="1">
        <v>15</v>
      </c>
      <c r="AT182" s="1">
        <v>1426.51</v>
      </c>
      <c r="AU182" s="1">
        <v>1678.25</v>
      </c>
      <c r="AV182" s="10">
        <v>213.97649999999999</v>
      </c>
      <c r="AW182" s="11">
        <v>1464.2735</v>
      </c>
      <c r="AX182" s="1" t="s">
        <v>161</v>
      </c>
      <c r="AY182" s="1" t="s">
        <v>162</v>
      </c>
      <c r="AZ182" s="1" t="b">
        <v>0</v>
      </c>
    </row>
    <row r="183" spans="1:52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1"/>
        <v>12172.36</v>
      </c>
      <c r="Q183" s="10">
        <f t="shared" si="12"/>
        <v>578.18700000000001</v>
      </c>
      <c r="R183" s="11">
        <f t="shared" si="13"/>
        <v>11594.173000000001</v>
      </c>
      <c r="S183" s="1" t="str">
        <f t="shared" si="14"/>
        <v>Low</v>
      </c>
      <c r="T183" s="1" t="str" cm="1">
        <f t="array" ref="T183">_xlfn.IFS(L183&gt;5,"High",L183=5,"mediam",L183&lt;5,"low")</f>
        <v>low</v>
      </c>
      <c r="U183" s="1" t="b">
        <f t="shared" si="15"/>
        <v>0</v>
      </c>
      <c r="AF183" s="5">
        <v>10476</v>
      </c>
      <c r="AG183" s="1">
        <v>1036</v>
      </c>
      <c r="AH183" s="2">
        <v>44930</v>
      </c>
      <c r="AI183" s="2">
        <v>44936</v>
      </c>
      <c r="AJ183" s="1" t="s">
        <v>46</v>
      </c>
      <c r="AK183" s="1" t="s">
        <v>38</v>
      </c>
      <c r="AL183" s="1" t="s">
        <v>30</v>
      </c>
      <c r="AM183" s="1" t="s">
        <v>35</v>
      </c>
      <c r="AN183" s="1" t="s">
        <v>19</v>
      </c>
      <c r="AO183" s="1" t="s">
        <v>20</v>
      </c>
      <c r="AP183" s="1" t="s">
        <v>45</v>
      </c>
      <c r="AQ183" s="1">
        <v>4</v>
      </c>
      <c r="AR183" s="1">
        <v>1747.6</v>
      </c>
      <c r="AS183" s="1">
        <v>20</v>
      </c>
      <c r="AT183" s="1">
        <v>5592.32</v>
      </c>
      <c r="AU183" s="1">
        <v>6990.4</v>
      </c>
      <c r="AV183" s="10">
        <v>1118.4639999999999</v>
      </c>
      <c r="AW183" s="11">
        <v>5871.9359999999997</v>
      </c>
      <c r="AX183" s="1" t="s">
        <v>161</v>
      </c>
      <c r="AY183" s="1" t="s">
        <v>162</v>
      </c>
      <c r="AZ183" s="1" t="b">
        <v>0</v>
      </c>
    </row>
    <row r="184" spans="1:52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1"/>
        <v>4606.4900000000007</v>
      </c>
      <c r="Q184" s="10">
        <f t="shared" si="12"/>
        <v>737.03800000000001</v>
      </c>
      <c r="R184" s="11">
        <f t="shared" si="13"/>
        <v>3869.4520000000007</v>
      </c>
      <c r="S184" s="1" t="str">
        <f t="shared" si="14"/>
        <v>High</v>
      </c>
      <c r="T184" s="1" t="str" cm="1">
        <f t="array" ref="T184">_xlfn.IFS(L184&gt;5,"High",L184=5,"mediam",L184&lt;5,"low")</f>
        <v>High</v>
      </c>
      <c r="U184" s="1" t="str">
        <f t="shared" si="15"/>
        <v>High</v>
      </c>
      <c r="AF184" s="5">
        <v>10490</v>
      </c>
      <c r="AG184" s="1">
        <v>1927</v>
      </c>
      <c r="AH184" s="2">
        <v>45259</v>
      </c>
      <c r="AI184" s="2">
        <v>45261</v>
      </c>
      <c r="AJ184" s="1" t="s">
        <v>15</v>
      </c>
      <c r="AK184" s="1" t="s">
        <v>29</v>
      </c>
      <c r="AL184" s="1" t="s">
        <v>17</v>
      </c>
      <c r="AM184" s="1" t="s">
        <v>35</v>
      </c>
      <c r="AN184" s="1" t="s">
        <v>31</v>
      </c>
      <c r="AO184" s="1" t="s">
        <v>32</v>
      </c>
      <c r="AP184" s="1" t="s">
        <v>45</v>
      </c>
      <c r="AQ184" s="1">
        <v>7</v>
      </c>
      <c r="AR184" s="1">
        <v>2838.06</v>
      </c>
      <c r="AS184" s="1">
        <v>20</v>
      </c>
      <c r="AT184" s="1">
        <v>15893.14</v>
      </c>
      <c r="AU184" s="1">
        <v>19866.419999999998</v>
      </c>
      <c r="AV184" s="10">
        <v>3178.6280000000002</v>
      </c>
      <c r="AW184" s="11">
        <v>16687.791999999998</v>
      </c>
      <c r="AX184" s="1" t="s">
        <v>159</v>
      </c>
      <c r="AY184" s="1" t="s">
        <v>159</v>
      </c>
      <c r="AZ184" s="1" t="s">
        <v>159</v>
      </c>
    </row>
    <row r="185" spans="1:52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1"/>
        <v>10628.75</v>
      </c>
      <c r="Q185" s="10">
        <f t="shared" si="12"/>
        <v>1355.1659999999999</v>
      </c>
      <c r="R185" s="11">
        <f t="shared" si="13"/>
        <v>9273.5840000000007</v>
      </c>
      <c r="S185" s="1" t="str">
        <f t="shared" si="14"/>
        <v>High</v>
      </c>
      <c r="T185" s="1" t="str" cm="1">
        <f t="array" ref="T185">_xlfn.IFS(L185&gt;5,"High",L185=5,"mediam",L185&lt;5,"low")</f>
        <v>mediam</v>
      </c>
      <c r="U185" s="1" t="b">
        <f t="shared" si="15"/>
        <v>0</v>
      </c>
    </row>
    <row r="186" spans="1:52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1"/>
        <v>6290.34</v>
      </c>
      <c r="Q186" s="10">
        <f t="shared" si="12"/>
        <v>0</v>
      </c>
      <c r="R186" s="11">
        <f t="shared" si="13"/>
        <v>6290.34</v>
      </c>
      <c r="S186" s="1" t="str">
        <f t="shared" si="14"/>
        <v>High</v>
      </c>
      <c r="T186" s="1" t="str" cm="1">
        <f t="array" ref="T186">_xlfn.IFS(L186&gt;5,"High",L186=5,"mediam",L186&lt;5,"low")</f>
        <v>High</v>
      </c>
      <c r="U186" s="1" t="str">
        <f t="shared" si="15"/>
        <v>High</v>
      </c>
    </row>
    <row r="187" spans="1:52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1"/>
        <v>508.81</v>
      </c>
      <c r="Q187" s="10">
        <f t="shared" si="12"/>
        <v>0</v>
      </c>
      <c r="R187" s="11">
        <f t="shared" si="13"/>
        <v>508.81</v>
      </c>
      <c r="S187" s="1" t="str">
        <f t="shared" si="14"/>
        <v>Low</v>
      </c>
      <c r="T187" s="1" t="str" cm="1">
        <f t="array" ref="T187">_xlfn.IFS(L187&gt;5,"High",L187=5,"mediam",L187&lt;5,"low")</f>
        <v>low</v>
      </c>
      <c r="U187" s="1" t="b">
        <f t="shared" si="15"/>
        <v>0</v>
      </c>
    </row>
    <row r="188" spans="1:52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1"/>
        <v>1730.41</v>
      </c>
      <c r="Q188" s="10">
        <f t="shared" si="12"/>
        <v>155.73699999999999</v>
      </c>
      <c r="R188" s="11">
        <f t="shared" si="13"/>
        <v>1574.673</v>
      </c>
      <c r="S188" s="1" t="str">
        <f t="shared" si="14"/>
        <v>Low</v>
      </c>
      <c r="T188" s="1" t="str" cm="1">
        <f t="array" ref="T188">_xlfn.IFS(L188&gt;5,"High",L188=5,"mediam",L188&lt;5,"low")</f>
        <v>low</v>
      </c>
      <c r="U188" s="1" t="b">
        <f t="shared" si="15"/>
        <v>0</v>
      </c>
    </row>
    <row r="189" spans="1:52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1"/>
        <v>2336.5500000000002</v>
      </c>
      <c r="Q189" s="10">
        <f t="shared" si="12"/>
        <v>210.28899999999999</v>
      </c>
      <c r="R189" s="11">
        <f t="shared" si="13"/>
        <v>2126.2610000000004</v>
      </c>
      <c r="S189" s="1" t="str">
        <f t="shared" si="14"/>
        <v>Low</v>
      </c>
      <c r="T189" s="1" t="str" cm="1">
        <f t="array" ref="T189">_xlfn.IFS(L189&gt;5,"High",L189=5,"mediam",L189&lt;5,"low")</f>
        <v>low</v>
      </c>
      <c r="U189" s="1" t="b">
        <f t="shared" si="15"/>
        <v>0</v>
      </c>
    </row>
    <row r="190" spans="1:52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1"/>
        <v>2007.72</v>
      </c>
      <c r="Q190" s="10">
        <f t="shared" si="12"/>
        <v>180.69500000000002</v>
      </c>
      <c r="R190" s="11">
        <f t="shared" si="13"/>
        <v>1827.0250000000001</v>
      </c>
      <c r="S190" s="1" t="str">
        <f t="shared" si="14"/>
        <v>Low</v>
      </c>
      <c r="T190" s="1" t="str" cm="1">
        <f t="array" ref="T190">_xlfn.IFS(L190&gt;5,"High",L190=5,"mediam",L190&lt;5,"low")</f>
        <v>low</v>
      </c>
      <c r="U190" s="1" t="b">
        <f t="shared" si="15"/>
        <v>0</v>
      </c>
    </row>
    <row r="191" spans="1:52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1"/>
        <v>2745.18</v>
      </c>
      <c r="Q191" s="10">
        <f t="shared" si="12"/>
        <v>130.39600000000002</v>
      </c>
      <c r="R191" s="11">
        <f t="shared" si="13"/>
        <v>2614.7839999999997</v>
      </c>
      <c r="S191" s="1" t="str">
        <f t="shared" si="14"/>
        <v>Low</v>
      </c>
      <c r="T191" s="1" t="str" cm="1">
        <f t="array" ref="T191">_xlfn.IFS(L191&gt;5,"High",L191=5,"mediam",L191&lt;5,"low")</f>
        <v>low</v>
      </c>
      <c r="U191" s="1" t="b">
        <f t="shared" si="15"/>
        <v>0</v>
      </c>
    </row>
    <row r="192" spans="1:52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1"/>
        <v>8040.5500000000011</v>
      </c>
      <c r="Q192" s="10">
        <f t="shared" si="12"/>
        <v>1025.1704999999999</v>
      </c>
      <c r="R192" s="11">
        <f t="shared" si="13"/>
        <v>7015.3795000000009</v>
      </c>
      <c r="S192" s="1" t="str">
        <f t="shared" si="14"/>
        <v>High</v>
      </c>
      <c r="T192" s="1" t="str" cm="1">
        <f t="array" ref="T192">_xlfn.IFS(L192&gt;5,"High",L192=5,"mediam",L192&lt;5,"low")</f>
        <v>High</v>
      </c>
      <c r="U192" s="1" t="str">
        <f t="shared" si="15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1"/>
        <v>974.46</v>
      </c>
      <c r="Q193" s="10">
        <f t="shared" si="12"/>
        <v>124.24349999999998</v>
      </c>
      <c r="R193" s="11">
        <f t="shared" si="13"/>
        <v>850.2165</v>
      </c>
      <c r="S193" s="1" t="str">
        <f t="shared" si="14"/>
        <v>Low</v>
      </c>
      <c r="T193" s="1" t="str" cm="1">
        <f t="array" ref="T193">_xlfn.IFS(L193&gt;5,"High",L193=5,"mediam",L193&lt;5,"low")</f>
        <v>low</v>
      </c>
      <c r="U193" s="1" t="b">
        <f t="shared" si="15"/>
        <v>0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1"/>
        <v>1984.72</v>
      </c>
      <c r="Q194" s="10">
        <f t="shared" si="12"/>
        <v>253.05149999999998</v>
      </c>
      <c r="R194" s="11">
        <f t="shared" si="13"/>
        <v>1731.6685</v>
      </c>
      <c r="S194" s="1" t="str">
        <f t="shared" si="14"/>
        <v>Low</v>
      </c>
      <c r="T194" s="1" t="str" cm="1">
        <f t="array" ref="T194">_xlfn.IFS(L194&gt;5,"High",L194=5,"mediam",L194&lt;5,"low")</f>
        <v>low</v>
      </c>
      <c r="U194" s="1" t="b">
        <f t="shared" si="15"/>
        <v>0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6">L195*M195</f>
        <v>1788.02</v>
      </c>
      <c r="Q195" s="10">
        <f t="shared" ref="Q195:Q258" si="17">O195*N195%</f>
        <v>227.97299999999998</v>
      </c>
      <c r="R195" s="11">
        <f t="shared" ref="R195:R258" si="18">P195-Q195</f>
        <v>1560.047</v>
      </c>
      <c r="S195" s="1" t="str">
        <f t="shared" ref="S195:S258" si="19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si="15"/>
        <v>0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6"/>
        <v>2067.8999999999996</v>
      </c>
      <c r="Q196" s="10">
        <f t="shared" si="17"/>
        <v>186.11099999999999</v>
      </c>
      <c r="R196" s="11">
        <f t="shared" si="18"/>
        <v>1881.7889999999998</v>
      </c>
      <c r="S196" s="1" t="str">
        <f t="shared" si="19"/>
        <v>High</v>
      </c>
      <c r="T196" s="1" t="str" cm="1">
        <f t="array" ref="T196">_xlfn.IFS(L196&gt;5,"High",L196=5,"mediam",L196&lt;5,"low")</f>
        <v>High</v>
      </c>
      <c r="U196" s="1" t="str">
        <f t="shared" si="15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6"/>
        <v>20494.88</v>
      </c>
      <c r="Q197" s="10">
        <f t="shared" si="17"/>
        <v>0</v>
      </c>
      <c r="R197" s="11">
        <f t="shared" si="18"/>
        <v>20494.88</v>
      </c>
      <c r="S197" s="1" t="str">
        <f t="shared" si="19"/>
        <v>High</v>
      </c>
      <c r="T197" s="1" t="str" cm="1">
        <f t="array" ref="T197">_xlfn.IFS(L197&gt;5,"High",L197=5,"mediam",L197&lt;5,"low")</f>
        <v>High</v>
      </c>
      <c r="U197" s="1" t="str">
        <f t="shared" si="15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6"/>
        <v>5024.84</v>
      </c>
      <c r="Q198" s="10">
        <f t="shared" si="17"/>
        <v>452.23599999999999</v>
      </c>
      <c r="R198" s="11">
        <f t="shared" si="18"/>
        <v>4572.6040000000003</v>
      </c>
      <c r="S198" s="1" t="str">
        <f t="shared" si="19"/>
        <v>Low</v>
      </c>
      <c r="T198" s="1" t="str" cm="1">
        <f t="array" ref="T198">_xlfn.IFS(L198&gt;5,"High",L198=5,"mediam",L198&lt;5,"low")</f>
        <v>low</v>
      </c>
      <c r="U198" s="1" t="b">
        <f t="shared" si="15"/>
        <v>0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6"/>
        <v>6135.1</v>
      </c>
      <c r="Q199" s="10">
        <f t="shared" si="17"/>
        <v>782.226</v>
      </c>
      <c r="R199" s="11">
        <f t="shared" si="18"/>
        <v>5352.8740000000007</v>
      </c>
      <c r="S199" s="1" t="str">
        <f t="shared" si="19"/>
        <v>High</v>
      </c>
      <c r="T199" s="1" t="str" cm="1">
        <f t="array" ref="T199">_xlfn.IFS(L199&gt;5,"High",L199=5,"mediam",L199&lt;5,"low")</f>
        <v>mediam</v>
      </c>
      <c r="U199" s="1" t="b">
        <f t="shared" si="15"/>
        <v>0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6"/>
        <v>5712.76</v>
      </c>
      <c r="Q200" s="10">
        <f t="shared" si="17"/>
        <v>514.14800000000002</v>
      </c>
      <c r="R200" s="11">
        <f t="shared" si="18"/>
        <v>5198.6120000000001</v>
      </c>
      <c r="S200" s="1" t="str">
        <f t="shared" si="19"/>
        <v>Low</v>
      </c>
      <c r="T200" s="1" t="str" cm="1">
        <f t="array" ref="T200">_xlfn.IFS(L200&gt;5,"High",L200=5,"mediam",L200&lt;5,"low")</f>
        <v>low</v>
      </c>
      <c r="U200" s="1" t="b">
        <f t="shared" si="15"/>
        <v>0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6"/>
        <v>8105.3099999999995</v>
      </c>
      <c r="Q201" s="10">
        <f t="shared" si="17"/>
        <v>1033.4265</v>
      </c>
      <c r="R201" s="11">
        <f t="shared" si="18"/>
        <v>7071.8834999999999</v>
      </c>
      <c r="S201" s="1" t="str">
        <f t="shared" si="19"/>
        <v>Low</v>
      </c>
      <c r="T201" s="1" t="str" cm="1">
        <f t="array" ref="T201">_xlfn.IFS(L201&gt;5,"High",L201=5,"mediam",L201&lt;5,"low")</f>
        <v>low</v>
      </c>
      <c r="U201" s="1" t="b">
        <f t="shared" ref="U201:U264" si="20">IF(L201&gt;5,"High",IF(L201="Mediam","Low"))</f>
        <v>0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6"/>
        <v>17509.7</v>
      </c>
      <c r="Q202" s="10">
        <f t="shared" si="17"/>
        <v>2801.5520000000001</v>
      </c>
      <c r="R202" s="11">
        <f t="shared" si="18"/>
        <v>14708.148000000001</v>
      </c>
      <c r="S202" s="1" t="str">
        <f t="shared" si="19"/>
        <v>High</v>
      </c>
      <c r="T202" s="1" t="str" cm="1">
        <f t="array" ref="T202">_xlfn.IFS(L202&gt;5,"High",L202=5,"mediam",L202&lt;5,"low")</f>
        <v>mediam</v>
      </c>
      <c r="U202" s="1" t="b">
        <f t="shared" si="20"/>
        <v>0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6"/>
        <v>27652.32</v>
      </c>
      <c r="Q203" s="10">
        <f t="shared" si="17"/>
        <v>0</v>
      </c>
      <c r="R203" s="11">
        <f t="shared" si="18"/>
        <v>27652.32</v>
      </c>
      <c r="S203" s="1" t="str">
        <f t="shared" si="19"/>
        <v>High</v>
      </c>
      <c r="T203" s="1" t="str" cm="1">
        <f t="array" ref="T203">_xlfn.IFS(L203&gt;5,"High",L203=5,"mediam",L203&lt;5,"low")</f>
        <v>High</v>
      </c>
      <c r="U203" s="1" t="str">
        <f t="shared" si="20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6"/>
        <v>23607.919999999998</v>
      </c>
      <c r="Q204" s="10">
        <f t="shared" si="17"/>
        <v>3777.268</v>
      </c>
      <c r="R204" s="11">
        <f t="shared" si="18"/>
        <v>19830.651999999998</v>
      </c>
      <c r="S204" s="1" t="str">
        <f t="shared" si="19"/>
        <v>High</v>
      </c>
      <c r="T204" s="1" t="str" cm="1">
        <f t="array" ref="T204">_xlfn.IFS(L204&gt;5,"High",L204=5,"mediam",L204&lt;5,"low")</f>
        <v>High</v>
      </c>
      <c r="U204" s="1" t="str">
        <f t="shared" si="20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6"/>
        <v>16119.28</v>
      </c>
      <c r="Q205" s="10">
        <f t="shared" si="17"/>
        <v>765.66600000000005</v>
      </c>
      <c r="R205" s="11">
        <f t="shared" si="18"/>
        <v>15353.614000000001</v>
      </c>
      <c r="S205" s="1" t="str">
        <f t="shared" si="19"/>
        <v>High</v>
      </c>
      <c r="T205" s="1" t="str" cm="1">
        <f t="array" ref="T205">_xlfn.IFS(L205&gt;5,"High",L205=5,"mediam",L205&lt;5,"low")</f>
        <v>High</v>
      </c>
      <c r="U205" s="1" t="str">
        <f t="shared" si="20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6"/>
        <v>22569.200000000001</v>
      </c>
      <c r="Q206" s="10">
        <f t="shared" si="17"/>
        <v>2031.2280000000001</v>
      </c>
      <c r="R206" s="11">
        <f t="shared" si="18"/>
        <v>20537.972000000002</v>
      </c>
      <c r="S206" s="1" t="str">
        <f t="shared" si="19"/>
        <v>High</v>
      </c>
      <c r="T206" s="1" t="str" cm="1">
        <f t="array" ref="T206">_xlfn.IFS(L206&gt;5,"High",L206=5,"mediam",L206&lt;5,"low")</f>
        <v>High</v>
      </c>
      <c r="U206" s="1" t="str">
        <f t="shared" si="20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6"/>
        <v>18225.12</v>
      </c>
      <c r="Q207" s="10">
        <f t="shared" si="17"/>
        <v>865.6930000000001</v>
      </c>
      <c r="R207" s="11">
        <f t="shared" si="18"/>
        <v>17359.427</v>
      </c>
      <c r="S207" s="1" t="str">
        <f t="shared" si="19"/>
        <v>High</v>
      </c>
      <c r="T207" s="1" t="str" cm="1">
        <f t="array" ref="T207">_xlfn.IFS(L207&gt;5,"High",L207=5,"mediam",L207&lt;5,"low")</f>
        <v>High</v>
      </c>
      <c r="U207" s="1" t="str">
        <f t="shared" si="20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6"/>
        <v>6877.92</v>
      </c>
      <c r="Q208" s="10">
        <f t="shared" si="17"/>
        <v>619.01300000000003</v>
      </c>
      <c r="R208" s="11">
        <f t="shared" si="18"/>
        <v>6258.9070000000002</v>
      </c>
      <c r="S208" s="1" t="str">
        <f t="shared" si="19"/>
        <v>High</v>
      </c>
      <c r="T208" s="1" t="str" cm="1">
        <f t="array" ref="T208">_xlfn.IFS(L208&gt;5,"High",L208=5,"mediam",L208&lt;5,"low")</f>
        <v>High</v>
      </c>
      <c r="U208" s="1" t="str">
        <f t="shared" si="20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6"/>
        <v>7624.56</v>
      </c>
      <c r="Q209" s="10">
        <f t="shared" si="17"/>
        <v>1219.93</v>
      </c>
      <c r="R209" s="11">
        <f t="shared" si="18"/>
        <v>6404.63</v>
      </c>
      <c r="S209" s="1" t="str">
        <f t="shared" si="19"/>
        <v>High</v>
      </c>
      <c r="T209" s="1" t="str" cm="1">
        <f t="array" ref="T209">_xlfn.IFS(L209&gt;5,"High",L209=5,"mediam",L209&lt;5,"low")</f>
        <v>High</v>
      </c>
      <c r="U209" s="1" t="str">
        <f t="shared" si="20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6"/>
        <v>10328.879999999999</v>
      </c>
      <c r="Q210" s="10">
        <f t="shared" si="17"/>
        <v>1316.9324999999999</v>
      </c>
      <c r="R210" s="11">
        <f t="shared" si="18"/>
        <v>9011.9474999999984</v>
      </c>
      <c r="S210" s="1" t="str">
        <f t="shared" si="19"/>
        <v>High</v>
      </c>
      <c r="T210" s="1" t="str" cm="1">
        <f t="array" ref="T210">_xlfn.IFS(L210&gt;5,"High",L210=5,"mediam",L210&lt;5,"low")</f>
        <v>High</v>
      </c>
      <c r="U210" s="1" t="str">
        <f t="shared" si="20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6"/>
        <v>29252.720000000001</v>
      </c>
      <c r="Q211" s="10">
        <f t="shared" si="17"/>
        <v>3729.7215000000001</v>
      </c>
      <c r="R211" s="11">
        <f t="shared" si="18"/>
        <v>25522.998500000002</v>
      </c>
      <c r="S211" s="1" t="str">
        <f t="shared" si="19"/>
        <v>High</v>
      </c>
      <c r="T211" s="1" t="str" cm="1">
        <f t="array" ref="T211">_xlfn.IFS(L211&gt;5,"High",L211=5,"mediam",L211&lt;5,"low")</f>
        <v>High</v>
      </c>
      <c r="U211" s="1" t="str">
        <f t="shared" si="20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6"/>
        <v>15802.850000000002</v>
      </c>
      <c r="Q212" s="10">
        <f t="shared" si="17"/>
        <v>1422.2560000000001</v>
      </c>
      <c r="R212" s="11">
        <f t="shared" si="18"/>
        <v>14380.594000000003</v>
      </c>
      <c r="S212" s="1" t="str">
        <f t="shared" si="19"/>
        <v>High</v>
      </c>
      <c r="T212" s="1" t="str" cm="1">
        <f t="array" ref="T212">_xlfn.IFS(L212&gt;5,"High",L212=5,"mediam",L212&lt;5,"low")</f>
        <v>High</v>
      </c>
      <c r="U212" s="1" t="str">
        <f t="shared" si="20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6"/>
        <v>2975.54</v>
      </c>
      <c r="Q213" s="10">
        <f t="shared" si="17"/>
        <v>379.38150000000002</v>
      </c>
      <c r="R213" s="11">
        <f t="shared" si="18"/>
        <v>2596.1585</v>
      </c>
      <c r="S213" s="1" t="str">
        <f t="shared" si="19"/>
        <v>Low</v>
      </c>
      <c r="T213" s="1" t="str" cm="1">
        <f t="array" ref="T213">_xlfn.IFS(L213&gt;5,"High",L213=5,"mediam",L213&lt;5,"low")</f>
        <v>low</v>
      </c>
      <c r="U213" s="1" t="b">
        <f t="shared" si="20"/>
        <v>0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6"/>
        <v>5937</v>
      </c>
      <c r="Q214" s="10">
        <f t="shared" si="17"/>
        <v>949.92000000000007</v>
      </c>
      <c r="R214" s="11">
        <f t="shared" si="18"/>
        <v>4987.08</v>
      </c>
      <c r="S214" s="1" t="str">
        <f t="shared" si="19"/>
        <v>Low</v>
      </c>
      <c r="T214" s="1" t="str" cm="1">
        <f t="array" ref="T214">_xlfn.IFS(L214&gt;5,"High",L214=5,"mediam",L214&lt;5,"low")</f>
        <v>low</v>
      </c>
      <c r="U214" s="1" t="b">
        <f t="shared" si="20"/>
        <v>0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6"/>
        <v>6878.84</v>
      </c>
      <c r="Q215" s="10">
        <f t="shared" si="17"/>
        <v>877.05150000000003</v>
      </c>
      <c r="R215" s="11">
        <f t="shared" si="18"/>
        <v>6001.7885000000006</v>
      </c>
      <c r="S215" s="1" t="str">
        <f t="shared" si="19"/>
        <v>Low</v>
      </c>
      <c r="T215" s="1" t="str" cm="1">
        <f t="array" ref="T215">_xlfn.IFS(L215&gt;5,"High",L215=5,"mediam",L215&lt;5,"low")</f>
        <v>low</v>
      </c>
      <c r="U215" s="1" t="b">
        <f t="shared" si="20"/>
        <v>0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6"/>
        <v>3167.1499999999996</v>
      </c>
      <c r="Q216" s="10">
        <f t="shared" si="17"/>
        <v>506.74399999999997</v>
      </c>
      <c r="R216" s="11">
        <f t="shared" si="18"/>
        <v>2660.4059999999995</v>
      </c>
      <c r="S216" s="1" t="str">
        <f t="shared" si="19"/>
        <v>High</v>
      </c>
      <c r="T216" s="1" t="str" cm="1">
        <f t="array" ref="T216">_xlfn.IFS(L216&gt;5,"High",L216=5,"mediam",L216&lt;5,"low")</f>
        <v>mediam</v>
      </c>
      <c r="U216" s="1" t="b">
        <f t="shared" si="20"/>
        <v>0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6"/>
        <v>4856.9400000000005</v>
      </c>
      <c r="Q217" s="10">
        <f t="shared" si="17"/>
        <v>230.70450000000002</v>
      </c>
      <c r="R217" s="11">
        <f t="shared" si="18"/>
        <v>4626.2355000000007</v>
      </c>
      <c r="S217" s="1" t="str">
        <f t="shared" si="19"/>
        <v>High</v>
      </c>
      <c r="T217" s="1" t="str" cm="1">
        <f t="array" ref="T217">_xlfn.IFS(L217&gt;5,"High",L217=5,"mediam",L217&lt;5,"low")</f>
        <v>High</v>
      </c>
      <c r="U217" s="1" t="str">
        <f t="shared" si="20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6"/>
        <v>13341.28</v>
      </c>
      <c r="Q218" s="10">
        <f t="shared" si="17"/>
        <v>2134.6040000000003</v>
      </c>
      <c r="R218" s="11">
        <f t="shared" si="18"/>
        <v>11206.675999999999</v>
      </c>
      <c r="S218" s="1" t="str">
        <f t="shared" si="19"/>
        <v>Low</v>
      </c>
      <c r="T218" s="1" t="str" cm="1">
        <f t="array" ref="T218">_xlfn.IFS(L218&gt;5,"High",L218=5,"mediam",L218&lt;5,"low")</f>
        <v>low</v>
      </c>
      <c r="U218" s="1" t="b">
        <f t="shared" si="20"/>
        <v>0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6"/>
        <v>4803.26</v>
      </c>
      <c r="Q219" s="10">
        <f t="shared" si="17"/>
        <v>0</v>
      </c>
      <c r="R219" s="11">
        <f t="shared" si="18"/>
        <v>4803.26</v>
      </c>
      <c r="S219" s="1" t="str">
        <f t="shared" si="19"/>
        <v>Low</v>
      </c>
      <c r="T219" s="1" t="str" cm="1">
        <f t="array" ref="T219">_xlfn.IFS(L219&gt;5,"High",L219=5,"mediam",L219&lt;5,"low")</f>
        <v>low</v>
      </c>
      <c r="U219" s="1" t="b">
        <f t="shared" si="20"/>
        <v>0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6"/>
        <v>8697</v>
      </c>
      <c r="Q220" s="10">
        <f t="shared" si="17"/>
        <v>0</v>
      </c>
      <c r="R220" s="11">
        <f t="shared" si="18"/>
        <v>8697</v>
      </c>
      <c r="S220" s="1" t="str">
        <f t="shared" si="19"/>
        <v>High</v>
      </c>
      <c r="T220" s="1" t="str" cm="1">
        <f t="array" ref="T220">_xlfn.IFS(L220&gt;5,"High",L220=5,"mediam",L220&lt;5,"low")</f>
        <v>High</v>
      </c>
      <c r="U220" s="1" t="str">
        <f t="shared" si="20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6"/>
        <v>25927.84</v>
      </c>
      <c r="Q221" s="10">
        <f t="shared" si="17"/>
        <v>0</v>
      </c>
      <c r="R221" s="11">
        <f t="shared" si="18"/>
        <v>25927.84</v>
      </c>
      <c r="S221" s="1" t="str">
        <f t="shared" si="19"/>
        <v>High</v>
      </c>
      <c r="T221" s="1" t="str" cm="1">
        <f t="array" ref="T221">_xlfn.IFS(L221&gt;5,"High",L221=5,"mediam",L221&lt;5,"low")</f>
        <v>High</v>
      </c>
      <c r="U221" s="1" t="str">
        <f t="shared" si="20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6"/>
        <v>8792.7999999999993</v>
      </c>
      <c r="Q222" s="10">
        <f t="shared" si="17"/>
        <v>791.35200000000009</v>
      </c>
      <c r="R222" s="11">
        <f t="shared" si="18"/>
        <v>8001.4479999999994</v>
      </c>
      <c r="S222" s="1" t="str">
        <f t="shared" si="19"/>
        <v>High</v>
      </c>
      <c r="T222" s="1" t="str" cm="1">
        <f t="array" ref="T222">_xlfn.IFS(L222&gt;5,"High",L222=5,"mediam",L222&lt;5,"low")</f>
        <v>High</v>
      </c>
      <c r="U222" s="1" t="str">
        <f t="shared" si="20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6"/>
        <v>27354.11</v>
      </c>
      <c r="Q223" s="10">
        <f t="shared" si="17"/>
        <v>2461.8700000000003</v>
      </c>
      <c r="R223" s="11">
        <f t="shared" si="18"/>
        <v>24892.240000000002</v>
      </c>
      <c r="S223" s="1" t="str">
        <f t="shared" si="19"/>
        <v>High</v>
      </c>
      <c r="T223" s="1" t="str" cm="1">
        <f t="array" ref="T223">_xlfn.IFS(L223&gt;5,"High",L223=5,"mediam",L223&lt;5,"low")</f>
        <v>High</v>
      </c>
      <c r="U223" s="1" t="str">
        <f t="shared" si="20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6"/>
        <v>8865.2999999999993</v>
      </c>
      <c r="Q224" s="10">
        <f t="shared" si="17"/>
        <v>797.87700000000007</v>
      </c>
      <c r="R224" s="11">
        <f t="shared" si="18"/>
        <v>8067.4229999999989</v>
      </c>
      <c r="S224" s="1" t="str">
        <f t="shared" si="19"/>
        <v>High</v>
      </c>
      <c r="T224" s="1" t="str" cm="1">
        <f t="array" ref="T224">_xlfn.IFS(L224&gt;5,"High",L224=5,"mediam",L224&lt;5,"low")</f>
        <v>High</v>
      </c>
      <c r="U224" s="1" t="str">
        <f t="shared" si="20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6"/>
        <v>2897.3</v>
      </c>
      <c r="Q225" s="10">
        <f t="shared" si="17"/>
        <v>463.56800000000004</v>
      </c>
      <c r="R225" s="11">
        <f t="shared" si="18"/>
        <v>2433.732</v>
      </c>
      <c r="S225" s="1" t="str">
        <f t="shared" si="19"/>
        <v>Low</v>
      </c>
      <c r="T225" s="1" t="str" cm="1">
        <f t="array" ref="T225">_xlfn.IFS(L225&gt;5,"High",L225=5,"mediam",L225&lt;5,"low")</f>
        <v>low</v>
      </c>
      <c r="U225" s="1" t="b">
        <f t="shared" si="20"/>
        <v>0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6"/>
        <v>9456.0199999999986</v>
      </c>
      <c r="Q226" s="10">
        <f t="shared" si="17"/>
        <v>851.04200000000003</v>
      </c>
      <c r="R226" s="11">
        <f t="shared" si="18"/>
        <v>8604.9779999999992</v>
      </c>
      <c r="S226" s="1" t="str">
        <f t="shared" si="19"/>
        <v>High</v>
      </c>
      <c r="T226" s="1" t="str" cm="1">
        <f t="array" ref="T226">_xlfn.IFS(L226&gt;5,"High",L226=5,"mediam",L226&lt;5,"low")</f>
        <v>High</v>
      </c>
      <c r="U226" s="1" t="str">
        <f t="shared" si="20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6"/>
        <v>3100.65</v>
      </c>
      <c r="Q227" s="10">
        <f t="shared" si="17"/>
        <v>147.28100000000001</v>
      </c>
      <c r="R227" s="11">
        <f t="shared" si="18"/>
        <v>2953.3690000000001</v>
      </c>
      <c r="S227" s="1" t="str">
        <f t="shared" si="19"/>
        <v>High</v>
      </c>
      <c r="T227" s="1" t="str" cm="1">
        <f t="array" ref="T227">_xlfn.IFS(L227&gt;5,"High",L227=5,"mediam",L227&lt;5,"low")</f>
        <v>mediam</v>
      </c>
      <c r="U227" s="1" t="b">
        <f t="shared" si="20"/>
        <v>0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6"/>
        <v>3467.2799999999997</v>
      </c>
      <c r="Q228" s="10">
        <f t="shared" si="17"/>
        <v>0</v>
      </c>
      <c r="R228" s="11">
        <f t="shared" si="18"/>
        <v>3467.2799999999997</v>
      </c>
      <c r="S228" s="1" t="str">
        <f t="shared" si="19"/>
        <v>High</v>
      </c>
      <c r="T228" s="1" t="str" cm="1">
        <f t="array" ref="T228">_xlfn.IFS(L228&gt;5,"High",L228=5,"mediam",L228&lt;5,"low")</f>
        <v>High</v>
      </c>
      <c r="U228" s="1" t="str">
        <f t="shared" si="20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6"/>
        <v>21161.599999999999</v>
      </c>
      <c r="Q229" s="10">
        <f t="shared" si="17"/>
        <v>3385.8559999999998</v>
      </c>
      <c r="R229" s="11">
        <f t="shared" si="18"/>
        <v>17775.743999999999</v>
      </c>
      <c r="S229" s="1" t="str">
        <f t="shared" si="19"/>
        <v>High</v>
      </c>
      <c r="T229" s="1" t="str" cm="1">
        <f t="array" ref="T229">_xlfn.IFS(L229&gt;5,"High",L229=5,"mediam",L229&lt;5,"low")</f>
        <v>High</v>
      </c>
      <c r="U229" s="1" t="str">
        <f t="shared" si="20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6"/>
        <v>28153.599999999999</v>
      </c>
      <c r="Q230" s="10">
        <f t="shared" si="17"/>
        <v>0</v>
      </c>
      <c r="R230" s="11">
        <f t="shared" si="18"/>
        <v>28153.599999999999</v>
      </c>
      <c r="S230" s="1" t="str">
        <f t="shared" si="19"/>
        <v>High</v>
      </c>
      <c r="T230" s="1" t="str" cm="1">
        <f t="array" ref="T230">_xlfn.IFS(L230&gt;5,"High",L230=5,"mediam",L230&lt;5,"low")</f>
        <v>High</v>
      </c>
      <c r="U230" s="1" t="str">
        <f t="shared" si="20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6"/>
        <v>9580.5</v>
      </c>
      <c r="Q231" s="10">
        <f t="shared" si="17"/>
        <v>862.24500000000012</v>
      </c>
      <c r="R231" s="11">
        <f t="shared" si="18"/>
        <v>8718.2549999999992</v>
      </c>
      <c r="S231" s="1" t="str">
        <f t="shared" si="19"/>
        <v>Low</v>
      </c>
      <c r="T231" s="1" t="str" cm="1">
        <f t="array" ref="T231">_xlfn.IFS(L231&gt;5,"High",L231=5,"mediam",L231&lt;5,"low")</f>
        <v>low</v>
      </c>
      <c r="U231" s="1" t="b">
        <f t="shared" si="20"/>
        <v>0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6"/>
        <v>4852.82</v>
      </c>
      <c r="Q232" s="10">
        <f t="shared" si="17"/>
        <v>776.45200000000011</v>
      </c>
      <c r="R232" s="11">
        <f t="shared" si="18"/>
        <v>4076.3679999999995</v>
      </c>
      <c r="S232" s="1" t="str">
        <f t="shared" si="19"/>
        <v>High</v>
      </c>
      <c r="T232" s="1" t="str" cm="1">
        <f t="array" ref="T232">_xlfn.IFS(L232&gt;5,"High",L232=5,"mediam",L232&lt;5,"low")</f>
        <v>High</v>
      </c>
      <c r="U232" s="1" t="str">
        <f t="shared" si="20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6"/>
        <v>2250.4899999999998</v>
      </c>
      <c r="Q233" s="10">
        <f t="shared" si="17"/>
        <v>286.93799999999999</v>
      </c>
      <c r="R233" s="11">
        <f t="shared" si="18"/>
        <v>1963.5519999999997</v>
      </c>
      <c r="S233" s="1" t="str">
        <f t="shared" si="19"/>
        <v>Low</v>
      </c>
      <c r="T233" s="1" t="str" cm="1">
        <f t="array" ref="T233">_xlfn.IFS(L233&gt;5,"High",L233=5,"mediam",L233&lt;5,"low")</f>
        <v>low</v>
      </c>
      <c r="U233" s="1" t="b">
        <f t="shared" si="20"/>
        <v>0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6"/>
        <v>556.53</v>
      </c>
      <c r="Q234" s="10">
        <f t="shared" si="17"/>
        <v>26.435000000000002</v>
      </c>
      <c r="R234" s="11">
        <f t="shared" si="18"/>
        <v>530.09500000000003</v>
      </c>
      <c r="S234" s="1" t="str">
        <f t="shared" si="19"/>
        <v>Low</v>
      </c>
      <c r="T234" s="1" t="str" cm="1">
        <f t="array" ref="T234">_xlfn.IFS(L234&gt;5,"High",L234=5,"mediam",L234&lt;5,"low")</f>
        <v>low</v>
      </c>
      <c r="U234" s="1" t="b">
        <f t="shared" si="20"/>
        <v>0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6"/>
        <v>2270.66</v>
      </c>
      <c r="Q235" s="10">
        <f t="shared" si="17"/>
        <v>204.35900000000001</v>
      </c>
      <c r="R235" s="11">
        <f t="shared" si="18"/>
        <v>2066.3009999999999</v>
      </c>
      <c r="S235" s="1" t="str">
        <f t="shared" si="19"/>
        <v>High</v>
      </c>
      <c r="T235" s="1" t="str" cm="1">
        <f t="array" ref="T235">_xlfn.IFS(L235&gt;5,"High",L235=5,"mediam",L235&lt;5,"low")</f>
        <v>High</v>
      </c>
      <c r="U235" s="1" t="str">
        <f t="shared" si="20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6"/>
        <v>24093.81</v>
      </c>
      <c r="Q236" s="10">
        <f t="shared" si="17"/>
        <v>2168.4430000000002</v>
      </c>
      <c r="R236" s="11">
        <f t="shared" si="18"/>
        <v>21925.367000000002</v>
      </c>
      <c r="S236" s="1" t="str">
        <f t="shared" si="19"/>
        <v>High</v>
      </c>
      <c r="T236" s="1" t="str" cm="1">
        <f t="array" ref="T236">_xlfn.IFS(L236&gt;5,"High",L236=5,"mediam",L236&lt;5,"low")</f>
        <v>High</v>
      </c>
      <c r="U236" s="1" t="str">
        <f t="shared" si="20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6"/>
        <v>15472.380000000001</v>
      </c>
      <c r="Q237" s="10">
        <f t="shared" si="17"/>
        <v>734.9380000000001</v>
      </c>
      <c r="R237" s="11">
        <f t="shared" si="18"/>
        <v>14737.442000000001</v>
      </c>
      <c r="S237" s="1" t="str">
        <f t="shared" si="19"/>
        <v>High</v>
      </c>
      <c r="T237" s="1" t="str" cm="1">
        <f t="array" ref="T237">_xlfn.IFS(L237&gt;5,"High",L237=5,"mediam",L237&lt;5,"low")</f>
        <v>High</v>
      </c>
      <c r="U237" s="1" t="str">
        <f t="shared" si="20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6"/>
        <v>2328.9500000000003</v>
      </c>
      <c r="Q238" s="10">
        <f t="shared" si="17"/>
        <v>110.625</v>
      </c>
      <c r="R238" s="11">
        <f t="shared" si="18"/>
        <v>2218.3250000000003</v>
      </c>
      <c r="S238" s="1" t="str">
        <f t="shared" si="19"/>
        <v>High</v>
      </c>
      <c r="T238" s="1" t="str" cm="1">
        <f t="array" ref="T238">_xlfn.IFS(L238&gt;5,"High",L238=5,"mediam",L238&lt;5,"low")</f>
        <v>mediam</v>
      </c>
      <c r="U238" s="1" t="b">
        <f t="shared" si="20"/>
        <v>0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6"/>
        <v>2276.16</v>
      </c>
      <c r="Q239" s="10">
        <f t="shared" si="17"/>
        <v>290.21100000000001</v>
      </c>
      <c r="R239" s="11">
        <f t="shared" si="18"/>
        <v>1985.9489999999998</v>
      </c>
      <c r="S239" s="1" t="str">
        <f t="shared" si="19"/>
        <v>High</v>
      </c>
      <c r="T239" s="1" t="str" cm="1">
        <f t="array" ref="T239">_xlfn.IFS(L239&gt;5,"High",L239=5,"mediam",L239&lt;5,"low")</f>
        <v>High</v>
      </c>
      <c r="U239" s="1" t="str">
        <f t="shared" si="20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6"/>
        <v>7921.12</v>
      </c>
      <c r="Q240" s="10">
        <f t="shared" si="17"/>
        <v>712.90100000000007</v>
      </c>
      <c r="R240" s="11">
        <f t="shared" si="18"/>
        <v>7208.2190000000001</v>
      </c>
      <c r="S240" s="1" t="str">
        <f t="shared" si="19"/>
        <v>Low</v>
      </c>
      <c r="T240" s="1" t="str" cm="1">
        <f t="array" ref="T240">_xlfn.IFS(L240&gt;5,"High",L240=5,"mediam",L240&lt;5,"low")</f>
        <v>low</v>
      </c>
      <c r="U240" s="1" t="b">
        <f t="shared" si="20"/>
        <v>0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6"/>
        <v>2390.2199999999998</v>
      </c>
      <c r="Q241" s="10">
        <f t="shared" si="17"/>
        <v>215.12</v>
      </c>
      <c r="R241" s="11">
        <f t="shared" si="18"/>
        <v>2175.1</v>
      </c>
      <c r="S241" s="1" t="str">
        <f t="shared" si="19"/>
        <v>High</v>
      </c>
      <c r="T241" s="1" t="str" cm="1">
        <f t="array" ref="T241">_xlfn.IFS(L241&gt;5,"High",L241=5,"mediam",L241&lt;5,"low")</f>
        <v>High</v>
      </c>
      <c r="U241" s="1" t="str">
        <f t="shared" si="20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6"/>
        <v>11168.58</v>
      </c>
      <c r="Q242" s="10">
        <f t="shared" si="17"/>
        <v>0</v>
      </c>
      <c r="R242" s="11">
        <f t="shared" si="18"/>
        <v>11168.58</v>
      </c>
      <c r="S242" s="1" t="str">
        <f t="shared" si="19"/>
        <v>High</v>
      </c>
      <c r="T242" s="1" t="str" cm="1">
        <f t="array" ref="T242">_xlfn.IFS(L242&gt;5,"High",L242=5,"mediam",L242&lt;5,"low")</f>
        <v>High</v>
      </c>
      <c r="U242" s="1" t="str">
        <f t="shared" si="20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6"/>
        <v>18835.02</v>
      </c>
      <c r="Q243" s="10">
        <f t="shared" si="17"/>
        <v>3013.6040000000003</v>
      </c>
      <c r="R243" s="11">
        <f t="shared" si="18"/>
        <v>15821.416000000001</v>
      </c>
      <c r="S243" s="1" t="str">
        <f t="shared" si="19"/>
        <v>High</v>
      </c>
      <c r="T243" s="1" t="str" cm="1">
        <f t="array" ref="T243">_xlfn.IFS(L243&gt;5,"High",L243=5,"mediam",L243&lt;5,"low")</f>
        <v>High</v>
      </c>
      <c r="U243" s="1" t="str">
        <f t="shared" si="20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6"/>
        <v>1203.06</v>
      </c>
      <c r="Q244" s="10">
        <f t="shared" si="17"/>
        <v>192.49</v>
      </c>
      <c r="R244" s="11">
        <f t="shared" si="18"/>
        <v>1010.5699999999999</v>
      </c>
      <c r="S244" s="1" t="str">
        <f t="shared" si="19"/>
        <v>Low</v>
      </c>
      <c r="T244" s="1" t="str" cm="1">
        <f t="array" ref="T244">_xlfn.IFS(L244&gt;5,"High",L244=5,"mediam",L244&lt;5,"low")</f>
        <v>low</v>
      </c>
      <c r="U244" s="1" t="b">
        <f t="shared" si="20"/>
        <v>0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6"/>
        <v>2402.67</v>
      </c>
      <c r="Q245" s="10">
        <f t="shared" si="17"/>
        <v>0</v>
      </c>
      <c r="R245" s="11">
        <f t="shared" si="18"/>
        <v>2402.67</v>
      </c>
      <c r="S245" s="1" t="str">
        <f t="shared" si="19"/>
        <v>Low</v>
      </c>
      <c r="T245" s="1" t="str" cm="1">
        <f t="array" ref="T245">_xlfn.IFS(L245&gt;5,"High",L245=5,"mediam",L245&lt;5,"low")</f>
        <v>low</v>
      </c>
      <c r="U245" s="1" t="b">
        <f t="shared" si="20"/>
        <v>0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6"/>
        <v>12035.6</v>
      </c>
      <c r="Q246" s="10">
        <f t="shared" si="17"/>
        <v>1925.6959999999999</v>
      </c>
      <c r="R246" s="11">
        <f t="shared" si="18"/>
        <v>10109.904</v>
      </c>
      <c r="S246" s="1" t="str">
        <f t="shared" si="19"/>
        <v>High</v>
      </c>
      <c r="T246" s="1" t="str" cm="1">
        <f t="array" ref="T246">_xlfn.IFS(L246&gt;5,"High",L246=5,"mediam",L246&lt;5,"low")</f>
        <v>High</v>
      </c>
      <c r="U246" s="1" t="str">
        <f t="shared" si="20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6"/>
        <v>3082.45</v>
      </c>
      <c r="Q247" s="10">
        <f t="shared" si="17"/>
        <v>146.41650000000001</v>
      </c>
      <c r="R247" s="11">
        <f t="shared" si="18"/>
        <v>2936.0335</v>
      </c>
      <c r="S247" s="1" t="str">
        <f t="shared" si="19"/>
        <v>Low</v>
      </c>
      <c r="T247" s="1" t="str" cm="1">
        <f t="array" ref="T247">_xlfn.IFS(L247&gt;5,"High",L247=5,"mediam",L247&lt;5,"low")</f>
        <v>low</v>
      </c>
      <c r="U247" s="1" t="b">
        <f t="shared" si="20"/>
        <v>0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6"/>
        <v>14715.89</v>
      </c>
      <c r="Q248" s="10">
        <f t="shared" si="17"/>
        <v>2354.5419999999999</v>
      </c>
      <c r="R248" s="11">
        <f t="shared" si="18"/>
        <v>12361.348</v>
      </c>
      <c r="S248" s="1" t="str">
        <f t="shared" si="19"/>
        <v>High</v>
      </c>
      <c r="T248" s="1" t="str" cm="1">
        <f t="array" ref="T248">_xlfn.IFS(L248&gt;5,"High",L248=5,"mediam",L248&lt;5,"low")</f>
        <v>High</v>
      </c>
      <c r="U248" s="1" t="str">
        <f t="shared" si="20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6"/>
        <v>18241.440000000002</v>
      </c>
      <c r="Q249" s="10">
        <f t="shared" si="17"/>
        <v>2918.63</v>
      </c>
      <c r="R249" s="11">
        <f t="shared" si="18"/>
        <v>15322.810000000001</v>
      </c>
      <c r="S249" s="1" t="str">
        <f t="shared" si="19"/>
        <v>High</v>
      </c>
      <c r="T249" s="1" t="str" cm="1">
        <f t="array" ref="T249">_xlfn.IFS(L249&gt;5,"High",L249=5,"mediam",L249&lt;5,"low")</f>
        <v>High</v>
      </c>
      <c r="U249" s="1" t="str">
        <f t="shared" si="20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6"/>
        <v>3942.92</v>
      </c>
      <c r="Q250" s="10">
        <f t="shared" si="17"/>
        <v>0</v>
      </c>
      <c r="R250" s="11">
        <f t="shared" si="18"/>
        <v>3942.92</v>
      </c>
      <c r="S250" s="1" t="str">
        <f t="shared" si="19"/>
        <v>Low</v>
      </c>
      <c r="T250" s="1" t="str" cm="1">
        <f t="array" ref="T250">_xlfn.IFS(L250&gt;5,"High",L250=5,"mediam",L250&lt;5,"low")</f>
        <v>low</v>
      </c>
      <c r="U250" s="1" t="b">
        <f t="shared" si="20"/>
        <v>0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6"/>
        <v>27961.38</v>
      </c>
      <c r="Q251" s="10">
        <f t="shared" si="17"/>
        <v>3565.0754999999995</v>
      </c>
      <c r="R251" s="11">
        <f t="shared" si="18"/>
        <v>24396.304500000002</v>
      </c>
      <c r="S251" s="1" t="str">
        <f t="shared" si="19"/>
        <v>High</v>
      </c>
      <c r="T251" s="1" t="str" cm="1">
        <f t="array" ref="T251">_xlfn.IFS(L251&gt;5,"High",L251=5,"mediam",L251&lt;5,"low")</f>
        <v>High</v>
      </c>
      <c r="U251" s="1" t="str">
        <f t="shared" si="20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6"/>
        <v>14578.32</v>
      </c>
      <c r="Q252" s="10">
        <f t="shared" si="17"/>
        <v>2332.5320000000002</v>
      </c>
      <c r="R252" s="11">
        <f t="shared" si="18"/>
        <v>12245.788</v>
      </c>
      <c r="S252" s="1" t="str">
        <f t="shared" si="19"/>
        <v>High</v>
      </c>
      <c r="T252" s="1" t="str" cm="1">
        <f t="array" ref="T252">_xlfn.IFS(L252&gt;5,"High",L252=5,"mediam",L252&lt;5,"low")</f>
        <v>High</v>
      </c>
      <c r="U252" s="1" t="str">
        <f t="shared" si="20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6"/>
        <v>7475.2</v>
      </c>
      <c r="Q253" s="10">
        <f t="shared" si="17"/>
        <v>1196.0319999999999</v>
      </c>
      <c r="R253" s="11">
        <f t="shared" si="18"/>
        <v>6279.1679999999997</v>
      </c>
      <c r="S253" s="1" t="str">
        <f t="shared" si="19"/>
        <v>Low</v>
      </c>
      <c r="T253" s="1" t="str" cm="1">
        <f t="array" ref="T253">_xlfn.IFS(L253&gt;5,"High",L253=5,"mediam",L253&lt;5,"low")</f>
        <v>low</v>
      </c>
      <c r="U253" s="1" t="b">
        <f t="shared" si="20"/>
        <v>0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6"/>
        <v>12661.35</v>
      </c>
      <c r="Q254" s="10">
        <f t="shared" si="17"/>
        <v>1614.3225</v>
      </c>
      <c r="R254" s="11">
        <f t="shared" si="18"/>
        <v>11047.0275</v>
      </c>
      <c r="S254" s="1" t="str">
        <f t="shared" si="19"/>
        <v>High</v>
      </c>
      <c r="T254" s="1" t="str" cm="1">
        <f t="array" ref="T254">_xlfn.IFS(L254&gt;5,"High",L254=5,"mediam",L254&lt;5,"low")</f>
        <v>mediam</v>
      </c>
      <c r="U254" s="1" t="b">
        <f t="shared" si="20"/>
        <v>0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6"/>
        <v>5423.32</v>
      </c>
      <c r="Q255" s="10">
        <f t="shared" si="17"/>
        <v>0</v>
      </c>
      <c r="R255" s="11">
        <f t="shared" si="18"/>
        <v>5423.32</v>
      </c>
      <c r="S255" s="1" t="str">
        <f t="shared" si="19"/>
        <v>Low</v>
      </c>
      <c r="T255" s="1" t="str" cm="1">
        <f t="array" ref="T255">_xlfn.IFS(L255&gt;5,"High",L255=5,"mediam",L255&lt;5,"low")</f>
        <v>low</v>
      </c>
      <c r="U255" s="1" t="b">
        <f t="shared" si="20"/>
        <v>0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6"/>
        <v>18699.659999999996</v>
      </c>
      <c r="Q256" s="10">
        <f t="shared" si="17"/>
        <v>2384.2064999999998</v>
      </c>
      <c r="R256" s="11">
        <f t="shared" si="18"/>
        <v>16315.453499999996</v>
      </c>
      <c r="S256" s="1" t="str">
        <f t="shared" si="19"/>
        <v>High</v>
      </c>
      <c r="T256" s="1" t="str" cm="1">
        <f t="array" ref="T256">_xlfn.IFS(L256&gt;5,"High",L256=5,"mediam",L256&lt;5,"low")</f>
        <v>High</v>
      </c>
      <c r="U256" s="1" t="str">
        <f t="shared" si="20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6"/>
        <v>15796.32</v>
      </c>
      <c r="Q257" s="10">
        <f t="shared" si="17"/>
        <v>0</v>
      </c>
      <c r="R257" s="11">
        <f t="shared" si="18"/>
        <v>15796.32</v>
      </c>
      <c r="S257" s="1" t="str">
        <f t="shared" si="19"/>
        <v>High</v>
      </c>
      <c r="T257" s="1" t="str" cm="1">
        <f t="array" ref="T257">_xlfn.IFS(L257&gt;5,"High",L257=5,"mediam",L257&lt;5,"low")</f>
        <v>High</v>
      </c>
      <c r="U257" s="1" t="str">
        <f t="shared" si="20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6"/>
        <v>721.8</v>
      </c>
      <c r="Q258" s="10">
        <f t="shared" si="17"/>
        <v>34.285500000000006</v>
      </c>
      <c r="R258" s="11">
        <f t="shared" si="18"/>
        <v>687.5145</v>
      </c>
      <c r="S258" s="1" t="str">
        <f t="shared" si="19"/>
        <v>Low</v>
      </c>
      <c r="T258" s="1" t="str" cm="1">
        <f t="array" ref="T258">_xlfn.IFS(L258&gt;5,"High",L258=5,"mediam",L258&lt;5,"low")</f>
        <v>low</v>
      </c>
      <c r="U258" s="1" t="b">
        <f t="shared" si="20"/>
        <v>0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1">L259*M259</f>
        <v>12628.35</v>
      </c>
      <c r="Q259" s="10">
        <f t="shared" ref="Q259:Q322" si="22">O259*N259%</f>
        <v>0</v>
      </c>
      <c r="R259" s="11">
        <f t="shared" ref="R259:R322" si="23">P259-Q259</f>
        <v>12628.35</v>
      </c>
      <c r="S259" s="1" t="str">
        <f t="shared" ref="S259:S322" si="24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si="20"/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1"/>
        <v>11015.19</v>
      </c>
      <c r="Q260" s="10">
        <f t="shared" si="22"/>
        <v>523.22149999999999</v>
      </c>
      <c r="R260" s="11">
        <f t="shared" si="23"/>
        <v>10491.968500000001</v>
      </c>
      <c r="S260" s="1" t="str">
        <f t="shared" si="24"/>
        <v>High</v>
      </c>
      <c r="T260" s="1" t="str" cm="1">
        <f t="array" ref="T260">_xlfn.IFS(L260&gt;5,"High",L260=5,"mediam",L260&lt;5,"low")</f>
        <v>High</v>
      </c>
      <c r="U260" s="1" t="str">
        <f t="shared" si="20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1"/>
        <v>1941.96</v>
      </c>
      <c r="Q261" s="10">
        <f t="shared" si="22"/>
        <v>92.242999999999995</v>
      </c>
      <c r="R261" s="11">
        <f t="shared" si="23"/>
        <v>1849.7170000000001</v>
      </c>
      <c r="S261" s="1" t="str">
        <f t="shared" si="24"/>
        <v>Low</v>
      </c>
      <c r="T261" s="1" t="str" cm="1">
        <f t="array" ref="T261">_xlfn.IFS(L261&gt;5,"High",L261=5,"mediam",L261&lt;5,"low")</f>
        <v>low</v>
      </c>
      <c r="U261" s="1" t="b">
        <f t="shared" si="20"/>
        <v>0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1"/>
        <v>1066.5</v>
      </c>
      <c r="Q262" s="10">
        <f t="shared" si="22"/>
        <v>0</v>
      </c>
      <c r="R262" s="11">
        <f t="shared" si="23"/>
        <v>1066.5</v>
      </c>
      <c r="S262" s="1" t="str">
        <f t="shared" si="24"/>
        <v>Low</v>
      </c>
      <c r="T262" s="1" t="str" cm="1">
        <f t="array" ref="T262">_xlfn.IFS(L262&gt;5,"High",L262=5,"mediam",L262&lt;5,"low")</f>
        <v>low</v>
      </c>
      <c r="U262" s="1" t="b">
        <f t="shared" si="20"/>
        <v>0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1"/>
        <v>17306.03</v>
      </c>
      <c r="Q263" s="10">
        <f t="shared" si="22"/>
        <v>1557.5430000000001</v>
      </c>
      <c r="R263" s="11">
        <f t="shared" si="23"/>
        <v>15748.486999999999</v>
      </c>
      <c r="S263" s="1" t="str">
        <f t="shared" si="24"/>
        <v>High</v>
      </c>
      <c r="T263" s="1" t="str" cm="1">
        <f t="array" ref="T263">_xlfn.IFS(L263&gt;5,"High",L263=5,"mediam",L263&lt;5,"low")</f>
        <v>High</v>
      </c>
      <c r="U263" s="1" t="str">
        <f t="shared" si="20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1"/>
        <v>15161.02</v>
      </c>
      <c r="Q264" s="10">
        <f t="shared" si="22"/>
        <v>0</v>
      </c>
      <c r="R264" s="11">
        <f t="shared" si="23"/>
        <v>15161.02</v>
      </c>
      <c r="S264" s="1" t="str">
        <f t="shared" si="24"/>
        <v>High</v>
      </c>
      <c r="T264" s="1" t="str" cm="1">
        <f t="array" ref="T264">_xlfn.IFS(L264&gt;5,"High",L264=5,"mediam",L264&lt;5,"low")</f>
        <v>High</v>
      </c>
      <c r="U264" s="1" t="str">
        <f t="shared" si="20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1"/>
        <v>4505.2</v>
      </c>
      <c r="Q265" s="10">
        <f t="shared" si="22"/>
        <v>720.83199999999999</v>
      </c>
      <c r="R265" s="11">
        <f t="shared" si="23"/>
        <v>3784.3679999999999</v>
      </c>
      <c r="S265" s="1" t="str">
        <f t="shared" si="24"/>
        <v>Low</v>
      </c>
      <c r="T265" s="1" t="str" cm="1">
        <f t="array" ref="T265">_xlfn.IFS(L265&gt;5,"High",L265=5,"mediam",L265&lt;5,"low")</f>
        <v>low</v>
      </c>
      <c r="U265" s="1" t="b">
        <f t="shared" ref="U265:U328" si="25">IF(L265&gt;5,"High",IF(L265="Mediam","Low"))</f>
        <v>0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1"/>
        <v>17668.440000000002</v>
      </c>
      <c r="Q266" s="10">
        <f t="shared" si="22"/>
        <v>2826.9500000000003</v>
      </c>
      <c r="R266" s="11">
        <f t="shared" si="23"/>
        <v>14841.490000000002</v>
      </c>
      <c r="S266" s="1" t="str">
        <f t="shared" si="24"/>
        <v>High</v>
      </c>
      <c r="T266" s="1" t="str" cm="1">
        <f t="array" ref="T266">_xlfn.IFS(L266&gt;5,"High",L266=5,"mediam",L266&lt;5,"low")</f>
        <v>High</v>
      </c>
      <c r="U266" s="1" t="str">
        <f t="shared" si="25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1"/>
        <v>16360.72</v>
      </c>
      <c r="Q267" s="10">
        <f t="shared" si="22"/>
        <v>1472.4650000000001</v>
      </c>
      <c r="R267" s="11">
        <f t="shared" si="23"/>
        <v>14888.254999999999</v>
      </c>
      <c r="S267" s="1" t="str">
        <f t="shared" si="24"/>
        <v>High</v>
      </c>
      <c r="T267" s="1" t="str" cm="1">
        <f t="array" ref="T267">_xlfn.IFS(L267&gt;5,"High",L267=5,"mediam",L267&lt;5,"low")</f>
        <v>High</v>
      </c>
      <c r="U267" s="1" t="str">
        <f t="shared" si="25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1"/>
        <v>900.78</v>
      </c>
      <c r="Q268" s="10">
        <f t="shared" si="22"/>
        <v>42.787000000000006</v>
      </c>
      <c r="R268" s="11">
        <f t="shared" si="23"/>
        <v>857.99299999999994</v>
      </c>
      <c r="S268" s="1" t="str">
        <f t="shared" si="24"/>
        <v>Low</v>
      </c>
      <c r="T268" s="1" t="str" cm="1">
        <f t="array" ref="T268">_xlfn.IFS(L268&gt;5,"High",L268=5,"mediam",L268&lt;5,"low")</f>
        <v>low</v>
      </c>
      <c r="U268" s="1" t="b">
        <f t="shared" si="25"/>
        <v>0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1"/>
        <v>2660.56</v>
      </c>
      <c r="Q269" s="10">
        <f t="shared" si="22"/>
        <v>239.45000000000002</v>
      </c>
      <c r="R269" s="11">
        <f t="shared" si="23"/>
        <v>2421.11</v>
      </c>
      <c r="S269" s="1" t="str">
        <f t="shared" si="24"/>
        <v>Low</v>
      </c>
      <c r="T269" s="1" t="str" cm="1">
        <f t="array" ref="T269">_xlfn.IFS(L269&gt;5,"High",L269=5,"mediam",L269&lt;5,"low")</f>
        <v>low</v>
      </c>
      <c r="U269" s="1" t="b">
        <f t="shared" si="25"/>
        <v>0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1"/>
        <v>15782.7</v>
      </c>
      <c r="Q270" s="10">
        <f t="shared" si="22"/>
        <v>2525.232</v>
      </c>
      <c r="R270" s="11">
        <f t="shared" si="23"/>
        <v>13257.468000000001</v>
      </c>
      <c r="S270" s="1" t="str">
        <f t="shared" si="24"/>
        <v>High</v>
      </c>
      <c r="T270" s="1" t="str" cm="1">
        <f t="array" ref="T270">_xlfn.IFS(L270&gt;5,"High",L270=5,"mediam",L270&lt;5,"low")</f>
        <v>mediam</v>
      </c>
      <c r="U270" s="1" t="b">
        <f t="shared" si="25"/>
        <v>0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1"/>
        <v>19182.78</v>
      </c>
      <c r="Q271" s="10">
        <f t="shared" si="22"/>
        <v>1726.45</v>
      </c>
      <c r="R271" s="11">
        <f t="shared" si="23"/>
        <v>17456.329999999998</v>
      </c>
      <c r="S271" s="1" t="str">
        <f t="shared" si="24"/>
        <v>High</v>
      </c>
      <c r="T271" s="1" t="str" cm="1">
        <f t="array" ref="T271">_xlfn.IFS(L271&gt;5,"High",L271=5,"mediam",L271&lt;5,"low")</f>
        <v>High</v>
      </c>
      <c r="U271" s="1" t="str">
        <f t="shared" si="25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1"/>
        <v>7408.5300000000007</v>
      </c>
      <c r="Q272" s="10">
        <f t="shared" si="22"/>
        <v>0</v>
      </c>
      <c r="R272" s="11">
        <f t="shared" si="23"/>
        <v>7408.5300000000007</v>
      </c>
      <c r="S272" s="1" t="str">
        <f t="shared" si="24"/>
        <v>Low</v>
      </c>
      <c r="T272" s="1" t="str" cm="1">
        <f t="array" ref="T272">_xlfn.IFS(L272&gt;5,"High",L272=5,"mediam",L272&lt;5,"low")</f>
        <v>low</v>
      </c>
      <c r="U272" s="1" t="b">
        <f t="shared" si="25"/>
        <v>0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1"/>
        <v>19078.29</v>
      </c>
      <c r="Q273" s="10">
        <f t="shared" si="22"/>
        <v>1717.046</v>
      </c>
      <c r="R273" s="11">
        <f t="shared" si="23"/>
        <v>17361.244000000002</v>
      </c>
      <c r="S273" s="1" t="str">
        <f t="shared" si="24"/>
        <v>High</v>
      </c>
      <c r="T273" s="1" t="str" cm="1">
        <f t="array" ref="T273">_xlfn.IFS(L273&gt;5,"High",L273=5,"mediam",L273&lt;5,"low")</f>
        <v>High</v>
      </c>
      <c r="U273" s="1" t="str">
        <f t="shared" si="25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1"/>
        <v>2309.2799999999997</v>
      </c>
      <c r="Q274" s="10">
        <f t="shared" si="22"/>
        <v>109.69100000000002</v>
      </c>
      <c r="R274" s="11">
        <f t="shared" si="23"/>
        <v>2199.5889999999999</v>
      </c>
      <c r="S274" s="1" t="str">
        <f t="shared" si="24"/>
        <v>High</v>
      </c>
      <c r="T274" s="1" t="str" cm="1">
        <f t="array" ref="T274">_xlfn.IFS(L274&gt;5,"High",L274=5,"mediam",L274&lt;5,"low")</f>
        <v>High</v>
      </c>
      <c r="U274" s="1" t="str">
        <f t="shared" si="25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1"/>
        <v>5032.6000000000004</v>
      </c>
      <c r="Q275" s="10">
        <f t="shared" si="22"/>
        <v>0</v>
      </c>
      <c r="R275" s="11">
        <f t="shared" si="23"/>
        <v>5032.6000000000004</v>
      </c>
      <c r="S275" s="1" t="str">
        <f t="shared" si="24"/>
        <v>Low</v>
      </c>
      <c r="T275" s="1" t="str" cm="1">
        <f t="array" ref="T275">_xlfn.IFS(L275&gt;5,"High",L275=5,"mediam",L275&lt;5,"low")</f>
        <v>low</v>
      </c>
      <c r="U275" s="1" t="b">
        <f t="shared" si="25"/>
        <v>0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1"/>
        <v>3563.7000000000003</v>
      </c>
      <c r="Q276" s="10">
        <f t="shared" si="22"/>
        <v>454.37099999999998</v>
      </c>
      <c r="R276" s="11">
        <f t="shared" si="23"/>
        <v>3109.3290000000002</v>
      </c>
      <c r="S276" s="1" t="str">
        <f t="shared" si="24"/>
        <v>High</v>
      </c>
      <c r="T276" s="1" t="str" cm="1">
        <f t="array" ref="T276">_xlfn.IFS(L276&gt;5,"High",L276=5,"mediam",L276&lt;5,"low")</f>
        <v>High</v>
      </c>
      <c r="U276" s="1" t="str">
        <f t="shared" si="25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1"/>
        <v>30885.759999999998</v>
      </c>
      <c r="Q277" s="10">
        <f t="shared" si="22"/>
        <v>4941.7220000000007</v>
      </c>
      <c r="R277" s="11">
        <f t="shared" si="23"/>
        <v>25944.037999999997</v>
      </c>
      <c r="S277" s="1" t="str">
        <f t="shared" si="24"/>
        <v>High</v>
      </c>
      <c r="T277" s="1" t="str" cm="1">
        <f t="array" ref="T277">_xlfn.IFS(L277&gt;5,"High",L277=5,"mediam",L277&lt;5,"low")</f>
        <v>High</v>
      </c>
      <c r="U277" s="1" t="str">
        <f t="shared" si="25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1"/>
        <v>6030.5399999999991</v>
      </c>
      <c r="Q278" s="10">
        <f t="shared" si="22"/>
        <v>964.88600000000008</v>
      </c>
      <c r="R278" s="11">
        <f t="shared" si="23"/>
        <v>5065.6539999999986</v>
      </c>
      <c r="S278" s="1" t="str">
        <f t="shared" si="24"/>
        <v>High</v>
      </c>
      <c r="T278" s="1" t="str" cm="1">
        <f t="array" ref="T278">_xlfn.IFS(L278&gt;5,"High",L278=5,"mediam",L278&lt;5,"low")</f>
        <v>High</v>
      </c>
      <c r="U278" s="1" t="str">
        <f t="shared" si="25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1"/>
        <v>4406.04</v>
      </c>
      <c r="Q279" s="10">
        <f t="shared" si="22"/>
        <v>396.54400000000004</v>
      </c>
      <c r="R279" s="11">
        <f t="shared" si="23"/>
        <v>4009.4960000000001</v>
      </c>
      <c r="S279" s="1" t="str">
        <f t="shared" si="24"/>
        <v>High</v>
      </c>
      <c r="T279" s="1" t="str" cm="1">
        <f t="array" ref="T279">_xlfn.IFS(L279&gt;5,"High",L279=5,"mediam",L279&lt;5,"low")</f>
        <v>High</v>
      </c>
      <c r="U279" s="1" t="str">
        <f t="shared" si="25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1"/>
        <v>21449.22</v>
      </c>
      <c r="Q280" s="10">
        <f t="shared" si="22"/>
        <v>0</v>
      </c>
      <c r="R280" s="11">
        <f t="shared" si="23"/>
        <v>21449.22</v>
      </c>
      <c r="S280" s="1" t="str">
        <f t="shared" si="24"/>
        <v>High</v>
      </c>
      <c r="T280" s="1" t="str" cm="1">
        <f t="array" ref="T280">_xlfn.IFS(L280&gt;5,"High",L280=5,"mediam",L280&lt;5,"low")</f>
        <v>High</v>
      </c>
      <c r="U280" s="1" t="str">
        <f t="shared" si="25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1"/>
        <v>30272.959999999999</v>
      </c>
      <c r="Q281" s="10">
        <f t="shared" si="22"/>
        <v>3859.8029999999999</v>
      </c>
      <c r="R281" s="11">
        <f t="shared" si="23"/>
        <v>26413.156999999999</v>
      </c>
      <c r="S281" s="1" t="str">
        <f t="shared" si="24"/>
        <v>High</v>
      </c>
      <c r="T281" s="1" t="str" cm="1">
        <f t="array" ref="T281">_xlfn.IFS(L281&gt;5,"High",L281=5,"mediam",L281&lt;5,"low")</f>
        <v>High</v>
      </c>
      <c r="U281" s="1" t="str">
        <f t="shared" si="25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1"/>
        <v>15492.2</v>
      </c>
      <c r="Q282" s="10">
        <f t="shared" si="22"/>
        <v>0</v>
      </c>
      <c r="R282" s="11">
        <f t="shared" si="23"/>
        <v>15492.2</v>
      </c>
      <c r="S282" s="1" t="str">
        <f t="shared" si="24"/>
        <v>High</v>
      </c>
      <c r="T282" s="1" t="str" cm="1">
        <f t="array" ref="T282">_xlfn.IFS(L282&gt;5,"High",L282=5,"mediam",L282&lt;5,"low")</f>
        <v>mediam</v>
      </c>
      <c r="U282" s="1" t="b">
        <f t="shared" si="25"/>
        <v>0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1"/>
        <v>512.43000000000006</v>
      </c>
      <c r="Q283" s="10">
        <f t="shared" si="22"/>
        <v>81.988</v>
      </c>
      <c r="R283" s="11">
        <f t="shared" si="23"/>
        <v>430.44200000000006</v>
      </c>
      <c r="S283" s="1" t="str">
        <f t="shared" si="24"/>
        <v>Low</v>
      </c>
      <c r="T283" s="1" t="str" cm="1">
        <f t="array" ref="T283">_xlfn.IFS(L283&gt;5,"High",L283=5,"mediam",L283&lt;5,"low")</f>
        <v>low</v>
      </c>
      <c r="U283" s="1" t="b">
        <f t="shared" si="25"/>
        <v>0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1"/>
        <v>465.54</v>
      </c>
      <c r="Q284" s="10">
        <f t="shared" si="22"/>
        <v>0</v>
      </c>
      <c r="R284" s="11">
        <f t="shared" si="23"/>
        <v>465.54</v>
      </c>
      <c r="S284" s="1" t="str">
        <f t="shared" si="24"/>
        <v>Low</v>
      </c>
      <c r="T284" s="1" t="str" cm="1">
        <f t="array" ref="T284">_xlfn.IFS(L284&gt;5,"High",L284=5,"mediam",L284&lt;5,"low")</f>
        <v>low</v>
      </c>
      <c r="U284" s="1" t="b">
        <f t="shared" si="25"/>
        <v>0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1"/>
        <v>9634.14</v>
      </c>
      <c r="Q285" s="10">
        <f t="shared" si="22"/>
        <v>1228.3530000000001</v>
      </c>
      <c r="R285" s="11">
        <f t="shared" si="23"/>
        <v>8405.7870000000003</v>
      </c>
      <c r="S285" s="1" t="str">
        <f t="shared" si="24"/>
        <v>High</v>
      </c>
      <c r="T285" s="1" t="str" cm="1">
        <f t="array" ref="T285">_xlfn.IFS(L285&gt;5,"High",L285=5,"mediam",L285&lt;5,"low")</f>
        <v>High</v>
      </c>
      <c r="U285" s="1" t="str">
        <f t="shared" si="25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1"/>
        <v>1404.14</v>
      </c>
      <c r="Q286" s="10">
        <f t="shared" si="22"/>
        <v>126.373</v>
      </c>
      <c r="R286" s="11">
        <f t="shared" si="23"/>
        <v>1277.7670000000001</v>
      </c>
      <c r="S286" s="1" t="str">
        <f t="shared" si="24"/>
        <v>Low</v>
      </c>
      <c r="T286" s="1" t="str" cm="1">
        <f t="array" ref="T286">_xlfn.IFS(L286&gt;5,"High",L286=5,"mediam",L286&lt;5,"low")</f>
        <v>low</v>
      </c>
      <c r="U286" s="1" t="b">
        <f t="shared" si="25"/>
        <v>0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1"/>
        <v>1324.74</v>
      </c>
      <c r="Q287" s="10">
        <f t="shared" si="22"/>
        <v>62.925000000000004</v>
      </c>
      <c r="R287" s="11">
        <f t="shared" si="23"/>
        <v>1261.8150000000001</v>
      </c>
      <c r="S287" s="1" t="str">
        <f t="shared" si="24"/>
        <v>High</v>
      </c>
      <c r="T287" s="1" t="str" cm="1">
        <f t="array" ref="T287">_xlfn.IFS(L287&gt;5,"High",L287=5,"mediam",L287&lt;5,"low")</f>
        <v>High</v>
      </c>
      <c r="U287" s="1" t="str">
        <f t="shared" si="25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1"/>
        <v>11619.960000000001</v>
      </c>
      <c r="Q288" s="10">
        <f t="shared" si="22"/>
        <v>0</v>
      </c>
      <c r="R288" s="11">
        <f t="shared" si="23"/>
        <v>11619.960000000001</v>
      </c>
      <c r="S288" s="1" t="str">
        <f t="shared" si="24"/>
        <v>High</v>
      </c>
      <c r="T288" s="1" t="str" cm="1">
        <f t="array" ref="T288">_xlfn.IFS(L288&gt;5,"High",L288=5,"mediam",L288&lt;5,"low")</f>
        <v>High</v>
      </c>
      <c r="U288" s="1" t="str">
        <f t="shared" si="25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1"/>
        <v>30246.32</v>
      </c>
      <c r="Q289" s="10">
        <f t="shared" si="22"/>
        <v>1436.7</v>
      </c>
      <c r="R289" s="11">
        <f t="shared" si="23"/>
        <v>28809.62</v>
      </c>
      <c r="S289" s="1" t="str">
        <f t="shared" si="24"/>
        <v>High</v>
      </c>
      <c r="T289" s="1" t="str" cm="1">
        <f t="array" ref="T289">_xlfn.IFS(L289&gt;5,"High",L289=5,"mediam",L289&lt;5,"low")</f>
        <v>High</v>
      </c>
      <c r="U289" s="1" t="str">
        <f t="shared" si="25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1"/>
        <v>9776.9700000000012</v>
      </c>
      <c r="Q290" s="10">
        <f t="shared" si="22"/>
        <v>1564.316</v>
      </c>
      <c r="R290" s="11">
        <f t="shared" si="23"/>
        <v>8212.6540000000005</v>
      </c>
      <c r="S290" s="1" t="str">
        <f t="shared" si="24"/>
        <v>High</v>
      </c>
      <c r="T290" s="1" t="str" cm="1">
        <f t="array" ref="T290">_xlfn.IFS(L290&gt;5,"High",L290=5,"mediam",L290&lt;5,"low")</f>
        <v>High</v>
      </c>
      <c r="U290" s="1" t="str">
        <f t="shared" si="25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1"/>
        <v>21563.119999999999</v>
      </c>
      <c r="Q291" s="10">
        <f t="shared" si="22"/>
        <v>1940.6810000000003</v>
      </c>
      <c r="R291" s="11">
        <f t="shared" si="23"/>
        <v>19622.438999999998</v>
      </c>
      <c r="S291" s="1" t="str">
        <f t="shared" si="24"/>
        <v>High</v>
      </c>
      <c r="T291" s="1" t="str" cm="1">
        <f t="array" ref="T291">_xlfn.IFS(L291&gt;5,"High",L291=5,"mediam",L291&lt;5,"low")</f>
        <v>High</v>
      </c>
      <c r="U291" s="1" t="str">
        <f t="shared" si="25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1"/>
        <v>23949.99</v>
      </c>
      <c r="Q292" s="10">
        <f t="shared" si="22"/>
        <v>2155.4990000000003</v>
      </c>
      <c r="R292" s="11">
        <f t="shared" si="23"/>
        <v>21794.491000000002</v>
      </c>
      <c r="S292" s="1" t="str">
        <f t="shared" si="24"/>
        <v>High</v>
      </c>
      <c r="T292" s="1" t="str" cm="1">
        <f t="array" ref="T292">_xlfn.IFS(L292&gt;5,"High",L292=5,"mediam",L292&lt;5,"low")</f>
        <v>High</v>
      </c>
      <c r="U292" s="1" t="str">
        <f t="shared" si="25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1"/>
        <v>6699.9600000000009</v>
      </c>
      <c r="Q293" s="10">
        <f t="shared" si="22"/>
        <v>0</v>
      </c>
      <c r="R293" s="11">
        <f t="shared" si="23"/>
        <v>6699.9600000000009</v>
      </c>
      <c r="S293" s="1" t="str">
        <f t="shared" si="24"/>
        <v>High</v>
      </c>
      <c r="T293" s="1" t="str" cm="1">
        <f t="array" ref="T293">_xlfn.IFS(L293&gt;5,"High",L293=5,"mediam",L293&lt;5,"low")</f>
        <v>High</v>
      </c>
      <c r="U293" s="1" t="str">
        <f t="shared" si="25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1"/>
        <v>7962.42</v>
      </c>
      <c r="Q294" s="10">
        <f t="shared" si="22"/>
        <v>716.61800000000005</v>
      </c>
      <c r="R294" s="11">
        <f t="shared" si="23"/>
        <v>7245.8019999999997</v>
      </c>
      <c r="S294" s="1" t="str">
        <f t="shared" si="24"/>
        <v>Low</v>
      </c>
      <c r="T294" s="1" t="str" cm="1">
        <f t="array" ref="T294">_xlfn.IFS(L294&gt;5,"High",L294=5,"mediam",L294&lt;5,"low")</f>
        <v>low</v>
      </c>
      <c r="U294" s="1" t="b">
        <f t="shared" si="25"/>
        <v>0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1"/>
        <v>2902.4700000000003</v>
      </c>
      <c r="Q295" s="10">
        <f t="shared" si="22"/>
        <v>0</v>
      </c>
      <c r="R295" s="11">
        <f t="shared" si="23"/>
        <v>2902.4700000000003</v>
      </c>
      <c r="S295" s="1" t="str">
        <f t="shared" si="24"/>
        <v>Low</v>
      </c>
      <c r="T295" s="1" t="str" cm="1">
        <f t="array" ref="T295">_xlfn.IFS(L295&gt;5,"High",L295=5,"mediam",L295&lt;5,"low")</f>
        <v>low</v>
      </c>
      <c r="U295" s="1" t="b">
        <f t="shared" si="25"/>
        <v>0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1"/>
        <v>619.73</v>
      </c>
      <c r="Q296" s="10">
        <f t="shared" si="22"/>
        <v>0</v>
      </c>
      <c r="R296" s="11">
        <f t="shared" si="23"/>
        <v>619.73</v>
      </c>
      <c r="S296" s="1" t="str">
        <f t="shared" si="24"/>
        <v>Low</v>
      </c>
      <c r="T296" s="1" t="str" cm="1">
        <f t="array" ref="T296">_xlfn.IFS(L296&gt;5,"High",L296=5,"mediam",L296&lt;5,"low")</f>
        <v>low</v>
      </c>
      <c r="U296" s="1" t="b">
        <f t="shared" si="25"/>
        <v>0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1"/>
        <v>14251.65</v>
      </c>
      <c r="Q297" s="10">
        <f t="shared" si="22"/>
        <v>676.95350000000008</v>
      </c>
      <c r="R297" s="11">
        <f t="shared" si="23"/>
        <v>13574.6965</v>
      </c>
      <c r="S297" s="1" t="str">
        <f t="shared" si="24"/>
        <v>High</v>
      </c>
      <c r="T297" s="1" t="str" cm="1">
        <f t="array" ref="T297">_xlfn.IFS(L297&gt;5,"High",L297=5,"mediam",L297&lt;5,"low")</f>
        <v>mediam</v>
      </c>
      <c r="U297" s="1" t="b">
        <f t="shared" si="25"/>
        <v>0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1"/>
        <v>2347</v>
      </c>
      <c r="Q298" s="10">
        <f t="shared" si="22"/>
        <v>211.23000000000002</v>
      </c>
      <c r="R298" s="11">
        <f t="shared" si="23"/>
        <v>2135.77</v>
      </c>
      <c r="S298" s="1" t="str">
        <f t="shared" si="24"/>
        <v>Low</v>
      </c>
      <c r="T298" s="1" t="str" cm="1">
        <f t="array" ref="T298">_xlfn.IFS(L298&gt;5,"High",L298=5,"mediam",L298&lt;5,"low")</f>
        <v>low</v>
      </c>
      <c r="U298" s="1" t="b">
        <f t="shared" si="25"/>
        <v>0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1"/>
        <v>35892.9</v>
      </c>
      <c r="Q299" s="10">
        <f t="shared" si="22"/>
        <v>0</v>
      </c>
      <c r="R299" s="11">
        <f t="shared" si="23"/>
        <v>35892.9</v>
      </c>
      <c r="S299" s="1" t="str">
        <f t="shared" si="24"/>
        <v>High</v>
      </c>
      <c r="T299" s="1" t="str" cm="1">
        <f t="array" ref="T299">_xlfn.IFS(L299&gt;5,"High",L299=5,"mediam",L299&lt;5,"low")</f>
        <v>High</v>
      </c>
      <c r="U299" s="1" t="str">
        <f t="shared" si="25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1"/>
        <v>7706.61</v>
      </c>
      <c r="Q300" s="10">
        <f t="shared" si="22"/>
        <v>366.06400000000002</v>
      </c>
      <c r="R300" s="11">
        <f t="shared" si="23"/>
        <v>7340.5459999999994</v>
      </c>
      <c r="S300" s="1" t="str">
        <f t="shared" si="24"/>
        <v>High</v>
      </c>
      <c r="T300" s="1" t="str" cm="1">
        <f t="array" ref="T300">_xlfn.IFS(L300&gt;5,"High",L300=5,"mediam",L300&lt;5,"low")</f>
        <v>High</v>
      </c>
      <c r="U300" s="1" t="str">
        <f t="shared" si="25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1"/>
        <v>12187.25</v>
      </c>
      <c r="Q301" s="10">
        <f t="shared" si="22"/>
        <v>1553.874</v>
      </c>
      <c r="R301" s="11">
        <f t="shared" si="23"/>
        <v>10633.376</v>
      </c>
      <c r="S301" s="1" t="str">
        <f t="shared" si="24"/>
        <v>High</v>
      </c>
      <c r="T301" s="1" t="str" cm="1">
        <f t="array" ref="T301">_xlfn.IFS(L301&gt;5,"High",L301=5,"mediam",L301&lt;5,"low")</f>
        <v>mediam</v>
      </c>
      <c r="U301" s="1" t="b">
        <f t="shared" si="25"/>
        <v>0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1"/>
        <v>6935.16</v>
      </c>
      <c r="Q302" s="10">
        <f t="shared" si="22"/>
        <v>329.42</v>
      </c>
      <c r="R302" s="11">
        <f t="shared" si="23"/>
        <v>6605.74</v>
      </c>
      <c r="S302" s="1" t="str">
        <f t="shared" si="24"/>
        <v>Low</v>
      </c>
      <c r="T302" s="1" t="str" cm="1">
        <f t="array" ref="T302">_xlfn.IFS(L302&gt;5,"High",L302=5,"mediam",L302&lt;5,"low")</f>
        <v>low</v>
      </c>
      <c r="U302" s="1" t="b">
        <f t="shared" si="25"/>
        <v>0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1"/>
        <v>4456.13</v>
      </c>
      <c r="Q303" s="10">
        <f t="shared" si="22"/>
        <v>211.666</v>
      </c>
      <c r="R303" s="11">
        <f t="shared" si="23"/>
        <v>4244.4639999999999</v>
      </c>
      <c r="S303" s="1" t="str">
        <f t="shared" si="24"/>
        <v>High</v>
      </c>
      <c r="T303" s="1" t="str" cm="1">
        <f t="array" ref="T303">_xlfn.IFS(L303&gt;5,"High",L303=5,"mediam",L303&lt;5,"low")</f>
        <v>High</v>
      </c>
      <c r="U303" s="1" t="str">
        <f t="shared" si="25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1"/>
        <v>1543.1999999999998</v>
      </c>
      <c r="Q304" s="10">
        <f t="shared" si="22"/>
        <v>0</v>
      </c>
      <c r="R304" s="11">
        <f t="shared" si="23"/>
        <v>1543.1999999999998</v>
      </c>
      <c r="S304" s="1" t="str">
        <f t="shared" si="24"/>
        <v>High</v>
      </c>
      <c r="T304" s="1" t="str" cm="1">
        <f t="array" ref="T304">_xlfn.IFS(L304&gt;5,"High",L304=5,"mediam",L304&lt;5,"low")</f>
        <v>High</v>
      </c>
      <c r="U304" s="1" t="str">
        <f t="shared" si="25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1"/>
        <v>10190.08</v>
      </c>
      <c r="Q305" s="10">
        <f t="shared" si="22"/>
        <v>1630.4120000000003</v>
      </c>
      <c r="R305" s="11">
        <f t="shared" si="23"/>
        <v>8559.6679999999997</v>
      </c>
      <c r="S305" s="1" t="str">
        <f t="shared" si="24"/>
        <v>Low</v>
      </c>
      <c r="T305" s="1" t="str" cm="1">
        <f t="array" ref="T305">_xlfn.IFS(L305&gt;5,"High",L305=5,"mediam",L305&lt;5,"low")</f>
        <v>low</v>
      </c>
      <c r="U305" s="1" t="b">
        <f t="shared" si="25"/>
        <v>0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1"/>
        <v>6512.04</v>
      </c>
      <c r="Q306" s="10">
        <f t="shared" si="22"/>
        <v>1041.9260000000002</v>
      </c>
      <c r="R306" s="11">
        <f t="shared" si="23"/>
        <v>5470.1139999999996</v>
      </c>
      <c r="S306" s="1" t="str">
        <f t="shared" si="24"/>
        <v>Low</v>
      </c>
      <c r="T306" s="1" t="str" cm="1">
        <f t="array" ref="T306">_xlfn.IFS(L306&gt;5,"High",L306=5,"mediam",L306&lt;5,"low")</f>
        <v>low</v>
      </c>
      <c r="U306" s="1" t="b">
        <f t="shared" si="25"/>
        <v>0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1"/>
        <v>3391.76</v>
      </c>
      <c r="Q307" s="10">
        <f t="shared" si="22"/>
        <v>542.68200000000002</v>
      </c>
      <c r="R307" s="11">
        <f t="shared" si="23"/>
        <v>2849.0780000000004</v>
      </c>
      <c r="S307" s="1" t="str">
        <f t="shared" si="24"/>
        <v>Low</v>
      </c>
      <c r="T307" s="1" t="str" cm="1">
        <f t="array" ref="T307">_xlfn.IFS(L307&gt;5,"High",L307=5,"mediam",L307&lt;5,"low")</f>
        <v>low</v>
      </c>
      <c r="U307" s="1" t="b">
        <f t="shared" si="25"/>
        <v>0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1"/>
        <v>8033.8</v>
      </c>
      <c r="Q308" s="10">
        <f t="shared" si="22"/>
        <v>381.60550000000001</v>
      </c>
      <c r="R308" s="11">
        <f t="shared" si="23"/>
        <v>7652.1945000000005</v>
      </c>
      <c r="S308" s="1" t="str">
        <f t="shared" si="24"/>
        <v>Low</v>
      </c>
      <c r="T308" s="1" t="str" cm="1">
        <f t="array" ref="T308">_xlfn.IFS(L308&gt;5,"High",L308=5,"mediam",L308&lt;5,"low")</f>
        <v>low</v>
      </c>
      <c r="U308" s="1" t="b">
        <f t="shared" si="25"/>
        <v>0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1"/>
        <v>12572.8</v>
      </c>
      <c r="Q309" s="10">
        <f t="shared" si="22"/>
        <v>0</v>
      </c>
      <c r="R309" s="11">
        <f t="shared" si="23"/>
        <v>12572.8</v>
      </c>
      <c r="S309" s="1" t="str">
        <f t="shared" si="24"/>
        <v>Low</v>
      </c>
      <c r="T309" s="1" t="str" cm="1">
        <f t="array" ref="T309">_xlfn.IFS(L309&gt;5,"High",L309=5,"mediam",L309&lt;5,"low")</f>
        <v>low</v>
      </c>
      <c r="U309" s="1" t="b">
        <f t="shared" si="25"/>
        <v>0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1"/>
        <v>2740.46</v>
      </c>
      <c r="Q310" s="10">
        <f t="shared" si="22"/>
        <v>246.64099999999999</v>
      </c>
      <c r="R310" s="11">
        <f t="shared" si="23"/>
        <v>2493.819</v>
      </c>
      <c r="S310" s="1" t="str">
        <f t="shared" si="24"/>
        <v>Low</v>
      </c>
      <c r="T310" s="1" t="str" cm="1">
        <f t="array" ref="T310">_xlfn.IFS(L310&gt;5,"High",L310=5,"mediam",L310&lt;5,"low")</f>
        <v>low</v>
      </c>
      <c r="U310" s="1" t="b">
        <f t="shared" si="25"/>
        <v>0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1"/>
        <v>17630.28</v>
      </c>
      <c r="Q311" s="10">
        <f t="shared" si="22"/>
        <v>837.43850000000009</v>
      </c>
      <c r="R311" s="11">
        <f t="shared" si="23"/>
        <v>16792.841499999999</v>
      </c>
      <c r="S311" s="1" t="str">
        <f t="shared" si="24"/>
        <v>High</v>
      </c>
      <c r="T311" s="1" t="str" cm="1">
        <f t="array" ref="T311">_xlfn.IFS(L311&gt;5,"High",L311=5,"mediam",L311&lt;5,"low")</f>
        <v>High</v>
      </c>
      <c r="U311" s="1" t="str">
        <f t="shared" si="25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1"/>
        <v>8186.04</v>
      </c>
      <c r="Q312" s="10">
        <f t="shared" si="22"/>
        <v>388.83699999999999</v>
      </c>
      <c r="R312" s="11">
        <f t="shared" si="23"/>
        <v>7797.2029999999995</v>
      </c>
      <c r="S312" s="1" t="str">
        <f t="shared" si="24"/>
        <v>Low</v>
      </c>
      <c r="T312" s="1" t="str" cm="1">
        <f t="array" ref="T312">_xlfn.IFS(L312&gt;5,"High",L312=5,"mediam",L312&lt;5,"low")</f>
        <v>low</v>
      </c>
      <c r="U312" s="1" t="b">
        <f t="shared" si="25"/>
        <v>0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1"/>
        <v>2588.64</v>
      </c>
      <c r="Q313" s="10">
        <f t="shared" si="22"/>
        <v>0</v>
      </c>
      <c r="R313" s="11">
        <f t="shared" si="23"/>
        <v>2588.64</v>
      </c>
      <c r="S313" s="1" t="str">
        <f t="shared" si="24"/>
        <v>Low</v>
      </c>
      <c r="T313" s="1" t="str" cm="1">
        <f t="array" ref="T313">_xlfn.IFS(L313&gt;5,"High",L313=5,"mediam",L313&lt;5,"low")</f>
        <v>low</v>
      </c>
      <c r="U313" s="1" t="b">
        <f t="shared" si="25"/>
        <v>0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1"/>
        <v>3251.27</v>
      </c>
      <c r="Q314" s="10">
        <f t="shared" si="22"/>
        <v>414.53699999999998</v>
      </c>
      <c r="R314" s="11">
        <f t="shared" si="23"/>
        <v>2836.7330000000002</v>
      </c>
      <c r="S314" s="1" t="str">
        <f t="shared" si="24"/>
        <v>Low</v>
      </c>
      <c r="T314" s="1" t="str" cm="1">
        <f t="array" ref="T314">_xlfn.IFS(L314&gt;5,"High",L314=5,"mediam",L314&lt;5,"low")</f>
        <v>low</v>
      </c>
      <c r="U314" s="1" t="b">
        <f t="shared" si="25"/>
        <v>0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1"/>
        <v>1681.85</v>
      </c>
      <c r="Q315" s="10">
        <f t="shared" si="22"/>
        <v>79.888000000000005</v>
      </c>
      <c r="R315" s="11">
        <f t="shared" si="23"/>
        <v>1601.962</v>
      </c>
      <c r="S315" s="1" t="str">
        <f t="shared" si="24"/>
        <v>Low</v>
      </c>
      <c r="T315" s="1" t="str" cm="1">
        <f t="array" ref="T315">_xlfn.IFS(L315&gt;5,"High",L315=5,"mediam",L315&lt;5,"low")</f>
        <v>low</v>
      </c>
      <c r="U315" s="1" t="b">
        <f t="shared" si="25"/>
        <v>0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1"/>
        <v>26024.16</v>
      </c>
      <c r="Q316" s="10">
        <f t="shared" si="22"/>
        <v>3318.0810000000001</v>
      </c>
      <c r="R316" s="11">
        <f t="shared" si="23"/>
        <v>22706.078999999998</v>
      </c>
      <c r="S316" s="1" t="str">
        <f t="shared" si="24"/>
        <v>High</v>
      </c>
      <c r="T316" s="1" t="str" cm="1">
        <f t="array" ref="T316">_xlfn.IFS(L316&gt;5,"High",L316=5,"mediam",L316&lt;5,"low")</f>
        <v>High</v>
      </c>
      <c r="U316" s="1" t="str">
        <f t="shared" si="25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1"/>
        <v>19434.080000000002</v>
      </c>
      <c r="Q317" s="10">
        <f t="shared" si="22"/>
        <v>2477.8454999999999</v>
      </c>
      <c r="R317" s="11">
        <f t="shared" si="23"/>
        <v>16956.234500000002</v>
      </c>
      <c r="S317" s="1" t="str">
        <f t="shared" si="24"/>
        <v>High</v>
      </c>
      <c r="T317" s="1" t="str" cm="1">
        <f t="array" ref="T317">_xlfn.IFS(L317&gt;5,"High",L317=5,"mediam",L317&lt;5,"low")</f>
        <v>High</v>
      </c>
      <c r="U317" s="1" t="str">
        <f t="shared" si="25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1"/>
        <v>1577.44</v>
      </c>
      <c r="Q318" s="10">
        <f t="shared" si="22"/>
        <v>252.39000000000001</v>
      </c>
      <c r="R318" s="11">
        <f t="shared" si="23"/>
        <v>1325.05</v>
      </c>
      <c r="S318" s="1" t="str">
        <f t="shared" si="24"/>
        <v>Low</v>
      </c>
      <c r="T318" s="1" t="str" cm="1">
        <f t="array" ref="T318">_xlfn.IFS(L318&gt;5,"High",L318=5,"mediam",L318&lt;5,"low")</f>
        <v>low</v>
      </c>
      <c r="U318" s="1" t="b">
        <f t="shared" si="25"/>
        <v>0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1"/>
        <v>1715.21</v>
      </c>
      <c r="Q319" s="10">
        <f t="shared" si="22"/>
        <v>0</v>
      </c>
      <c r="R319" s="11">
        <f t="shared" si="23"/>
        <v>1715.21</v>
      </c>
      <c r="S319" s="1" t="str">
        <f t="shared" si="24"/>
        <v>High</v>
      </c>
      <c r="T319" s="1" t="str" cm="1">
        <f t="array" ref="T319">_xlfn.IFS(L319&gt;5,"High",L319=5,"mediam",L319&lt;5,"low")</f>
        <v>High</v>
      </c>
      <c r="U319" s="1" t="str">
        <f t="shared" si="25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1"/>
        <v>12372.8</v>
      </c>
      <c r="Q320" s="10">
        <f t="shared" si="22"/>
        <v>1577.5319999999999</v>
      </c>
      <c r="R320" s="11">
        <f t="shared" si="23"/>
        <v>10795.268</v>
      </c>
      <c r="S320" s="1" t="str">
        <f t="shared" si="24"/>
        <v>High</v>
      </c>
      <c r="T320" s="1" t="str" cm="1">
        <f t="array" ref="T320">_xlfn.IFS(L320&gt;5,"High",L320=5,"mediam",L320&lt;5,"low")</f>
        <v>High</v>
      </c>
      <c r="U320" s="1" t="str">
        <f t="shared" si="25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1"/>
        <v>18038.240000000002</v>
      </c>
      <c r="Q321" s="10">
        <f t="shared" si="22"/>
        <v>0</v>
      </c>
      <c r="R321" s="11">
        <f t="shared" si="23"/>
        <v>18038.240000000002</v>
      </c>
      <c r="S321" s="1" t="str">
        <f t="shared" si="24"/>
        <v>High</v>
      </c>
      <c r="T321" s="1" t="str" cm="1">
        <f t="array" ref="T321">_xlfn.IFS(L321&gt;5,"High",L321=5,"mediam",L321&lt;5,"low")</f>
        <v>High</v>
      </c>
      <c r="U321" s="1" t="str">
        <f t="shared" si="25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1"/>
        <v>23683.17</v>
      </c>
      <c r="Q322" s="10">
        <f t="shared" si="22"/>
        <v>3789.3080000000004</v>
      </c>
      <c r="R322" s="11">
        <f t="shared" si="23"/>
        <v>19893.861999999997</v>
      </c>
      <c r="S322" s="1" t="str">
        <f t="shared" si="24"/>
        <v>High</v>
      </c>
      <c r="T322" s="1" t="str" cm="1">
        <f t="array" ref="T322">_xlfn.IFS(L322&gt;5,"High",L322=5,"mediam",L322&lt;5,"low")</f>
        <v>High</v>
      </c>
      <c r="U322" s="1" t="str">
        <f t="shared" si="25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6">L323*M323</f>
        <v>3204.1000000000004</v>
      </c>
      <c r="Q323" s="10">
        <f t="shared" ref="Q323:Q386" si="27">O323*N323%</f>
        <v>0</v>
      </c>
      <c r="R323" s="11">
        <f t="shared" ref="R323:R386" si="28">P323-Q323</f>
        <v>3204.1000000000004</v>
      </c>
      <c r="S323" s="1" t="str">
        <f t="shared" ref="S323:S386" si="29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si="25"/>
        <v>0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6"/>
        <v>3230.79</v>
      </c>
      <c r="Q324" s="10">
        <f t="shared" si="27"/>
        <v>153.46250000000001</v>
      </c>
      <c r="R324" s="11">
        <f t="shared" si="28"/>
        <v>3077.3274999999999</v>
      </c>
      <c r="S324" s="1" t="str">
        <f t="shared" si="29"/>
        <v>Low</v>
      </c>
      <c r="T324" s="1" t="str" cm="1">
        <f t="array" ref="T324">_xlfn.IFS(L324&gt;5,"High",L324=5,"mediam",L324&lt;5,"low")</f>
        <v>low</v>
      </c>
      <c r="U324" s="1" t="b">
        <f t="shared" si="25"/>
        <v>0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6"/>
        <v>31253.22</v>
      </c>
      <c r="Q325" s="10">
        <f t="shared" si="27"/>
        <v>3984.7860000000001</v>
      </c>
      <c r="R325" s="11">
        <f t="shared" si="28"/>
        <v>27268.434000000001</v>
      </c>
      <c r="S325" s="1" t="str">
        <f t="shared" si="29"/>
        <v>High</v>
      </c>
      <c r="T325" s="1" t="str" cm="1">
        <f t="array" ref="T325">_xlfn.IFS(L325&gt;5,"High",L325=5,"mediam",L325&lt;5,"low")</f>
        <v>High</v>
      </c>
      <c r="U325" s="1" t="str">
        <f t="shared" si="25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6"/>
        <v>5111.05</v>
      </c>
      <c r="Q326" s="10">
        <f t="shared" si="27"/>
        <v>0</v>
      </c>
      <c r="R326" s="11">
        <f t="shared" si="28"/>
        <v>5111.05</v>
      </c>
      <c r="S326" s="1" t="str">
        <f t="shared" si="29"/>
        <v>High</v>
      </c>
      <c r="T326" s="1" t="str" cm="1">
        <f t="array" ref="T326">_xlfn.IFS(L326&gt;5,"High",L326=5,"mediam",L326&lt;5,"low")</f>
        <v>High</v>
      </c>
      <c r="U326" s="1" t="str">
        <f t="shared" si="25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6"/>
        <v>6857.28</v>
      </c>
      <c r="Q327" s="10">
        <f t="shared" si="27"/>
        <v>617.15500000000009</v>
      </c>
      <c r="R327" s="11">
        <f t="shared" si="28"/>
        <v>6240.125</v>
      </c>
      <c r="S327" s="1" t="str">
        <f t="shared" si="29"/>
        <v>Low</v>
      </c>
      <c r="T327" s="1" t="str" cm="1">
        <f t="array" ref="T327">_xlfn.IFS(L327&gt;5,"High",L327=5,"mediam",L327&lt;5,"low")</f>
        <v>low</v>
      </c>
      <c r="U327" s="1" t="b">
        <f t="shared" si="25"/>
        <v>0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6"/>
        <v>23802.6</v>
      </c>
      <c r="Q328" s="10">
        <f t="shared" si="27"/>
        <v>0</v>
      </c>
      <c r="R328" s="11">
        <f t="shared" si="28"/>
        <v>23802.6</v>
      </c>
      <c r="S328" s="1" t="str">
        <f t="shared" si="29"/>
        <v>High</v>
      </c>
      <c r="T328" s="1" t="str" cm="1">
        <f t="array" ref="T328">_xlfn.IFS(L328&gt;5,"High",L328=5,"mediam",L328&lt;5,"low")</f>
        <v>High</v>
      </c>
      <c r="U328" s="1" t="str">
        <f t="shared" si="25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6"/>
        <v>5896.66</v>
      </c>
      <c r="Q329" s="10">
        <f t="shared" si="27"/>
        <v>751.82399999999996</v>
      </c>
      <c r="R329" s="11">
        <f t="shared" si="28"/>
        <v>5144.8360000000002</v>
      </c>
      <c r="S329" s="1" t="str">
        <f t="shared" si="29"/>
        <v>Low</v>
      </c>
      <c r="T329" s="1" t="str" cm="1">
        <f t="array" ref="T329">_xlfn.IFS(L329&gt;5,"High",L329=5,"mediam",L329&lt;5,"low")</f>
        <v>low</v>
      </c>
      <c r="U329" s="1" t="b">
        <f t="shared" ref="U329:U392" si="30">IF(L329&gt;5,"High",IF(L329="Mediam","Low"))</f>
        <v>0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6"/>
        <v>3171.36</v>
      </c>
      <c r="Q330" s="10">
        <f t="shared" si="27"/>
        <v>507.41800000000006</v>
      </c>
      <c r="R330" s="11">
        <f t="shared" si="28"/>
        <v>2663.942</v>
      </c>
      <c r="S330" s="1" t="str">
        <f t="shared" si="29"/>
        <v>Low</v>
      </c>
      <c r="T330" s="1" t="str" cm="1">
        <f t="array" ref="T330">_xlfn.IFS(L330&gt;5,"High",L330=5,"mediam",L330&lt;5,"low")</f>
        <v>low</v>
      </c>
      <c r="U330" s="1" t="b">
        <f t="shared" si="30"/>
        <v>0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6"/>
        <v>27849.5</v>
      </c>
      <c r="Q331" s="10">
        <f t="shared" si="27"/>
        <v>4455.92</v>
      </c>
      <c r="R331" s="11">
        <f t="shared" si="28"/>
        <v>23393.58</v>
      </c>
      <c r="S331" s="1" t="str">
        <f t="shared" si="29"/>
        <v>High</v>
      </c>
      <c r="T331" s="1" t="str" cm="1">
        <f t="array" ref="T331">_xlfn.IFS(L331&gt;5,"High",L331=5,"mediam",L331&lt;5,"low")</f>
        <v>High</v>
      </c>
      <c r="U331" s="1" t="str">
        <f t="shared" si="30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6"/>
        <v>4962.2</v>
      </c>
      <c r="Q332" s="10">
        <f t="shared" si="27"/>
        <v>632.68049999999994</v>
      </c>
      <c r="R332" s="11">
        <f t="shared" si="28"/>
        <v>4329.5195000000003</v>
      </c>
      <c r="S332" s="1" t="str">
        <f t="shared" si="29"/>
        <v>Low</v>
      </c>
      <c r="T332" s="1" t="str" cm="1">
        <f t="array" ref="T332">_xlfn.IFS(L332&gt;5,"High",L332=5,"mediam",L332&lt;5,"low")</f>
        <v>low</v>
      </c>
      <c r="U332" s="1" t="b">
        <f t="shared" si="30"/>
        <v>0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6"/>
        <v>2670.72</v>
      </c>
      <c r="Q333" s="10">
        <f t="shared" si="27"/>
        <v>126.85899999999999</v>
      </c>
      <c r="R333" s="11">
        <f t="shared" si="28"/>
        <v>2543.8609999999999</v>
      </c>
      <c r="S333" s="1" t="str">
        <f t="shared" si="29"/>
        <v>Low</v>
      </c>
      <c r="T333" s="1" t="str" cm="1">
        <f t="array" ref="T333">_xlfn.IFS(L333&gt;5,"High",L333=5,"mediam",L333&lt;5,"low")</f>
        <v>low</v>
      </c>
      <c r="U333" s="1" t="b">
        <f t="shared" si="30"/>
        <v>0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6"/>
        <v>16872.449999999997</v>
      </c>
      <c r="Q334" s="10">
        <f t="shared" si="27"/>
        <v>801.44150000000002</v>
      </c>
      <c r="R334" s="11">
        <f t="shared" si="28"/>
        <v>16071.008499999996</v>
      </c>
      <c r="S334" s="1" t="str">
        <f t="shared" si="29"/>
        <v>High</v>
      </c>
      <c r="T334" s="1" t="str" cm="1">
        <f t="array" ref="T334">_xlfn.IFS(L334&gt;5,"High",L334=5,"mediam",L334&lt;5,"low")</f>
        <v>mediam</v>
      </c>
      <c r="U334" s="1" t="b">
        <f t="shared" si="30"/>
        <v>0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6"/>
        <v>12578.85</v>
      </c>
      <c r="Q335" s="10">
        <f t="shared" si="27"/>
        <v>2012.616</v>
      </c>
      <c r="R335" s="11">
        <f t="shared" si="28"/>
        <v>10566.234</v>
      </c>
      <c r="S335" s="1" t="str">
        <f t="shared" si="29"/>
        <v>High</v>
      </c>
      <c r="T335" s="1" t="str" cm="1">
        <f t="array" ref="T335">_xlfn.IFS(L335&gt;5,"High",L335=5,"mediam",L335&lt;5,"low")</f>
        <v>mediam</v>
      </c>
      <c r="U335" s="1" t="b">
        <f t="shared" si="30"/>
        <v>0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6"/>
        <v>16713.2</v>
      </c>
      <c r="Q336" s="10">
        <f t="shared" si="27"/>
        <v>2674.1120000000001</v>
      </c>
      <c r="R336" s="11">
        <f t="shared" si="28"/>
        <v>14039.088</v>
      </c>
      <c r="S336" s="1" t="str">
        <f t="shared" si="29"/>
        <v>High</v>
      </c>
      <c r="T336" s="1" t="str" cm="1">
        <f t="array" ref="T336">_xlfn.IFS(L336&gt;5,"High",L336=5,"mediam",L336&lt;5,"low")</f>
        <v>High</v>
      </c>
      <c r="U336" s="1" t="str">
        <f t="shared" si="30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6"/>
        <v>1126.5</v>
      </c>
      <c r="Q337" s="10">
        <f t="shared" si="27"/>
        <v>143.62799999999999</v>
      </c>
      <c r="R337" s="11">
        <f t="shared" si="28"/>
        <v>982.87200000000007</v>
      </c>
      <c r="S337" s="1" t="str">
        <f t="shared" si="29"/>
        <v>Low</v>
      </c>
      <c r="T337" s="1" t="str" cm="1">
        <f t="array" ref="T337">_xlfn.IFS(L337&gt;5,"High",L337=5,"mediam",L337&lt;5,"low")</f>
        <v>low</v>
      </c>
      <c r="U337" s="1" t="b">
        <f t="shared" si="30"/>
        <v>0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6"/>
        <v>24495.119999999999</v>
      </c>
      <c r="Q338" s="10">
        <f t="shared" si="27"/>
        <v>1163.518</v>
      </c>
      <c r="R338" s="11">
        <f t="shared" si="28"/>
        <v>23331.601999999999</v>
      </c>
      <c r="S338" s="1" t="str">
        <f t="shared" si="29"/>
        <v>High</v>
      </c>
      <c r="T338" s="1" t="str" cm="1">
        <f t="array" ref="T338">_xlfn.IFS(L338&gt;5,"High",L338=5,"mediam",L338&lt;5,"low")</f>
        <v>High</v>
      </c>
      <c r="U338" s="1" t="str">
        <f t="shared" si="30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6"/>
        <v>1393.26</v>
      </c>
      <c r="Q339" s="10">
        <f t="shared" si="27"/>
        <v>222.922</v>
      </c>
      <c r="R339" s="11">
        <f t="shared" si="28"/>
        <v>1170.338</v>
      </c>
      <c r="S339" s="1" t="str">
        <f t="shared" si="29"/>
        <v>Low</v>
      </c>
      <c r="T339" s="1" t="str" cm="1">
        <f t="array" ref="T339">_xlfn.IFS(L339&gt;5,"High",L339=5,"mediam",L339&lt;5,"low")</f>
        <v>low</v>
      </c>
      <c r="U339" s="1" t="b">
        <f t="shared" si="30"/>
        <v>0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6"/>
        <v>14834.04</v>
      </c>
      <c r="Q340" s="10">
        <f t="shared" si="27"/>
        <v>704.61700000000008</v>
      </c>
      <c r="R340" s="11">
        <f t="shared" si="28"/>
        <v>14129.423000000001</v>
      </c>
      <c r="S340" s="1" t="str">
        <f t="shared" si="29"/>
        <v>Low</v>
      </c>
      <c r="T340" s="1" t="str" cm="1">
        <f t="array" ref="T340">_xlfn.IFS(L340&gt;5,"High",L340=5,"mediam",L340&lt;5,"low")</f>
        <v>low</v>
      </c>
      <c r="U340" s="1" t="b">
        <f t="shared" si="30"/>
        <v>0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6"/>
        <v>12639.78</v>
      </c>
      <c r="Q341" s="10">
        <f t="shared" si="27"/>
        <v>2022.364</v>
      </c>
      <c r="R341" s="11">
        <f t="shared" si="28"/>
        <v>10617.416000000001</v>
      </c>
      <c r="S341" s="1" t="str">
        <f t="shared" si="29"/>
        <v>High</v>
      </c>
      <c r="T341" s="1" t="str" cm="1">
        <f t="array" ref="T341">_xlfn.IFS(L341&gt;5,"High",L341=5,"mediam",L341&lt;5,"low")</f>
        <v>High</v>
      </c>
      <c r="U341" s="1" t="str">
        <f t="shared" si="30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6"/>
        <v>2567.7199999999998</v>
      </c>
      <c r="Q342" s="10">
        <f t="shared" si="27"/>
        <v>0</v>
      </c>
      <c r="R342" s="11">
        <f t="shared" si="28"/>
        <v>2567.7199999999998</v>
      </c>
      <c r="S342" s="1" t="str">
        <f t="shared" si="29"/>
        <v>Low</v>
      </c>
      <c r="T342" s="1" t="str" cm="1">
        <f t="array" ref="T342">_xlfn.IFS(L342&gt;5,"High",L342=5,"mediam",L342&lt;5,"low")</f>
        <v>low</v>
      </c>
      <c r="U342" s="1" t="b">
        <f t="shared" si="30"/>
        <v>0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6"/>
        <v>9265.5499999999993</v>
      </c>
      <c r="Q343" s="10">
        <f t="shared" si="27"/>
        <v>833.899</v>
      </c>
      <c r="R343" s="11">
        <f t="shared" si="28"/>
        <v>8431.6509999999998</v>
      </c>
      <c r="S343" s="1" t="str">
        <f t="shared" si="29"/>
        <v>High</v>
      </c>
      <c r="T343" s="1" t="str" cm="1">
        <f t="array" ref="T343">_xlfn.IFS(L343&gt;5,"High",L343=5,"mediam",L343&lt;5,"low")</f>
        <v>mediam</v>
      </c>
      <c r="U343" s="1" t="b">
        <f t="shared" si="30"/>
        <v>0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6"/>
        <v>2194.5699999999997</v>
      </c>
      <c r="Q344" s="10">
        <f t="shared" si="27"/>
        <v>0</v>
      </c>
      <c r="R344" s="11">
        <f t="shared" si="28"/>
        <v>2194.5699999999997</v>
      </c>
      <c r="S344" s="1" t="str">
        <f t="shared" si="29"/>
        <v>High</v>
      </c>
      <c r="T344" s="1" t="str" cm="1">
        <f t="array" ref="T344">_xlfn.IFS(L344&gt;5,"High",L344=5,"mediam",L344&lt;5,"low")</f>
        <v>High</v>
      </c>
      <c r="U344" s="1" t="str">
        <f t="shared" si="30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6"/>
        <v>11143.24</v>
      </c>
      <c r="Q345" s="10">
        <f t="shared" si="27"/>
        <v>1782.9180000000001</v>
      </c>
      <c r="R345" s="11">
        <f t="shared" si="28"/>
        <v>9360.3220000000001</v>
      </c>
      <c r="S345" s="1" t="str">
        <f t="shared" si="29"/>
        <v>Low</v>
      </c>
      <c r="T345" s="1" t="str" cm="1">
        <f t="array" ref="T345">_xlfn.IFS(L345&gt;5,"High",L345=5,"mediam",L345&lt;5,"low")</f>
        <v>low</v>
      </c>
      <c r="U345" s="1" t="b">
        <f t="shared" si="30"/>
        <v>0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6"/>
        <v>3625.42</v>
      </c>
      <c r="Q346" s="10">
        <f t="shared" si="27"/>
        <v>326.28800000000001</v>
      </c>
      <c r="R346" s="11">
        <f t="shared" si="28"/>
        <v>3299.1320000000001</v>
      </c>
      <c r="S346" s="1" t="str">
        <f t="shared" si="29"/>
        <v>Low</v>
      </c>
      <c r="T346" s="1" t="str" cm="1">
        <f t="array" ref="T346">_xlfn.IFS(L346&gt;5,"High",L346=5,"mediam",L346&lt;5,"low")</f>
        <v>low</v>
      </c>
      <c r="U346" s="1" t="b">
        <f t="shared" si="30"/>
        <v>0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6"/>
        <v>30361.14</v>
      </c>
      <c r="Q347" s="10">
        <f t="shared" si="27"/>
        <v>2732.5030000000002</v>
      </c>
      <c r="R347" s="11">
        <f t="shared" si="28"/>
        <v>27628.636999999999</v>
      </c>
      <c r="S347" s="1" t="str">
        <f t="shared" si="29"/>
        <v>High</v>
      </c>
      <c r="T347" s="1" t="str" cm="1">
        <f t="array" ref="T347">_xlfn.IFS(L347&gt;5,"High",L347=5,"mediam",L347&lt;5,"low")</f>
        <v>High</v>
      </c>
      <c r="U347" s="1" t="str">
        <f t="shared" si="30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6"/>
        <v>2561.48</v>
      </c>
      <c r="Q348" s="10">
        <f t="shared" si="27"/>
        <v>409.83600000000001</v>
      </c>
      <c r="R348" s="11">
        <f t="shared" si="28"/>
        <v>2151.6440000000002</v>
      </c>
      <c r="S348" s="1" t="str">
        <f t="shared" si="29"/>
        <v>Low</v>
      </c>
      <c r="T348" s="1" t="str" cm="1">
        <f t="array" ref="T348">_xlfn.IFS(L348&gt;5,"High",L348=5,"mediam",L348&lt;5,"low")</f>
        <v>low</v>
      </c>
      <c r="U348" s="1" t="b">
        <f t="shared" si="30"/>
        <v>0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6"/>
        <v>5725.26</v>
      </c>
      <c r="Q349" s="10">
        <f t="shared" si="27"/>
        <v>916.04200000000003</v>
      </c>
      <c r="R349" s="11">
        <f t="shared" si="28"/>
        <v>4809.2179999999998</v>
      </c>
      <c r="S349" s="1" t="str">
        <f t="shared" si="29"/>
        <v>High</v>
      </c>
      <c r="T349" s="1" t="str" cm="1">
        <f t="array" ref="T349">_xlfn.IFS(L349&gt;5,"High",L349=5,"mediam",L349&lt;5,"low")</f>
        <v>High</v>
      </c>
      <c r="U349" s="1" t="str">
        <f t="shared" si="30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6"/>
        <v>19690.32</v>
      </c>
      <c r="Q350" s="10">
        <f t="shared" si="27"/>
        <v>935.29</v>
      </c>
      <c r="R350" s="11">
        <f t="shared" si="28"/>
        <v>18755.03</v>
      </c>
      <c r="S350" s="1" t="str">
        <f t="shared" si="29"/>
        <v>High</v>
      </c>
      <c r="T350" s="1" t="str" cm="1">
        <f t="array" ref="T350">_xlfn.IFS(L350&gt;5,"High",L350=5,"mediam",L350&lt;5,"low")</f>
        <v>High</v>
      </c>
      <c r="U350" s="1" t="str">
        <f t="shared" si="30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6"/>
        <v>3708.38</v>
      </c>
      <c r="Q351" s="10">
        <f t="shared" si="27"/>
        <v>593.34</v>
      </c>
      <c r="R351" s="11">
        <f t="shared" si="28"/>
        <v>3115.04</v>
      </c>
      <c r="S351" s="1" t="str">
        <f t="shared" si="29"/>
        <v>Low</v>
      </c>
      <c r="T351" s="1" t="str" cm="1">
        <f t="array" ref="T351">_xlfn.IFS(L351&gt;5,"High",L351=5,"mediam",L351&lt;5,"low")</f>
        <v>low</v>
      </c>
      <c r="U351" s="1" t="b">
        <f t="shared" si="30"/>
        <v>0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6"/>
        <v>5770.74</v>
      </c>
      <c r="Q352" s="10">
        <f t="shared" si="27"/>
        <v>735.76949999999999</v>
      </c>
      <c r="R352" s="11">
        <f t="shared" si="28"/>
        <v>5034.9704999999994</v>
      </c>
      <c r="S352" s="1" t="str">
        <f t="shared" si="29"/>
        <v>Low</v>
      </c>
      <c r="T352" s="1" t="str" cm="1">
        <f t="array" ref="T352">_xlfn.IFS(L352&gt;5,"High",L352=5,"mediam",L352&lt;5,"low")</f>
        <v>low</v>
      </c>
      <c r="U352" s="1" t="b">
        <f t="shared" si="30"/>
        <v>0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6"/>
        <v>4142.08</v>
      </c>
      <c r="Q353" s="10">
        <f t="shared" si="27"/>
        <v>662.73199999999997</v>
      </c>
      <c r="R353" s="11">
        <f t="shared" si="28"/>
        <v>3479.348</v>
      </c>
      <c r="S353" s="1" t="str">
        <f t="shared" si="29"/>
        <v>Low</v>
      </c>
      <c r="T353" s="1" t="str" cm="1">
        <f t="array" ref="T353">_xlfn.IFS(L353&gt;5,"High",L353=5,"mediam",L353&lt;5,"low")</f>
        <v>low</v>
      </c>
      <c r="U353" s="1" t="b">
        <f t="shared" si="30"/>
        <v>0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6"/>
        <v>12377.789999999999</v>
      </c>
      <c r="Q354" s="10">
        <f t="shared" si="27"/>
        <v>1578.1680000000001</v>
      </c>
      <c r="R354" s="11">
        <f t="shared" si="28"/>
        <v>10799.621999999999</v>
      </c>
      <c r="S354" s="1" t="str">
        <f t="shared" si="29"/>
        <v>High</v>
      </c>
      <c r="T354" s="1" t="str" cm="1">
        <f t="array" ref="T354">_xlfn.IFS(L354&gt;5,"High",L354=5,"mediam",L354&lt;5,"low")</f>
        <v>High</v>
      </c>
      <c r="U354" s="1" t="str">
        <f t="shared" si="30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6"/>
        <v>3592.92</v>
      </c>
      <c r="Q355" s="10">
        <f t="shared" si="27"/>
        <v>574.86800000000005</v>
      </c>
      <c r="R355" s="11">
        <f t="shared" si="28"/>
        <v>3018.0520000000001</v>
      </c>
      <c r="S355" s="1" t="str">
        <f t="shared" si="29"/>
        <v>Low</v>
      </c>
      <c r="T355" s="1" t="str" cm="1">
        <f t="array" ref="T355">_xlfn.IFS(L355&gt;5,"High",L355=5,"mediam",L355&lt;5,"low")</f>
        <v>low</v>
      </c>
      <c r="U355" s="1" t="b">
        <f t="shared" si="30"/>
        <v>0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6"/>
        <v>23695.920000000002</v>
      </c>
      <c r="Q356" s="10">
        <f t="shared" si="27"/>
        <v>1125.556</v>
      </c>
      <c r="R356" s="11">
        <f t="shared" si="28"/>
        <v>22570.364000000001</v>
      </c>
      <c r="S356" s="1" t="str">
        <f t="shared" si="29"/>
        <v>High</v>
      </c>
      <c r="T356" s="1" t="str" cm="1">
        <f t="array" ref="T356">_xlfn.IFS(L356&gt;5,"High",L356=5,"mediam",L356&lt;5,"low")</f>
        <v>High</v>
      </c>
      <c r="U356" s="1" t="str">
        <f t="shared" si="30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6"/>
        <v>11337.93</v>
      </c>
      <c r="Q357" s="10">
        <f t="shared" si="27"/>
        <v>1445.586</v>
      </c>
      <c r="R357" s="11">
        <f t="shared" si="28"/>
        <v>9892.344000000001</v>
      </c>
      <c r="S357" s="1" t="str">
        <f t="shared" si="29"/>
        <v>High</v>
      </c>
      <c r="T357" s="1" t="str" cm="1">
        <f t="array" ref="T357">_xlfn.IFS(L357&gt;5,"High",L357=5,"mediam",L357&lt;5,"low")</f>
        <v>High</v>
      </c>
      <c r="U357" s="1" t="str">
        <f t="shared" si="30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6"/>
        <v>10402.48</v>
      </c>
      <c r="Q358" s="10">
        <f t="shared" si="27"/>
        <v>0</v>
      </c>
      <c r="R358" s="11">
        <f t="shared" si="28"/>
        <v>10402.48</v>
      </c>
      <c r="S358" s="1" t="str">
        <f t="shared" si="29"/>
        <v>High</v>
      </c>
      <c r="T358" s="1" t="str" cm="1">
        <f t="array" ref="T358">_xlfn.IFS(L358&gt;5,"High",L358=5,"mediam",L358&lt;5,"low")</f>
        <v>High</v>
      </c>
      <c r="U358" s="1" t="str">
        <f t="shared" si="30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6"/>
        <v>28648.959999999999</v>
      </c>
      <c r="Q359" s="10">
        <f t="shared" si="27"/>
        <v>3652.7429999999999</v>
      </c>
      <c r="R359" s="11">
        <f t="shared" si="28"/>
        <v>24996.217000000001</v>
      </c>
      <c r="S359" s="1" t="str">
        <f t="shared" si="29"/>
        <v>High</v>
      </c>
      <c r="T359" s="1" t="str" cm="1">
        <f t="array" ref="T359">_xlfn.IFS(L359&gt;5,"High",L359=5,"mediam",L359&lt;5,"low")</f>
        <v>High</v>
      </c>
      <c r="U359" s="1" t="str">
        <f t="shared" si="30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6"/>
        <v>202.49</v>
      </c>
      <c r="Q360" s="10">
        <f t="shared" si="27"/>
        <v>9.6185000000000009</v>
      </c>
      <c r="R360" s="11">
        <f t="shared" si="28"/>
        <v>192.8715</v>
      </c>
      <c r="S360" s="1" t="str">
        <f t="shared" si="29"/>
        <v>Low</v>
      </c>
      <c r="T360" s="1" t="str" cm="1">
        <f t="array" ref="T360">_xlfn.IFS(L360&gt;5,"High",L360=5,"mediam",L360&lt;5,"low")</f>
        <v>low</v>
      </c>
      <c r="U360" s="1" t="b">
        <f t="shared" si="30"/>
        <v>0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6"/>
        <v>11140</v>
      </c>
      <c r="Q361" s="10">
        <f t="shared" si="27"/>
        <v>1420.35</v>
      </c>
      <c r="R361" s="11">
        <f t="shared" si="28"/>
        <v>9719.65</v>
      </c>
      <c r="S361" s="1" t="str">
        <f t="shared" si="29"/>
        <v>High</v>
      </c>
      <c r="T361" s="1" t="str" cm="1">
        <f t="array" ref="T361">_xlfn.IFS(L361&gt;5,"High",L361=5,"mediam",L361&lt;5,"low")</f>
        <v>High</v>
      </c>
      <c r="U361" s="1" t="str">
        <f t="shared" si="30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6"/>
        <v>6852.8099999999995</v>
      </c>
      <c r="Q362" s="10">
        <f t="shared" si="27"/>
        <v>1096.45</v>
      </c>
      <c r="R362" s="11">
        <f t="shared" si="28"/>
        <v>5756.36</v>
      </c>
      <c r="S362" s="1" t="str">
        <f t="shared" si="29"/>
        <v>Low</v>
      </c>
      <c r="T362" s="1" t="str" cm="1">
        <f t="array" ref="T362">_xlfn.IFS(L362&gt;5,"High",L362=5,"mediam",L362&lt;5,"low")</f>
        <v>low</v>
      </c>
      <c r="U362" s="1" t="b">
        <f t="shared" si="30"/>
        <v>0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6"/>
        <v>5044.4799999999996</v>
      </c>
      <c r="Q363" s="10">
        <f t="shared" si="27"/>
        <v>807.11599999999999</v>
      </c>
      <c r="R363" s="11">
        <f t="shared" si="28"/>
        <v>4237.3639999999996</v>
      </c>
      <c r="S363" s="1" t="str">
        <f t="shared" si="29"/>
        <v>High</v>
      </c>
      <c r="T363" s="1" t="str" cm="1">
        <f t="array" ref="T363">_xlfn.IFS(L363&gt;5,"High",L363=5,"mediam",L363&lt;5,"low")</f>
        <v>High</v>
      </c>
      <c r="U363" s="1" t="str">
        <f t="shared" si="30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6"/>
        <v>504.58</v>
      </c>
      <c r="Q364" s="10">
        <f t="shared" si="27"/>
        <v>23.967500000000001</v>
      </c>
      <c r="R364" s="11">
        <f t="shared" si="28"/>
        <v>480.61249999999995</v>
      </c>
      <c r="S364" s="1" t="str">
        <f t="shared" si="29"/>
        <v>Low</v>
      </c>
      <c r="T364" s="1" t="str" cm="1">
        <f t="array" ref="T364">_xlfn.IFS(L364&gt;5,"High",L364=5,"mediam",L364&lt;5,"low")</f>
        <v>low</v>
      </c>
      <c r="U364" s="1" t="b">
        <f t="shared" si="30"/>
        <v>0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6"/>
        <v>3288.81</v>
      </c>
      <c r="Q365" s="10">
        <f t="shared" si="27"/>
        <v>295.99299999999999</v>
      </c>
      <c r="R365" s="11">
        <f t="shared" si="28"/>
        <v>2992.817</v>
      </c>
      <c r="S365" s="1" t="str">
        <f t="shared" si="29"/>
        <v>Low</v>
      </c>
      <c r="T365" s="1" t="str" cm="1">
        <f t="array" ref="T365">_xlfn.IFS(L365&gt;5,"High",L365=5,"mediam",L365&lt;5,"low")</f>
        <v>low</v>
      </c>
      <c r="U365" s="1" t="b">
        <f t="shared" si="30"/>
        <v>0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6"/>
        <v>17967.3</v>
      </c>
      <c r="Q366" s="10">
        <f t="shared" si="27"/>
        <v>2874.768</v>
      </c>
      <c r="R366" s="11">
        <f t="shared" si="28"/>
        <v>15092.531999999999</v>
      </c>
      <c r="S366" s="1" t="str">
        <f t="shared" si="29"/>
        <v>High</v>
      </c>
      <c r="T366" s="1" t="str" cm="1">
        <f t="array" ref="T366">_xlfn.IFS(L366&gt;5,"High",L366=5,"mediam",L366&lt;5,"low")</f>
        <v>mediam</v>
      </c>
      <c r="U366" s="1" t="b">
        <f t="shared" si="30"/>
        <v>0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6"/>
        <v>16604.400000000001</v>
      </c>
      <c r="Q367" s="10">
        <f t="shared" si="27"/>
        <v>0</v>
      </c>
      <c r="R367" s="11">
        <f t="shared" si="28"/>
        <v>16604.400000000001</v>
      </c>
      <c r="S367" s="1" t="str">
        <f t="shared" si="29"/>
        <v>High</v>
      </c>
      <c r="T367" s="1" t="str" cm="1">
        <f t="array" ref="T367">_xlfn.IFS(L367&gt;5,"High",L367=5,"mediam",L367&lt;5,"low")</f>
        <v>mediam</v>
      </c>
      <c r="U367" s="1" t="b">
        <f t="shared" si="30"/>
        <v>0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6"/>
        <v>28882.639999999999</v>
      </c>
      <c r="Q368" s="10">
        <f t="shared" si="27"/>
        <v>1371.9255000000001</v>
      </c>
      <c r="R368" s="11">
        <f t="shared" si="28"/>
        <v>27510.714499999998</v>
      </c>
      <c r="S368" s="1" t="str">
        <f t="shared" si="29"/>
        <v>High</v>
      </c>
      <c r="T368" s="1" t="str" cm="1">
        <f t="array" ref="T368">_xlfn.IFS(L368&gt;5,"High",L368=5,"mediam",L368&lt;5,"low")</f>
        <v>High</v>
      </c>
      <c r="U368" s="1" t="str">
        <f t="shared" si="30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6"/>
        <v>15956.36</v>
      </c>
      <c r="Q369" s="10">
        <f t="shared" si="27"/>
        <v>2034.4364999999998</v>
      </c>
      <c r="R369" s="11">
        <f t="shared" si="28"/>
        <v>13921.923500000001</v>
      </c>
      <c r="S369" s="1" t="str">
        <f t="shared" si="29"/>
        <v>High</v>
      </c>
      <c r="T369" s="1" t="str" cm="1">
        <f t="array" ref="T369">_xlfn.IFS(L369&gt;5,"High",L369=5,"mediam",L369&lt;5,"low")</f>
        <v>High</v>
      </c>
      <c r="U369" s="1" t="str">
        <f t="shared" si="30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6"/>
        <v>26217.52</v>
      </c>
      <c r="Q370" s="10">
        <f t="shared" si="27"/>
        <v>3342.7334999999998</v>
      </c>
      <c r="R370" s="11">
        <f t="shared" si="28"/>
        <v>22874.786500000002</v>
      </c>
      <c r="S370" s="1" t="str">
        <f t="shared" si="29"/>
        <v>High</v>
      </c>
      <c r="T370" s="1" t="str" cm="1">
        <f t="array" ref="T370">_xlfn.IFS(L370&gt;5,"High",L370=5,"mediam",L370&lt;5,"low")</f>
        <v>High</v>
      </c>
      <c r="U370" s="1" t="str">
        <f t="shared" si="30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6"/>
        <v>9771.36</v>
      </c>
      <c r="Q371" s="10">
        <f t="shared" si="27"/>
        <v>0</v>
      </c>
      <c r="R371" s="11">
        <f t="shared" si="28"/>
        <v>9771.36</v>
      </c>
      <c r="S371" s="1" t="str">
        <f t="shared" si="29"/>
        <v>High</v>
      </c>
      <c r="T371" s="1" t="str" cm="1">
        <f t="array" ref="T371">_xlfn.IFS(L371&gt;5,"High",L371=5,"mediam",L371&lt;5,"low")</f>
        <v>High</v>
      </c>
      <c r="U371" s="1" t="str">
        <f t="shared" si="30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6"/>
        <v>16290.78</v>
      </c>
      <c r="Q372" s="10">
        <f t="shared" si="27"/>
        <v>2606.5240000000003</v>
      </c>
      <c r="R372" s="11">
        <f t="shared" si="28"/>
        <v>13684.256000000001</v>
      </c>
      <c r="S372" s="1" t="str">
        <f t="shared" si="29"/>
        <v>High</v>
      </c>
      <c r="T372" s="1" t="str" cm="1">
        <f t="array" ref="T372">_xlfn.IFS(L372&gt;5,"High",L372=5,"mediam",L372&lt;5,"low")</f>
        <v>High</v>
      </c>
      <c r="U372" s="1" t="str">
        <f t="shared" si="30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6"/>
        <v>7914.04</v>
      </c>
      <c r="Q373" s="10">
        <f t="shared" si="27"/>
        <v>375.91700000000003</v>
      </c>
      <c r="R373" s="11">
        <f t="shared" si="28"/>
        <v>7538.1229999999996</v>
      </c>
      <c r="S373" s="1" t="str">
        <f t="shared" si="29"/>
        <v>Low</v>
      </c>
      <c r="T373" s="1" t="str" cm="1">
        <f t="array" ref="T373">_xlfn.IFS(L373&gt;5,"High",L373=5,"mediam",L373&lt;5,"low")</f>
        <v>low</v>
      </c>
      <c r="U373" s="1" t="b">
        <f t="shared" si="30"/>
        <v>0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6"/>
        <v>6114.2999999999993</v>
      </c>
      <c r="Q374" s="10">
        <f t="shared" si="27"/>
        <v>0</v>
      </c>
      <c r="R374" s="11">
        <f t="shared" si="28"/>
        <v>6114.2999999999993</v>
      </c>
      <c r="S374" s="1" t="str">
        <f t="shared" si="29"/>
        <v>High</v>
      </c>
      <c r="T374" s="1" t="str" cm="1">
        <f t="array" ref="T374">_xlfn.IFS(L374&gt;5,"High",L374=5,"mediam",L374&lt;5,"low")</f>
        <v>High</v>
      </c>
      <c r="U374" s="1" t="str">
        <f t="shared" si="30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6"/>
        <v>8255.5499999999993</v>
      </c>
      <c r="Q375" s="10">
        <f t="shared" si="27"/>
        <v>1320.8879999999999</v>
      </c>
      <c r="R375" s="11">
        <f t="shared" si="28"/>
        <v>6934.6619999999994</v>
      </c>
      <c r="S375" s="1" t="str">
        <f t="shared" si="29"/>
        <v>High</v>
      </c>
      <c r="T375" s="1" t="str" cm="1">
        <f t="array" ref="T375">_xlfn.IFS(L375&gt;5,"High",L375=5,"mediam",L375&lt;5,"low")</f>
        <v>mediam</v>
      </c>
      <c r="U375" s="1" t="b">
        <f t="shared" si="30"/>
        <v>0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6"/>
        <v>5994.54</v>
      </c>
      <c r="Q376" s="10">
        <f t="shared" si="27"/>
        <v>284.74050000000005</v>
      </c>
      <c r="R376" s="11">
        <f t="shared" si="28"/>
        <v>5709.7995000000001</v>
      </c>
      <c r="S376" s="1" t="str">
        <f t="shared" si="29"/>
        <v>Low</v>
      </c>
      <c r="T376" s="1" t="str" cm="1">
        <f t="array" ref="T376">_xlfn.IFS(L376&gt;5,"High",L376=5,"mediam",L376&lt;5,"low")</f>
        <v>low</v>
      </c>
      <c r="U376" s="1" t="b">
        <f t="shared" si="30"/>
        <v>0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6"/>
        <v>4088.16</v>
      </c>
      <c r="Q377" s="10">
        <f t="shared" si="27"/>
        <v>521.24099999999999</v>
      </c>
      <c r="R377" s="11">
        <f t="shared" si="28"/>
        <v>3566.9189999999999</v>
      </c>
      <c r="S377" s="1" t="str">
        <f t="shared" si="29"/>
        <v>High</v>
      </c>
      <c r="T377" s="1" t="str" cm="1">
        <f t="array" ref="T377">_xlfn.IFS(L377&gt;5,"High",L377=5,"mediam",L377&lt;5,"low")</f>
        <v>High</v>
      </c>
      <c r="U377" s="1" t="str">
        <f t="shared" si="30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6"/>
        <v>3696</v>
      </c>
      <c r="Q378" s="10">
        <f t="shared" si="27"/>
        <v>175.56</v>
      </c>
      <c r="R378" s="11">
        <f t="shared" si="28"/>
        <v>3520.44</v>
      </c>
      <c r="S378" s="1" t="str">
        <f t="shared" si="29"/>
        <v>High</v>
      </c>
      <c r="T378" s="1" t="str" cm="1">
        <f t="array" ref="T378">_xlfn.IFS(L378&gt;5,"High",L378=5,"mediam",L378&lt;5,"low")</f>
        <v>High</v>
      </c>
      <c r="U378" s="1" t="str">
        <f t="shared" si="30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6"/>
        <v>30099.87</v>
      </c>
      <c r="Q379" s="10">
        <f t="shared" si="27"/>
        <v>2708.9880000000003</v>
      </c>
      <c r="R379" s="11">
        <f t="shared" si="28"/>
        <v>27390.881999999998</v>
      </c>
      <c r="S379" s="1" t="str">
        <f t="shared" si="29"/>
        <v>High</v>
      </c>
      <c r="T379" s="1" t="str" cm="1">
        <f t="array" ref="T379">_xlfn.IFS(L379&gt;5,"High",L379=5,"mediam",L379&lt;5,"low")</f>
        <v>High</v>
      </c>
      <c r="U379" s="1" t="str">
        <f t="shared" si="30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6"/>
        <v>3910.66</v>
      </c>
      <c r="Q380" s="10">
        <f t="shared" si="27"/>
        <v>185.75650000000002</v>
      </c>
      <c r="R380" s="11">
        <f t="shared" si="28"/>
        <v>3724.9034999999999</v>
      </c>
      <c r="S380" s="1" t="str">
        <f t="shared" si="29"/>
        <v>Low</v>
      </c>
      <c r="T380" s="1" t="str" cm="1">
        <f t="array" ref="T380">_xlfn.IFS(L380&gt;5,"High",L380=5,"mediam",L380&lt;5,"low")</f>
        <v>low</v>
      </c>
      <c r="U380" s="1" t="b">
        <f t="shared" si="30"/>
        <v>0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6"/>
        <v>5124.57</v>
      </c>
      <c r="Q381" s="10">
        <f t="shared" si="27"/>
        <v>461.21100000000001</v>
      </c>
      <c r="R381" s="11">
        <f t="shared" si="28"/>
        <v>4663.3589999999995</v>
      </c>
      <c r="S381" s="1" t="str">
        <f t="shared" si="29"/>
        <v>Low</v>
      </c>
      <c r="T381" s="1" t="str" cm="1">
        <f t="array" ref="T381">_xlfn.IFS(L381&gt;5,"High",L381=5,"mediam",L381&lt;5,"low")</f>
        <v>low</v>
      </c>
      <c r="U381" s="1" t="b">
        <f t="shared" si="30"/>
        <v>0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6"/>
        <v>1462.35</v>
      </c>
      <c r="Q382" s="10">
        <f t="shared" si="27"/>
        <v>69.461500000000001</v>
      </c>
      <c r="R382" s="11">
        <f t="shared" si="28"/>
        <v>1392.8885</v>
      </c>
      <c r="S382" s="1" t="str">
        <f t="shared" si="29"/>
        <v>Low</v>
      </c>
      <c r="T382" s="1" t="str" cm="1">
        <f t="array" ref="T382">_xlfn.IFS(L382&gt;5,"High",L382=5,"mediam",L382&lt;5,"low")</f>
        <v>low</v>
      </c>
      <c r="U382" s="1" t="b">
        <f t="shared" si="30"/>
        <v>0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6"/>
        <v>3227.04</v>
      </c>
      <c r="Q383" s="10">
        <f t="shared" si="27"/>
        <v>290.43400000000003</v>
      </c>
      <c r="R383" s="11">
        <f t="shared" si="28"/>
        <v>2936.6059999999998</v>
      </c>
      <c r="S383" s="1" t="str">
        <f t="shared" si="29"/>
        <v>High</v>
      </c>
      <c r="T383" s="1" t="str" cm="1">
        <f t="array" ref="T383">_xlfn.IFS(L383&gt;5,"High",L383=5,"mediam",L383&lt;5,"low")</f>
        <v>High</v>
      </c>
      <c r="U383" s="1" t="str">
        <f t="shared" si="30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6"/>
        <v>3581.58</v>
      </c>
      <c r="Q384" s="10">
        <f t="shared" si="27"/>
        <v>456.65100000000001</v>
      </c>
      <c r="R384" s="11">
        <f t="shared" si="28"/>
        <v>3124.9290000000001</v>
      </c>
      <c r="S384" s="1" t="str">
        <f t="shared" si="29"/>
        <v>Low</v>
      </c>
      <c r="T384" s="1" t="str" cm="1">
        <f t="array" ref="T384">_xlfn.IFS(L384&gt;5,"High",L384=5,"mediam",L384&lt;5,"low")</f>
        <v>low</v>
      </c>
      <c r="U384" s="1" t="b">
        <f t="shared" si="30"/>
        <v>0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6"/>
        <v>9678.4</v>
      </c>
      <c r="Q385" s="10">
        <f t="shared" si="27"/>
        <v>1548.5440000000001</v>
      </c>
      <c r="R385" s="11">
        <f t="shared" si="28"/>
        <v>8129.8559999999998</v>
      </c>
      <c r="S385" s="1" t="str">
        <f t="shared" si="29"/>
        <v>High</v>
      </c>
      <c r="T385" s="1" t="str" cm="1">
        <f t="array" ref="T385">_xlfn.IFS(L385&gt;5,"High",L385=5,"mediam",L385&lt;5,"low")</f>
        <v>mediam</v>
      </c>
      <c r="U385" s="1" t="b">
        <f t="shared" si="30"/>
        <v>0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6"/>
        <v>4146.33</v>
      </c>
      <c r="Q386" s="10">
        <f t="shared" si="27"/>
        <v>373.17</v>
      </c>
      <c r="R386" s="11">
        <f t="shared" si="28"/>
        <v>3773.16</v>
      </c>
      <c r="S386" s="1" t="str">
        <f t="shared" si="29"/>
        <v>Low</v>
      </c>
      <c r="T386" s="1" t="str" cm="1">
        <f t="array" ref="T386">_xlfn.IFS(L386&gt;5,"High",L386=5,"mediam",L386&lt;5,"low")</f>
        <v>low</v>
      </c>
      <c r="U386" s="1" t="b">
        <f t="shared" si="30"/>
        <v>0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1">L387*M387</f>
        <v>3968.76</v>
      </c>
      <c r="Q387" s="10">
        <f t="shared" ref="Q387:Q450" si="32">O387*N387%</f>
        <v>357.18800000000005</v>
      </c>
      <c r="R387" s="11">
        <f t="shared" ref="R387:R450" si="33">P387-Q387</f>
        <v>3611.5720000000001</v>
      </c>
      <c r="S387" s="1" t="str">
        <f t="shared" ref="S387:S450" si="34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si="30"/>
        <v>0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1"/>
        <v>11003.76</v>
      </c>
      <c r="Q388" s="10">
        <f t="shared" si="32"/>
        <v>1402.98</v>
      </c>
      <c r="R388" s="11">
        <f t="shared" si="33"/>
        <v>9600.7800000000007</v>
      </c>
      <c r="S388" s="1" t="str">
        <f t="shared" si="34"/>
        <v>High</v>
      </c>
      <c r="T388" s="1" t="str" cm="1">
        <f t="array" ref="T388">_xlfn.IFS(L388&gt;5,"High",L388=5,"mediam",L388&lt;5,"low")</f>
        <v>High</v>
      </c>
      <c r="U388" s="1" t="str">
        <f t="shared" si="30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1"/>
        <v>6098.37</v>
      </c>
      <c r="Q389" s="10">
        <f t="shared" si="32"/>
        <v>548.85299999999995</v>
      </c>
      <c r="R389" s="11">
        <f t="shared" si="33"/>
        <v>5549.5169999999998</v>
      </c>
      <c r="S389" s="1" t="str">
        <f t="shared" si="34"/>
        <v>Low</v>
      </c>
      <c r="T389" s="1" t="str" cm="1">
        <f t="array" ref="T389">_xlfn.IFS(L389&gt;5,"High",L389=5,"mediam",L389&lt;5,"low")</f>
        <v>low</v>
      </c>
      <c r="U389" s="1" t="b">
        <f t="shared" si="30"/>
        <v>0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1"/>
        <v>24215.03</v>
      </c>
      <c r="Q390" s="10">
        <f t="shared" si="32"/>
        <v>0</v>
      </c>
      <c r="R390" s="11">
        <f t="shared" si="33"/>
        <v>24215.03</v>
      </c>
      <c r="S390" s="1" t="str">
        <f t="shared" si="34"/>
        <v>High</v>
      </c>
      <c r="T390" s="1" t="str" cm="1">
        <f t="array" ref="T390">_xlfn.IFS(L390&gt;5,"High",L390=5,"mediam",L390&lt;5,"low")</f>
        <v>High</v>
      </c>
      <c r="U390" s="1" t="str">
        <f t="shared" si="30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1"/>
        <v>2430.36</v>
      </c>
      <c r="Q391" s="10">
        <f t="shared" si="32"/>
        <v>309.87149999999997</v>
      </c>
      <c r="R391" s="11">
        <f t="shared" si="33"/>
        <v>2120.4885000000004</v>
      </c>
      <c r="S391" s="1" t="str">
        <f t="shared" si="34"/>
        <v>Low</v>
      </c>
      <c r="T391" s="1" t="str" cm="1">
        <f t="array" ref="T391">_xlfn.IFS(L391&gt;5,"High",L391=5,"mediam",L391&lt;5,"low")</f>
        <v>low</v>
      </c>
      <c r="U391" s="1" t="b">
        <f t="shared" si="30"/>
        <v>0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1"/>
        <v>16946.52</v>
      </c>
      <c r="Q392" s="10">
        <f t="shared" si="32"/>
        <v>0</v>
      </c>
      <c r="R392" s="11">
        <f t="shared" si="33"/>
        <v>16946.52</v>
      </c>
      <c r="S392" s="1" t="str">
        <f t="shared" si="34"/>
        <v>High</v>
      </c>
      <c r="T392" s="1" t="str" cm="1">
        <f t="array" ref="T392">_xlfn.IFS(L392&gt;5,"High",L392=5,"mediam",L392&lt;5,"low")</f>
        <v>High</v>
      </c>
      <c r="U392" s="1" t="str">
        <f t="shared" si="30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1"/>
        <v>4661.9400000000005</v>
      </c>
      <c r="Q393" s="10">
        <f t="shared" si="32"/>
        <v>594.39750000000004</v>
      </c>
      <c r="R393" s="11">
        <f t="shared" si="33"/>
        <v>4067.5425000000005</v>
      </c>
      <c r="S393" s="1" t="str">
        <f t="shared" si="34"/>
        <v>Low</v>
      </c>
      <c r="T393" s="1" t="str" cm="1">
        <f t="array" ref="T393">_xlfn.IFS(L393&gt;5,"High",L393=5,"mediam",L393&lt;5,"low")</f>
        <v>low</v>
      </c>
      <c r="U393" s="1" t="b">
        <f t="shared" ref="U393:U456" si="35">IF(L393&gt;5,"High",IF(L393="Mediam","Low"))</f>
        <v>0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1"/>
        <v>23946</v>
      </c>
      <c r="Q394" s="10">
        <f t="shared" si="32"/>
        <v>2155.1400000000003</v>
      </c>
      <c r="R394" s="11">
        <f t="shared" si="33"/>
        <v>21790.86</v>
      </c>
      <c r="S394" s="1" t="str">
        <f t="shared" si="34"/>
        <v>High</v>
      </c>
      <c r="T394" s="1" t="str" cm="1">
        <f t="array" ref="T394">_xlfn.IFS(L394&gt;5,"High",L394=5,"mediam",L394&lt;5,"low")</f>
        <v>High</v>
      </c>
      <c r="U394" s="1" t="str">
        <f t="shared" si="35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1"/>
        <v>16298.880000000001</v>
      </c>
      <c r="Q395" s="10">
        <f t="shared" si="32"/>
        <v>0</v>
      </c>
      <c r="R395" s="11">
        <f t="shared" si="33"/>
        <v>16298.880000000001</v>
      </c>
      <c r="S395" s="1" t="str">
        <f t="shared" si="34"/>
        <v>High</v>
      </c>
      <c r="T395" s="1" t="str" cm="1">
        <f t="array" ref="T395">_xlfn.IFS(L395&gt;5,"High",L395=5,"mediam",L395&lt;5,"low")</f>
        <v>High</v>
      </c>
      <c r="U395" s="1" t="str">
        <f t="shared" si="35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1"/>
        <v>1220.6199999999999</v>
      </c>
      <c r="Q396" s="10">
        <f t="shared" si="32"/>
        <v>109.85599999999999</v>
      </c>
      <c r="R396" s="11">
        <f t="shared" si="33"/>
        <v>1110.7639999999999</v>
      </c>
      <c r="S396" s="1" t="str">
        <f t="shared" si="34"/>
        <v>Low</v>
      </c>
      <c r="T396" s="1" t="str" cm="1">
        <f t="array" ref="T396">_xlfn.IFS(L396&gt;5,"High",L396=5,"mediam",L396&lt;5,"low")</f>
        <v>low</v>
      </c>
      <c r="U396" s="1" t="b">
        <f t="shared" si="35"/>
        <v>0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1"/>
        <v>14128.02</v>
      </c>
      <c r="Q397" s="10">
        <f t="shared" si="32"/>
        <v>1801.3229999999999</v>
      </c>
      <c r="R397" s="11">
        <f t="shared" si="33"/>
        <v>12326.697</v>
      </c>
      <c r="S397" s="1" t="str">
        <f t="shared" si="34"/>
        <v>High</v>
      </c>
      <c r="T397" s="1" t="str" cm="1">
        <f t="array" ref="T397">_xlfn.IFS(L397&gt;5,"High",L397=5,"mediam",L397&lt;5,"low")</f>
        <v>High</v>
      </c>
      <c r="U397" s="1" t="str">
        <f t="shared" si="35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1"/>
        <v>7969.22</v>
      </c>
      <c r="Q398" s="10">
        <f t="shared" si="32"/>
        <v>717.23</v>
      </c>
      <c r="R398" s="11">
        <f t="shared" si="33"/>
        <v>7251.99</v>
      </c>
      <c r="S398" s="1" t="str">
        <f t="shared" si="34"/>
        <v>High</v>
      </c>
      <c r="T398" s="1" t="str" cm="1">
        <f t="array" ref="T398">_xlfn.IFS(L398&gt;5,"High",L398=5,"mediam",L398&lt;5,"low")</f>
        <v>High</v>
      </c>
      <c r="U398" s="1" t="str">
        <f t="shared" si="35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1"/>
        <v>16228.85</v>
      </c>
      <c r="Q399" s="10">
        <f t="shared" si="32"/>
        <v>0</v>
      </c>
      <c r="R399" s="11">
        <f t="shared" si="33"/>
        <v>16228.85</v>
      </c>
      <c r="S399" s="1" t="str">
        <f t="shared" si="34"/>
        <v>High</v>
      </c>
      <c r="T399" s="1" t="str" cm="1">
        <f t="array" ref="T399">_xlfn.IFS(L399&gt;5,"High",L399=5,"mediam",L399&lt;5,"low")</f>
        <v>mediam</v>
      </c>
      <c r="U399" s="1" t="b">
        <f t="shared" si="35"/>
        <v>0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1"/>
        <v>5369.58</v>
      </c>
      <c r="Q400" s="10">
        <f t="shared" si="32"/>
        <v>0</v>
      </c>
      <c r="R400" s="11">
        <f t="shared" si="33"/>
        <v>5369.58</v>
      </c>
      <c r="S400" s="1" t="str">
        <f t="shared" si="34"/>
        <v>Low</v>
      </c>
      <c r="T400" s="1" t="str" cm="1">
        <f t="array" ref="T400">_xlfn.IFS(L400&gt;5,"High",L400=5,"mediam",L400&lt;5,"low")</f>
        <v>low</v>
      </c>
      <c r="U400" s="1" t="b">
        <f t="shared" si="35"/>
        <v>0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1"/>
        <v>15918.12</v>
      </c>
      <c r="Q401" s="10">
        <f t="shared" si="32"/>
        <v>1432.6310000000001</v>
      </c>
      <c r="R401" s="11">
        <f t="shared" si="33"/>
        <v>14485.489000000001</v>
      </c>
      <c r="S401" s="1" t="str">
        <f t="shared" si="34"/>
        <v>Low</v>
      </c>
      <c r="T401" s="1" t="str" cm="1">
        <f t="array" ref="T401">_xlfn.IFS(L401&gt;5,"High",L401=5,"mediam",L401&lt;5,"low")</f>
        <v>low</v>
      </c>
      <c r="U401" s="1" t="b">
        <f t="shared" si="35"/>
        <v>0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1"/>
        <v>2024.52</v>
      </c>
      <c r="Q402" s="10">
        <f t="shared" si="32"/>
        <v>96.164500000000004</v>
      </c>
      <c r="R402" s="11">
        <f t="shared" si="33"/>
        <v>1928.3554999999999</v>
      </c>
      <c r="S402" s="1" t="str">
        <f t="shared" si="34"/>
        <v>Low</v>
      </c>
      <c r="T402" s="1" t="str" cm="1">
        <f t="array" ref="T402">_xlfn.IFS(L402&gt;5,"High",L402=5,"mediam",L402&lt;5,"low")</f>
        <v>low</v>
      </c>
      <c r="U402" s="1" t="b">
        <f t="shared" si="35"/>
        <v>0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1"/>
        <v>18926.04</v>
      </c>
      <c r="Q403" s="10">
        <f t="shared" si="32"/>
        <v>2413.0694999999996</v>
      </c>
      <c r="R403" s="11">
        <f t="shared" si="33"/>
        <v>16512.970500000003</v>
      </c>
      <c r="S403" s="1" t="str">
        <f t="shared" si="34"/>
        <v>High</v>
      </c>
      <c r="T403" s="1" t="str" cm="1">
        <f t="array" ref="T403">_xlfn.IFS(L403&gt;5,"High",L403=5,"mediam",L403&lt;5,"low")</f>
        <v>High</v>
      </c>
      <c r="U403" s="1" t="str">
        <f t="shared" si="35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1"/>
        <v>2743.75</v>
      </c>
      <c r="Q404" s="10">
        <f t="shared" si="32"/>
        <v>349.82850000000002</v>
      </c>
      <c r="R404" s="11">
        <f t="shared" si="33"/>
        <v>2393.9214999999999</v>
      </c>
      <c r="S404" s="1" t="str">
        <f t="shared" si="34"/>
        <v>Low</v>
      </c>
      <c r="T404" s="1" t="str" cm="1">
        <f t="array" ref="T404">_xlfn.IFS(L404&gt;5,"High",L404=5,"mediam",L404&lt;5,"low")</f>
        <v>low</v>
      </c>
      <c r="U404" s="1" t="b">
        <f t="shared" si="35"/>
        <v>0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1"/>
        <v>12419.48</v>
      </c>
      <c r="Q405" s="10">
        <f t="shared" si="32"/>
        <v>1117.7530000000002</v>
      </c>
      <c r="R405" s="11">
        <f t="shared" si="33"/>
        <v>11301.726999999999</v>
      </c>
      <c r="S405" s="1" t="str">
        <f t="shared" si="34"/>
        <v>Low</v>
      </c>
      <c r="T405" s="1" t="str" cm="1">
        <f t="array" ref="T405">_xlfn.IFS(L405&gt;5,"High",L405=5,"mediam",L405&lt;5,"low")</f>
        <v>low</v>
      </c>
      <c r="U405" s="1" t="b">
        <f t="shared" si="35"/>
        <v>0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1"/>
        <v>5335.96</v>
      </c>
      <c r="Q406" s="10">
        <f t="shared" si="32"/>
        <v>253.458</v>
      </c>
      <c r="R406" s="11">
        <f t="shared" si="33"/>
        <v>5082.5020000000004</v>
      </c>
      <c r="S406" s="1" t="str">
        <f t="shared" si="34"/>
        <v>Low</v>
      </c>
      <c r="T406" s="1" t="str" cm="1">
        <f t="array" ref="T406">_xlfn.IFS(L406&gt;5,"High",L406=5,"mediam",L406&lt;5,"low")</f>
        <v>low</v>
      </c>
      <c r="U406" s="1" t="b">
        <f t="shared" si="35"/>
        <v>0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1"/>
        <v>2044.41</v>
      </c>
      <c r="Q407" s="10">
        <f t="shared" si="32"/>
        <v>0</v>
      </c>
      <c r="R407" s="11">
        <f t="shared" si="33"/>
        <v>2044.41</v>
      </c>
      <c r="S407" s="1" t="str">
        <f t="shared" si="34"/>
        <v>Low</v>
      </c>
      <c r="T407" s="1" t="str" cm="1">
        <f t="array" ref="T407">_xlfn.IFS(L407&gt;5,"High",L407=5,"mediam",L407&lt;5,"low")</f>
        <v>low</v>
      </c>
      <c r="U407" s="1" t="b">
        <f t="shared" si="35"/>
        <v>0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1"/>
        <v>28949.040000000001</v>
      </c>
      <c r="Q408" s="10">
        <f t="shared" si="32"/>
        <v>4631.8460000000005</v>
      </c>
      <c r="R408" s="11">
        <f t="shared" si="33"/>
        <v>24317.194</v>
      </c>
      <c r="S408" s="1" t="str">
        <f t="shared" si="34"/>
        <v>High</v>
      </c>
      <c r="T408" s="1" t="str" cm="1">
        <f t="array" ref="T408">_xlfn.IFS(L408&gt;5,"High",L408=5,"mediam",L408&lt;5,"low")</f>
        <v>High</v>
      </c>
      <c r="U408" s="1" t="str">
        <f t="shared" si="35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1"/>
        <v>4181.12</v>
      </c>
      <c r="Q409" s="10">
        <f t="shared" si="32"/>
        <v>668.98</v>
      </c>
      <c r="R409" s="11">
        <f t="shared" si="33"/>
        <v>3512.14</v>
      </c>
      <c r="S409" s="1" t="str">
        <f t="shared" si="34"/>
        <v>Low</v>
      </c>
      <c r="T409" s="1" t="str" cm="1">
        <f t="array" ref="T409">_xlfn.IFS(L409&gt;5,"High",L409=5,"mediam",L409&lt;5,"low")</f>
        <v>low</v>
      </c>
      <c r="U409" s="1" t="b">
        <f t="shared" si="35"/>
        <v>0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1"/>
        <v>7141.6100000000006</v>
      </c>
      <c r="Q410" s="10">
        <f t="shared" si="32"/>
        <v>642.745</v>
      </c>
      <c r="R410" s="11">
        <f t="shared" si="33"/>
        <v>6498.8650000000007</v>
      </c>
      <c r="S410" s="1" t="str">
        <f t="shared" si="34"/>
        <v>High</v>
      </c>
      <c r="T410" s="1" t="str" cm="1">
        <f t="array" ref="T410">_xlfn.IFS(L410&gt;5,"High",L410=5,"mediam",L410&lt;5,"low")</f>
        <v>High</v>
      </c>
      <c r="U410" s="1" t="str">
        <f t="shared" si="35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1"/>
        <v>6814.6500000000005</v>
      </c>
      <c r="Q411" s="10">
        <f t="shared" si="32"/>
        <v>323.69600000000003</v>
      </c>
      <c r="R411" s="11">
        <f t="shared" si="33"/>
        <v>6490.9540000000006</v>
      </c>
      <c r="S411" s="1" t="str">
        <f t="shared" si="34"/>
        <v>Low</v>
      </c>
      <c r="T411" s="1" t="str" cm="1">
        <f t="array" ref="T411">_xlfn.IFS(L411&gt;5,"High",L411=5,"mediam",L411&lt;5,"low")</f>
        <v>low</v>
      </c>
      <c r="U411" s="1" t="b">
        <f t="shared" si="35"/>
        <v>0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1"/>
        <v>6497.16</v>
      </c>
      <c r="Q412" s="10">
        <f t="shared" si="32"/>
        <v>308.61500000000001</v>
      </c>
      <c r="R412" s="11">
        <f t="shared" si="33"/>
        <v>6188.5450000000001</v>
      </c>
      <c r="S412" s="1" t="str">
        <f t="shared" si="34"/>
        <v>Low</v>
      </c>
      <c r="T412" s="1" t="str" cm="1">
        <f t="array" ref="T412">_xlfn.IFS(L412&gt;5,"High",L412=5,"mediam",L412&lt;5,"low")</f>
        <v>low</v>
      </c>
      <c r="U412" s="1" t="b">
        <f t="shared" si="35"/>
        <v>0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1"/>
        <v>9893.68</v>
      </c>
      <c r="Q413" s="10">
        <f t="shared" si="32"/>
        <v>1261.4444999999998</v>
      </c>
      <c r="R413" s="11">
        <f t="shared" si="33"/>
        <v>8632.2355000000007</v>
      </c>
      <c r="S413" s="1" t="str">
        <f t="shared" si="34"/>
        <v>High</v>
      </c>
      <c r="T413" s="1" t="str" cm="1">
        <f t="array" ref="T413">_xlfn.IFS(L413&gt;5,"High",L413=5,"mediam",L413&lt;5,"low")</f>
        <v>High</v>
      </c>
      <c r="U413" s="1" t="str">
        <f t="shared" si="35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1"/>
        <v>10380.719999999999</v>
      </c>
      <c r="Q414" s="10">
        <f t="shared" si="32"/>
        <v>0</v>
      </c>
      <c r="R414" s="11">
        <f t="shared" si="33"/>
        <v>10380.719999999999</v>
      </c>
      <c r="S414" s="1" t="str">
        <f t="shared" si="34"/>
        <v>High</v>
      </c>
      <c r="T414" s="1" t="str" cm="1">
        <f t="array" ref="T414">_xlfn.IFS(L414&gt;5,"High",L414=5,"mediam",L414&lt;5,"low")</f>
        <v>High</v>
      </c>
      <c r="U414" s="1" t="str">
        <f t="shared" si="35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1"/>
        <v>1219.7</v>
      </c>
      <c r="Q415" s="10">
        <f t="shared" si="32"/>
        <v>57.935500000000005</v>
      </c>
      <c r="R415" s="11">
        <f t="shared" si="33"/>
        <v>1161.7645</v>
      </c>
      <c r="S415" s="1" t="str">
        <f t="shared" si="34"/>
        <v>Low</v>
      </c>
      <c r="T415" s="1" t="str" cm="1">
        <f t="array" ref="T415">_xlfn.IFS(L415&gt;5,"High",L415=5,"mediam",L415&lt;5,"low")</f>
        <v>low</v>
      </c>
      <c r="U415" s="1" t="b">
        <f t="shared" si="35"/>
        <v>0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1"/>
        <v>6240.64</v>
      </c>
      <c r="Q416" s="10">
        <f t="shared" si="32"/>
        <v>998.50200000000007</v>
      </c>
      <c r="R416" s="11">
        <f t="shared" si="33"/>
        <v>5242.1379999999999</v>
      </c>
      <c r="S416" s="1" t="str">
        <f t="shared" si="34"/>
        <v>Low</v>
      </c>
      <c r="T416" s="1" t="str" cm="1">
        <f t="array" ref="T416">_xlfn.IFS(L416&gt;5,"High",L416=5,"mediam",L416&lt;5,"low")</f>
        <v>low</v>
      </c>
      <c r="U416" s="1" t="b">
        <f t="shared" si="35"/>
        <v>0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1"/>
        <v>21278.560000000001</v>
      </c>
      <c r="Q417" s="10">
        <f t="shared" si="32"/>
        <v>0</v>
      </c>
      <c r="R417" s="11">
        <f t="shared" si="33"/>
        <v>21278.560000000001</v>
      </c>
      <c r="S417" s="1" t="str">
        <f t="shared" si="34"/>
        <v>High</v>
      </c>
      <c r="T417" s="1" t="str" cm="1">
        <f t="array" ref="T417">_xlfn.IFS(L417&gt;5,"High",L417=5,"mediam",L417&lt;5,"low")</f>
        <v>High</v>
      </c>
      <c r="U417" s="1" t="str">
        <f t="shared" si="35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1"/>
        <v>3354.81</v>
      </c>
      <c r="Q418" s="10">
        <f t="shared" si="32"/>
        <v>0</v>
      </c>
      <c r="R418" s="11">
        <f t="shared" si="33"/>
        <v>3354.81</v>
      </c>
      <c r="S418" s="1" t="str">
        <f t="shared" si="34"/>
        <v>Low</v>
      </c>
      <c r="T418" s="1" t="str" cm="1">
        <f t="array" ref="T418">_xlfn.IFS(L418&gt;5,"High",L418=5,"mediam",L418&lt;5,"low")</f>
        <v>low</v>
      </c>
      <c r="U418" s="1" t="b">
        <f t="shared" si="35"/>
        <v>0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1"/>
        <v>31244.560000000001</v>
      </c>
      <c r="Q419" s="10">
        <f t="shared" si="32"/>
        <v>2812.01</v>
      </c>
      <c r="R419" s="11">
        <f t="shared" si="33"/>
        <v>28432.550000000003</v>
      </c>
      <c r="S419" s="1" t="str">
        <f t="shared" si="34"/>
        <v>High</v>
      </c>
      <c r="T419" s="1" t="str" cm="1">
        <f t="array" ref="T419">_xlfn.IFS(L419&gt;5,"High",L419=5,"mediam",L419&lt;5,"low")</f>
        <v>High</v>
      </c>
      <c r="U419" s="1" t="str">
        <f t="shared" si="35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1"/>
        <v>15804.24</v>
      </c>
      <c r="Q420" s="10">
        <f t="shared" si="32"/>
        <v>750.70150000000012</v>
      </c>
      <c r="R420" s="11">
        <f t="shared" si="33"/>
        <v>15053.538499999999</v>
      </c>
      <c r="S420" s="1" t="str">
        <f t="shared" si="34"/>
        <v>High</v>
      </c>
      <c r="T420" s="1" t="str" cm="1">
        <f t="array" ref="T420">_xlfn.IFS(L420&gt;5,"High",L420=5,"mediam",L420&lt;5,"low")</f>
        <v>High</v>
      </c>
      <c r="U420" s="1" t="str">
        <f t="shared" si="35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1"/>
        <v>813.54</v>
      </c>
      <c r="Q421" s="10">
        <f t="shared" si="32"/>
        <v>73.219000000000008</v>
      </c>
      <c r="R421" s="11">
        <f t="shared" si="33"/>
        <v>740.32099999999991</v>
      </c>
      <c r="S421" s="1" t="str">
        <f t="shared" si="34"/>
        <v>Low</v>
      </c>
      <c r="T421" s="1" t="str" cm="1">
        <f t="array" ref="T421">_xlfn.IFS(L421&gt;5,"High",L421=5,"mediam",L421&lt;5,"low")</f>
        <v>low</v>
      </c>
      <c r="U421" s="1" t="b">
        <f t="shared" si="35"/>
        <v>0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1"/>
        <v>1340.64</v>
      </c>
      <c r="Q422" s="10">
        <f t="shared" si="32"/>
        <v>63.680499999999995</v>
      </c>
      <c r="R422" s="11">
        <f t="shared" si="33"/>
        <v>1276.9595000000002</v>
      </c>
      <c r="S422" s="1" t="str">
        <f t="shared" si="34"/>
        <v>Low</v>
      </c>
      <c r="T422" s="1" t="str" cm="1">
        <f t="array" ref="T422">_xlfn.IFS(L422&gt;5,"High",L422=5,"mediam",L422&lt;5,"low")</f>
        <v>low</v>
      </c>
      <c r="U422" s="1" t="b">
        <f t="shared" si="35"/>
        <v>0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1"/>
        <v>7729.86</v>
      </c>
      <c r="Q423" s="10">
        <f t="shared" si="32"/>
        <v>985.55700000000002</v>
      </c>
      <c r="R423" s="11">
        <f t="shared" si="33"/>
        <v>6744.3029999999999</v>
      </c>
      <c r="S423" s="1" t="str">
        <f t="shared" si="34"/>
        <v>High</v>
      </c>
      <c r="T423" s="1" t="str" cm="1">
        <f t="array" ref="T423">_xlfn.IFS(L423&gt;5,"High",L423=5,"mediam",L423&lt;5,"low")</f>
        <v>High</v>
      </c>
      <c r="U423" s="1" t="str">
        <f t="shared" si="35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1"/>
        <v>33662.700000000004</v>
      </c>
      <c r="Q424" s="10">
        <f t="shared" si="32"/>
        <v>3029.643</v>
      </c>
      <c r="R424" s="11">
        <f t="shared" si="33"/>
        <v>30633.057000000004</v>
      </c>
      <c r="S424" s="1" t="str">
        <f t="shared" si="34"/>
        <v>High</v>
      </c>
      <c r="T424" s="1" t="str" cm="1">
        <f t="array" ref="T424">_xlfn.IFS(L424&gt;5,"High",L424=5,"mediam",L424&lt;5,"low")</f>
        <v>High</v>
      </c>
      <c r="U424" s="1" t="str">
        <f t="shared" si="35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1"/>
        <v>17314.96</v>
      </c>
      <c r="Q425" s="10">
        <f t="shared" si="32"/>
        <v>1558.346</v>
      </c>
      <c r="R425" s="11">
        <f t="shared" si="33"/>
        <v>15756.614</v>
      </c>
      <c r="S425" s="1" t="str">
        <f t="shared" si="34"/>
        <v>High</v>
      </c>
      <c r="T425" s="1" t="str" cm="1">
        <f t="array" ref="T425">_xlfn.IFS(L425&gt;5,"High",L425=5,"mediam",L425&lt;5,"low")</f>
        <v>High</v>
      </c>
      <c r="U425" s="1" t="str">
        <f t="shared" si="35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1"/>
        <v>9571.0400000000009</v>
      </c>
      <c r="Q426" s="10">
        <f t="shared" si="32"/>
        <v>1531.366</v>
      </c>
      <c r="R426" s="11">
        <f t="shared" si="33"/>
        <v>8039.6740000000009</v>
      </c>
      <c r="S426" s="1" t="str">
        <f t="shared" si="34"/>
        <v>High</v>
      </c>
      <c r="T426" s="1" t="str" cm="1">
        <f t="array" ref="T426">_xlfn.IFS(L426&gt;5,"High",L426=5,"mediam",L426&lt;5,"low")</f>
        <v>High</v>
      </c>
      <c r="U426" s="1" t="str">
        <f t="shared" si="35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1"/>
        <v>11807.529999999999</v>
      </c>
      <c r="Q427" s="10">
        <f t="shared" si="32"/>
        <v>1062.6780000000001</v>
      </c>
      <c r="R427" s="11">
        <f t="shared" si="33"/>
        <v>10744.851999999999</v>
      </c>
      <c r="S427" s="1" t="str">
        <f t="shared" si="34"/>
        <v>High</v>
      </c>
      <c r="T427" s="1" t="str" cm="1">
        <f t="array" ref="T427">_xlfn.IFS(L427&gt;5,"High",L427=5,"mediam",L427&lt;5,"low")</f>
        <v>High</v>
      </c>
      <c r="U427" s="1" t="str">
        <f t="shared" si="35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1"/>
        <v>22091.31</v>
      </c>
      <c r="Q428" s="10">
        <f t="shared" si="32"/>
        <v>1049.3370000000002</v>
      </c>
      <c r="R428" s="11">
        <f t="shared" si="33"/>
        <v>21041.973000000002</v>
      </c>
      <c r="S428" s="1" t="str">
        <f t="shared" si="34"/>
        <v>High</v>
      </c>
      <c r="T428" s="1" t="str" cm="1">
        <f t="array" ref="T428">_xlfn.IFS(L428&gt;5,"High",L428=5,"mediam",L428&lt;5,"low")</f>
        <v>High</v>
      </c>
      <c r="U428" s="1" t="str">
        <f t="shared" si="35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1"/>
        <v>5327.72</v>
      </c>
      <c r="Q429" s="10">
        <f t="shared" si="32"/>
        <v>852.43600000000015</v>
      </c>
      <c r="R429" s="11">
        <f t="shared" si="33"/>
        <v>4475.2839999999997</v>
      </c>
      <c r="S429" s="1" t="str">
        <f t="shared" si="34"/>
        <v>Low</v>
      </c>
      <c r="T429" s="1" t="str" cm="1">
        <f t="array" ref="T429">_xlfn.IFS(L429&gt;5,"High",L429=5,"mediam",L429&lt;5,"low")</f>
        <v>low</v>
      </c>
      <c r="U429" s="1" t="b">
        <f t="shared" si="35"/>
        <v>0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1"/>
        <v>2227.77</v>
      </c>
      <c r="Q430" s="10">
        <f t="shared" si="32"/>
        <v>200.49900000000002</v>
      </c>
      <c r="R430" s="11">
        <f t="shared" si="33"/>
        <v>2027.271</v>
      </c>
      <c r="S430" s="1" t="str">
        <f t="shared" si="34"/>
        <v>Low</v>
      </c>
      <c r="T430" s="1" t="str" cm="1">
        <f t="array" ref="T430">_xlfn.IFS(L430&gt;5,"High",L430=5,"mediam",L430&lt;5,"low")</f>
        <v>low</v>
      </c>
      <c r="U430" s="1" t="b">
        <f t="shared" si="35"/>
        <v>0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1"/>
        <v>31292.560000000001</v>
      </c>
      <c r="Q431" s="10">
        <f t="shared" si="32"/>
        <v>2816.33</v>
      </c>
      <c r="R431" s="11">
        <f t="shared" si="33"/>
        <v>28476.230000000003</v>
      </c>
      <c r="S431" s="1" t="str">
        <f t="shared" si="34"/>
        <v>High</v>
      </c>
      <c r="T431" s="1" t="str" cm="1">
        <f t="array" ref="T431">_xlfn.IFS(L431&gt;5,"High",L431=5,"mediam",L431&lt;5,"low")</f>
        <v>High</v>
      </c>
      <c r="U431" s="1" t="str">
        <f t="shared" si="35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1"/>
        <v>13484.22</v>
      </c>
      <c r="Q432" s="10">
        <f t="shared" si="32"/>
        <v>1719.2384999999999</v>
      </c>
      <c r="R432" s="11">
        <f t="shared" si="33"/>
        <v>11764.9815</v>
      </c>
      <c r="S432" s="1" t="str">
        <f t="shared" si="34"/>
        <v>High</v>
      </c>
      <c r="T432" s="1" t="str" cm="1">
        <f t="array" ref="T432">_xlfn.IFS(L432&gt;5,"High",L432=5,"mediam",L432&lt;5,"low")</f>
        <v>High</v>
      </c>
      <c r="U432" s="1" t="str">
        <f t="shared" si="35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1"/>
        <v>6051.5999999999995</v>
      </c>
      <c r="Q433" s="10">
        <f t="shared" si="32"/>
        <v>544.64400000000001</v>
      </c>
      <c r="R433" s="11">
        <f t="shared" si="33"/>
        <v>5506.9559999999992</v>
      </c>
      <c r="S433" s="1" t="str">
        <f t="shared" si="34"/>
        <v>High</v>
      </c>
      <c r="T433" s="1" t="str" cm="1">
        <f t="array" ref="T433">_xlfn.IFS(L433&gt;5,"High",L433=5,"mediam",L433&lt;5,"low")</f>
        <v>High</v>
      </c>
      <c r="U433" s="1" t="str">
        <f t="shared" si="35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1"/>
        <v>14362</v>
      </c>
      <c r="Q434" s="10">
        <f t="shared" si="32"/>
        <v>0</v>
      </c>
      <c r="R434" s="11">
        <f t="shared" si="33"/>
        <v>14362</v>
      </c>
      <c r="S434" s="1" t="str">
        <f t="shared" si="34"/>
        <v>Low</v>
      </c>
      <c r="T434" s="1" t="str" cm="1">
        <f t="array" ref="T434">_xlfn.IFS(L434&gt;5,"High",L434=5,"mediam",L434&lt;5,"low")</f>
        <v>low</v>
      </c>
      <c r="U434" s="1" t="b">
        <f t="shared" si="35"/>
        <v>0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1"/>
        <v>3498.88</v>
      </c>
      <c r="Q435" s="10">
        <f t="shared" si="32"/>
        <v>559.82000000000005</v>
      </c>
      <c r="R435" s="11">
        <f t="shared" si="33"/>
        <v>2939.06</v>
      </c>
      <c r="S435" s="1" t="str">
        <f t="shared" si="34"/>
        <v>High</v>
      </c>
      <c r="T435" s="1" t="str" cm="1">
        <f t="array" ref="T435">_xlfn.IFS(L435&gt;5,"High",L435=5,"mediam",L435&lt;5,"low")</f>
        <v>High</v>
      </c>
      <c r="U435" s="1" t="str">
        <f t="shared" si="35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1"/>
        <v>10934.34</v>
      </c>
      <c r="Q436" s="10">
        <f t="shared" si="32"/>
        <v>0</v>
      </c>
      <c r="R436" s="11">
        <f t="shared" si="33"/>
        <v>10934.34</v>
      </c>
      <c r="S436" s="1" t="str">
        <f t="shared" si="34"/>
        <v>Low</v>
      </c>
      <c r="T436" s="1" t="str" cm="1">
        <f t="array" ref="T436">_xlfn.IFS(L436&gt;5,"High",L436=5,"mediam",L436&lt;5,"low")</f>
        <v>low</v>
      </c>
      <c r="U436" s="1" t="b">
        <f t="shared" si="35"/>
        <v>0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1"/>
        <v>11960.34</v>
      </c>
      <c r="Q437" s="10">
        <f t="shared" si="32"/>
        <v>1913.6540000000002</v>
      </c>
      <c r="R437" s="11">
        <f t="shared" si="33"/>
        <v>10046.686</v>
      </c>
      <c r="S437" s="1" t="str">
        <f t="shared" si="34"/>
        <v>Low</v>
      </c>
      <c r="T437" s="1" t="str" cm="1">
        <f t="array" ref="T437">_xlfn.IFS(L437&gt;5,"High",L437=5,"mediam",L437&lt;5,"low")</f>
        <v>low</v>
      </c>
      <c r="U437" s="1" t="b">
        <f t="shared" si="35"/>
        <v>0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1"/>
        <v>22773.279999999999</v>
      </c>
      <c r="Q438" s="10">
        <f t="shared" si="32"/>
        <v>2903.5934999999999</v>
      </c>
      <c r="R438" s="11">
        <f t="shared" si="33"/>
        <v>19869.6865</v>
      </c>
      <c r="S438" s="1" t="str">
        <f t="shared" si="34"/>
        <v>High</v>
      </c>
      <c r="T438" s="1" t="str" cm="1">
        <f t="array" ref="T438">_xlfn.IFS(L438&gt;5,"High",L438=5,"mediam",L438&lt;5,"low")</f>
        <v>High</v>
      </c>
      <c r="U438" s="1" t="str">
        <f t="shared" si="35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1"/>
        <v>15581.099999999999</v>
      </c>
      <c r="Q439" s="10">
        <f t="shared" si="32"/>
        <v>1402.299</v>
      </c>
      <c r="R439" s="11">
        <f t="shared" si="33"/>
        <v>14178.800999999999</v>
      </c>
      <c r="S439" s="1" t="str">
        <f t="shared" si="34"/>
        <v>High</v>
      </c>
      <c r="T439" s="1" t="str" cm="1">
        <f t="array" ref="T439">_xlfn.IFS(L439&gt;5,"High",L439=5,"mediam",L439&lt;5,"low")</f>
        <v>mediam</v>
      </c>
      <c r="U439" s="1" t="b">
        <f t="shared" si="35"/>
        <v>0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1"/>
        <v>4345.8599999999997</v>
      </c>
      <c r="Q440" s="10">
        <f t="shared" si="32"/>
        <v>391.12700000000001</v>
      </c>
      <c r="R440" s="11">
        <f t="shared" si="33"/>
        <v>3954.7329999999997</v>
      </c>
      <c r="S440" s="1" t="str">
        <f t="shared" si="34"/>
        <v>Low</v>
      </c>
      <c r="T440" s="1" t="str" cm="1">
        <f t="array" ref="T440">_xlfn.IFS(L440&gt;5,"High",L440=5,"mediam",L440&lt;5,"low")</f>
        <v>low</v>
      </c>
      <c r="U440" s="1" t="b">
        <f t="shared" si="35"/>
        <v>0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1"/>
        <v>3775.07</v>
      </c>
      <c r="Q441" s="10">
        <f t="shared" si="32"/>
        <v>339.75600000000003</v>
      </c>
      <c r="R441" s="11">
        <f t="shared" si="33"/>
        <v>3435.3140000000003</v>
      </c>
      <c r="S441" s="1" t="str">
        <f t="shared" si="34"/>
        <v>Low</v>
      </c>
      <c r="T441" s="1" t="str" cm="1">
        <f t="array" ref="T441">_xlfn.IFS(L441&gt;5,"High",L441=5,"mediam",L441&lt;5,"low")</f>
        <v>low</v>
      </c>
      <c r="U441" s="1" t="b">
        <f t="shared" si="35"/>
        <v>0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1"/>
        <v>6568.2000000000007</v>
      </c>
      <c r="Q442" s="10">
        <f t="shared" si="32"/>
        <v>1050.912</v>
      </c>
      <c r="R442" s="11">
        <f t="shared" si="33"/>
        <v>5517.2880000000005</v>
      </c>
      <c r="S442" s="1" t="str">
        <f t="shared" si="34"/>
        <v>Low</v>
      </c>
      <c r="T442" s="1" t="str" cm="1">
        <f t="array" ref="T442">_xlfn.IFS(L442&gt;5,"High",L442=5,"mediam",L442&lt;5,"low")</f>
        <v>low</v>
      </c>
      <c r="U442" s="1" t="b">
        <f t="shared" si="35"/>
        <v>0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1"/>
        <v>26727.3</v>
      </c>
      <c r="Q443" s="10">
        <f t="shared" si="32"/>
        <v>2405.4569999999999</v>
      </c>
      <c r="R443" s="11">
        <f t="shared" si="33"/>
        <v>24321.843000000001</v>
      </c>
      <c r="S443" s="1" t="str">
        <f t="shared" si="34"/>
        <v>High</v>
      </c>
      <c r="T443" s="1" t="str" cm="1">
        <f t="array" ref="T443">_xlfn.IFS(L443&gt;5,"High",L443=5,"mediam",L443&lt;5,"low")</f>
        <v>High</v>
      </c>
      <c r="U443" s="1" t="str">
        <f t="shared" si="35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1"/>
        <v>18539.05</v>
      </c>
      <c r="Q444" s="10">
        <f t="shared" si="32"/>
        <v>0</v>
      </c>
      <c r="R444" s="11">
        <f t="shared" si="33"/>
        <v>18539.05</v>
      </c>
      <c r="S444" s="1" t="str">
        <f t="shared" si="34"/>
        <v>High</v>
      </c>
      <c r="T444" s="1" t="str" cm="1">
        <f t="array" ref="T444">_xlfn.IFS(L444&gt;5,"High",L444=5,"mediam",L444&lt;5,"low")</f>
        <v>mediam</v>
      </c>
      <c r="U444" s="1" t="b">
        <f t="shared" si="35"/>
        <v>0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1"/>
        <v>7808.88</v>
      </c>
      <c r="Q445" s="10">
        <f t="shared" si="32"/>
        <v>702.79899999999998</v>
      </c>
      <c r="R445" s="11">
        <f t="shared" si="33"/>
        <v>7106.0810000000001</v>
      </c>
      <c r="S445" s="1" t="str">
        <f t="shared" si="34"/>
        <v>Low</v>
      </c>
      <c r="T445" s="1" t="str" cm="1">
        <f t="array" ref="T445">_xlfn.IFS(L445&gt;5,"High",L445=5,"mediam",L445&lt;5,"low")</f>
        <v>low</v>
      </c>
      <c r="U445" s="1" t="b">
        <f t="shared" si="35"/>
        <v>0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1"/>
        <v>23504.880000000001</v>
      </c>
      <c r="Q446" s="10">
        <f t="shared" si="32"/>
        <v>2996.8724999999999</v>
      </c>
      <c r="R446" s="11">
        <f t="shared" si="33"/>
        <v>20508.0075</v>
      </c>
      <c r="S446" s="1" t="str">
        <f t="shared" si="34"/>
        <v>High</v>
      </c>
      <c r="T446" s="1" t="str" cm="1">
        <f t="array" ref="T446">_xlfn.IFS(L446&gt;5,"High",L446=5,"mediam",L446&lt;5,"low")</f>
        <v>High</v>
      </c>
      <c r="U446" s="1" t="str">
        <f t="shared" si="35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1"/>
        <v>2633.24</v>
      </c>
      <c r="Q447" s="10">
        <f t="shared" si="32"/>
        <v>0</v>
      </c>
      <c r="R447" s="11">
        <f t="shared" si="33"/>
        <v>2633.24</v>
      </c>
      <c r="S447" s="1" t="str">
        <f t="shared" si="34"/>
        <v>Low</v>
      </c>
      <c r="T447" s="1" t="str" cm="1">
        <f t="array" ref="T447">_xlfn.IFS(L447&gt;5,"High",L447=5,"mediam",L447&lt;5,"low")</f>
        <v>low</v>
      </c>
      <c r="U447" s="1" t="b">
        <f t="shared" si="35"/>
        <v>0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1"/>
        <v>15484.84</v>
      </c>
      <c r="Q448" s="10">
        <f t="shared" si="32"/>
        <v>1393.6360000000002</v>
      </c>
      <c r="R448" s="11">
        <f t="shared" si="33"/>
        <v>14091.204</v>
      </c>
      <c r="S448" s="1" t="str">
        <f t="shared" si="34"/>
        <v>Low</v>
      </c>
      <c r="T448" s="1" t="str" cm="1">
        <f t="array" ref="T448">_xlfn.IFS(L448&gt;5,"High",L448=5,"mediam",L448&lt;5,"low")</f>
        <v>low</v>
      </c>
      <c r="U448" s="1" t="b">
        <f t="shared" si="35"/>
        <v>0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1"/>
        <v>17977.82</v>
      </c>
      <c r="Q449" s="10">
        <f t="shared" si="32"/>
        <v>1618.0040000000001</v>
      </c>
      <c r="R449" s="11">
        <f t="shared" si="33"/>
        <v>16359.815999999999</v>
      </c>
      <c r="S449" s="1" t="str">
        <f t="shared" si="34"/>
        <v>High</v>
      </c>
      <c r="T449" s="1" t="str" cm="1">
        <f t="array" ref="T449">_xlfn.IFS(L449&gt;5,"High",L449=5,"mediam",L449&lt;5,"low")</f>
        <v>High</v>
      </c>
      <c r="U449" s="1" t="str">
        <f t="shared" si="35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1"/>
        <v>14931.88</v>
      </c>
      <c r="Q450" s="10">
        <f t="shared" si="32"/>
        <v>709.26450000000011</v>
      </c>
      <c r="R450" s="11">
        <f t="shared" si="33"/>
        <v>14222.6155</v>
      </c>
      <c r="S450" s="1" t="str">
        <f t="shared" si="34"/>
        <v>Low</v>
      </c>
      <c r="T450" s="1" t="str" cm="1">
        <f t="array" ref="T450">_xlfn.IFS(L450&gt;5,"High",L450=5,"mediam",L450&lt;5,"low")</f>
        <v>low</v>
      </c>
      <c r="U450" s="1" t="b">
        <f t="shared" si="35"/>
        <v>0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6">L451*M451</f>
        <v>19271</v>
      </c>
      <c r="Q451" s="10">
        <f t="shared" ref="Q451:Q501" si="37">O451*N451%</f>
        <v>3083.36</v>
      </c>
      <c r="R451" s="11">
        <f t="shared" ref="R451:R501" si="38">P451-Q451</f>
        <v>16187.64</v>
      </c>
      <c r="S451" s="1" t="str">
        <f t="shared" ref="S451:S501" si="39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si="35"/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6"/>
        <v>9330.09</v>
      </c>
      <c r="Q452" s="10">
        <f t="shared" si="37"/>
        <v>0</v>
      </c>
      <c r="R452" s="11">
        <f t="shared" si="38"/>
        <v>9330.09</v>
      </c>
      <c r="S452" s="1" t="str">
        <f t="shared" si="39"/>
        <v>High</v>
      </c>
      <c r="T452" s="1" t="str" cm="1">
        <f t="array" ref="T452">_xlfn.IFS(L452&gt;5,"High",L452=5,"mediam",L452&lt;5,"low")</f>
        <v>High</v>
      </c>
      <c r="U452" s="1" t="str">
        <f t="shared" si="35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6"/>
        <v>1574.59</v>
      </c>
      <c r="Q453" s="10">
        <f t="shared" si="37"/>
        <v>74.792999999999992</v>
      </c>
      <c r="R453" s="11">
        <f t="shared" si="38"/>
        <v>1499.797</v>
      </c>
      <c r="S453" s="1" t="str">
        <f t="shared" si="39"/>
        <v>Low</v>
      </c>
      <c r="T453" s="1" t="str" cm="1">
        <f t="array" ref="T453">_xlfn.IFS(L453&gt;5,"High",L453=5,"mediam",L453&lt;5,"low")</f>
        <v>low</v>
      </c>
      <c r="U453" s="1" t="b">
        <f t="shared" si="35"/>
        <v>0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6"/>
        <v>13615.920000000002</v>
      </c>
      <c r="Q454" s="10">
        <f t="shared" si="37"/>
        <v>1736.0295000000001</v>
      </c>
      <c r="R454" s="11">
        <f t="shared" si="38"/>
        <v>11879.890500000001</v>
      </c>
      <c r="S454" s="1" t="str">
        <f t="shared" si="39"/>
        <v>High</v>
      </c>
      <c r="T454" s="1" t="str" cm="1">
        <f t="array" ref="T454">_xlfn.IFS(L454&gt;5,"High",L454=5,"mediam",L454&lt;5,"low")</f>
        <v>High</v>
      </c>
      <c r="U454" s="1" t="str">
        <f t="shared" si="35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6"/>
        <v>28724.04</v>
      </c>
      <c r="Q455" s="10">
        <f t="shared" si="37"/>
        <v>4595.8460000000005</v>
      </c>
      <c r="R455" s="11">
        <f t="shared" si="38"/>
        <v>24128.194</v>
      </c>
      <c r="S455" s="1" t="str">
        <f t="shared" si="39"/>
        <v>High</v>
      </c>
      <c r="T455" s="1" t="str" cm="1">
        <f t="array" ref="T455">_xlfn.IFS(L455&gt;5,"High",L455=5,"mediam",L455&lt;5,"low")</f>
        <v>High</v>
      </c>
      <c r="U455" s="1" t="str">
        <f t="shared" si="35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6"/>
        <v>2748.46</v>
      </c>
      <c r="Q456" s="10">
        <f t="shared" si="37"/>
        <v>0</v>
      </c>
      <c r="R456" s="11">
        <f t="shared" si="38"/>
        <v>2748.46</v>
      </c>
      <c r="S456" s="1" t="str">
        <f t="shared" si="39"/>
        <v>Low</v>
      </c>
      <c r="T456" s="1" t="str" cm="1">
        <f t="array" ref="T456">_xlfn.IFS(L456&gt;5,"High",L456=5,"mediam",L456&lt;5,"low")</f>
        <v>low</v>
      </c>
      <c r="U456" s="1" t="b">
        <f t="shared" si="35"/>
        <v>0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6"/>
        <v>7145.88</v>
      </c>
      <c r="Q457" s="10">
        <f t="shared" si="37"/>
        <v>643.12900000000002</v>
      </c>
      <c r="R457" s="11">
        <f t="shared" si="38"/>
        <v>6502.7510000000002</v>
      </c>
      <c r="S457" s="1" t="str">
        <f t="shared" si="39"/>
        <v>Low</v>
      </c>
      <c r="T457" s="1" t="str" cm="1">
        <f t="array" ref="T457">_xlfn.IFS(L457&gt;5,"High",L457=5,"mediam",L457&lt;5,"low")</f>
        <v>low</v>
      </c>
      <c r="U457" s="1" t="b">
        <f t="shared" ref="U457:U501" si="40">IF(L457&gt;5,"High",IF(L457="Mediam","Low"))</f>
        <v>0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6"/>
        <v>7403.3</v>
      </c>
      <c r="Q458" s="10">
        <f t="shared" si="37"/>
        <v>0</v>
      </c>
      <c r="R458" s="11">
        <f t="shared" si="38"/>
        <v>7403.3</v>
      </c>
      <c r="S458" s="1" t="str">
        <f t="shared" si="39"/>
        <v>High</v>
      </c>
      <c r="T458" s="1" t="str" cm="1">
        <f t="array" ref="T458">_xlfn.IFS(L458&gt;5,"High",L458=5,"mediam",L458&lt;5,"low")</f>
        <v>mediam</v>
      </c>
      <c r="U458" s="1" t="b">
        <f t="shared" si="40"/>
        <v>0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6"/>
        <v>29616.39</v>
      </c>
      <c r="Q459" s="10">
        <f t="shared" si="37"/>
        <v>2665.4750000000004</v>
      </c>
      <c r="R459" s="11">
        <f t="shared" si="38"/>
        <v>26950.915000000001</v>
      </c>
      <c r="S459" s="1" t="str">
        <f t="shared" si="39"/>
        <v>High</v>
      </c>
      <c r="T459" s="1" t="str" cm="1">
        <f t="array" ref="T459">_xlfn.IFS(L459&gt;5,"High",L459=5,"mediam",L459&lt;5,"low")</f>
        <v>High</v>
      </c>
      <c r="U459" s="1" t="str">
        <f t="shared" si="40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6"/>
        <v>7787.6</v>
      </c>
      <c r="Q460" s="10">
        <f t="shared" si="37"/>
        <v>1246.0160000000001</v>
      </c>
      <c r="R460" s="11">
        <f t="shared" si="38"/>
        <v>6541.5840000000007</v>
      </c>
      <c r="S460" s="1" t="str">
        <f t="shared" si="39"/>
        <v>Low</v>
      </c>
      <c r="T460" s="1" t="str" cm="1">
        <f t="array" ref="T460">_xlfn.IFS(L460&gt;5,"High",L460=5,"mediam",L460&lt;5,"low")</f>
        <v>low</v>
      </c>
      <c r="U460" s="1" t="b">
        <f t="shared" si="40"/>
        <v>0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6"/>
        <v>445.38</v>
      </c>
      <c r="Q461" s="10">
        <f t="shared" si="37"/>
        <v>40.084000000000003</v>
      </c>
      <c r="R461" s="11">
        <f t="shared" si="38"/>
        <v>405.29599999999999</v>
      </c>
      <c r="S461" s="1" t="str">
        <f t="shared" si="39"/>
        <v>Low</v>
      </c>
      <c r="T461" s="1" t="str" cm="1">
        <f t="array" ref="T461">_xlfn.IFS(L461&gt;5,"High",L461=5,"mediam",L461&lt;5,"low")</f>
        <v>low</v>
      </c>
      <c r="U461" s="1" t="b">
        <f t="shared" si="40"/>
        <v>0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6"/>
        <v>3157.2</v>
      </c>
      <c r="Q462" s="10">
        <f t="shared" si="37"/>
        <v>402.54299999999995</v>
      </c>
      <c r="R462" s="11">
        <f t="shared" si="38"/>
        <v>2754.6569999999997</v>
      </c>
      <c r="S462" s="1" t="str">
        <f t="shared" si="39"/>
        <v>Low</v>
      </c>
      <c r="T462" s="1" t="str" cm="1">
        <f t="array" ref="T462">_xlfn.IFS(L462&gt;5,"High",L462=5,"mediam",L462&lt;5,"low")</f>
        <v>low</v>
      </c>
      <c r="U462" s="1" t="b">
        <f t="shared" si="40"/>
        <v>0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6"/>
        <v>2311.5</v>
      </c>
      <c r="Q463" s="10">
        <f t="shared" si="37"/>
        <v>208.035</v>
      </c>
      <c r="R463" s="11">
        <f t="shared" si="38"/>
        <v>2103.4650000000001</v>
      </c>
      <c r="S463" s="1" t="str">
        <f t="shared" si="39"/>
        <v>High</v>
      </c>
      <c r="T463" s="1" t="str" cm="1">
        <f t="array" ref="T463">_xlfn.IFS(L463&gt;5,"High",L463=5,"mediam",L463&lt;5,"low")</f>
        <v>High</v>
      </c>
      <c r="U463" s="1" t="str">
        <f t="shared" si="40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6"/>
        <v>10361.6</v>
      </c>
      <c r="Q464" s="10">
        <f t="shared" si="37"/>
        <v>1321.104</v>
      </c>
      <c r="R464" s="11">
        <f t="shared" si="38"/>
        <v>9040.496000000001</v>
      </c>
      <c r="S464" s="1" t="str">
        <f t="shared" si="39"/>
        <v>High</v>
      </c>
      <c r="T464" s="1" t="str" cm="1">
        <f t="array" ref="T464">_xlfn.IFS(L464&gt;5,"High",L464=5,"mediam",L464&lt;5,"low")</f>
        <v>mediam</v>
      </c>
      <c r="U464" s="1" t="b">
        <f t="shared" si="40"/>
        <v>0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6"/>
        <v>559.4</v>
      </c>
      <c r="Q465" s="10">
        <f t="shared" si="37"/>
        <v>89.504000000000005</v>
      </c>
      <c r="R465" s="11">
        <f t="shared" si="38"/>
        <v>469.89599999999996</v>
      </c>
      <c r="S465" s="1" t="str">
        <f t="shared" si="39"/>
        <v>Low</v>
      </c>
      <c r="T465" s="1" t="str" cm="1">
        <f t="array" ref="T465">_xlfn.IFS(L465&gt;5,"High",L465=5,"mediam",L465&lt;5,"low")</f>
        <v>low</v>
      </c>
      <c r="U465" s="1" t="b">
        <f t="shared" si="40"/>
        <v>0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6"/>
        <v>2357.7600000000002</v>
      </c>
      <c r="Q466" s="10">
        <f t="shared" si="37"/>
        <v>377.24200000000002</v>
      </c>
      <c r="R466" s="11">
        <f t="shared" si="38"/>
        <v>1980.5180000000003</v>
      </c>
      <c r="S466" s="1" t="str">
        <f t="shared" si="39"/>
        <v>Low</v>
      </c>
      <c r="T466" s="1" t="str" cm="1">
        <f t="array" ref="T466">_xlfn.IFS(L466&gt;5,"High",L466=5,"mediam",L466&lt;5,"low")</f>
        <v>low</v>
      </c>
      <c r="U466" s="1" t="b">
        <f t="shared" si="40"/>
        <v>0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6"/>
        <v>22638.239999999998</v>
      </c>
      <c r="Q467" s="10">
        <f t="shared" si="37"/>
        <v>0</v>
      </c>
      <c r="R467" s="11">
        <f t="shared" si="38"/>
        <v>22638.239999999998</v>
      </c>
      <c r="S467" s="1" t="str">
        <f t="shared" si="39"/>
        <v>High</v>
      </c>
      <c r="T467" s="1" t="str" cm="1">
        <f t="array" ref="T467">_xlfn.IFS(L467&gt;5,"High",L467=5,"mediam",L467&lt;5,"low")</f>
        <v>High</v>
      </c>
      <c r="U467" s="1" t="str">
        <f t="shared" si="40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6"/>
        <v>14038.88</v>
      </c>
      <c r="Q468" s="10">
        <f t="shared" si="37"/>
        <v>1789.9574999999998</v>
      </c>
      <c r="R468" s="11">
        <f t="shared" si="38"/>
        <v>12248.922499999999</v>
      </c>
      <c r="S468" s="1" t="str">
        <f t="shared" si="39"/>
        <v>Low</v>
      </c>
      <c r="T468" s="1" t="str" cm="1">
        <f t="array" ref="T468">_xlfn.IFS(L468&gt;5,"High",L468=5,"mediam",L468&lt;5,"low")</f>
        <v>low</v>
      </c>
      <c r="U468" s="1" t="b">
        <f t="shared" si="40"/>
        <v>0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6"/>
        <v>17014.77</v>
      </c>
      <c r="Q469" s="10">
        <f t="shared" si="37"/>
        <v>2169.3824999999997</v>
      </c>
      <c r="R469" s="11">
        <f t="shared" si="38"/>
        <v>14845.387500000001</v>
      </c>
      <c r="S469" s="1" t="str">
        <f t="shared" si="39"/>
        <v>High</v>
      </c>
      <c r="T469" s="1" t="str" cm="1">
        <f t="array" ref="T469">_xlfn.IFS(L469&gt;5,"High",L469=5,"mediam",L469&lt;5,"low")</f>
        <v>High</v>
      </c>
      <c r="U469" s="1" t="str">
        <f t="shared" si="40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6"/>
        <v>19726.75</v>
      </c>
      <c r="Q470" s="10">
        <f t="shared" si="37"/>
        <v>937.02050000000008</v>
      </c>
      <c r="R470" s="11">
        <f t="shared" si="38"/>
        <v>18789.729500000001</v>
      </c>
      <c r="S470" s="1" t="str">
        <f t="shared" si="39"/>
        <v>High</v>
      </c>
      <c r="T470" s="1" t="str" cm="1">
        <f t="array" ref="T470">_xlfn.IFS(L470&gt;5,"High",L470=5,"mediam",L470&lt;5,"low")</f>
        <v>mediam</v>
      </c>
      <c r="U470" s="1" t="b">
        <f t="shared" si="40"/>
        <v>0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6"/>
        <v>1205.76</v>
      </c>
      <c r="Q471" s="10">
        <f t="shared" si="37"/>
        <v>57.273500000000006</v>
      </c>
      <c r="R471" s="11">
        <f t="shared" si="38"/>
        <v>1148.4865</v>
      </c>
      <c r="S471" s="1" t="str">
        <f t="shared" si="39"/>
        <v>High</v>
      </c>
      <c r="T471" s="1" t="str" cm="1">
        <f t="array" ref="T471">_xlfn.IFS(L471&gt;5,"High",L471=5,"mediam",L471&lt;5,"low")</f>
        <v>High</v>
      </c>
      <c r="U471" s="1" t="str">
        <f t="shared" si="40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6"/>
        <v>22624.38</v>
      </c>
      <c r="Q472" s="10">
        <f t="shared" si="37"/>
        <v>1074.6580000000001</v>
      </c>
      <c r="R472" s="11">
        <f t="shared" si="38"/>
        <v>21549.722000000002</v>
      </c>
      <c r="S472" s="1" t="str">
        <f t="shared" si="39"/>
        <v>High</v>
      </c>
      <c r="T472" s="1" t="str" cm="1">
        <f t="array" ref="T472">_xlfn.IFS(L472&gt;5,"High",L472=5,"mediam",L472&lt;5,"low")</f>
        <v>High</v>
      </c>
      <c r="U472" s="1" t="str">
        <f t="shared" si="40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6"/>
        <v>12616.25</v>
      </c>
      <c r="Q473" s="10">
        <f t="shared" si="37"/>
        <v>1135.463</v>
      </c>
      <c r="R473" s="11">
        <f t="shared" si="38"/>
        <v>11480.787</v>
      </c>
      <c r="S473" s="1" t="str">
        <f t="shared" si="39"/>
        <v>High</v>
      </c>
      <c r="T473" s="1" t="str" cm="1">
        <f t="array" ref="T473">_xlfn.IFS(L473&gt;5,"High",L473=5,"mediam",L473&lt;5,"low")</f>
        <v>mediam</v>
      </c>
      <c r="U473" s="1" t="b">
        <f t="shared" si="40"/>
        <v>0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6"/>
        <v>11466.960000000001</v>
      </c>
      <c r="Q474" s="10">
        <f t="shared" si="37"/>
        <v>544.68050000000005</v>
      </c>
      <c r="R474" s="11">
        <f t="shared" si="38"/>
        <v>10922.279500000001</v>
      </c>
      <c r="S474" s="1" t="str">
        <f t="shared" si="39"/>
        <v>High</v>
      </c>
      <c r="T474" s="1" t="str" cm="1">
        <f t="array" ref="T474">_xlfn.IFS(L474&gt;5,"High",L474=5,"mediam",L474&lt;5,"low")</f>
        <v>High</v>
      </c>
      <c r="U474" s="1" t="str">
        <f t="shared" si="40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6"/>
        <v>1678.25</v>
      </c>
      <c r="Q475" s="10">
        <f t="shared" si="37"/>
        <v>213.97649999999999</v>
      </c>
      <c r="R475" s="11">
        <f t="shared" si="38"/>
        <v>1464.2735</v>
      </c>
      <c r="S475" s="1" t="str">
        <f t="shared" si="39"/>
        <v>Low</v>
      </c>
      <c r="T475" s="1" t="str" cm="1">
        <f t="array" ref="T475">_xlfn.IFS(L475&gt;5,"High",L475=5,"mediam",L475&lt;5,"low")</f>
        <v>low</v>
      </c>
      <c r="U475" s="1" t="b">
        <f t="shared" si="40"/>
        <v>0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6"/>
        <v>13322.61</v>
      </c>
      <c r="Q476" s="10">
        <f t="shared" si="37"/>
        <v>1199.0350000000001</v>
      </c>
      <c r="R476" s="11">
        <f t="shared" si="38"/>
        <v>12123.575000000001</v>
      </c>
      <c r="S476" s="1" t="str">
        <f t="shared" si="39"/>
        <v>High</v>
      </c>
      <c r="T476" s="1" t="str" cm="1">
        <f t="array" ref="T476">_xlfn.IFS(L476&gt;5,"High",L476=5,"mediam",L476&lt;5,"low")</f>
        <v>High</v>
      </c>
      <c r="U476" s="1" t="str">
        <f t="shared" si="40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6"/>
        <v>6990.4</v>
      </c>
      <c r="Q477" s="10">
        <f t="shared" si="37"/>
        <v>1118.4639999999999</v>
      </c>
      <c r="R477" s="11">
        <f t="shared" si="38"/>
        <v>5871.9359999999997</v>
      </c>
      <c r="S477" s="1" t="str">
        <f t="shared" si="39"/>
        <v>Low</v>
      </c>
      <c r="T477" s="1" t="str" cm="1">
        <f t="array" ref="T477">_xlfn.IFS(L477&gt;5,"High",L477=5,"mediam",L477&lt;5,"low")</f>
        <v>low</v>
      </c>
      <c r="U477" s="1" t="b">
        <f t="shared" si="40"/>
        <v>0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6"/>
        <v>5924.8</v>
      </c>
      <c r="Q478" s="10">
        <f t="shared" si="37"/>
        <v>0</v>
      </c>
      <c r="R478" s="11">
        <f t="shared" si="38"/>
        <v>5924.8</v>
      </c>
      <c r="S478" s="1" t="str">
        <f t="shared" si="39"/>
        <v>Low</v>
      </c>
      <c r="T478" s="1" t="str" cm="1">
        <f t="array" ref="T478">_xlfn.IFS(L478&gt;5,"High",L478=5,"mediam",L478&lt;5,"low")</f>
        <v>low</v>
      </c>
      <c r="U478" s="1" t="b">
        <f t="shared" si="40"/>
        <v>0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6"/>
        <v>3355.6</v>
      </c>
      <c r="Q479" s="10">
        <f t="shared" si="37"/>
        <v>159.39100000000002</v>
      </c>
      <c r="R479" s="11">
        <f t="shared" si="38"/>
        <v>3196.2089999999998</v>
      </c>
      <c r="S479" s="1" t="str">
        <f t="shared" si="39"/>
        <v>High</v>
      </c>
      <c r="T479" s="1" t="str" cm="1">
        <f t="array" ref="T479">_xlfn.IFS(L479&gt;5,"High",L479=5,"mediam",L479&lt;5,"low")</f>
        <v>mediam</v>
      </c>
      <c r="U479" s="1" t="b">
        <f t="shared" si="40"/>
        <v>0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6"/>
        <v>2732.73</v>
      </c>
      <c r="Q480" s="10">
        <f t="shared" si="37"/>
        <v>437.23599999999999</v>
      </c>
      <c r="R480" s="11">
        <f t="shared" si="38"/>
        <v>2295.4940000000001</v>
      </c>
      <c r="S480" s="1" t="str">
        <f t="shared" si="39"/>
        <v>Low</v>
      </c>
      <c r="T480" s="1" t="str" cm="1">
        <f t="array" ref="T480">_xlfn.IFS(L480&gt;5,"High",L480=5,"mediam",L480&lt;5,"low")</f>
        <v>low</v>
      </c>
      <c r="U480" s="1" t="b">
        <f t="shared" si="40"/>
        <v>0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6"/>
        <v>5070</v>
      </c>
      <c r="Q481" s="10">
        <f t="shared" si="37"/>
        <v>646.42499999999995</v>
      </c>
      <c r="R481" s="11">
        <f t="shared" si="38"/>
        <v>4423.5749999999998</v>
      </c>
      <c r="S481" s="1" t="str">
        <f t="shared" si="39"/>
        <v>High</v>
      </c>
      <c r="T481" s="1" t="str" cm="1">
        <f t="array" ref="T481">_xlfn.IFS(L481&gt;5,"High",L481=5,"mediam",L481&lt;5,"low")</f>
        <v>High</v>
      </c>
      <c r="U481" s="1" t="str">
        <f t="shared" si="40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6"/>
        <v>9284.08</v>
      </c>
      <c r="Q482" s="10">
        <f t="shared" si="37"/>
        <v>0</v>
      </c>
      <c r="R482" s="11">
        <f t="shared" si="38"/>
        <v>9284.08</v>
      </c>
      <c r="S482" s="1" t="str">
        <f t="shared" si="39"/>
        <v>High</v>
      </c>
      <c r="T482" s="1" t="str" cm="1">
        <f t="array" ref="T482">_xlfn.IFS(L482&gt;5,"High",L482=5,"mediam",L482&lt;5,"low")</f>
        <v>High</v>
      </c>
      <c r="U482" s="1" t="str">
        <f t="shared" si="40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6"/>
        <v>15205.679999999998</v>
      </c>
      <c r="Q483" s="10">
        <f t="shared" si="37"/>
        <v>2432.9080000000004</v>
      </c>
      <c r="R483" s="11">
        <f t="shared" si="38"/>
        <v>12772.771999999997</v>
      </c>
      <c r="S483" s="1" t="str">
        <f t="shared" si="39"/>
        <v>High</v>
      </c>
      <c r="T483" s="1" t="str" cm="1">
        <f t="array" ref="T483">_xlfn.IFS(L483&gt;5,"High",L483=5,"mediam",L483&lt;5,"low")</f>
        <v>High</v>
      </c>
      <c r="U483" s="1" t="str">
        <f t="shared" si="40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6"/>
        <v>1734.4499999999998</v>
      </c>
      <c r="Q484" s="10">
        <f t="shared" si="37"/>
        <v>0</v>
      </c>
      <c r="R484" s="11">
        <f t="shared" si="38"/>
        <v>1734.4499999999998</v>
      </c>
      <c r="S484" s="1" t="str">
        <f t="shared" si="39"/>
        <v>Low</v>
      </c>
      <c r="T484" s="1" t="str" cm="1">
        <f t="array" ref="T484">_xlfn.IFS(L484&gt;5,"High",L484=5,"mediam",L484&lt;5,"low")</f>
        <v>low</v>
      </c>
      <c r="U484" s="1" t="b">
        <f t="shared" si="40"/>
        <v>0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6"/>
        <v>27939.599999999999</v>
      </c>
      <c r="Q485" s="10">
        <f t="shared" si="37"/>
        <v>1327.1310000000001</v>
      </c>
      <c r="R485" s="11">
        <f t="shared" si="38"/>
        <v>26612.468999999997</v>
      </c>
      <c r="S485" s="1" t="str">
        <f t="shared" si="39"/>
        <v>High</v>
      </c>
      <c r="T485" s="1" t="str" cm="1">
        <f t="array" ref="T485">_xlfn.IFS(L485&gt;5,"High",L485=5,"mediam",L485&lt;5,"low")</f>
        <v>High</v>
      </c>
      <c r="U485" s="1" t="str">
        <f t="shared" si="40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6"/>
        <v>2589.6799999999998</v>
      </c>
      <c r="Q486" s="10">
        <f t="shared" si="37"/>
        <v>330.18450000000001</v>
      </c>
      <c r="R486" s="11">
        <f t="shared" si="38"/>
        <v>2259.4955</v>
      </c>
      <c r="S486" s="1" t="str">
        <f t="shared" si="39"/>
        <v>Low</v>
      </c>
      <c r="T486" s="1" t="str" cm="1">
        <f t="array" ref="T486">_xlfn.IFS(L486&gt;5,"High",L486=5,"mediam",L486&lt;5,"low")</f>
        <v>low</v>
      </c>
      <c r="U486" s="1" t="b">
        <f t="shared" si="40"/>
        <v>0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6"/>
        <v>6981.93</v>
      </c>
      <c r="Q487" s="10">
        <f t="shared" si="37"/>
        <v>0</v>
      </c>
      <c r="R487" s="11">
        <f t="shared" si="38"/>
        <v>6981.93</v>
      </c>
      <c r="S487" s="1" t="str">
        <f t="shared" si="39"/>
        <v>High</v>
      </c>
      <c r="T487" s="1" t="str" cm="1">
        <f t="array" ref="T487">_xlfn.IFS(L487&gt;5,"High",L487=5,"mediam",L487&lt;5,"low")</f>
        <v>High</v>
      </c>
      <c r="U487" s="1" t="str">
        <f t="shared" si="40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6"/>
        <v>11004.56</v>
      </c>
      <c r="Q488" s="10">
        <f t="shared" si="37"/>
        <v>1760.73</v>
      </c>
      <c r="R488" s="11">
        <f t="shared" si="38"/>
        <v>9243.83</v>
      </c>
      <c r="S488" s="1" t="str">
        <f t="shared" si="39"/>
        <v>Low</v>
      </c>
      <c r="T488" s="1" t="str" cm="1">
        <f t="array" ref="T488">_xlfn.IFS(L488&gt;5,"High",L488=5,"mediam",L488&lt;5,"low")</f>
        <v>low</v>
      </c>
      <c r="U488" s="1" t="b">
        <f t="shared" si="40"/>
        <v>0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6"/>
        <v>296.63</v>
      </c>
      <c r="Q489" s="10">
        <f t="shared" si="37"/>
        <v>14.090000000000002</v>
      </c>
      <c r="R489" s="11">
        <f t="shared" si="38"/>
        <v>282.54000000000002</v>
      </c>
      <c r="S489" s="1" t="str">
        <f t="shared" si="39"/>
        <v>Low</v>
      </c>
      <c r="T489" s="1" t="str" cm="1">
        <f t="array" ref="T489">_xlfn.IFS(L489&gt;5,"High",L489=5,"mediam",L489&lt;5,"low")</f>
        <v>low</v>
      </c>
      <c r="U489" s="1" t="b">
        <f t="shared" si="40"/>
        <v>0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6"/>
        <v>20295.04</v>
      </c>
      <c r="Q490" s="10">
        <f t="shared" si="37"/>
        <v>964.01450000000011</v>
      </c>
      <c r="R490" s="11">
        <f t="shared" si="38"/>
        <v>19331.0255</v>
      </c>
      <c r="S490" s="1" t="str">
        <f t="shared" si="39"/>
        <v>High</v>
      </c>
      <c r="T490" s="1" t="str" cm="1">
        <f t="array" ref="T490">_xlfn.IFS(L490&gt;5,"High",L490=5,"mediam",L490&lt;5,"low")</f>
        <v>High</v>
      </c>
      <c r="U490" s="1" t="str">
        <f t="shared" si="40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6"/>
        <v>19866.419999999998</v>
      </c>
      <c r="Q491" s="10">
        <f t="shared" si="37"/>
        <v>3178.6280000000002</v>
      </c>
      <c r="R491" s="11">
        <f t="shared" si="38"/>
        <v>16687.791999999998</v>
      </c>
      <c r="S491" s="1" t="str">
        <f t="shared" si="39"/>
        <v>High</v>
      </c>
      <c r="T491" s="1" t="str" cm="1">
        <f t="array" ref="T491">_xlfn.IFS(L491&gt;5,"High",L491=5,"mediam",L491&lt;5,"low")</f>
        <v>High</v>
      </c>
      <c r="U491" s="1" t="str">
        <f t="shared" si="40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6"/>
        <v>4887.1499999999996</v>
      </c>
      <c r="Q492" s="10">
        <f t="shared" si="37"/>
        <v>781.94399999999996</v>
      </c>
      <c r="R492" s="11">
        <f t="shared" si="38"/>
        <v>4105.2060000000001</v>
      </c>
      <c r="S492" s="1" t="str">
        <f t="shared" si="39"/>
        <v>High</v>
      </c>
      <c r="T492" s="1" t="str" cm="1">
        <f t="array" ref="T492">_xlfn.IFS(L492&gt;5,"High",L492=5,"mediam",L492&lt;5,"low")</f>
        <v>mediam</v>
      </c>
      <c r="U492" s="1" t="b">
        <f t="shared" si="40"/>
        <v>0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6"/>
        <v>1557.8</v>
      </c>
      <c r="Q493" s="10">
        <f t="shared" si="37"/>
        <v>0</v>
      </c>
      <c r="R493" s="11">
        <f t="shared" si="38"/>
        <v>1557.8</v>
      </c>
      <c r="S493" s="1" t="str">
        <f t="shared" si="39"/>
        <v>High</v>
      </c>
      <c r="T493" s="1" t="str" cm="1">
        <f t="array" ref="T493">_xlfn.IFS(L493&gt;5,"High",L493=5,"mediam",L493&lt;5,"low")</f>
        <v>mediam</v>
      </c>
      <c r="U493" s="1" t="b">
        <f t="shared" si="40"/>
        <v>0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6"/>
        <v>10850.21</v>
      </c>
      <c r="Q494" s="10">
        <f t="shared" si="37"/>
        <v>976.51900000000012</v>
      </c>
      <c r="R494" s="11">
        <f t="shared" si="38"/>
        <v>9873.6909999999989</v>
      </c>
      <c r="S494" s="1" t="str">
        <f t="shared" si="39"/>
        <v>High</v>
      </c>
      <c r="T494" s="1" t="str" cm="1">
        <f t="array" ref="T494">_xlfn.IFS(L494&gt;5,"High",L494=5,"mediam",L494&lt;5,"low")</f>
        <v>High</v>
      </c>
      <c r="U494" s="1" t="str">
        <f t="shared" si="40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6"/>
        <v>2647.9500000000003</v>
      </c>
      <c r="Q495" s="10">
        <f t="shared" si="37"/>
        <v>125.77750000000002</v>
      </c>
      <c r="R495" s="11">
        <f t="shared" si="38"/>
        <v>2522.1725000000001</v>
      </c>
      <c r="S495" s="1" t="str">
        <f t="shared" si="39"/>
        <v>High</v>
      </c>
      <c r="T495" s="1" t="str" cm="1">
        <f t="array" ref="T495">_xlfn.IFS(L495&gt;5,"High",L495=5,"mediam",L495&lt;5,"low")</f>
        <v>mediam</v>
      </c>
      <c r="U495" s="1" t="b">
        <f t="shared" si="40"/>
        <v>0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6"/>
        <v>4787.5200000000004</v>
      </c>
      <c r="Q496" s="10">
        <f t="shared" si="37"/>
        <v>0</v>
      </c>
      <c r="R496" s="11">
        <f t="shared" si="38"/>
        <v>4787.5200000000004</v>
      </c>
      <c r="S496" s="1" t="str">
        <f t="shared" si="39"/>
        <v>High</v>
      </c>
      <c r="T496" s="1" t="str" cm="1">
        <f t="array" ref="T496">_xlfn.IFS(L496&gt;5,"High",L496=5,"mediam",L496&lt;5,"low")</f>
        <v>High</v>
      </c>
      <c r="U496" s="1" t="str">
        <f t="shared" si="40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6"/>
        <v>6773.4600000000009</v>
      </c>
      <c r="Q497" s="10">
        <f t="shared" si="37"/>
        <v>1083.7540000000001</v>
      </c>
      <c r="R497" s="11">
        <f t="shared" si="38"/>
        <v>5689.706000000001</v>
      </c>
      <c r="S497" s="1" t="str">
        <f t="shared" si="39"/>
        <v>High</v>
      </c>
      <c r="T497" s="1" t="str" cm="1">
        <f t="array" ref="T497">_xlfn.IFS(L497&gt;5,"High",L497=5,"mediam",L497&lt;5,"low")</f>
        <v>High</v>
      </c>
      <c r="U497" s="1" t="str">
        <f t="shared" si="40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6"/>
        <v>6437.75</v>
      </c>
      <c r="Q498" s="10">
        <f t="shared" si="37"/>
        <v>0</v>
      </c>
      <c r="R498" s="11">
        <f t="shared" si="38"/>
        <v>6437.75</v>
      </c>
      <c r="S498" s="1" t="str">
        <f t="shared" si="39"/>
        <v>High</v>
      </c>
      <c r="T498" s="1" t="str" cm="1">
        <f t="array" ref="T498">_xlfn.IFS(L498&gt;5,"High",L498=5,"mediam",L498&lt;5,"low")</f>
        <v>mediam</v>
      </c>
      <c r="U498" s="1" t="b">
        <f t="shared" si="40"/>
        <v>0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6"/>
        <v>19713.509999999998</v>
      </c>
      <c r="Q499" s="10">
        <f t="shared" si="37"/>
        <v>3154.1620000000003</v>
      </c>
      <c r="R499" s="11">
        <f t="shared" si="38"/>
        <v>16559.347999999998</v>
      </c>
      <c r="S499" s="1" t="str">
        <f t="shared" si="39"/>
        <v>High</v>
      </c>
      <c r="T499" s="1" t="str" cm="1">
        <f t="array" ref="T499">_xlfn.IFS(L499&gt;5,"High",L499=5,"mediam",L499&lt;5,"low")</f>
        <v>High</v>
      </c>
      <c r="U499" s="1" t="str">
        <f t="shared" si="40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6"/>
        <v>5523.62</v>
      </c>
      <c r="Q500" s="10">
        <f t="shared" si="37"/>
        <v>704.26199999999994</v>
      </c>
      <c r="R500" s="11">
        <f t="shared" si="38"/>
        <v>4819.3580000000002</v>
      </c>
      <c r="S500" s="1" t="str">
        <f t="shared" si="39"/>
        <v>Low</v>
      </c>
      <c r="T500" s="1" t="str" cm="1">
        <f t="array" ref="T500">_xlfn.IFS(L500&gt;5,"High",L500=5,"mediam",L500&lt;5,"low")</f>
        <v>low</v>
      </c>
      <c r="U500" s="1" t="b">
        <f t="shared" si="40"/>
        <v>0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0">
        <f t="shared" si="37"/>
        <v>389.14800000000002</v>
      </c>
      <c r="R501" s="11">
        <f t="shared" si="38"/>
        <v>2043.0219999999999</v>
      </c>
      <c r="S501" s="1" t="str">
        <f t="shared" si="39"/>
        <v>Low</v>
      </c>
      <c r="T501" s="1" t="str" cm="1">
        <f t="array" ref="T501">_xlfn.IFS(L501&gt;5,"High",L501=5,"mediam",L501&lt;5,"low")</f>
        <v>low</v>
      </c>
      <c r="U501" s="1" t="b">
        <f t="shared" si="4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FFEE-E377-4A00-A893-4DF81C901C87}">
  <dimension ref="A1:U21"/>
  <sheetViews>
    <sheetView topLeftCell="K1" zoomScale="77" workbookViewId="0"/>
  </sheetViews>
  <sheetFormatPr defaultRowHeight="14.4" x14ac:dyDescent="0.3"/>
  <sheetData>
    <row r="1" spans="1:2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70</v>
      </c>
      <c r="Q1" s="8" t="s">
        <v>72</v>
      </c>
      <c r="R1" s="8" t="s">
        <v>71</v>
      </c>
      <c r="S1" s="12" t="s">
        <v>73</v>
      </c>
      <c r="T1" s="12" t="s">
        <v>74</v>
      </c>
      <c r="U1" s="12" t="s">
        <v>75</v>
      </c>
    </row>
    <row r="2" spans="1:21" x14ac:dyDescent="0.3">
      <c r="A2" s="5">
        <v>10040</v>
      </c>
      <c r="B2" s="1">
        <v>1474</v>
      </c>
      <c r="C2" s="2">
        <v>45274</v>
      </c>
      <c r="D2" s="2">
        <v>45277</v>
      </c>
      <c r="E2" s="1" t="s">
        <v>15</v>
      </c>
      <c r="F2" s="1" t="s">
        <v>16</v>
      </c>
      <c r="G2" s="1" t="s">
        <v>30</v>
      </c>
      <c r="H2" s="1" t="s">
        <v>35</v>
      </c>
      <c r="I2" s="1" t="s">
        <v>26</v>
      </c>
      <c r="J2" s="1" t="s">
        <v>27</v>
      </c>
      <c r="K2" s="1" t="s">
        <v>28</v>
      </c>
      <c r="L2" s="1">
        <v>6</v>
      </c>
      <c r="M2" s="1">
        <v>3083.25</v>
      </c>
      <c r="N2" s="1">
        <v>10</v>
      </c>
      <c r="O2" s="1">
        <v>16649.55</v>
      </c>
      <c r="P2" s="1">
        <v>18499.5</v>
      </c>
      <c r="Q2" s="10">
        <v>1664.9549999999999</v>
      </c>
      <c r="R2" s="11">
        <v>16834.544999999998</v>
      </c>
      <c r="S2" s="1" t="s">
        <v>159</v>
      </c>
      <c r="T2" s="1" t="s">
        <v>159</v>
      </c>
      <c r="U2" s="1" t="s">
        <v>159</v>
      </c>
    </row>
    <row r="3" spans="1:21" x14ac:dyDescent="0.3">
      <c r="A3" s="5">
        <v>10042</v>
      </c>
      <c r="B3" s="1">
        <v>1510</v>
      </c>
      <c r="C3" s="2">
        <v>45195</v>
      </c>
      <c r="D3" s="2">
        <v>45204</v>
      </c>
      <c r="E3" s="1" t="s">
        <v>15</v>
      </c>
      <c r="F3" s="1" t="s">
        <v>54</v>
      </c>
      <c r="G3" s="1" t="s">
        <v>24</v>
      </c>
      <c r="H3" s="1" t="s">
        <v>35</v>
      </c>
      <c r="I3" s="1" t="s">
        <v>26</v>
      </c>
      <c r="J3" s="1" t="s">
        <v>27</v>
      </c>
      <c r="K3" s="1" t="s">
        <v>33</v>
      </c>
      <c r="L3" s="1">
        <v>4</v>
      </c>
      <c r="M3" s="1">
        <v>1211.67</v>
      </c>
      <c r="N3" s="1">
        <v>20</v>
      </c>
      <c r="O3" s="1">
        <v>3877.34</v>
      </c>
      <c r="P3" s="1">
        <v>4846.68</v>
      </c>
      <c r="Q3" s="10">
        <v>775.46800000000007</v>
      </c>
      <c r="R3" s="11">
        <v>4071.2120000000004</v>
      </c>
      <c r="S3" s="1" t="s">
        <v>161</v>
      </c>
      <c r="T3" s="1" t="s">
        <v>162</v>
      </c>
      <c r="U3" s="1" t="b">
        <v>0</v>
      </c>
    </row>
    <row r="4" spans="1:21" x14ac:dyDescent="0.3">
      <c r="A4" s="5">
        <v>10066</v>
      </c>
      <c r="B4" s="1">
        <v>1387</v>
      </c>
      <c r="C4" s="2">
        <v>45155</v>
      </c>
      <c r="D4" s="2">
        <v>45158</v>
      </c>
      <c r="E4" s="1" t="s">
        <v>15</v>
      </c>
      <c r="F4" s="1" t="s">
        <v>23</v>
      </c>
      <c r="G4" s="1" t="s">
        <v>17</v>
      </c>
      <c r="H4" s="1" t="s">
        <v>35</v>
      </c>
      <c r="I4" s="1" t="s">
        <v>57</v>
      </c>
      <c r="J4" s="1" t="s">
        <v>67</v>
      </c>
      <c r="K4" s="1" t="s">
        <v>45</v>
      </c>
      <c r="L4" s="1">
        <v>8</v>
      </c>
      <c r="M4" s="1">
        <v>3769.71</v>
      </c>
      <c r="N4" s="1">
        <v>5</v>
      </c>
      <c r="O4" s="1">
        <v>28649.8</v>
      </c>
      <c r="P4" s="1">
        <v>30157.68</v>
      </c>
      <c r="Q4" s="10">
        <v>1432.49</v>
      </c>
      <c r="R4" s="11">
        <v>28725.19</v>
      </c>
      <c r="S4" s="1" t="s">
        <v>159</v>
      </c>
      <c r="T4" s="1" t="s">
        <v>159</v>
      </c>
      <c r="U4" s="1" t="s">
        <v>159</v>
      </c>
    </row>
    <row r="5" spans="1:21" x14ac:dyDescent="0.3">
      <c r="A5" s="5">
        <v>10111</v>
      </c>
      <c r="B5" s="1">
        <v>1461</v>
      </c>
      <c r="C5" s="2">
        <v>44950</v>
      </c>
      <c r="D5" s="2">
        <v>44959</v>
      </c>
      <c r="E5" s="1" t="s">
        <v>15</v>
      </c>
      <c r="F5" s="1" t="s">
        <v>54</v>
      </c>
      <c r="G5" s="1" t="s">
        <v>30</v>
      </c>
      <c r="H5" s="1" t="s">
        <v>35</v>
      </c>
      <c r="I5" s="1" t="s">
        <v>49</v>
      </c>
      <c r="J5" s="1" t="s">
        <v>68</v>
      </c>
      <c r="K5" s="1" t="s">
        <v>33</v>
      </c>
      <c r="L5" s="1">
        <v>1</v>
      </c>
      <c r="M5" s="1">
        <v>1820.02</v>
      </c>
      <c r="N5" s="1">
        <v>10</v>
      </c>
      <c r="O5" s="1">
        <v>1638.02</v>
      </c>
      <c r="P5" s="1">
        <v>1820.02</v>
      </c>
      <c r="Q5" s="10">
        <v>163.80200000000002</v>
      </c>
      <c r="R5" s="11">
        <v>1656.2179999999998</v>
      </c>
      <c r="S5" s="1" t="s">
        <v>161</v>
      </c>
      <c r="T5" s="1" t="s">
        <v>162</v>
      </c>
      <c r="U5" s="1" t="b">
        <v>0</v>
      </c>
    </row>
    <row r="6" spans="1:21" x14ac:dyDescent="0.3">
      <c r="A6" s="5">
        <v>10180</v>
      </c>
      <c r="B6" s="1">
        <v>1004</v>
      </c>
      <c r="C6" s="2">
        <v>45004</v>
      </c>
      <c r="D6" s="2">
        <v>45006</v>
      </c>
      <c r="E6" s="1" t="s">
        <v>15</v>
      </c>
      <c r="F6" s="1" t="s">
        <v>29</v>
      </c>
      <c r="G6" s="1" t="s">
        <v>17</v>
      </c>
      <c r="H6" s="1" t="s">
        <v>35</v>
      </c>
      <c r="I6" s="1" t="s">
        <v>19</v>
      </c>
      <c r="J6" s="1" t="s">
        <v>43</v>
      </c>
      <c r="K6" s="1" t="s">
        <v>45</v>
      </c>
      <c r="L6" s="1">
        <v>8</v>
      </c>
      <c r="M6" s="1">
        <v>2211.17</v>
      </c>
      <c r="N6" s="1">
        <v>10</v>
      </c>
      <c r="O6" s="1">
        <v>15920.42</v>
      </c>
      <c r="P6" s="1">
        <v>17689.36</v>
      </c>
      <c r="Q6" s="10">
        <v>1592.0420000000001</v>
      </c>
      <c r="R6" s="11">
        <v>16097.318000000001</v>
      </c>
      <c r="S6" s="1" t="s">
        <v>159</v>
      </c>
      <c r="T6" s="1" t="s">
        <v>159</v>
      </c>
      <c r="U6" s="1" t="s">
        <v>159</v>
      </c>
    </row>
    <row r="7" spans="1:21" x14ac:dyDescent="0.3">
      <c r="A7" s="5">
        <v>10192</v>
      </c>
      <c r="B7" s="1">
        <v>1891</v>
      </c>
      <c r="C7" s="2">
        <v>45039</v>
      </c>
      <c r="D7" s="2">
        <v>45042</v>
      </c>
      <c r="E7" s="1" t="s">
        <v>15</v>
      </c>
      <c r="F7" s="1" t="s">
        <v>29</v>
      </c>
      <c r="G7" s="1" t="s">
        <v>30</v>
      </c>
      <c r="H7" s="1" t="s">
        <v>35</v>
      </c>
      <c r="I7" s="1" t="s">
        <v>52</v>
      </c>
      <c r="J7" s="1" t="s">
        <v>60</v>
      </c>
      <c r="K7" s="1" t="s">
        <v>21</v>
      </c>
      <c r="L7" s="1">
        <v>2</v>
      </c>
      <c r="M7" s="1">
        <v>487.23</v>
      </c>
      <c r="N7" s="1">
        <v>15</v>
      </c>
      <c r="O7" s="1">
        <v>828.29</v>
      </c>
      <c r="P7" s="1">
        <v>974.46</v>
      </c>
      <c r="Q7" s="10">
        <v>124.24349999999998</v>
      </c>
      <c r="R7" s="11">
        <v>850.2165</v>
      </c>
      <c r="S7" s="1" t="s">
        <v>161</v>
      </c>
      <c r="T7" s="1" t="s">
        <v>162</v>
      </c>
      <c r="U7" s="1" t="b">
        <v>0</v>
      </c>
    </row>
    <row r="8" spans="1:21" x14ac:dyDescent="0.3">
      <c r="A8" s="5">
        <v>10228</v>
      </c>
      <c r="B8" s="1">
        <v>1339</v>
      </c>
      <c r="C8" s="2">
        <v>44983</v>
      </c>
      <c r="D8" s="2">
        <v>44990</v>
      </c>
      <c r="E8" s="1" t="s">
        <v>15</v>
      </c>
      <c r="F8" s="1" t="s">
        <v>54</v>
      </c>
      <c r="G8" s="1" t="s">
        <v>17</v>
      </c>
      <c r="H8" s="1" t="s">
        <v>35</v>
      </c>
      <c r="I8" s="1" t="s">
        <v>57</v>
      </c>
      <c r="J8" s="1" t="s">
        <v>62</v>
      </c>
      <c r="K8" s="1" t="s">
        <v>21</v>
      </c>
      <c r="L8" s="1">
        <v>8</v>
      </c>
      <c r="M8" s="1">
        <v>2645.2</v>
      </c>
      <c r="N8" s="1">
        <v>20</v>
      </c>
      <c r="O8" s="1">
        <v>16929.28</v>
      </c>
      <c r="P8" s="1">
        <v>21161.599999999999</v>
      </c>
      <c r="Q8" s="10">
        <v>3385.8559999999998</v>
      </c>
      <c r="R8" s="11">
        <v>17775.743999999999</v>
      </c>
      <c r="S8" s="1" t="s">
        <v>159</v>
      </c>
      <c r="T8" s="1" t="s">
        <v>159</v>
      </c>
      <c r="U8" s="1" t="s">
        <v>159</v>
      </c>
    </row>
    <row r="9" spans="1:21" x14ac:dyDescent="0.3">
      <c r="A9" s="5">
        <v>10247</v>
      </c>
      <c r="B9" s="1">
        <v>1258</v>
      </c>
      <c r="C9" s="2">
        <v>44996</v>
      </c>
      <c r="D9" s="2">
        <v>44998</v>
      </c>
      <c r="E9" s="1" t="s">
        <v>15</v>
      </c>
      <c r="F9" s="1" t="s">
        <v>54</v>
      </c>
      <c r="G9" s="1" t="s">
        <v>30</v>
      </c>
      <c r="H9" s="1" t="s">
        <v>35</v>
      </c>
      <c r="I9" s="1" t="s">
        <v>52</v>
      </c>
      <c r="J9" s="1" t="s">
        <v>64</v>
      </c>
      <c r="K9" s="1" t="s">
        <v>47</v>
      </c>
      <c r="L9" s="1">
        <v>7</v>
      </c>
      <c r="M9" s="1">
        <v>2102.27</v>
      </c>
      <c r="N9" s="1">
        <v>20</v>
      </c>
      <c r="O9" s="1">
        <v>11772.71</v>
      </c>
      <c r="P9" s="1">
        <v>14715.89</v>
      </c>
      <c r="Q9" s="10">
        <v>2354.5419999999999</v>
      </c>
      <c r="R9" s="11">
        <v>12361.348</v>
      </c>
      <c r="S9" s="1" t="s">
        <v>159</v>
      </c>
      <c r="T9" s="1" t="s">
        <v>159</v>
      </c>
      <c r="U9" s="1" t="s">
        <v>159</v>
      </c>
    </row>
    <row r="10" spans="1:21" x14ac:dyDescent="0.3">
      <c r="A10" s="5">
        <v>10269</v>
      </c>
      <c r="B10" s="1">
        <v>1829</v>
      </c>
      <c r="C10" s="2">
        <v>45125</v>
      </c>
      <c r="D10" s="2">
        <v>45132</v>
      </c>
      <c r="E10" s="1" t="s">
        <v>15</v>
      </c>
      <c r="F10" s="1" t="s">
        <v>41</v>
      </c>
      <c r="G10" s="1" t="s">
        <v>24</v>
      </c>
      <c r="H10" s="1" t="s">
        <v>35</v>
      </c>
      <c r="I10" s="1" t="s">
        <v>49</v>
      </c>
      <c r="J10" s="1" t="s">
        <v>51</v>
      </c>
      <c r="K10" s="1" t="s">
        <v>47</v>
      </c>
      <c r="L10" s="1">
        <v>5</v>
      </c>
      <c r="M10" s="1">
        <v>3156.54</v>
      </c>
      <c r="N10" s="1">
        <v>20</v>
      </c>
      <c r="O10" s="1">
        <v>12626.16</v>
      </c>
      <c r="P10" s="1">
        <v>15782.7</v>
      </c>
      <c r="Q10" s="10">
        <v>2525.232</v>
      </c>
      <c r="R10" s="11">
        <v>13257.468000000001</v>
      </c>
      <c r="S10" s="1" t="s">
        <v>159</v>
      </c>
      <c r="T10" s="1" t="s">
        <v>160</v>
      </c>
      <c r="U10" s="1" t="b">
        <v>0</v>
      </c>
    </row>
    <row r="11" spans="1:21" x14ac:dyDescent="0.3">
      <c r="A11" s="5">
        <v>10318</v>
      </c>
      <c r="B11" s="1">
        <v>1906</v>
      </c>
      <c r="C11" s="2">
        <v>45093</v>
      </c>
      <c r="D11" s="2">
        <v>45097</v>
      </c>
      <c r="E11" s="1" t="s">
        <v>15</v>
      </c>
      <c r="F11" s="1" t="s">
        <v>23</v>
      </c>
      <c r="G11" s="1" t="s">
        <v>30</v>
      </c>
      <c r="H11" s="1" t="s">
        <v>35</v>
      </c>
      <c r="I11" s="1" t="s">
        <v>49</v>
      </c>
      <c r="J11" s="1" t="s">
        <v>68</v>
      </c>
      <c r="K11" s="1" t="s">
        <v>21</v>
      </c>
      <c r="L11" s="1">
        <v>7</v>
      </c>
      <c r="M11" s="1">
        <v>245.03</v>
      </c>
      <c r="N11" s="1">
        <v>0</v>
      </c>
      <c r="O11" s="1">
        <v>1715.21</v>
      </c>
      <c r="P11" s="1">
        <v>1715.21</v>
      </c>
      <c r="Q11" s="10">
        <v>0</v>
      </c>
      <c r="R11" s="11">
        <v>1715.21</v>
      </c>
      <c r="S11" s="1" t="s">
        <v>159</v>
      </c>
      <c r="T11" s="1" t="s">
        <v>159</v>
      </c>
      <c r="U11" s="1" t="s">
        <v>159</v>
      </c>
    </row>
    <row r="12" spans="1:21" x14ac:dyDescent="0.3">
      <c r="A12" s="5">
        <v>10320</v>
      </c>
      <c r="B12" s="1">
        <v>1751</v>
      </c>
      <c r="C12" s="2">
        <v>45002</v>
      </c>
      <c r="D12" s="2">
        <v>45005</v>
      </c>
      <c r="E12" s="1" t="s">
        <v>15</v>
      </c>
      <c r="F12" s="1" t="s">
        <v>16</v>
      </c>
      <c r="G12" s="1" t="s">
        <v>17</v>
      </c>
      <c r="H12" s="1" t="s">
        <v>35</v>
      </c>
      <c r="I12" s="1" t="s">
        <v>26</v>
      </c>
      <c r="J12" s="1" t="s">
        <v>36</v>
      </c>
      <c r="K12" s="1" t="s">
        <v>28</v>
      </c>
      <c r="L12" s="1">
        <v>8</v>
      </c>
      <c r="M12" s="1">
        <v>2254.7800000000002</v>
      </c>
      <c r="N12" s="1">
        <v>0</v>
      </c>
      <c r="O12" s="1">
        <v>18038.240000000002</v>
      </c>
      <c r="P12" s="1">
        <v>18038.240000000002</v>
      </c>
      <c r="Q12" s="10">
        <v>0</v>
      </c>
      <c r="R12" s="11">
        <v>18038.240000000002</v>
      </c>
      <c r="S12" s="1" t="s">
        <v>159</v>
      </c>
      <c r="T12" s="1" t="s">
        <v>159</v>
      </c>
      <c r="U12" s="1" t="s">
        <v>159</v>
      </c>
    </row>
    <row r="13" spans="1:21" x14ac:dyDescent="0.3">
      <c r="A13" s="5">
        <v>10322</v>
      </c>
      <c r="B13" s="1">
        <v>1608</v>
      </c>
      <c r="C13" s="2">
        <v>45220</v>
      </c>
      <c r="D13" s="2">
        <v>45222</v>
      </c>
      <c r="E13" s="1" t="s">
        <v>15</v>
      </c>
      <c r="F13" s="1" t="s">
        <v>54</v>
      </c>
      <c r="G13" s="1" t="s">
        <v>30</v>
      </c>
      <c r="H13" s="1" t="s">
        <v>35</v>
      </c>
      <c r="I13" s="1" t="s">
        <v>26</v>
      </c>
      <c r="J13" s="1" t="s">
        <v>61</v>
      </c>
      <c r="K13" s="1" t="s">
        <v>28</v>
      </c>
      <c r="L13" s="1">
        <v>5</v>
      </c>
      <c r="M13" s="1">
        <v>640.82000000000005</v>
      </c>
      <c r="N13" s="1">
        <v>0</v>
      </c>
      <c r="O13" s="1">
        <v>3204.1</v>
      </c>
      <c r="P13" s="1">
        <v>3204.1000000000004</v>
      </c>
      <c r="Q13" s="10">
        <v>0</v>
      </c>
      <c r="R13" s="11">
        <v>3204.1000000000004</v>
      </c>
      <c r="S13" s="1" t="s">
        <v>159</v>
      </c>
      <c r="T13" s="1" t="s">
        <v>160</v>
      </c>
      <c r="U13" s="1" t="b">
        <v>0</v>
      </c>
    </row>
    <row r="14" spans="1:21" x14ac:dyDescent="0.3">
      <c r="A14" s="5">
        <v>10342</v>
      </c>
      <c r="B14" s="1">
        <v>1819</v>
      </c>
      <c r="C14" s="2">
        <v>45018</v>
      </c>
      <c r="D14" s="2">
        <v>45019</v>
      </c>
      <c r="E14" s="1" t="s">
        <v>15</v>
      </c>
      <c r="F14" s="1" t="s">
        <v>54</v>
      </c>
      <c r="G14" s="1" t="s">
        <v>17</v>
      </c>
      <c r="H14" s="1" t="s">
        <v>35</v>
      </c>
      <c r="I14" s="1" t="s">
        <v>26</v>
      </c>
      <c r="J14" s="1" t="s">
        <v>27</v>
      </c>
      <c r="K14" s="1" t="s">
        <v>47</v>
      </c>
      <c r="L14" s="1">
        <v>5</v>
      </c>
      <c r="M14" s="1">
        <v>1853.11</v>
      </c>
      <c r="N14" s="1">
        <v>10</v>
      </c>
      <c r="O14" s="1">
        <v>8338.99</v>
      </c>
      <c r="P14" s="1">
        <v>9265.5499999999993</v>
      </c>
      <c r="Q14" s="10">
        <v>833.899</v>
      </c>
      <c r="R14" s="11">
        <v>8431.6509999999998</v>
      </c>
      <c r="S14" s="1" t="s">
        <v>159</v>
      </c>
      <c r="T14" s="1" t="s">
        <v>160</v>
      </c>
      <c r="U14" s="1" t="b">
        <v>0</v>
      </c>
    </row>
    <row r="15" spans="1:21" x14ac:dyDescent="0.3">
      <c r="A15" s="5">
        <v>10358</v>
      </c>
      <c r="B15" s="1">
        <v>1989</v>
      </c>
      <c r="C15" s="2">
        <v>45015</v>
      </c>
      <c r="D15" s="2">
        <v>45019</v>
      </c>
      <c r="E15" s="1" t="s">
        <v>15</v>
      </c>
      <c r="F15" s="1" t="s">
        <v>29</v>
      </c>
      <c r="G15" s="1" t="s">
        <v>30</v>
      </c>
      <c r="H15" s="1" t="s">
        <v>35</v>
      </c>
      <c r="I15" s="1" t="s">
        <v>57</v>
      </c>
      <c r="J15" s="1" t="s">
        <v>58</v>
      </c>
      <c r="K15" s="1" t="s">
        <v>33</v>
      </c>
      <c r="L15" s="1">
        <v>8</v>
      </c>
      <c r="M15" s="1">
        <v>3581.12</v>
      </c>
      <c r="N15" s="1">
        <v>15</v>
      </c>
      <c r="O15" s="1">
        <v>24351.62</v>
      </c>
      <c r="P15" s="1">
        <v>28648.959999999999</v>
      </c>
      <c r="Q15" s="10">
        <v>3652.7429999999999</v>
      </c>
      <c r="R15" s="11">
        <v>24996.217000000001</v>
      </c>
      <c r="S15" s="1" t="s">
        <v>159</v>
      </c>
      <c r="T15" s="1" t="s">
        <v>159</v>
      </c>
      <c r="U15" s="1" t="s">
        <v>159</v>
      </c>
    </row>
    <row r="16" spans="1:21" x14ac:dyDescent="0.3">
      <c r="A16" s="5">
        <v>10379</v>
      </c>
      <c r="B16" s="1">
        <v>1658</v>
      </c>
      <c r="C16" s="2">
        <v>45262</v>
      </c>
      <c r="D16" s="2">
        <v>45270</v>
      </c>
      <c r="E16" s="1" t="s">
        <v>15</v>
      </c>
      <c r="F16" s="1" t="s">
        <v>16</v>
      </c>
      <c r="G16" s="1" t="s">
        <v>24</v>
      </c>
      <c r="H16" s="1" t="s">
        <v>35</v>
      </c>
      <c r="I16" s="1" t="s">
        <v>26</v>
      </c>
      <c r="J16" s="1" t="s">
        <v>69</v>
      </c>
      <c r="K16" s="1" t="s">
        <v>45</v>
      </c>
      <c r="L16" s="1">
        <v>1</v>
      </c>
      <c r="M16" s="1">
        <v>3910.66</v>
      </c>
      <c r="N16" s="1">
        <v>5</v>
      </c>
      <c r="O16" s="1">
        <v>3715.13</v>
      </c>
      <c r="P16" s="1">
        <v>3910.66</v>
      </c>
      <c r="Q16" s="10">
        <v>185.75650000000002</v>
      </c>
      <c r="R16" s="11">
        <v>3724.9034999999999</v>
      </c>
      <c r="S16" s="1" t="s">
        <v>161</v>
      </c>
      <c r="T16" s="1" t="s">
        <v>162</v>
      </c>
      <c r="U16" s="1" t="b">
        <v>0</v>
      </c>
    </row>
    <row r="17" spans="1:21" x14ac:dyDescent="0.3">
      <c r="A17" s="5">
        <v>10389</v>
      </c>
      <c r="B17" s="1">
        <v>1627</v>
      </c>
      <c r="C17" s="2">
        <v>45027</v>
      </c>
      <c r="D17" s="2">
        <v>45030</v>
      </c>
      <c r="E17" s="1" t="s">
        <v>15</v>
      </c>
      <c r="F17" s="1" t="s">
        <v>38</v>
      </c>
      <c r="G17" s="1" t="s">
        <v>17</v>
      </c>
      <c r="H17" s="1" t="s">
        <v>35</v>
      </c>
      <c r="I17" s="1" t="s">
        <v>26</v>
      </c>
      <c r="J17" s="1" t="s">
        <v>69</v>
      </c>
      <c r="K17" s="1" t="s">
        <v>21</v>
      </c>
      <c r="L17" s="1">
        <v>7</v>
      </c>
      <c r="M17" s="1">
        <v>3459.29</v>
      </c>
      <c r="N17" s="1">
        <v>0</v>
      </c>
      <c r="O17" s="1">
        <v>24215.03</v>
      </c>
      <c r="P17" s="1">
        <v>24215.03</v>
      </c>
      <c r="Q17" s="10">
        <v>0</v>
      </c>
      <c r="R17" s="11">
        <v>24215.03</v>
      </c>
      <c r="S17" s="1" t="s">
        <v>159</v>
      </c>
      <c r="T17" s="1" t="s">
        <v>159</v>
      </c>
      <c r="U17" s="1" t="s">
        <v>159</v>
      </c>
    </row>
    <row r="18" spans="1:21" x14ac:dyDescent="0.3">
      <c r="A18" s="5">
        <v>10419</v>
      </c>
      <c r="B18" s="1">
        <v>1397</v>
      </c>
      <c r="C18" s="2">
        <v>45122</v>
      </c>
      <c r="D18" s="2">
        <v>45129</v>
      </c>
      <c r="E18" s="1" t="s">
        <v>15</v>
      </c>
      <c r="F18" s="1" t="s">
        <v>16</v>
      </c>
      <c r="G18" s="1" t="s">
        <v>24</v>
      </c>
      <c r="H18" s="1" t="s">
        <v>35</v>
      </c>
      <c r="I18" s="1" t="s">
        <v>26</v>
      </c>
      <c r="J18" s="1" t="s">
        <v>27</v>
      </c>
      <c r="K18" s="1" t="s">
        <v>47</v>
      </c>
      <c r="L18" s="1">
        <v>8</v>
      </c>
      <c r="M18" s="1">
        <v>1975.53</v>
      </c>
      <c r="N18" s="1">
        <v>5</v>
      </c>
      <c r="O18" s="1">
        <v>15014.03</v>
      </c>
      <c r="P18" s="1">
        <v>15804.24</v>
      </c>
      <c r="Q18" s="10">
        <v>750.70150000000012</v>
      </c>
      <c r="R18" s="11">
        <v>15053.538499999999</v>
      </c>
      <c r="S18" s="1" t="s">
        <v>159</v>
      </c>
      <c r="T18" s="1" t="s">
        <v>159</v>
      </c>
      <c r="U18" s="1" t="s">
        <v>159</v>
      </c>
    </row>
    <row r="19" spans="1:21" x14ac:dyDescent="0.3">
      <c r="A19" s="5">
        <v>10442</v>
      </c>
      <c r="B19" s="1">
        <v>1364</v>
      </c>
      <c r="C19" s="2">
        <v>45089</v>
      </c>
      <c r="D19" s="2">
        <v>45094</v>
      </c>
      <c r="E19" s="1" t="s">
        <v>15</v>
      </c>
      <c r="F19" s="1" t="s">
        <v>23</v>
      </c>
      <c r="G19" s="1" t="s">
        <v>24</v>
      </c>
      <c r="H19" s="1" t="s">
        <v>35</v>
      </c>
      <c r="I19" s="1" t="s">
        <v>57</v>
      </c>
      <c r="J19" s="1" t="s">
        <v>58</v>
      </c>
      <c r="K19" s="1" t="s">
        <v>45</v>
      </c>
      <c r="L19" s="1">
        <v>9</v>
      </c>
      <c r="M19" s="1">
        <v>2969.7</v>
      </c>
      <c r="N19" s="1">
        <v>10</v>
      </c>
      <c r="O19" s="1">
        <v>24054.57</v>
      </c>
      <c r="P19" s="1">
        <v>26727.3</v>
      </c>
      <c r="Q19" s="10">
        <v>2405.4569999999999</v>
      </c>
      <c r="R19" s="11">
        <v>24321.843000000001</v>
      </c>
      <c r="S19" s="1" t="s">
        <v>159</v>
      </c>
      <c r="T19" s="1" t="s">
        <v>159</v>
      </c>
      <c r="U19" s="1" t="s">
        <v>159</v>
      </c>
    </row>
    <row r="20" spans="1:21" x14ac:dyDescent="0.3">
      <c r="A20" s="5">
        <v>10472</v>
      </c>
      <c r="B20" s="1">
        <v>1517</v>
      </c>
      <c r="C20" s="2">
        <v>45269</v>
      </c>
      <c r="D20" s="2">
        <v>45278</v>
      </c>
      <c r="E20" s="1" t="s">
        <v>15</v>
      </c>
      <c r="F20" s="1" t="s">
        <v>54</v>
      </c>
      <c r="G20" s="1" t="s">
        <v>30</v>
      </c>
      <c r="H20" s="1" t="s">
        <v>35</v>
      </c>
      <c r="I20" s="1" t="s">
        <v>31</v>
      </c>
      <c r="J20" s="1" t="s">
        <v>48</v>
      </c>
      <c r="K20" s="1" t="s">
        <v>28</v>
      </c>
      <c r="L20" s="1">
        <v>5</v>
      </c>
      <c r="M20" s="1">
        <v>2523.25</v>
      </c>
      <c r="N20" s="1">
        <v>10</v>
      </c>
      <c r="O20" s="1">
        <v>11354.63</v>
      </c>
      <c r="P20" s="1">
        <v>12616.25</v>
      </c>
      <c r="Q20" s="10">
        <v>1135.463</v>
      </c>
      <c r="R20" s="11">
        <v>11480.787</v>
      </c>
      <c r="S20" s="1" t="s">
        <v>159</v>
      </c>
      <c r="T20" s="1" t="s">
        <v>160</v>
      </c>
      <c r="U20" s="1" t="b">
        <v>0</v>
      </c>
    </row>
    <row r="21" spans="1:21" x14ac:dyDescent="0.3">
      <c r="A21" s="5">
        <v>10490</v>
      </c>
      <c r="B21" s="1">
        <v>1927</v>
      </c>
      <c r="C21" s="2">
        <v>45259</v>
      </c>
      <c r="D21" s="2">
        <v>45261</v>
      </c>
      <c r="E21" s="1" t="s">
        <v>15</v>
      </c>
      <c r="F21" s="1" t="s">
        <v>29</v>
      </c>
      <c r="G21" s="1" t="s">
        <v>17</v>
      </c>
      <c r="H21" s="1" t="s">
        <v>35</v>
      </c>
      <c r="I21" s="1" t="s">
        <v>31</v>
      </c>
      <c r="J21" s="1" t="s">
        <v>32</v>
      </c>
      <c r="K21" s="1" t="s">
        <v>45</v>
      </c>
      <c r="L21" s="1">
        <v>7</v>
      </c>
      <c r="M21" s="1">
        <v>2838.06</v>
      </c>
      <c r="N21" s="1">
        <v>20</v>
      </c>
      <c r="O21" s="1">
        <v>15893.14</v>
      </c>
      <c r="P21" s="1">
        <v>19866.419999999998</v>
      </c>
      <c r="Q21" s="10">
        <v>3178.6280000000002</v>
      </c>
      <c r="R21" s="11">
        <v>16687.791999999998</v>
      </c>
      <c r="S21" s="1" t="s">
        <v>159</v>
      </c>
      <c r="T21" s="1" t="s">
        <v>159</v>
      </c>
      <c r="U21" s="1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14F4-A10F-4F88-ACE4-DD5EA0A9B206}">
  <dimension ref="A1:G9"/>
  <sheetViews>
    <sheetView tabSelected="1" zoomScale="97" workbookViewId="0">
      <selection activeCell="G3" sqref="G3"/>
    </sheetView>
  </sheetViews>
  <sheetFormatPr defaultRowHeight="14.4" x14ac:dyDescent="0.3"/>
  <cols>
    <col min="3" max="3" width="14" customWidth="1"/>
  </cols>
  <sheetData>
    <row r="1" spans="1:7" x14ac:dyDescent="0.3">
      <c r="A1" s="1" t="s">
        <v>163</v>
      </c>
      <c r="B1" s="1" t="s">
        <v>164</v>
      </c>
      <c r="C1" s="1" t="s">
        <v>165</v>
      </c>
      <c r="D1" s="1" t="s">
        <v>166</v>
      </c>
    </row>
    <row r="2" spans="1:7" x14ac:dyDescent="0.3">
      <c r="A2" s="1" t="s">
        <v>167</v>
      </c>
      <c r="B2" s="1" t="s">
        <v>168</v>
      </c>
      <c r="C2" s="1" t="s">
        <v>169</v>
      </c>
      <c r="D2" s="1">
        <v>120</v>
      </c>
      <c r="G2" s="1" t="s">
        <v>163</v>
      </c>
    </row>
    <row r="3" spans="1:7" x14ac:dyDescent="0.3">
      <c r="A3" s="1" t="s">
        <v>170</v>
      </c>
      <c r="B3" s="1" t="s">
        <v>171</v>
      </c>
      <c r="C3" s="1" t="s">
        <v>172</v>
      </c>
      <c r="D3" s="1">
        <v>150</v>
      </c>
      <c r="G3" s="1" t="s">
        <v>175</v>
      </c>
    </row>
    <row r="4" spans="1:7" x14ac:dyDescent="0.3">
      <c r="A4" s="1" t="s">
        <v>167</v>
      </c>
      <c r="B4" s="1" t="s">
        <v>173</v>
      </c>
      <c r="C4" s="1" t="s">
        <v>174</v>
      </c>
      <c r="D4" s="1">
        <v>200</v>
      </c>
    </row>
    <row r="5" spans="1:7" x14ac:dyDescent="0.3">
      <c r="A5" s="1" t="s">
        <v>175</v>
      </c>
      <c r="B5" s="1" t="s">
        <v>176</v>
      </c>
      <c r="C5" s="1" t="s">
        <v>177</v>
      </c>
      <c r="D5" s="1">
        <v>90</v>
      </c>
    </row>
    <row r="6" spans="1:7" x14ac:dyDescent="0.3">
      <c r="A6" s="1" t="s">
        <v>170</v>
      </c>
      <c r="B6" s="1" t="s">
        <v>168</v>
      </c>
      <c r="C6" s="1" t="s">
        <v>178</v>
      </c>
      <c r="D6" s="1">
        <v>220</v>
      </c>
    </row>
    <row r="7" spans="1:7" x14ac:dyDescent="0.3">
      <c r="A7" s="1" t="s">
        <v>167</v>
      </c>
      <c r="B7" s="1" t="s">
        <v>171</v>
      </c>
      <c r="C7" s="1" t="s">
        <v>179</v>
      </c>
      <c r="D7" s="1">
        <v>130</v>
      </c>
    </row>
    <row r="8" spans="1:7" x14ac:dyDescent="0.3">
      <c r="A8" s="1" t="s">
        <v>175</v>
      </c>
      <c r="B8" s="1" t="s">
        <v>168</v>
      </c>
      <c r="C8" s="1" t="s">
        <v>180</v>
      </c>
      <c r="D8" s="1">
        <v>300</v>
      </c>
    </row>
    <row r="9" spans="1:7" x14ac:dyDescent="0.3">
      <c r="A9" s="1" t="s">
        <v>170</v>
      </c>
      <c r="B9" s="1" t="s">
        <v>173</v>
      </c>
      <c r="C9" s="1" t="s">
        <v>181</v>
      </c>
      <c r="D9" s="1">
        <v>80</v>
      </c>
    </row>
  </sheetData>
  <conditionalFormatting sqref="A1:D9">
    <cfRule type="expression" dxfId="1" priority="3">
      <formula>$A1048571 =$G$3</formula>
    </cfRule>
  </conditionalFormatting>
  <conditionalFormatting sqref="A2:D9">
    <cfRule type="expression" priority="2">
      <formula>$A2=$G$3</formula>
    </cfRule>
    <cfRule type="expression" dxfId="0" priority="1">
      <formula>$A2=$G$3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008D-0C94-4E7B-B849-DB632A896A06}">
  <dimension ref="A1:H11"/>
  <sheetViews>
    <sheetView zoomScale="80" workbookViewId="0">
      <selection activeCell="F10" sqref="F6:H11"/>
    </sheetView>
  </sheetViews>
  <sheetFormatPr defaultRowHeight="14.4" x14ac:dyDescent="0.3"/>
  <sheetData>
    <row r="1" spans="1:8" x14ac:dyDescent="0.3">
      <c r="A1" s="19" t="s">
        <v>154</v>
      </c>
      <c r="B1" s="19" t="s">
        <v>92</v>
      </c>
      <c r="C1" s="19" t="s">
        <v>155</v>
      </c>
    </row>
    <row r="2" spans="1:8" x14ac:dyDescent="0.3">
      <c r="A2" s="19" t="s">
        <v>156</v>
      </c>
      <c r="B2" s="19">
        <v>9</v>
      </c>
      <c r="C2" s="22">
        <v>54</v>
      </c>
    </row>
    <row r="3" spans="1:8" x14ac:dyDescent="0.3">
      <c r="A3" s="19" t="s">
        <v>96</v>
      </c>
      <c r="B3" s="19">
        <v>8</v>
      </c>
      <c r="C3" s="21">
        <v>70</v>
      </c>
    </row>
    <row r="4" spans="1:8" x14ac:dyDescent="0.3">
      <c r="A4" s="19" t="s">
        <v>157</v>
      </c>
      <c r="B4" s="19">
        <v>10</v>
      </c>
      <c r="C4" s="23">
        <v>51</v>
      </c>
    </row>
    <row r="5" spans="1:8" x14ac:dyDescent="0.3">
      <c r="A5" s="19" t="s">
        <v>94</v>
      </c>
      <c r="B5" s="19">
        <v>5</v>
      </c>
      <c r="C5" s="20">
        <v>67</v>
      </c>
    </row>
    <row r="6" spans="1:8" x14ac:dyDescent="0.3">
      <c r="F6" t="s">
        <v>154</v>
      </c>
      <c r="G6" t="s">
        <v>92</v>
      </c>
      <c r="H6" t="s">
        <v>155</v>
      </c>
    </row>
    <row r="7" spans="1:8" x14ac:dyDescent="0.3">
      <c r="F7" t="s">
        <v>94</v>
      </c>
      <c r="G7">
        <v>5</v>
      </c>
      <c r="H7">
        <v>67</v>
      </c>
    </row>
    <row r="8" spans="1:8" x14ac:dyDescent="0.3">
      <c r="F8" t="s">
        <v>158</v>
      </c>
      <c r="G8">
        <v>6</v>
      </c>
      <c r="H8">
        <v>77</v>
      </c>
    </row>
    <row r="9" spans="1:8" x14ac:dyDescent="0.3">
      <c r="F9" t="s">
        <v>157</v>
      </c>
      <c r="G9">
        <v>10</v>
      </c>
      <c r="H9">
        <v>51</v>
      </c>
    </row>
    <row r="10" spans="1:8" x14ac:dyDescent="0.3">
      <c r="F10" t="s">
        <v>96</v>
      </c>
      <c r="G10">
        <v>8</v>
      </c>
      <c r="H10">
        <v>70</v>
      </c>
    </row>
    <row r="11" spans="1:8" x14ac:dyDescent="0.3">
      <c r="F11" t="s">
        <v>156</v>
      </c>
      <c r="G11">
        <v>9</v>
      </c>
      <c r="H11">
        <v>54</v>
      </c>
    </row>
  </sheetData>
  <sortState xmlns:xlrd2="http://schemas.microsoft.com/office/spreadsheetml/2017/richdata2" caseSensitive="1" ref="F7:H11">
    <sortCondition ref="F7:F11"/>
    <sortCondition ref="H7:H1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4A19-3594-44D7-8D77-44DBC45CAB05}">
  <dimension ref="B1:T30"/>
  <sheetViews>
    <sheetView topLeftCell="L1" workbookViewId="0">
      <selection activeCell="T12" sqref="T12"/>
    </sheetView>
  </sheetViews>
  <sheetFormatPr defaultRowHeight="14.4" x14ac:dyDescent="0.3"/>
  <cols>
    <col min="16" max="16" width="11.21875" customWidth="1"/>
    <col min="17" max="17" width="11.6640625" customWidth="1"/>
    <col min="18" max="18" width="11.77734375" customWidth="1"/>
    <col min="19" max="19" width="11.109375" customWidth="1"/>
    <col min="20" max="20" width="10.6640625" customWidth="1"/>
  </cols>
  <sheetData>
    <row r="1" spans="2:20" x14ac:dyDescent="0.3">
      <c r="B1">
        <v>20</v>
      </c>
      <c r="D1" t="str">
        <f>IF(OR(A1&lt;40,B1&gt;60),"valid","invalid")</f>
        <v>valid</v>
      </c>
      <c r="E1" t="b">
        <f>NOT(A1=B1)</f>
        <v>1</v>
      </c>
    </row>
    <row r="3" spans="2:20" x14ac:dyDescent="0.3">
      <c r="P3" s="13" t="s">
        <v>117</v>
      </c>
      <c r="Q3" s="13" t="s">
        <v>121</v>
      </c>
      <c r="S3" s="16" t="s">
        <v>117</v>
      </c>
      <c r="T3" s="16" t="s">
        <v>122</v>
      </c>
    </row>
    <row r="4" spans="2:20" x14ac:dyDescent="0.3">
      <c r="P4" s="1" t="s">
        <v>118</v>
      </c>
      <c r="Q4" s="1">
        <v>123</v>
      </c>
      <c r="S4" s="1" t="s">
        <v>118</v>
      </c>
      <c r="T4" s="1">
        <v>231</v>
      </c>
    </row>
    <row r="5" spans="2:20" x14ac:dyDescent="0.3">
      <c r="E5" s="1" t="s">
        <v>91</v>
      </c>
      <c r="F5" s="1" t="s">
        <v>92</v>
      </c>
      <c r="G5" s="1" t="s">
        <v>93</v>
      </c>
      <c r="I5" s="1" t="s">
        <v>91</v>
      </c>
      <c r="J5" s="1" t="s">
        <v>92</v>
      </c>
      <c r="K5" s="1" t="s">
        <v>93</v>
      </c>
      <c r="P5" s="1" t="s">
        <v>119</v>
      </c>
      <c r="Q5" s="1">
        <v>456</v>
      </c>
      <c r="S5" s="1" t="s">
        <v>119</v>
      </c>
      <c r="T5" s="1">
        <v>556</v>
      </c>
    </row>
    <row r="6" spans="2:20" x14ac:dyDescent="0.3">
      <c r="E6" s="1" t="s">
        <v>94</v>
      </c>
      <c r="F6" s="1">
        <v>8</v>
      </c>
      <c r="G6" s="1">
        <v>67</v>
      </c>
      <c r="I6" s="1" t="s">
        <v>94</v>
      </c>
      <c r="J6" s="1">
        <v>8</v>
      </c>
      <c r="K6" s="1">
        <v>67</v>
      </c>
      <c r="P6" s="1" t="s">
        <v>120</v>
      </c>
      <c r="Q6" s="1">
        <v>123</v>
      </c>
      <c r="S6" s="1" t="s">
        <v>120</v>
      </c>
      <c r="T6" s="1">
        <v>988</v>
      </c>
    </row>
    <row r="7" spans="2:20" x14ac:dyDescent="0.3">
      <c r="E7" s="1" t="s">
        <v>95</v>
      </c>
      <c r="F7" s="1">
        <v>9</v>
      </c>
      <c r="G7" s="1">
        <v>84</v>
      </c>
      <c r="I7" s="1" t="s">
        <v>95</v>
      </c>
      <c r="J7" s="1">
        <v>9</v>
      </c>
      <c r="K7" s="1">
        <v>84</v>
      </c>
    </row>
    <row r="8" spans="2:20" x14ac:dyDescent="0.3">
      <c r="E8" s="1" t="s">
        <v>96</v>
      </c>
      <c r="F8" s="1">
        <v>6</v>
      </c>
      <c r="G8" s="1">
        <v>69</v>
      </c>
      <c r="I8" s="1" t="s">
        <v>96</v>
      </c>
      <c r="J8" s="1">
        <v>6</v>
      </c>
      <c r="K8" s="1">
        <v>69</v>
      </c>
    </row>
    <row r="9" spans="2:20" x14ac:dyDescent="0.3">
      <c r="E9" s="1" t="s">
        <v>97</v>
      </c>
      <c r="F9" s="1">
        <v>5</v>
      </c>
      <c r="G9" s="1">
        <v>87</v>
      </c>
      <c r="I9" s="1" t="s">
        <v>97</v>
      </c>
      <c r="J9" s="1">
        <v>5</v>
      </c>
      <c r="K9" s="1">
        <v>87</v>
      </c>
    </row>
    <row r="11" spans="2:20" x14ac:dyDescent="0.3">
      <c r="Q11" s="17" t="s">
        <v>123</v>
      </c>
      <c r="R11" s="17" t="s">
        <v>124</v>
      </c>
      <c r="S11" s="17" t="s">
        <v>139</v>
      </c>
    </row>
    <row r="12" spans="2:20" x14ac:dyDescent="0.3">
      <c r="E12" s="1" t="s">
        <v>91</v>
      </c>
      <c r="F12" s="1" t="s">
        <v>92</v>
      </c>
      <c r="G12" s="1" t="s">
        <v>93</v>
      </c>
      <c r="I12" s="15" t="s">
        <v>98</v>
      </c>
      <c r="J12" s="14" t="s">
        <v>98</v>
      </c>
      <c r="K12" s="14" t="s">
        <v>98</v>
      </c>
      <c r="M12" t="s">
        <v>105</v>
      </c>
      <c r="N12">
        <v>1</v>
      </c>
      <c r="Q12" s="1" t="s">
        <v>125</v>
      </c>
      <c r="R12" s="1" t="s">
        <v>133</v>
      </c>
      <c r="S12" s="1" t="s">
        <v>134</v>
      </c>
    </row>
    <row r="13" spans="2:20" x14ac:dyDescent="0.3">
      <c r="E13" s="1" t="s">
        <v>94</v>
      </c>
      <c r="F13" s="1">
        <v>8</v>
      </c>
      <c r="G13" s="1">
        <v>67</v>
      </c>
      <c r="I13" s="15" t="s">
        <v>99</v>
      </c>
      <c r="J13" t="s">
        <v>99</v>
      </c>
      <c r="K13" s="14" t="s">
        <v>99</v>
      </c>
      <c r="M13" t="s">
        <v>106</v>
      </c>
      <c r="N13">
        <v>2</v>
      </c>
      <c r="Q13" s="1" t="s">
        <v>126</v>
      </c>
      <c r="R13" s="1" t="s">
        <v>132</v>
      </c>
      <c r="S13" s="1" t="s">
        <v>135</v>
      </c>
    </row>
    <row r="14" spans="2:20" x14ac:dyDescent="0.3">
      <c r="E14" s="1" t="s">
        <v>95</v>
      </c>
      <c r="F14" s="1">
        <v>9</v>
      </c>
      <c r="G14" s="1">
        <v>84</v>
      </c>
      <c r="I14" s="15" t="s">
        <v>100</v>
      </c>
      <c r="J14" t="s">
        <v>100</v>
      </c>
      <c r="K14" s="14" t="s">
        <v>100</v>
      </c>
      <c r="M14" t="s">
        <v>107</v>
      </c>
      <c r="N14">
        <v>3</v>
      </c>
      <c r="Q14" s="1" t="s">
        <v>127</v>
      </c>
      <c r="R14" s="1" t="s">
        <v>131</v>
      </c>
      <c r="S14" s="1" t="s">
        <v>136</v>
      </c>
    </row>
    <row r="15" spans="2:20" x14ac:dyDescent="0.3">
      <c r="E15" s="1" t="s">
        <v>96</v>
      </c>
      <c r="F15" s="1">
        <v>6</v>
      </c>
      <c r="G15" s="1">
        <v>69</v>
      </c>
      <c r="I15" s="15" t="s">
        <v>101</v>
      </c>
      <c r="J15" t="s">
        <v>101</v>
      </c>
      <c r="K15" s="14" t="s">
        <v>101</v>
      </c>
      <c r="M15" t="s">
        <v>108</v>
      </c>
      <c r="N15">
        <v>4</v>
      </c>
      <c r="Q15" s="1" t="s">
        <v>128</v>
      </c>
      <c r="R15" s="1" t="s">
        <v>130</v>
      </c>
      <c r="S15" s="1" t="s">
        <v>137</v>
      </c>
    </row>
    <row r="16" spans="2:20" x14ac:dyDescent="0.3">
      <c r="E16" s="1" t="s">
        <v>97</v>
      </c>
      <c r="F16" s="1">
        <v>5</v>
      </c>
      <c r="G16" s="1">
        <v>87</v>
      </c>
      <c r="I16" s="15" t="s">
        <v>102</v>
      </c>
      <c r="J16" t="s">
        <v>102</v>
      </c>
      <c r="K16" s="14" t="s">
        <v>102</v>
      </c>
      <c r="M16" t="s">
        <v>109</v>
      </c>
      <c r="N16">
        <v>5</v>
      </c>
      <c r="Q16" s="1" t="s">
        <v>96</v>
      </c>
      <c r="R16" s="1" t="s">
        <v>129</v>
      </c>
      <c r="S16" s="1" t="s">
        <v>138</v>
      </c>
    </row>
    <row r="17" spans="9:14" x14ac:dyDescent="0.3">
      <c r="I17" s="15" t="s">
        <v>103</v>
      </c>
      <c r="J17" t="s">
        <v>103</v>
      </c>
      <c r="K17" s="14" t="s">
        <v>98</v>
      </c>
      <c r="M17" t="s">
        <v>110</v>
      </c>
      <c r="N17">
        <v>6</v>
      </c>
    </row>
    <row r="18" spans="9:14" x14ac:dyDescent="0.3">
      <c r="I18" s="15" t="s">
        <v>104</v>
      </c>
      <c r="J18" t="s">
        <v>104</v>
      </c>
      <c r="K18" s="14" t="s">
        <v>99</v>
      </c>
      <c r="M18" t="s">
        <v>111</v>
      </c>
      <c r="N18">
        <v>7</v>
      </c>
    </row>
    <row r="19" spans="9:14" x14ac:dyDescent="0.3">
      <c r="M19" t="s">
        <v>112</v>
      </c>
      <c r="N19">
        <v>8</v>
      </c>
    </row>
    <row r="23" spans="9:14" x14ac:dyDescent="0.3">
      <c r="K23">
        <v>10</v>
      </c>
      <c r="M23" t="s">
        <v>113</v>
      </c>
    </row>
    <row r="24" spans="9:14" x14ac:dyDescent="0.3">
      <c r="K24">
        <v>10</v>
      </c>
      <c r="M24" t="s">
        <v>114</v>
      </c>
      <c r="N24" t="s">
        <v>113</v>
      </c>
    </row>
    <row r="25" spans="9:14" x14ac:dyDescent="0.3">
      <c r="K25">
        <v>10</v>
      </c>
      <c r="M25" t="s">
        <v>115</v>
      </c>
      <c r="N25" t="s">
        <v>115</v>
      </c>
    </row>
    <row r="26" spans="9:14" x14ac:dyDescent="0.3">
      <c r="K26">
        <v>10</v>
      </c>
      <c r="N26" t="s">
        <v>116</v>
      </c>
    </row>
    <row r="27" spans="9:14" x14ac:dyDescent="0.3">
      <c r="K27">
        <v>10</v>
      </c>
      <c r="N27" t="s">
        <v>114</v>
      </c>
    </row>
    <row r="28" spans="9:14" x14ac:dyDescent="0.3">
      <c r="K28">
        <v>10</v>
      </c>
      <c r="N28" t="s">
        <v>113</v>
      </c>
    </row>
    <row r="29" spans="9:14" x14ac:dyDescent="0.3">
      <c r="N29" t="s">
        <v>115</v>
      </c>
    </row>
    <row r="30" spans="9:14" x14ac:dyDescent="0.3">
      <c r="N30" t="s">
        <v>116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Formulas</vt:lpstr>
      <vt:lpstr>Sheet4</vt:lpstr>
      <vt:lpstr>Fillter</vt:lpstr>
      <vt:lpstr>Sheet5</vt:lpstr>
      <vt:lpstr>conditional formatting</vt:lpstr>
      <vt:lpstr>Sort</vt:lpstr>
      <vt:lpstr>Fill</vt:lpstr>
      <vt:lpstr>Fillter!Criteria</vt:lpstr>
      <vt:lpstr>Fillter!Extract</vt:lpstr>
      <vt:lpstr>Sheet5!Extract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Aritra chatterjee</cp:lastModifiedBy>
  <dcterms:created xsi:type="dcterms:W3CDTF">2025-11-28T09:29:24Z</dcterms:created>
  <dcterms:modified xsi:type="dcterms:W3CDTF">2026-08-05T11:14:16Z</dcterms:modified>
</cp:coreProperties>
</file>