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tr\Downloads\"/>
    </mc:Choice>
  </mc:AlternateContent>
  <xr:revisionPtr revIDLastSave="0" documentId="13_ncr:1_{CF946C61-16F0-42BB-BB0A-9381CBD2DBFE}" xr6:coauthVersionLast="47" xr6:coauthVersionMax="47" xr10:uidLastSave="{00000000-0000-0000-0000-000000000000}"/>
  <bookViews>
    <workbookView xWindow="-108" yWindow="-108" windowWidth="23256" windowHeight="12456" firstSheet="1" activeTab="2" xr2:uid="{2C14E8FF-5BF7-4DAE-88CA-0BC8CDEA3C49}"/>
  </bookViews>
  <sheets>
    <sheet name="Products vlookup" sheetId="1" r:id="rId1"/>
    <sheet name="orders" sheetId="2" r:id="rId2"/>
    <sheet name=" worksheet 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2" i="3"/>
  <c r="I3" i="3"/>
  <c r="I4" i="3"/>
  <c r="I5" i="3"/>
  <c r="I6" i="3"/>
  <c r="I2" i="3"/>
  <c r="I7" i="3"/>
  <c r="H4" i="3"/>
  <c r="H5" i="3"/>
  <c r="H6" i="3"/>
  <c r="H7" i="3"/>
  <c r="H3" i="3"/>
  <c r="H2" i="3"/>
  <c r="H13" i="3"/>
  <c r="H17" i="3"/>
  <c r="H15" i="3"/>
  <c r="M2" i="2"/>
  <c r="M3" i="2"/>
  <c r="M4" i="2"/>
  <c r="M5" i="2"/>
  <c r="M6" i="2"/>
  <c r="M7" i="2"/>
  <c r="J3" i="2"/>
  <c r="J4" i="2"/>
  <c r="J5" i="2"/>
  <c r="J6" i="2"/>
  <c r="J7" i="2"/>
  <c r="J2" i="2"/>
  <c r="L2" i="2"/>
  <c r="I3" i="2"/>
  <c r="I4" i="2"/>
  <c r="I5" i="2"/>
  <c r="I6" i="2"/>
  <c r="I7" i="2"/>
  <c r="I2" i="2"/>
  <c r="H3" i="2"/>
  <c r="H4" i="2"/>
  <c r="H5" i="2"/>
  <c r="H6" i="2"/>
  <c r="H7" i="2"/>
  <c r="H2" i="2"/>
  <c r="D3" i="2"/>
  <c r="D4" i="2"/>
  <c r="D5" i="2"/>
  <c r="D6" i="2"/>
  <c r="D7" i="2"/>
  <c r="D2" i="2"/>
  <c r="G3" i="2"/>
  <c r="G4" i="2"/>
  <c r="G5" i="2"/>
  <c r="G6" i="2"/>
  <c r="G7" i="2"/>
  <c r="G2" i="2"/>
  <c r="E3" i="2"/>
  <c r="E4" i="2"/>
  <c r="E5" i="2"/>
  <c r="E6" i="2"/>
  <c r="E7" i="2"/>
  <c r="E2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<sst xmlns="http://schemas.openxmlformats.org/spreadsheetml/2006/main" count="53" uniqueCount="35">
  <si>
    <t>Product</t>
  </si>
  <si>
    <t>Product ID</t>
  </si>
  <si>
    <t>Prize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</si>
  <si>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</si>
  <si>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</si>
  <si>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</si>
  <si>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</si>
  <si>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</si>
  <si>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</si>
  <si>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</si>
  <si>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</si>
  <si>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 Prize</t>
  </si>
  <si>
    <t>Product Prize</t>
  </si>
  <si>
    <t>present or not</t>
  </si>
  <si>
    <t>price</t>
  </si>
  <si>
    <t>Discounted Price</t>
  </si>
  <si>
    <t>Maximum Value</t>
  </si>
  <si>
    <t>order not order</t>
  </si>
  <si>
    <t>Total Quantity</t>
  </si>
  <si>
    <t>Jan</t>
  </si>
  <si>
    <t>Feb</t>
  </si>
  <si>
    <t>Mar</t>
  </si>
  <si>
    <t>Apr</t>
  </si>
  <si>
    <t>May</t>
  </si>
  <si>
    <t>Total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</si>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</sst>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4" fillId="2" borderId="2" xfId="0" applyFont="1" applyFill="1" applyBorder="1"/>
    <xf numFmtId="0" fontId="2" fillId="2" borderId="2" xfId="0" applyFont="1" applyFill="1" applyBorder="1"/>
    <xf numFmtId="0" fontId="3" fillId="0" borderId="2" xfId="0" applyFont="1" applyBorder="1"/>
    <xf numFmtId="0" fontId="2" fillId="2" borderId="0" xfId="0" applyFont="1" applyFill="1"/>
    <xf numFmtId="0" fontId="3" fillId="0" borderId="0" xfId="0" applyFont="1"/>
    <xf numFmtId="0" fontId="0" fillId="0" borderId="2" xfId="0" applyFont="1" applyBorder="1"/>
    <xf numFmtId="0" fontId="6" fillId="0" borderId="3" xfId="0" applyFont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1" fillId="0" borderId="1" xfId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0" fillId="4" borderId="2" xfId="0" applyFill="1" applyBorder="1"/>
    <xf numFmtId="3" fontId="6" fillId="4" borderId="2" xfId="0" applyNumberFormat="1" applyFont="1" applyFill="1" applyBorder="1" applyAlignment="1">
      <alignment horizontal="left" vertical="center" wrapText="1" inden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D10A-6064-4498-90BA-2C178FAE2F9B}">
  <dimension ref="A1:C7"/>
  <sheetViews>
    <sheetView workbookViewId="0">
      <selection activeCell="E28" sqref="E28"/>
    </sheetView>
  </sheetViews>
  <sheetFormatPr defaultRowHeight="14.4" x14ac:dyDescent="0.3"/>
  <cols>
    <col min="1" max="1" width="9.6640625" style="5" customWidth="1"/>
    <col min="2" max="16384" width="8.88671875" style="5"/>
  </cols>
  <sheetData>
    <row r="1" spans="1:3" s="4" customFormat="1" x14ac:dyDescent="0.3">
      <c r="A1" s="2" t="s">
        <v>1</v>
      </c>
      <c r="B1" s="2" t="s">
        <v>0</v>
      </c>
      <c r="C1" s="2" t="s">
        <v>2</v>
      </c>
    </row>
    <row r="2" spans="1:3" x14ac:dyDescent="0.3">
      <c r="A2" s="3">
        <v>101</v>
      </c>
      <c r="B2" s="3" t="s">
        <v>3</v>
      </c>
      <c r="C2" s="3">
        <v>120</v>
      </c>
    </row>
    <row r="3" spans="1:3" x14ac:dyDescent="0.3">
      <c r="A3" s="3">
        <v>102</v>
      </c>
      <c r="B3" s="3" t="s">
        <v>4</v>
      </c>
      <c r="C3" s="3">
        <v>150</v>
      </c>
    </row>
    <row r="4" spans="1:3" x14ac:dyDescent="0.3">
      <c r="A4" s="3">
        <v>103</v>
      </c>
      <c r="B4" s="3" t="s">
        <v>5</v>
      </c>
      <c r="C4" s="3">
        <v>200</v>
      </c>
    </row>
    <row r="5" spans="1:3" x14ac:dyDescent="0.3">
      <c r="A5" s="3">
        <v>104</v>
      </c>
      <c r="B5" s="3" t="s">
        <v>6</v>
      </c>
      <c r="C5" s="3">
        <v>90</v>
      </c>
    </row>
    <row r="6" spans="1:3" x14ac:dyDescent="0.3">
      <c r="A6" s="3">
        <v>105</v>
      </c>
      <c r="B6" s="3" t="s">
        <v>7</v>
      </c>
      <c r="C6" s="3">
        <v>220</v>
      </c>
    </row>
    <row r="7" spans="1:3" x14ac:dyDescent="0.3">
      <c r="A7" s="3">
        <v>106</v>
      </c>
      <c r="B7" s="3" t="s">
        <v>8</v>
      </c>
      <c r="C7" s="3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28A7-C352-4C95-9042-EFDD56286A73}">
  <dimension ref="A1:M7"/>
  <sheetViews>
    <sheetView workbookViewId="0">
      <selection activeCell="C11" sqref="C11"/>
    </sheetView>
  </sheetViews>
  <sheetFormatPr defaultRowHeight="14.4" x14ac:dyDescent="0.3"/>
  <cols>
    <col min="6" max="6" width="12.44140625" customWidth="1"/>
    <col min="7" max="7" width="15.33203125" customWidth="1"/>
    <col min="9" max="9" width="15.6640625" customWidth="1"/>
    <col min="10" max="10" width="18.33203125" customWidth="1"/>
    <col min="11" max="11" width="16.109375" customWidth="1"/>
    <col min="13" max="13" width="14.88671875" customWidth="1"/>
  </cols>
  <sheetData>
    <row r="1" spans="1:13" x14ac:dyDescent="0.3">
      <c r="A1" s="1" t="s">
        <v>9</v>
      </c>
      <c r="B1" s="1" t="s">
        <v>1</v>
      </c>
      <c r="C1" s="1" t="s">
        <v>10</v>
      </c>
      <c r="D1" s="1" t="s">
        <v>11</v>
      </c>
      <c r="E1" s="1" t="s">
        <v>0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17</v>
      </c>
      <c r="K1" s="6"/>
      <c r="L1" s="6"/>
      <c r="M1" s="1" t="s">
        <v>18</v>
      </c>
    </row>
    <row r="2" spans="1:13" x14ac:dyDescent="0.3">
      <c r="A2" s="6">
        <v>1</v>
      </c>
      <c r="B2" s="6">
        <v>101</v>
      </c>
      <c r="C2" s="6">
        <v>2</v>
      </c>
      <c r="D2" s="6">
        <f>F2*C2</f>
        <v>240</v>
      </c>
      <c r="E2" s="6" t="str">
        <f>VLOOKUP(orders!B2,'Products vlookup'!$A$1:$B$7,2,FALSE)</f>
        <v>Product A</v>
      </c>
      <c r="F2" s="6">
        <f>VLOOKUP(B2,'Products vlookup'!$A$1:$C$7,3,FALSE)</f>
        <v>120</v>
      </c>
      <c r="G2" s="6" t="str">
        <f>IF(ISNA(VLOOKUP(B2,'Products vlookup'!A1:C7,1,FALSE)),"No","yes")</f>
        <v>yes</v>
      </c>
      <c r="H2" s="6">
        <f>VLOOKUP(B2,'Products vlookup'!$A$1:$C$7,3,FALSE)</f>
        <v>120</v>
      </c>
      <c r="I2" s="6">
        <f>H2-H2*10%</f>
        <v>108</v>
      </c>
      <c r="J2" s="6" t="str">
        <f>IF(ISNA(VLOOKUP(E2, A$2:D$7, 1, FALSE)), "Not Ordered", "Ordered")</f>
        <v>Not Ordered</v>
      </c>
      <c r="K2" s="1" t="s">
        <v>16</v>
      </c>
      <c r="L2" s="6">
        <f>MAX(D2:D7)</f>
        <v>880</v>
      </c>
      <c r="M2" s="6">
        <f>SUMIF($B$2:$B$7, B2, $C$2:$C$7)</f>
        <v>2</v>
      </c>
    </row>
    <row r="3" spans="1:13" x14ac:dyDescent="0.3">
      <c r="A3" s="6">
        <v>2</v>
      </c>
      <c r="B3" s="6">
        <v>103</v>
      </c>
      <c r="C3" s="6">
        <v>1</v>
      </c>
      <c r="D3" s="6">
        <f t="shared" ref="D3:D7" si="0">F3*C3</f>
        <v>200</v>
      </c>
      <c r="E3" s="6" t="str">
        <f>VLOOKUP(orders!B3,'Products vlookup'!$A$1:$B$7,2,FALSE)</f>
        <v>Product C</v>
      </c>
      <c r="F3" s="6">
        <f>VLOOKUP(B3,'Products vlookup'!$A$1:$C$7,3,FALSE)</f>
        <v>200</v>
      </c>
      <c r="G3" s="6" t="str">
        <f>IF(ISNA(VLOOKUP(B3,'Products vlookup'!A2:C8,1,FALSE)),"No","yes")</f>
        <v>yes</v>
      </c>
      <c r="H3" s="6">
        <f>VLOOKUP(B3,'Products vlookup'!$A$1:$C$7,3,FALSE)</f>
        <v>200</v>
      </c>
      <c r="I3" s="6">
        <f t="shared" ref="I3:I7" si="1">H3-H3*10%</f>
        <v>180</v>
      </c>
      <c r="J3" s="6" t="str">
        <f t="shared" ref="J3:J7" si="2">IF(ISNA(VLOOKUP(E3, A$2:D$7, 1, FALSE)), "Not Ordered", "Ordered")</f>
        <v>Not Ordered</v>
      </c>
      <c r="K3" s="6"/>
      <c r="L3" s="6"/>
      <c r="M3" s="6">
        <f t="shared" ref="M3:M7" si="3">SUMIF(B3:B8,B3,C3:C8)</f>
        <v>1</v>
      </c>
    </row>
    <row r="4" spans="1:13" x14ac:dyDescent="0.3">
      <c r="A4" s="6">
        <v>3</v>
      </c>
      <c r="B4" s="6">
        <v>105</v>
      </c>
      <c r="C4" s="6">
        <v>4</v>
      </c>
      <c r="D4" s="6">
        <f t="shared" si="0"/>
        <v>880</v>
      </c>
      <c r="E4" s="6" t="str">
        <f>VLOOKUP(orders!B4,'Products vlookup'!$A$1:$B$7,2,FALSE)</f>
        <v>Product E</v>
      </c>
      <c r="F4" s="6">
        <f>VLOOKUP(B4,'Products vlookup'!$A$1:$C$7,3,FALSE)</f>
        <v>220</v>
      </c>
      <c r="G4" s="6" t="str">
        <f>IF(ISNA(VLOOKUP(B4,'Products vlookup'!A3:C9,1,FALSE)),"No","yes")</f>
        <v>yes</v>
      </c>
      <c r="H4" s="6">
        <f>VLOOKUP(B4,'Products vlookup'!$A$1:$C$7,3,FALSE)</f>
        <v>220</v>
      </c>
      <c r="I4" s="6">
        <f t="shared" si="1"/>
        <v>198</v>
      </c>
      <c r="J4" s="6" t="str">
        <f t="shared" si="2"/>
        <v>Not Ordered</v>
      </c>
      <c r="K4" s="6"/>
      <c r="L4" s="6"/>
      <c r="M4" s="6">
        <f t="shared" si="3"/>
        <v>4</v>
      </c>
    </row>
    <row r="5" spans="1:13" x14ac:dyDescent="0.3">
      <c r="A5" s="6">
        <v>4</v>
      </c>
      <c r="B5" s="6">
        <v>106</v>
      </c>
      <c r="C5" s="6">
        <v>3</v>
      </c>
      <c r="D5" s="6">
        <f t="shared" si="0"/>
        <v>390</v>
      </c>
      <c r="E5" s="6" t="str">
        <f>VLOOKUP(orders!B5,'Products vlookup'!$A$1:$B$7,2,FALSE)</f>
        <v>Product F</v>
      </c>
      <c r="F5" s="6">
        <f>VLOOKUP(B5,'Products vlookup'!$A$1:$C$7,3,FALSE)</f>
        <v>130</v>
      </c>
      <c r="G5" s="6" t="str">
        <f>IF(ISNA(VLOOKUP(B5,'Products vlookup'!A4:C10,1,FALSE)),"No","yes")</f>
        <v>yes</v>
      </c>
      <c r="H5" s="6">
        <f>VLOOKUP(B5,'Products vlookup'!$A$1:$C$7,3,FALSE)</f>
        <v>130</v>
      </c>
      <c r="I5" s="6">
        <f t="shared" si="1"/>
        <v>117</v>
      </c>
      <c r="J5" s="6" t="str">
        <f t="shared" si="2"/>
        <v>Not Ordered</v>
      </c>
      <c r="K5" s="6"/>
      <c r="L5" s="6"/>
      <c r="M5" s="6">
        <f t="shared" si="3"/>
        <v>3</v>
      </c>
    </row>
    <row r="6" spans="1:13" x14ac:dyDescent="0.3">
      <c r="A6" s="6">
        <v>5</v>
      </c>
      <c r="B6" s="6">
        <v>102</v>
      </c>
      <c r="C6" s="6">
        <v>5</v>
      </c>
      <c r="D6" s="6">
        <f t="shared" si="0"/>
        <v>750</v>
      </c>
      <c r="E6" s="6" t="str">
        <f>VLOOKUP(orders!B6,'Products vlookup'!$A$1:$B$7,2,FALSE)</f>
        <v>Product B</v>
      </c>
      <c r="F6" s="6">
        <f>VLOOKUP(B6,'Products vlookup'!$A$1:$C$7,3,FALSE)</f>
        <v>150</v>
      </c>
      <c r="G6" s="6" t="str">
        <f>IF(ISNA(VLOOKUP(B6,'Products vlookup'!A5:C11,1,FALSE)),"No","yes")</f>
        <v>No</v>
      </c>
      <c r="H6" s="6">
        <f>VLOOKUP(B6,'Products vlookup'!$A$1:$C$7,3,FALSE)</f>
        <v>150</v>
      </c>
      <c r="I6" s="6">
        <f t="shared" si="1"/>
        <v>135</v>
      </c>
      <c r="J6" s="6" t="str">
        <f t="shared" si="2"/>
        <v>Not Ordered</v>
      </c>
      <c r="K6" s="6"/>
      <c r="L6" s="6"/>
      <c r="M6" s="6">
        <f t="shared" si="3"/>
        <v>5</v>
      </c>
    </row>
    <row r="7" spans="1:13" x14ac:dyDescent="0.3">
      <c r="A7" s="6">
        <v>6</v>
      </c>
      <c r="B7" s="6">
        <v>104</v>
      </c>
      <c r="C7" s="6">
        <v>6</v>
      </c>
      <c r="D7" s="6">
        <f t="shared" si="0"/>
        <v>540</v>
      </c>
      <c r="E7" s="6" t="str">
        <f>VLOOKUP(orders!B7,'Products vlookup'!$A$1:$B$7,2,FALSE)</f>
        <v>Product D</v>
      </c>
      <c r="F7" s="6">
        <f>VLOOKUP(B7,'Products vlookup'!$A$1:$C$7,3,FALSE)</f>
        <v>90</v>
      </c>
      <c r="G7" s="6" t="str">
        <f>IF(ISNA(VLOOKUP(B7,'Products vlookup'!A6:C12,1,FALSE)),"No","yes")</f>
        <v>No</v>
      </c>
      <c r="H7" s="6">
        <f>VLOOKUP(B7,'Products vlookup'!$A$1:$C$7,3,FALSE)</f>
        <v>90</v>
      </c>
      <c r="I7" s="6">
        <f t="shared" si="1"/>
        <v>81</v>
      </c>
      <c r="J7" s="6" t="str">
        <f t="shared" si="2"/>
        <v>Not Ordered</v>
      </c>
      <c r="K7" s="6"/>
      <c r="L7" s="6"/>
      <c r="M7" s="6">
        <f t="shared" si="3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F7BA-337C-42AB-B127-C2076392FE41}">
  <dimension ref="A1:M20"/>
  <sheetViews>
    <sheetView tabSelected="1" topLeftCell="A8" zoomScale="65" workbookViewId="0">
      <selection activeCell="G13" sqref="G13:H17"/>
    </sheetView>
  </sheetViews>
  <sheetFormatPr defaultRowHeight="14.4" x14ac:dyDescent="0.3"/>
  <cols>
    <col min="1" max="1" width="14.21875" customWidth="1"/>
    <col min="8" max="8" width="13.33203125" customWidth="1"/>
    <col min="13" max="13" width="91.77734375" customWidth="1"/>
  </cols>
  <sheetData>
    <row r="1" spans="1:13" x14ac:dyDescent="0.3">
      <c r="A1" s="10" t="s">
        <v>0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32</v>
      </c>
      <c r="I1" s="11" t="s">
        <v>33</v>
      </c>
      <c r="J1" s="11" t="s">
        <v>34</v>
      </c>
    </row>
    <row r="2" spans="1:13" x14ac:dyDescent="0.3">
      <c r="A2" s="10" t="s">
        <v>3</v>
      </c>
      <c r="B2" s="12">
        <v>120</v>
      </c>
      <c r="C2" s="12">
        <v>130</v>
      </c>
      <c r="D2" s="12">
        <v>140</v>
      </c>
      <c r="E2" s="12">
        <v>150</v>
      </c>
      <c r="F2" s="12">
        <v>160</v>
      </c>
      <c r="G2" s="13">
        <v>700</v>
      </c>
      <c r="H2" s="14">
        <f>MAX(B2:B7)</f>
        <v>220</v>
      </c>
      <c r="I2" s="14">
        <f>MIN(B2:F2)</f>
        <v>120</v>
      </c>
      <c r="J2" s="14">
        <f>AVERAGE(B2:F2)</f>
        <v>140</v>
      </c>
    </row>
    <row r="3" spans="1:13" x14ac:dyDescent="0.3">
      <c r="A3" s="10" t="s">
        <v>4</v>
      </c>
      <c r="B3" s="12">
        <v>150</v>
      </c>
      <c r="C3" s="12">
        <v>160</v>
      </c>
      <c r="D3" s="12">
        <v>170</v>
      </c>
      <c r="E3" s="12">
        <v>180</v>
      </c>
      <c r="F3" s="12">
        <v>190</v>
      </c>
      <c r="G3" s="13">
        <v>850</v>
      </c>
      <c r="H3" s="14">
        <f>MAX(B3:F3)</f>
        <v>190</v>
      </c>
      <c r="I3" s="14">
        <f t="shared" ref="I3:I6" si="0">MIN(B3:F3)</f>
        <v>150</v>
      </c>
      <c r="J3" s="14">
        <f t="shared" ref="J3:J7" si="1">AVERAGE(B3:F3)</f>
        <v>170</v>
      </c>
    </row>
    <row r="4" spans="1:13" x14ac:dyDescent="0.3">
      <c r="A4" s="10" t="s">
        <v>5</v>
      </c>
      <c r="B4" s="12">
        <v>200</v>
      </c>
      <c r="C4" s="12">
        <v>210</v>
      </c>
      <c r="D4" s="12">
        <v>220</v>
      </c>
      <c r="E4" s="12">
        <v>230</v>
      </c>
      <c r="F4" s="12">
        <v>240</v>
      </c>
      <c r="G4" s="15">
        <v>1100</v>
      </c>
      <c r="H4" s="14">
        <f t="shared" ref="H4" si="2">MAX(B4:B9)</f>
        <v>220</v>
      </c>
      <c r="I4" s="14">
        <f t="shared" si="0"/>
        <v>200</v>
      </c>
      <c r="J4" s="14">
        <f t="shared" si="1"/>
        <v>220</v>
      </c>
    </row>
    <row r="5" spans="1:13" x14ac:dyDescent="0.3">
      <c r="A5" s="10" t="s">
        <v>6</v>
      </c>
      <c r="B5" s="12">
        <v>90</v>
      </c>
      <c r="C5" s="12">
        <v>100</v>
      </c>
      <c r="D5" s="12">
        <v>110</v>
      </c>
      <c r="E5" s="12">
        <v>120</v>
      </c>
      <c r="F5" s="12">
        <v>130</v>
      </c>
      <c r="G5" s="13">
        <v>550</v>
      </c>
      <c r="H5" s="14">
        <f t="shared" ref="H5:H7" si="3">MAX(B5:F5)</f>
        <v>130</v>
      </c>
      <c r="I5" s="14">
        <f t="shared" si="0"/>
        <v>90</v>
      </c>
      <c r="J5" s="14">
        <f t="shared" si="1"/>
        <v>110</v>
      </c>
    </row>
    <row r="6" spans="1:13" x14ac:dyDescent="0.3">
      <c r="A6" s="10" t="s">
        <v>7</v>
      </c>
      <c r="B6" s="12">
        <v>220</v>
      </c>
      <c r="C6" s="12">
        <v>230</v>
      </c>
      <c r="D6" s="12">
        <v>240</v>
      </c>
      <c r="E6" s="12">
        <v>250</v>
      </c>
      <c r="F6" s="12">
        <v>260</v>
      </c>
      <c r="G6" s="15">
        <v>1200</v>
      </c>
      <c r="H6" s="14">
        <f t="shared" ref="H6" si="4">MAX(B6:B11)</f>
        <v>220</v>
      </c>
      <c r="I6" s="14">
        <f t="shared" si="0"/>
        <v>220</v>
      </c>
      <c r="J6" s="14">
        <f t="shared" si="1"/>
        <v>240</v>
      </c>
    </row>
    <row r="7" spans="1:13" x14ac:dyDescent="0.3">
      <c r="A7" s="10" t="s">
        <v>8</v>
      </c>
      <c r="B7" s="12">
        <v>130</v>
      </c>
      <c r="C7" s="12">
        <v>140</v>
      </c>
      <c r="D7" s="12">
        <v>150</v>
      </c>
      <c r="E7" s="12">
        <v>160</v>
      </c>
      <c r="F7" s="12">
        <v>170</v>
      </c>
      <c r="G7" s="13">
        <v>750</v>
      </c>
      <c r="H7" s="14">
        <f t="shared" ref="H7" si="5">MAX(B7:F7)</f>
        <v>170</v>
      </c>
      <c r="I7" s="14">
        <f>MIN(B7:F7)</f>
        <v>130</v>
      </c>
      <c r="J7" s="14">
        <f t="shared" si="1"/>
        <v>150</v>
      </c>
    </row>
    <row r="8" spans="1:13" ht="15" thickBot="1" x14ac:dyDescent="0.35">
      <c r="A8" s="8"/>
      <c r="M8" s="9" t="s">
        <v>25</v>
      </c>
    </row>
    <row r="9" spans="1:13" ht="15" thickBot="1" x14ac:dyDescent="0.35">
      <c r="M9" s="9"/>
    </row>
    <row r="10" spans="1:13" ht="15" thickBot="1" x14ac:dyDescent="0.35">
      <c r="G10" t="s">
        <v>0</v>
      </c>
      <c r="M10" s="9" t="s">
        <v>26</v>
      </c>
    </row>
    <row r="11" spans="1:13" ht="15" thickBot="1" x14ac:dyDescent="0.35">
      <c r="M11" s="9"/>
    </row>
    <row r="12" spans="1:13" ht="15" thickBot="1" x14ac:dyDescent="0.35">
      <c r="M12" s="9" t="s">
        <v>27</v>
      </c>
    </row>
    <row r="13" spans="1:13" ht="15" thickBot="1" x14ac:dyDescent="0.35">
      <c r="E13" s="7" t="s">
        <v>19</v>
      </c>
      <c r="G13" s="13" t="s">
        <v>21</v>
      </c>
      <c r="H13" s="14">
        <f>HLOOKUP(G13,B1:G7,2,FALSE)</f>
        <v>140</v>
      </c>
      <c r="M13" s="9"/>
    </row>
    <row r="14" spans="1:13" ht="15" thickBot="1" x14ac:dyDescent="0.35">
      <c r="E14" s="7" t="s">
        <v>20</v>
      </c>
      <c r="G14" s="14"/>
      <c r="H14" s="14"/>
      <c r="M14" s="9" t="s">
        <v>28</v>
      </c>
    </row>
    <row r="15" spans="1:13" ht="15" thickBot="1" x14ac:dyDescent="0.35">
      <c r="E15" s="7" t="s">
        <v>21</v>
      </c>
      <c r="G15" s="13" t="s">
        <v>23</v>
      </c>
      <c r="H15" s="14">
        <f>HLOOKUP(G15,B1:G7,5,FALSE)</f>
        <v>130</v>
      </c>
      <c r="M15" s="9"/>
    </row>
    <row r="16" spans="1:13" ht="15" thickBot="1" x14ac:dyDescent="0.35">
      <c r="E16" s="7" t="s">
        <v>22</v>
      </c>
      <c r="G16" s="14"/>
      <c r="H16" s="14"/>
      <c r="M16" s="9" t="s">
        <v>29</v>
      </c>
    </row>
    <row r="17" spans="5:13" ht="15" thickBot="1" x14ac:dyDescent="0.35">
      <c r="E17" s="7" t="s">
        <v>23</v>
      </c>
      <c r="G17" s="13" t="s">
        <v>20</v>
      </c>
      <c r="H17" s="14">
        <f>HLOOKUP(G17, B1:G7, 4, FALSE)</f>
        <v>210</v>
      </c>
      <c r="M17" s="9"/>
    </row>
    <row r="18" spans="5:13" ht="15" thickBot="1" x14ac:dyDescent="0.35">
      <c r="M18" s="9" t="s">
        <v>30</v>
      </c>
    </row>
    <row r="19" spans="5:13" ht="15" thickBot="1" x14ac:dyDescent="0.35">
      <c r="M19" s="9"/>
    </row>
    <row r="20" spans="5:13" ht="15" thickBot="1" x14ac:dyDescent="0.35">
      <c r="M20" s="9" t="s">
        <v>31</v>
      </c>
    </row>
  </sheetData>
  <phoneticPr fontId="7" type="noConversion"/>
  <dataValidations count="1">
    <dataValidation type="list" allowBlank="1" showInputMessage="1" showErrorMessage="1" sqref="G13 G15 G17" xr:uid="{4943E383-CAFF-49FA-B9C0-7FC35ACBB59D}">
      <formula1>$E$13:$E$18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vlookup</vt:lpstr>
      <vt:lpstr>orders</vt:lpstr>
      <vt:lpstr> worksheet 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Aritra chatterjee</dc:creator>
  <cp:lastModifiedBy>Aritra chatterjee</cp:lastModifiedBy>
  <dcterms:created xsi:type="dcterms:W3CDTF">2026-08-07T10:01:10Z</dcterms:created>
  <dcterms:modified xsi:type="dcterms:W3CDTF">2026-08-07T12:13:39Z</dcterms:modified>
</cp:coreProperties>
</file>